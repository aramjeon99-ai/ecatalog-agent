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1_과제 기초자료\"/>
    </mc:Choice>
  </mc:AlternateContent>
  <xr:revisionPtr revIDLastSave="0" documentId="13_ncr:1_{AF94FF58-BE10-4CF7-AF86-168D3AF43AA3}" xr6:coauthVersionLast="47" xr6:coauthVersionMax="47" xr10:uidLastSave="{00000000-0000-0000-0000-000000000000}"/>
  <bookViews>
    <workbookView xWindow="-108" yWindow="-108" windowWidth="23256" windowHeight="12576" tabRatio="936" activeTab="2" xr2:uid="{6F264F03-4205-43BF-9EEF-8F810C7EDAE0}"/>
  </bookViews>
  <sheets>
    <sheet name="컬럼정하기_필수 속성값 정리" sheetId="16" r:id="rId1"/>
    <sheet name="Q코드, pdf 파일명 50코드" sheetId="17" r:id="rId2"/>
    <sheet name="시스템 읽어올 값." sheetId="18" r:id="rId3"/>
    <sheet name="공압실린더 56개 " sheetId="6" r:id="rId4"/>
    <sheet name="실린더 상세사양값. 80" sheetId="12" r:id="rId5"/>
    <sheet name="모터 9개" sheetId="7" r:id="rId6"/>
    <sheet name="모터 상세사양값" sheetId="13" r:id="rId7"/>
    <sheet name="필터 258개" sheetId="9" r:id="rId8"/>
    <sheet name="필터 상세사양" sheetId="15" r:id="rId9"/>
    <sheet name="protection relay  75개" sheetId="10" r:id="rId10"/>
    <sheet name="protection Relay 상세사양" sheetId="14" r:id="rId11"/>
  </sheets>
  <definedNames>
    <definedName name="_xlnm._FilterDatabase" localSheetId="9" hidden="1">'protection relay  75개'!$A$1:$AT$264</definedName>
    <definedName name="_xlnm._FilterDatabase" localSheetId="3" hidden="1">'공압실린더 56개 '!$A$1:$AT$109</definedName>
    <definedName name="_xlnm._FilterDatabase" localSheetId="5" hidden="1">'모터 9개'!$A$1:$AT$93</definedName>
    <definedName name="_xlnm._FilterDatabase" localSheetId="7" hidden="1">'필터 258개'!$A$1:$AT$1081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6" i="18" l="1"/>
  <c r="I57" i="18"/>
  <c r="I58" i="18"/>
  <c r="I59" i="18"/>
  <c r="I60" i="18"/>
  <c r="I61" i="18"/>
  <c r="I62" i="18"/>
  <c r="I63" i="18"/>
  <c r="I64" i="18"/>
  <c r="I65" i="18"/>
  <c r="I66" i="18"/>
  <c r="I67" i="18"/>
  <c r="I68" i="18"/>
  <c r="I69" i="18"/>
  <c r="I55" i="18"/>
  <c r="H56" i="18"/>
  <c r="H57" i="18"/>
  <c r="H58" i="18"/>
  <c r="H59" i="18"/>
  <c r="H60" i="18"/>
  <c r="H61" i="18"/>
  <c r="H62" i="18"/>
  <c r="H63" i="18"/>
  <c r="H64" i="18"/>
  <c r="H65" i="18"/>
  <c r="H66" i="18"/>
  <c r="H67" i="18"/>
  <c r="H68" i="18"/>
  <c r="H69" i="18"/>
  <c r="H55" i="18"/>
  <c r="G56" i="18"/>
  <c r="G57" i="18"/>
  <c r="G58" i="18"/>
  <c r="G59" i="18"/>
  <c r="G60" i="18"/>
  <c r="G61" i="18"/>
  <c r="G62" i="18"/>
  <c r="G63" i="18"/>
  <c r="G64" i="18"/>
  <c r="G65" i="18"/>
  <c r="G66" i="18"/>
  <c r="G67" i="18"/>
  <c r="G68" i="18"/>
  <c r="G69" i="18"/>
  <c r="G55" i="18"/>
  <c r="F56" i="18"/>
  <c r="F57" i="18"/>
  <c r="F58" i="18"/>
  <c r="F59" i="18"/>
  <c r="F60" i="18"/>
  <c r="F61" i="18"/>
  <c r="F62" i="18"/>
  <c r="F63" i="18"/>
  <c r="F64" i="18"/>
  <c r="F65" i="18"/>
  <c r="F66" i="18"/>
  <c r="F67" i="18"/>
  <c r="F68" i="18"/>
  <c r="F69" i="18"/>
  <c r="F55" i="18"/>
  <c r="E56" i="18"/>
  <c r="E57" i="18"/>
  <c r="E58" i="18"/>
  <c r="E59" i="18"/>
  <c r="E60" i="18"/>
  <c r="E61" i="18"/>
  <c r="E62" i="18"/>
  <c r="E63" i="18"/>
  <c r="E64" i="18"/>
  <c r="E65" i="18"/>
  <c r="E66" i="18"/>
  <c r="E67" i="18"/>
  <c r="E68" i="18"/>
  <c r="E69" i="18"/>
  <c r="E55" i="18"/>
  <c r="D55" i="18"/>
  <c r="D56" i="18"/>
  <c r="D57" i="18"/>
  <c r="D58" i="18"/>
  <c r="D59" i="18"/>
  <c r="D60" i="18"/>
  <c r="D61" i="18"/>
  <c r="D62" i="18"/>
  <c r="D63" i="18"/>
  <c r="D64" i="18"/>
  <c r="D65" i="18"/>
  <c r="D66" i="18"/>
  <c r="D67" i="18"/>
  <c r="D68" i="18"/>
  <c r="D69" i="18"/>
  <c r="M37" i="18"/>
  <c r="M38" i="18"/>
  <c r="M39" i="18"/>
  <c r="M40" i="18"/>
  <c r="M41" i="18"/>
  <c r="M42" i="18"/>
  <c r="M43" i="18"/>
  <c r="M44" i="18"/>
  <c r="M45" i="18"/>
  <c r="M46" i="18"/>
  <c r="M36" i="18"/>
  <c r="L37" i="18"/>
  <c r="L38" i="18"/>
  <c r="L39" i="18"/>
  <c r="L40" i="18"/>
  <c r="L41" i="18"/>
  <c r="L42" i="18"/>
  <c r="L43" i="18"/>
  <c r="L44" i="18"/>
  <c r="L45" i="18"/>
  <c r="L46" i="18"/>
  <c r="L36" i="18"/>
  <c r="K37" i="18"/>
  <c r="K38" i="18"/>
  <c r="K39" i="18"/>
  <c r="K40" i="18"/>
  <c r="K41" i="18"/>
  <c r="K42" i="18"/>
  <c r="K43" i="18"/>
  <c r="K44" i="18"/>
  <c r="K45" i="18"/>
  <c r="K46" i="18"/>
  <c r="K36" i="18"/>
  <c r="J37" i="18"/>
  <c r="J38" i="18"/>
  <c r="J39" i="18"/>
  <c r="J40" i="18"/>
  <c r="J41" i="18"/>
  <c r="J42" i="18"/>
  <c r="J43" i="18"/>
  <c r="J44" i="18"/>
  <c r="J45" i="18"/>
  <c r="J46" i="18"/>
  <c r="J36" i="18"/>
  <c r="I37" i="18"/>
  <c r="I38" i="18"/>
  <c r="I39" i="18"/>
  <c r="I40" i="18"/>
  <c r="I41" i="18"/>
  <c r="I42" i="18"/>
  <c r="I43" i="18"/>
  <c r="I44" i="18"/>
  <c r="I45" i="18"/>
  <c r="I46" i="18"/>
  <c r="I36" i="18"/>
  <c r="H37" i="18"/>
  <c r="H38" i="18"/>
  <c r="H39" i="18"/>
  <c r="H40" i="18"/>
  <c r="H41" i="18"/>
  <c r="H42" i="18"/>
  <c r="H43" i="18"/>
  <c r="H44" i="18"/>
  <c r="H45" i="18"/>
  <c r="H46" i="18"/>
  <c r="H36" i="18"/>
  <c r="G37" i="18"/>
  <c r="G38" i="18"/>
  <c r="G39" i="18"/>
  <c r="G40" i="18"/>
  <c r="G41" i="18"/>
  <c r="G42" i="18"/>
  <c r="G43" i="18"/>
  <c r="G44" i="18"/>
  <c r="G45" i="18"/>
  <c r="G46" i="18"/>
  <c r="G36" i="18"/>
  <c r="F37" i="18"/>
  <c r="F38" i="18"/>
  <c r="F39" i="18"/>
  <c r="F40" i="18"/>
  <c r="F41" i="18"/>
  <c r="F42" i="18"/>
  <c r="F43" i="18"/>
  <c r="F44" i="18"/>
  <c r="F45" i="18"/>
  <c r="F46" i="18"/>
  <c r="F36" i="18"/>
  <c r="D36" i="18"/>
  <c r="D37" i="18"/>
  <c r="D38" i="18"/>
  <c r="D39" i="18"/>
  <c r="D40" i="18"/>
  <c r="D41" i="18"/>
  <c r="D42" i="18"/>
  <c r="D43" i="18"/>
  <c r="D44" i="18"/>
  <c r="D45" i="18"/>
  <c r="D46" i="18"/>
  <c r="E37" i="18"/>
  <c r="E38" i="18"/>
  <c r="E39" i="18"/>
  <c r="E40" i="18"/>
  <c r="E41" i="18"/>
  <c r="E42" i="18"/>
  <c r="E43" i="18"/>
  <c r="E44" i="18"/>
  <c r="E45" i="18"/>
  <c r="E46" i="18"/>
  <c r="E36" i="18"/>
  <c r="I3" i="18"/>
  <c r="I4" i="18"/>
  <c r="I5" i="18"/>
  <c r="I6" i="18"/>
  <c r="I7" i="18"/>
  <c r="I8" i="18"/>
  <c r="I9" i="18"/>
  <c r="I10" i="18"/>
  <c r="I11" i="18"/>
  <c r="I12" i="18"/>
  <c r="I13" i="18"/>
  <c r="I14" i="18"/>
  <c r="I15" i="18"/>
  <c r="I16" i="18"/>
  <c r="I17" i="18"/>
  <c r="I18" i="18"/>
  <c r="I19" i="18"/>
  <c r="I20" i="18"/>
  <c r="I21" i="18"/>
  <c r="I22" i="18"/>
  <c r="I23" i="18"/>
  <c r="I24" i="18"/>
  <c r="I25" i="18"/>
  <c r="H3" i="18"/>
  <c r="H4" i="18"/>
  <c r="H5" i="18"/>
  <c r="H6" i="18"/>
  <c r="H7" i="18"/>
  <c r="H8" i="18"/>
  <c r="H9" i="18"/>
  <c r="H10" i="18"/>
  <c r="H11" i="18"/>
  <c r="H12" i="18"/>
  <c r="H13" i="18"/>
  <c r="H14" i="18"/>
  <c r="H15" i="18"/>
  <c r="H16" i="18"/>
  <c r="H17" i="18"/>
  <c r="H18" i="18"/>
  <c r="H19" i="18"/>
  <c r="H20" i="18"/>
  <c r="H21" i="18"/>
  <c r="H22" i="18"/>
  <c r="H23" i="18"/>
  <c r="H24" i="18"/>
  <c r="H25" i="18"/>
  <c r="I2" i="18"/>
  <c r="H2" i="18"/>
  <c r="G2" i="18"/>
  <c r="G3" i="18"/>
  <c r="G4" i="18"/>
  <c r="G5" i="18"/>
  <c r="G6" i="18"/>
  <c r="G7" i="18"/>
  <c r="G8" i="18"/>
  <c r="G9" i="18"/>
  <c r="G10" i="18"/>
  <c r="G11" i="18"/>
  <c r="G12" i="18"/>
  <c r="G13" i="18"/>
  <c r="G14" i="18"/>
  <c r="G15" i="18"/>
  <c r="G16" i="18"/>
  <c r="G17" i="18"/>
  <c r="G18" i="18"/>
  <c r="G19" i="18"/>
  <c r="G20" i="18"/>
  <c r="G21" i="18"/>
  <c r="G22" i="18"/>
  <c r="G23" i="18"/>
  <c r="G24" i="18"/>
  <c r="G25" i="18"/>
  <c r="F3" i="18"/>
  <c r="F4" i="18"/>
  <c r="F5" i="18"/>
  <c r="F6" i="18"/>
  <c r="F7" i="18"/>
  <c r="F8" i="18"/>
  <c r="F9" i="18"/>
  <c r="F10" i="18"/>
  <c r="F11" i="18"/>
  <c r="F12" i="18"/>
  <c r="F13" i="18"/>
  <c r="F14" i="18"/>
  <c r="F15" i="18"/>
  <c r="F16" i="18"/>
  <c r="F17" i="18"/>
  <c r="F18" i="18"/>
  <c r="F19" i="18"/>
  <c r="F20" i="18"/>
  <c r="F21" i="18"/>
  <c r="F22" i="18"/>
  <c r="F23" i="18"/>
  <c r="F24" i="18"/>
  <c r="F25" i="18"/>
  <c r="F2" i="18"/>
  <c r="E3" i="18"/>
  <c r="E4" i="18"/>
  <c r="E5" i="18"/>
  <c r="E6" i="18"/>
  <c r="E7" i="18"/>
  <c r="E8" i="18"/>
  <c r="E9" i="18"/>
  <c r="E10" i="18"/>
  <c r="E11" i="18"/>
  <c r="E12" i="18"/>
  <c r="E13" i="18"/>
  <c r="E14" i="18"/>
  <c r="E15" i="18"/>
  <c r="E16" i="18"/>
  <c r="E17" i="18"/>
  <c r="E18" i="18"/>
  <c r="E19" i="18"/>
  <c r="E20" i="18"/>
  <c r="E21" i="18"/>
  <c r="E22" i="18"/>
  <c r="E23" i="18"/>
  <c r="E24" i="18"/>
  <c r="E25" i="18"/>
  <c r="E2" i="18"/>
  <c r="D3" i="18"/>
  <c r="D4" i="18"/>
  <c r="D5" i="18"/>
  <c r="D6" i="18"/>
  <c r="D7" i="18"/>
  <c r="D8" i="18"/>
  <c r="D9" i="18"/>
  <c r="D10" i="18"/>
  <c r="D11" i="18"/>
  <c r="D12" i="18"/>
  <c r="D13" i="18"/>
  <c r="D14" i="18"/>
  <c r="D15" i="18"/>
  <c r="D16" i="18"/>
  <c r="D17" i="18"/>
  <c r="D18" i="18"/>
  <c r="D19" i="18"/>
  <c r="D20" i="18"/>
  <c r="D21" i="18"/>
  <c r="D22" i="18"/>
  <c r="D23" i="18"/>
  <c r="D24" i="18"/>
  <c r="D25" i="18"/>
  <c r="D2" i="18"/>
  <c r="B1" i="10"/>
  <c r="B1" i="9"/>
  <c r="B1" i="6"/>
  <c r="B1" i="7"/>
</calcChain>
</file>

<file path=xl/sharedStrings.xml><?xml version="1.0" encoding="utf-8"?>
<sst xmlns="http://schemas.openxmlformats.org/spreadsheetml/2006/main" count="54779" uniqueCount="14780">
  <si>
    <t>포스코</t>
  </si>
  <si>
    <t>특정사양품(단수)</t>
  </si>
  <si>
    <t>L</t>
  </si>
  <si>
    <t>KRW</t>
  </si>
  <si>
    <t>SET</t>
  </si>
  <si>
    <t>N</t>
  </si>
  <si>
    <t>ACTIVE</t>
  </si>
  <si>
    <t>EA</t>
  </si>
  <si>
    <t>BLANKET</t>
  </si>
  <si>
    <t>STANDARD</t>
  </si>
  <si>
    <t>Y</t>
  </si>
  <si>
    <t>NONE</t>
  </si>
  <si>
    <t>UNKNOWN</t>
  </si>
  <si>
    <t>Hydraulic &amp; Pneumatics</t>
  </si>
  <si>
    <t>전아람</t>
  </si>
  <si>
    <t>SMC</t>
  </si>
  <si>
    <t>TPC</t>
  </si>
  <si>
    <t>Pneumatic Cylinder</t>
  </si>
  <si>
    <t>https://www.smckorea.co.kr/ppis/data/catalog/CS1.pdf</t>
  </si>
  <si>
    <t>KCC</t>
  </si>
  <si>
    <t>https://www.smckorea.co.kr/</t>
  </si>
  <si>
    <t>한상수</t>
  </si>
  <si>
    <t>기계설비부 냉연기계정비2과</t>
  </si>
  <si>
    <t>김원길</t>
  </si>
  <si>
    <t>김제일</t>
  </si>
  <si>
    <t>jeilgood@posco.co.kr</t>
  </si>
  <si>
    <t>신창현</t>
  </si>
  <si>
    <t>Q2054050</t>
  </si>
  <si>
    <t>CWC(DA),SD,63Dx20Dx40ST,9.9kgf/cm2,[MGQL63-40-Z73/SMC],FOR K4C 2CAL SIDE TRIMMER,OR EQUIVALENT</t>
  </si>
  <si>
    <t>MGQL63-40-Z73</t>
  </si>
  <si>
    <t>FOR K4C 2CAL SIDE TRIMMER</t>
  </si>
  <si>
    <t>https://www.smckorea.co.kr/ppis/data/catalog/MGQ.pdf?ver=7283.1060531038265</t>
  </si>
  <si>
    <t>Pneumatic Cylinder MGQ 시리즈_20250611140047370.png</t>
  </si>
  <si>
    <t>2025-06-18 11:06:29</t>
  </si>
  <si>
    <t>이현우</t>
  </si>
  <si>
    <t>김형진</t>
  </si>
  <si>
    <t>WITH SENSOR</t>
  </si>
  <si>
    <t>(광양)기계설비부 제강기계정비과</t>
  </si>
  <si>
    <t>Q2095909</t>
  </si>
  <si>
    <t>CTC,SD,32Dx16Dx70ST,7kgf/cm2,[MHL2-32D/SMC],DOUBLE PISTON(14,16),FOR 4RH SAMPLING DEVICE</t>
  </si>
  <si>
    <t>MHL2-32D</t>
  </si>
  <si>
    <t>DOUBLE PISTON(14,16)</t>
  </si>
  <si>
    <t>FOR 4RH SAMPLING DEVICE</t>
  </si>
  <si>
    <t>https://www.smckorea.co.kr/homepage/ver3.5/product/catalogue_sub_detail.asp?no=1051#</t>
  </si>
  <si>
    <t>MHL2_20230712103351059.jpg</t>
  </si>
  <si>
    <t>2023-07-17 09:07:38</t>
  </si>
  <si>
    <t>https://www.smckorea.co.kr/homepage/ver3.5/srch/search.asp</t>
  </si>
  <si>
    <t>김충기</t>
  </si>
  <si>
    <t>이현수</t>
  </si>
  <si>
    <t>김형종</t>
  </si>
  <si>
    <t>김동환</t>
  </si>
  <si>
    <t>김영민</t>
  </si>
  <si>
    <t>박성도</t>
  </si>
  <si>
    <t>김준기</t>
  </si>
  <si>
    <t>박광웅</t>
  </si>
  <si>
    <t>남태현</t>
  </si>
  <si>
    <t>이일하</t>
  </si>
  <si>
    <t>정기철</t>
  </si>
  <si>
    <t>이갑출</t>
  </si>
  <si>
    <t>박원준</t>
  </si>
  <si>
    <t>강신호</t>
  </si>
  <si>
    <t>김윤기</t>
  </si>
  <si>
    <t>http://www.smckorea.co.kr/ppis/data/catalog/CG1-Z.pdf</t>
  </si>
  <si>
    <t>김재석</t>
  </si>
  <si>
    <t>노석길</t>
  </si>
  <si>
    <t>이정현</t>
  </si>
  <si>
    <t>김창현</t>
  </si>
  <si>
    <t>2021-02-03 13:02:56</t>
  </si>
  <si>
    <t>최창규</t>
  </si>
  <si>
    <t>최육기</t>
  </si>
  <si>
    <t>성홍기</t>
  </si>
  <si>
    <t>2024-04-19 09:04:43</t>
  </si>
  <si>
    <t>이정욱</t>
  </si>
  <si>
    <t>안희동</t>
  </si>
  <si>
    <t>양병춘</t>
  </si>
  <si>
    <t>이병훈</t>
  </si>
  <si>
    <t>(포항)압연정비부 냉연정비2과</t>
  </si>
  <si>
    <t>김현중</t>
  </si>
  <si>
    <t>이현식</t>
  </si>
  <si>
    <t>김성겸</t>
  </si>
  <si>
    <t>김성표</t>
  </si>
  <si>
    <t>서대봉</t>
  </si>
  <si>
    <t>http://www.smckorea.co.kr/ppis/data/catalog/CM2-Z.pdf</t>
  </si>
  <si>
    <t>박무균</t>
  </si>
  <si>
    <t>Q2213642</t>
  </si>
  <si>
    <t>CWC(DA),40Dx16Dx200ST,10kgf/cm2,[CDA2T40-200-Y59BL/SMC],FOR 3CAL BAND CUTTER WINDER</t>
  </si>
  <si>
    <t>CDA2T40-200-Y59BL</t>
  </si>
  <si>
    <t>FOR 3CAL BAND CUTTER WINDER</t>
  </si>
  <si>
    <t>포)압정 2냉연 3CAL기계 CDA2T40-200-Y59BL(1)_1239869833189.jpg</t>
  </si>
  <si>
    <t>20220419080745739.jpg</t>
  </si>
  <si>
    <t>2022-04-20 09:04:48</t>
  </si>
  <si>
    <t>홍경진</t>
  </si>
  <si>
    <t>POSCO MOBILITY</t>
  </si>
  <si>
    <t>포스코퓨처엠</t>
  </si>
  <si>
    <t>any0406@posco.co.kr</t>
  </si>
  <si>
    <t>http://www.smckorea.co.kr/ppis/data/catalog/C96.pdf</t>
  </si>
  <si>
    <t>(포항)제강부 연주정비과</t>
  </si>
  <si>
    <t>(포항)제강부 제강정비과</t>
  </si>
  <si>
    <t>(포항)전기강판부 전기강판정비과</t>
  </si>
  <si>
    <t>유상용</t>
  </si>
  <si>
    <t>hammer@posco.co.kr</t>
  </si>
  <si>
    <t>r2dhlove@posco.co.kr</t>
  </si>
  <si>
    <t>iklim00@posco.co.kr</t>
  </si>
  <si>
    <t>ykchoi@posco.co.kr</t>
  </si>
  <si>
    <t>박형준</t>
  </si>
  <si>
    <t>phj4892@posco.co.kr</t>
  </si>
  <si>
    <t>sdbark@posco.co.kr</t>
  </si>
  <si>
    <t>http://www.smckorea.co.kr/ppis/data/catalog/CS1.pdf</t>
  </si>
  <si>
    <t>naju68@posco.co.kr</t>
  </si>
  <si>
    <t>Q4037566</t>
  </si>
  <si>
    <t>CWC(DA),TD,140Dx35Dx710ST,10kgf/cm2,[CDS1TN140-KRT04KO-710-XC14 +D-A54Z(2EA)+BT-12(2EA)/SMC],FOR 3CC SAMPLING DEVICE TILTING AIR CYLINDER,OR EQUIVALENT</t>
  </si>
  <si>
    <t>CDS1TN140-KRT04KO-710-XC14 +D-A54Z(2EA)+BT-12(2EA)</t>
  </si>
  <si>
    <t>FOR 3CC SAMPLING DEVICE TILTING AIR CYLINDER</t>
  </si>
  <si>
    <t>http://www.smckorea.co.kr/homepage/ver3.5/product/catalogue_sub_detail.asp?no=914#</t>
  </si>
  <si>
    <t>20250413093657448.jpg</t>
  </si>
  <si>
    <t>2025-04-17 08:04:00</t>
  </si>
  <si>
    <t>posshk@posco.co.kr</t>
  </si>
  <si>
    <t>전주문</t>
  </si>
  <si>
    <t>arbr5@poscomobility.com</t>
  </si>
  <si>
    <t>정석운</t>
  </si>
  <si>
    <t>sambar@posco.co.kr</t>
  </si>
  <si>
    <t>sk_kim@posco.co.kr</t>
  </si>
  <si>
    <t>신용규</t>
  </si>
  <si>
    <t>linkman7@posco.co.kr</t>
  </si>
  <si>
    <t>이일환</t>
  </si>
  <si>
    <t>FOR PUNCH PRESS</t>
  </si>
  <si>
    <t>wjpark@posco.co.kr</t>
  </si>
  <si>
    <t>김종훈</t>
  </si>
  <si>
    <t>kjhoon81@posco.co.kr</t>
  </si>
  <si>
    <t>김현호</t>
  </si>
  <si>
    <t>lee388@posco.co.kr</t>
  </si>
  <si>
    <t>sk2580@posco.co.kr</t>
  </si>
  <si>
    <t>장호선</t>
  </si>
  <si>
    <t>hs6011@posco.co.kr</t>
  </si>
  <si>
    <t>권인순</t>
  </si>
  <si>
    <t>khh8352@posco.co.kr</t>
  </si>
  <si>
    <t>dudals9563@posco.co.kr</t>
  </si>
  <si>
    <t>Mech. Maint. Team</t>
  </si>
  <si>
    <t>배문식</t>
  </si>
  <si>
    <t>bmsik@poscomobility.com</t>
  </si>
  <si>
    <t>박정규</t>
  </si>
  <si>
    <t>https://www.smckorea.co.kr/homepage/ver3.5/product/catalogue_sub_detail.asp?no=954</t>
  </si>
  <si>
    <t>하성원</t>
  </si>
  <si>
    <t>hagry2@posco.co.kr</t>
  </si>
  <si>
    <t>Shivraj Pandram</t>
  </si>
  <si>
    <t>shivraj@posco.net</t>
  </si>
  <si>
    <t>김경형</t>
  </si>
  <si>
    <t>freezeblood@posco.co.kr</t>
  </si>
  <si>
    <t>황해</t>
  </si>
  <si>
    <t>yellowsea@posco.co.kr</t>
  </si>
  <si>
    <t>http://www.smckorea.co.kr/esales/data/sangpum/catalog/CQ2-Z.pdf</t>
  </si>
  <si>
    <t>정민성</t>
  </si>
  <si>
    <t>vevess1023@posco.co.kr</t>
  </si>
  <si>
    <t>민병찬</t>
  </si>
  <si>
    <t>clazziquai@posco.co.kr</t>
  </si>
  <si>
    <t>2021-01-14 14:01:51</t>
  </si>
  <si>
    <t>김경오</t>
  </si>
  <si>
    <t>kko1990@posco.co.kr</t>
  </si>
  <si>
    <t>김응백</t>
  </si>
  <si>
    <t>kebe12@posco.co.kr</t>
  </si>
  <si>
    <t>이규연</t>
  </si>
  <si>
    <t>lkydh@posco.co.kr</t>
  </si>
  <si>
    <t xml:space="preserve">https://www.smckorea.co.kr/ppis/data/catalog/CA2-Z.pdf </t>
  </si>
  <si>
    <t>kch0306@posco.co.kr</t>
  </si>
  <si>
    <t>신석현</t>
  </si>
  <si>
    <t>sh01293@posco.co.kr</t>
  </si>
  <si>
    <t>이규문</t>
  </si>
  <si>
    <t>김황식</t>
  </si>
  <si>
    <t>afang@posco.co.kr</t>
  </si>
  <si>
    <t>신종인</t>
  </si>
  <si>
    <t>김현우</t>
  </si>
  <si>
    <t>김대철</t>
  </si>
  <si>
    <t>kim.7@posco.co.kr</t>
  </si>
  <si>
    <t>Q4269320</t>
  </si>
  <si>
    <t>CWC(DA),CA,160Dx40Dx900ST,10kgf/cm2,[CS1CN160-900-CJQD1890/SMC],FOR 2SMP KR IMPELLER SLAG CUTING CYLINDER,OR EQUIVALENT</t>
  </si>
  <si>
    <t>CS1CN160-900-CJQD1890</t>
  </si>
  <si>
    <t>FOR 2SMP KR IMPELLER SLAG CUTING CYLINDER</t>
  </si>
  <si>
    <t>http://www.smckorea.co.kr/posco/Q1890D_AP.tif</t>
  </si>
  <si>
    <t>2hyunwoo@posco.co.kr</t>
  </si>
  <si>
    <t>Q4280848</t>
  </si>
  <si>
    <t>CWC(DA),FA,160Dx40Dx80ST,10kgf/cm2,[C95S F160-80/SMC],FOR 3APL RINSE WRRINGER ROLL,OR EQUIVALENT</t>
  </si>
  <si>
    <t>C95S F160-80</t>
  </si>
  <si>
    <t>FOR 3APL RINSE WRRINGER ROLL</t>
  </si>
  <si>
    <t>http://www.smckorea.co.kr/ppis/data/catalog/C95_large.pdf</t>
  </si>
  <si>
    <t>jw4102@posco.co.kr</t>
  </si>
  <si>
    <t>AUTO S/W D-A93L</t>
  </si>
  <si>
    <t>Q4284408</t>
  </si>
  <si>
    <t>CWC(DA),TE,32Dx12Dx30ST,10kgf/cm2,[DWG NO:CDM2HU32-30Z-A93L/SMC],AUTO S/W D-A93L,FOR 2CAL WELDER UPPER &amp; LOWER DRESS SWING</t>
  </si>
  <si>
    <t>DWG NO:CDM2HU32-30Z-A93L</t>
  </si>
  <si>
    <t>FOR 2CAL WELDER UPPER &amp; LOWER DRESS SWING</t>
  </si>
  <si>
    <t>http://www.smckorea.co.kr/posco/CDM2HU32-30-A93LS.tif</t>
  </si>
  <si>
    <t>kmlee0907@posco.co.kr</t>
  </si>
  <si>
    <t>음극소재사업소</t>
  </si>
  <si>
    <t>Umesh Warekar</t>
  </si>
  <si>
    <t>Q4317761</t>
  </si>
  <si>
    <t>TA,125Dx0Dx180ST,1.57kgf/cm2,[CDS2T125-180-Y7BWSDPC/SMC]</t>
  </si>
  <si>
    <t>CDS2T125-180-Y7BWSDPC</t>
  </si>
  <si>
    <t>page2_20160829133828974.bmp</t>
  </si>
  <si>
    <t>th_20230613130256648.jpg</t>
  </si>
  <si>
    <t>2023-06-26 16:06:24</t>
  </si>
  <si>
    <t>최용석</t>
  </si>
  <si>
    <t>choiyongsuk@posco.co.kr</t>
  </si>
  <si>
    <t>이태호</t>
  </si>
  <si>
    <t>xogh2518@posco.co.kr</t>
  </si>
  <si>
    <t>김범준</t>
  </si>
  <si>
    <t>kimbjj@posco.co.kr</t>
  </si>
  <si>
    <t>김원석</t>
  </si>
  <si>
    <t>CGL Mech. Maint.</t>
  </si>
  <si>
    <t>설비자재구매실 자재구매그룹 광양자재지원섹션</t>
  </si>
  <si>
    <t>김성엽</t>
  </si>
  <si>
    <t>(포항)후판부 후판정비섹션</t>
  </si>
  <si>
    <t>조규호</t>
  </si>
  <si>
    <t>kyuho85@posco.co.kr</t>
  </si>
  <si>
    <t>(광양)품질기술부 재질시험섹션</t>
  </si>
  <si>
    <t>(포항)화성부 화성정비섹션</t>
  </si>
  <si>
    <t>최춘식</t>
  </si>
  <si>
    <t>김규태</t>
  </si>
  <si>
    <t>kjh3643@posco.co.kr</t>
  </si>
  <si>
    <t>(포항)품질기술부 재질시험섹션</t>
  </si>
  <si>
    <t>Q4357705</t>
  </si>
  <si>
    <t>CWC(DA),FG,125Dx20ST,10kgf/cm2,[CDQ2B125-20DCZ-M9BALS/SMC],FOR 2PL PICO3 QUICK MASK AIR CYLIDER</t>
  </si>
  <si>
    <t>CDQ2B125-20DCZ-M9BALS</t>
  </si>
  <si>
    <t>For 2PL PICO3 Quick Mask Air Cylider</t>
  </si>
  <si>
    <t>물품등록의뢰서 - PICO3 Quick Mask Air Cylider_20170504114136357.xlsx</t>
  </si>
  <si>
    <t>캡처PN111121_20210721154347942.jpg</t>
  </si>
  <si>
    <t>2021-07-22 14:07:16</t>
  </si>
  <si>
    <t>향후 신청 시에는 특정 사 URL를 연결하시길 바랍니다. 감사합니다.(2017.5.12)</t>
  </si>
  <si>
    <t>leejh90@posco.co.kr</t>
  </si>
  <si>
    <t>김대환</t>
  </si>
  <si>
    <t>police907@posco.co.kr</t>
  </si>
  <si>
    <t>Q4361361</t>
  </si>
  <si>
    <t>CWC(DA),TC,180Dx45Dx800ST,10kgf/cm2,[CS1T180-800-XC86B/SMC],FOR SOFT COKE HOPPER GATE CYLINDER,OR EQUIVALENT</t>
  </si>
  <si>
    <t>CS1T180-800-XC86B</t>
  </si>
  <si>
    <t>FOR SOFT COKE HOPPER GATE CYLINDER</t>
  </si>
  <si>
    <t>CS1 Series_20210126140007236.jpg</t>
  </si>
  <si>
    <t>향후 신청 시에는 해당 카다로그를 저장(해당사양 마킹)하여 'Model-1 첨부파일 '에  연결하시길 바랍니다. 감사합니다.(2017.6.1)</t>
  </si>
  <si>
    <t>bh712@posco.co.kr</t>
  </si>
  <si>
    <t>AIR CYLINDER FOR BANDING MACHINE</t>
  </si>
  <si>
    <t xml:space="preserve">When you apply for the future, please save the catalog (mark the corresponding specification) and connect to 'Model-1 Attachment'. Thank you._x000D_
향후 신청 시에는 해당 카다로그를 저장(해당사양 마킹)하여 'Model-1 첨부파일 '에  연결하시길 바랍니다. 감사합니다.(2017.8.4)_x000D_
_x000D_
</t>
  </si>
  <si>
    <t>Q4371330</t>
  </si>
  <si>
    <t>50D,10kgf/cm2,[CDQ2B50-55Z-DCN446GN/SMC],AIR CYLINDER FOR BANDING MACHINE</t>
  </si>
  <si>
    <t>CDQ2B50-55Z-DCN446GN</t>
  </si>
  <si>
    <t>삼정페이스게이트 실린더_20231213114156010.png</t>
  </si>
  <si>
    <t>2023-12-18 15:12:56</t>
  </si>
  <si>
    <t>http://www.smcpneumatics.com/pdfs/smc/70ACS1.pdf</t>
  </si>
  <si>
    <t>이명준</t>
  </si>
  <si>
    <t>(포항)압연설비부 전기강판정비섹션</t>
  </si>
  <si>
    <t>(포항)압연설비부 열연정비섹션</t>
  </si>
  <si>
    <t>(포항)압연설비부 STS압연정비섹션</t>
  </si>
  <si>
    <t>(포항)압연설비부 후판정비섹션</t>
  </si>
  <si>
    <t>(광양)압연설비부 도금정비1섹션</t>
  </si>
  <si>
    <t>(포항)압연설비부 선재정비섹션</t>
  </si>
  <si>
    <t>(포항)압연설비부 냉연정비2섹션</t>
  </si>
  <si>
    <t>김지환</t>
  </si>
  <si>
    <t>mm13551@poscofuturem.com</t>
  </si>
  <si>
    <t>황 성욱</t>
  </si>
  <si>
    <t>hwangsw@poscofuturem.com</t>
  </si>
  <si>
    <t>왕우현</t>
  </si>
  <si>
    <t>dngus0503@posco.co.kr</t>
  </si>
  <si>
    <t>김현승</t>
  </si>
  <si>
    <t>geegee2310@posco.co.kr</t>
  </si>
  <si>
    <t>김태원</t>
  </si>
  <si>
    <t>임정우</t>
  </si>
  <si>
    <t>limjeongwoo@posco.co.kr</t>
  </si>
  <si>
    <t>박용봉</t>
  </si>
  <si>
    <t>백종수</t>
  </si>
  <si>
    <t>jongsu97@posco.co.kr</t>
  </si>
  <si>
    <t>bearer601n@posco.co.kr</t>
  </si>
  <si>
    <t>김 지환</t>
  </si>
  <si>
    <t>Q4459460</t>
  </si>
  <si>
    <t>CWC(DA),FA,200Dx50Dx125ST,[CS1FN200-KRT04JO-125-XC6/SMC],FOR K1CGL WATER QUENCH,OR EQUIVALENT</t>
  </si>
  <si>
    <t>CS1FN200-KRT04JO-125-XC6</t>
  </si>
  <si>
    <t>FOR K1CGL WATER QUENCH</t>
  </si>
  <si>
    <t>1CGL WATER 퀜치 에어실린더 사진_20220107145920443.png</t>
  </si>
  <si>
    <t>CS1-1_20220107145920457.jpg</t>
  </si>
  <si>
    <t>2022-01-17 08:01:55</t>
  </si>
  <si>
    <t>음극재정비섹션</t>
  </si>
  <si>
    <t>곽진섭</t>
  </si>
  <si>
    <t>ggwakjs@posco.co.kr</t>
  </si>
  <si>
    <t>(포항)제강설비부 연주정비섹션</t>
  </si>
  <si>
    <t>(포항)제강설비부 STS연주정비섹션</t>
  </si>
  <si>
    <t>(포항)제강설비부 제강정비섹션</t>
  </si>
  <si>
    <t>(포항)제선설비부 2FINEX정비섹션</t>
  </si>
  <si>
    <t>김여솔</t>
  </si>
  <si>
    <t>ys90@posco.co.kr</t>
  </si>
  <si>
    <t>(포항)제강설비부 설비안전섹션</t>
  </si>
  <si>
    <t>차후 재점검</t>
  </si>
  <si>
    <t>불가피 품목</t>
  </si>
  <si>
    <t>홍준모</t>
  </si>
  <si>
    <t>junmo01@posco.co.kr</t>
  </si>
  <si>
    <t>cypher0615@posco.co.kr</t>
  </si>
  <si>
    <t>Satyanarayanan Polayya Dodla</t>
  </si>
  <si>
    <t>Production_Division</t>
  </si>
  <si>
    <t>satyanarayanad@posco.net</t>
  </si>
  <si>
    <t>https://www.smckorea.co.kr/ppis/data/catalog/CA2-Z.pdf</t>
  </si>
  <si>
    <t>http://www.smckorea.co.kr/ppis/data/catalog/CQ-Z.pdf</t>
  </si>
  <si>
    <t>2023-07-21 08:07:08</t>
  </si>
  <si>
    <t>Q4501288</t>
  </si>
  <si>
    <t>CWC(DA),160Dx100ST,[CS1CN160-100-CJAD0046/SMC],FOR 1CGL #5,#6,#7 TENSION BRIDLE SNUBBER ROLL,OR EQUIVALENT</t>
  </si>
  <si>
    <t>CS1CN160-100-CJAD0046</t>
  </si>
  <si>
    <t xml:space="preserve">FOR 1CGL #5,#6,#7 TENSION BRIDLE SNUBBER ROLL </t>
  </si>
  <si>
    <t>54TB_Roll_Snubber_R_sk2580_20201022_214208_20220114110512061.jpg</t>
  </si>
  <si>
    <t>2022-01-17 08:01:57</t>
  </si>
  <si>
    <t xml:space="preserve"> 기 설치품의 사양 정보로 E-Catalog에 등록 하였으나 복수 참여 업체가 없어 자재 수급에 긴급성을 고려하여 기 설치품으로 물품 등록 하게 되었음. _x000D_
</t>
  </si>
  <si>
    <t>문승준</t>
  </si>
  <si>
    <t>m130508@posco.co.kr</t>
  </si>
  <si>
    <t>이 승권</t>
  </si>
  <si>
    <t>tmdrnjs0809@poscofuturem.com</t>
  </si>
  <si>
    <t>Q4504927</t>
  </si>
  <si>
    <t>CWC(DA),TC,40Dx16Dx125ST,10kgf/cm2,[CDA2T40-125Z-NW-M9BW/SMC]</t>
  </si>
  <si>
    <t>CDA2T40-125Z-NW-M9BW</t>
  </si>
  <si>
    <t>CDA2T40-T125Z_20200402103822497.png</t>
  </si>
  <si>
    <t>1_20241014165711546.JPG</t>
  </si>
  <si>
    <t>2024-10-16 10:10:40</t>
  </si>
  <si>
    <t>2021-01-04 09:01:07</t>
  </si>
  <si>
    <t>kok2213@posco.co.kr</t>
  </si>
  <si>
    <t>Q4507377</t>
  </si>
  <si>
    <t>CWC(DA),FA,50Dx20Dx10ST,10kgf/cm2,[CDQMB50-10-A72/SMC],FOR 2ZRM ROLL CHANGE CAR LIFTER ROLL SHIFT CYLINDER,OR EQUIVALENT</t>
  </si>
  <si>
    <t>CDQMB50-10-A72</t>
  </si>
  <si>
    <t>FOR 2ZRM ROLL CHANGE CAR LIFTER ROLL SHIFT CYLINDER</t>
  </si>
  <si>
    <t xml:space="preserve">http://www.smckorea.co.kr/ppis/data/catalog/CQM.pdf </t>
  </si>
  <si>
    <t>CDQMB50-10-A72-1_20210104071834268.png</t>
  </si>
  <si>
    <t>Q4508586</t>
  </si>
  <si>
    <t>CWC(DA),[CDM2E32-200Z-NW-A93L/SMC],4CC MARKING</t>
  </si>
  <si>
    <t>CDM2E32-200Z-NW-A93L</t>
  </si>
  <si>
    <t xml:space="preserve">4CC MARKING </t>
  </si>
  <si>
    <t>Detector Cylinder_20210112131056311.jpg</t>
  </si>
  <si>
    <t>신동환</t>
  </si>
  <si>
    <t>mils0818@posco.co.kr</t>
  </si>
  <si>
    <t>내화물정비섹션</t>
  </si>
  <si>
    <t>Q4510146</t>
  </si>
  <si>
    <t>16Dx10Dx100ST,[MGPL16-100Z/SMC],MGP COMPACT GUIDE CYLINDER,FOR CTL-640 MACHINE STACKER UNIT</t>
  </si>
  <si>
    <t>MGPL16-100Z</t>
  </si>
  <si>
    <t xml:space="preserve">MGP COMPACT GUIDE CYLINDER </t>
  </si>
  <si>
    <t>FOR CTL-640 MACHINE STACKER UNIT</t>
  </si>
  <si>
    <t>https://www.smcpneumatics.com/MGPL16-100.html</t>
  </si>
  <si>
    <t>MGPL16-100_20250327163647908.jpg</t>
  </si>
  <si>
    <t>2025-03-27 17:03:34</t>
  </si>
  <si>
    <t>Q4510521</t>
  </si>
  <si>
    <t>CWC(DA),CA,80Dx25Dx100ST,10kgf/cm2,[CDQ2B80-100DMZ-XA18/SMC]</t>
  </si>
  <si>
    <t>CDQ2B80-100DMZ-XA18</t>
  </si>
  <si>
    <t>CDQ2B63-100DMZ-XA18_20210125120819059.png</t>
  </si>
  <si>
    <t>2021-01-27 14:01:45</t>
  </si>
  <si>
    <t>Q4511190</t>
  </si>
  <si>
    <t>CWC(DA),TC,100Dx30Dx125ST,[CDA2T100-KRT09KO-125Z-W-A96L/SMC],FOR 2PL MAIN MARKING LINK CYLINDER,OR EQUIVALENT</t>
  </si>
  <si>
    <t>CDA2T100-KRT09KO-125Z-W-A96L</t>
  </si>
  <si>
    <t>FOR 2PL MAIN MARKING LINK CYLINDER</t>
  </si>
  <si>
    <t xml:space="preserve">http://www.smckorea.co.kr/ppis/data/catalog/CA2-Z.pdf </t>
  </si>
  <si>
    <t>CDA2T100-125KZ-W-A96L_20210115124829439.png</t>
  </si>
  <si>
    <t>2021-02-02 09:02:56</t>
  </si>
  <si>
    <t>Q4520278</t>
  </si>
  <si>
    <t>CWC(DA),CA,40Dx14Dx160ST,10kgf/cm2,[CDM2E40TF-160Z-XC6/SMC],FOR 2PL UST MEASURING WHEEL CYLINDER,OR EQUIVALENT</t>
  </si>
  <si>
    <t>CDM2E40TF-160Z-XC6</t>
  </si>
  <si>
    <t>FOR 2PL UST MEASURING WHEEL CYLINDER</t>
  </si>
  <si>
    <t>CDM2E40TF-160Z-XC6-2_20210420111902351.png</t>
  </si>
  <si>
    <t>2021-04-22 09:04:14</t>
  </si>
  <si>
    <t>Q4520279</t>
  </si>
  <si>
    <t>CWC(DA),TA,50Dx20Dx170ST,10kgf/cm2,[CDG1UN50TF-170-CJZH0846/SMC],FOR 2PL UST PROBE HEADER CYLINDER,OR EQUIVALENT</t>
  </si>
  <si>
    <t>CDG1UN50TF-170-CJZH0846</t>
  </si>
  <si>
    <t>FOR 2PL UST PROBE HEADER CYLINDER</t>
  </si>
  <si>
    <t>CDG1UN50TF-170Z-XA18C6_20240201111653820.jpg</t>
  </si>
  <si>
    <t>2024-02-23 10:02:24</t>
  </si>
  <si>
    <t>pjk2540@posco.co.kr</t>
  </si>
  <si>
    <t>장원령</t>
  </si>
  <si>
    <t>jwr0322@posco.co.kr</t>
  </si>
  <si>
    <t>박동방석</t>
  </si>
  <si>
    <t>Q4521203</t>
  </si>
  <si>
    <t>CWC(DA),CB,100Dx25Dx320ST,10kgf/cm2,[C96SD100-320C/SMC],OR EQUIVALENT</t>
  </si>
  <si>
    <t>C96SD100-320C</t>
  </si>
  <si>
    <t>C96_20210413095450859.png</t>
  </si>
  <si>
    <t>2021-04-30 08:04:16</t>
  </si>
  <si>
    <t>Q4524100</t>
  </si>
  <si>
    <t>20Dx50ST,[JCMMZ20TR-50/SMC],FOR 1WRM BTJ A-LINE G/M #1,2,3 WHEEL MEASURING CYL',OR EQUIVALENT</t>
  </si>
  <si>
    <t>JCMMZ20TR-50</t>
  </si>
  <si>
    <t>FOR 1WRM BTJ A-LINE G/M #1,2,3 WHEEL MEASURING CYL'</t>
  </si>
  <si>
    <t>http://ca01.smcworld.com/catalog/New-products/mpv/s20-237-jcm/index.html#target/page_no=4</t>
  </si>
  <si>
    <t>A동 AIR CYL_20210520075433292.jpg</t>
  </si>
  <si>
    <t>2021-05-31 10:05:01</t>
  </si>
  <si>
    <t>심규한</t>
  </si>
  <si>
    <t>kws9704@posco.co.kr</t>
  </si>
  <si>
    <t>유두현</t>
  </si>
  <si>
    <t>https://www.smckorea.co.kr</t>
  </si>
  <si>
    <t xml:space="preserve">https://www.smckorea.co.kr/ </t>
  </si>
  <si>
    <t>Q4532140</t>
  </si>
  <si>
    <t>CWC(DA),LC,50Dx20Dx50ST,10kgf/cm2,[MDBL50-50Z-A93/SMC],FOR 2ZRM W/ROLL CHANGE CAR W/ROLL PULLING CYLINDER,OR EQUIVALENT</t>
  </si>
  <si>
    <t>MDBL50-50Z-A93</t>
  </si>
  <si>
    <t>FOR 2ZRM W/ROLL CHANGE CAR W/ROLL PULLING CYLINDER</t>
  </si>
  <si>
    <t>https://www.smckorea.co.kr/ppis/data/catalog/MB-Z.pdf</t>
  </si>
  <si>
    <t>MB_MDB_Z_20210810103950238.jpg</t>
  </si>
  <si>
    <t>2021-08-12 11:08:54</t>
  </si>
  <si>
    <t>Q4532141</t>
  </si>
  <si>
    <t>CWC(DA),SD,40Dx20Dx700ST,10kgf/cm2,[MGZ40-700-A93/SMC],FOR 2ZRM WR CHANGE CAR WR PUSHER,OR EQUIVALENT</t>
  </si>
  <si>
    <t>MGZ40-700-A93</t>
  </si>
  <si>
    <t>FOR 2ZRM WR CHANGE CAR WR PUSHER</t>
  </si>
  <si>
    <t>https://www.smckorea.co.kr/ppis/data/catalog/MGZ_MGZR.pdf</t>
  </si>
  <si>
    <t>MGZ_MGZR_20210810104708767.jpg</t>
  </si>
  <si>
    <t>2021-08-12 11:08:51</t>
  </si>
  <si>
    <t>Q4532142</t>
  </si>
  <si>
    <t>CWC(DA),SD,40Dx20Dx100ST,10kgf/cm2,[MGZL40-100-A93/SMC],FOR 2ZRM WR CHANGE CAR WR SHIFT AND ESCAPER STOPPER AIR CYLINDER,OR EQUIVALENT</t>
  </si>
  <si>
    <t>MGZL40-100-A93</t>
  </si>
  <si>
    <t>FOR 2ZRM WR CHANGE CAR WR SHIFT AND ESCAPER STOPPER AIR CYLINDER</t>
  </si>
  <si>
    <t>MGZ_MGZR_20210810105127970.jpg</t>
  </si>
  <si>
    <t>2021-08-12 11:08:16</t>
  </si>
  <si>
    <t>Q4532144</t>
  </si>
  <si>
    <t>CWC(DA),CC,63Dx20Dx110ST,10kgf/cm2,[CDA2C63-110Z-A93L/SMC],FOR 2ZRM WR CHANGE CAR NEW ROLL STORAGE STOPPER,OR EQUIVALENT</t>
  </si>
  <si>
    <t>CDA2C63-110Z-A93L</t>
  </si>
  <si>
    <t>FOR 2ZRM WR CHANGE CAR NEW ROLL STORAGE STOPPER</t>
  </si>
  <si>
    <t>CA2_CDA2_Z_20210810112047681.jpg</t>
  </si>
  <si>
    <t>2021-08-12 11:08:24</t>
  </si>
  <si>
    <t>Q4532777</t>
  </si>
  <si>
    <t>CWC(DA),40Dx350ST,[CDA2G40-350Z-W-A93L/SMC],1CC BILLET MARKING MACHINE,OR EQUIVALENT</t>
  </si>
  <si>
    <t>CDA2G40-350Z-W-A93L</t>
  </si>
  <si>
    <t xml:space="preserve">1CC BILLET MARKING MACHINE </t>
  </si>
  <si>
    <t>https://kr.c.misumi-ec.com/book/SMC1_37/digitalcatalog.html?page_num=A-470</t>
  </si>
  <si>
    <t>제목 없음_20210812073033987.jpg</t>
  </si>
  <si>
    <t>김민태</t>
  </si>
  <si>
    <t>2021-08-19 08:08:17</t>
  </si>
  <si>
    <t>Q4533799</t>
  </si>
  <si>
    <t>CWC(DA),40Dx200ST,[CDG1TA40-200Z-H7BWL3/SMC],OR EQUIVALENT</t>
  </si>
  <si>
    <t>CDG1TA40-200Z-H7BWL3</t>
  </si>
  <si>
    <t>https://www.smckorea.co.kr/ppis/data/catalog/CG1-Z.pdf</t>
  </si>
  <si>
    <t>cyl123123_20210927161905877.jpg</t>
  </si>
  <si>
    <t>2021-10-05 15:10:40</t>
  </si>
  <si>
    <t>박만주</t>
  </si>
  <si>
    <t>delimj@posco.co.kr</t>
  </si>
  <si>
    <t>https://www.smckorea.co.kr/ppis/data/catalog/CM2-Z.pdf</t>
  </si>
  <si>
    <t>Q4537900</t>
  </si>
  <si>
    <t>CWC(DA),CB,125Dx36Dx100ST,10kgf/cm2,[ADQ2D125-100DCM-SCB2710/TPC]+WITH TY-12A KNUCKLE JOINT,1CC BILLET TCM CLAMPING</t>
  </si>
  <si>
    <t>ADQ2D125-100DCM-SCB2710</t>
  </si>
  <si>
    <t>WITH TY-12A KNUCKLE JOINT</t>
  </si>
  <si>
    <t xml:space="preserve">1CC BILLET TCM CLAMPING </t>
  </si>
  <si>
    <t>SCB2630 - 복사본_20211007093512136.pdf</t>
  </si>
  <si>
    <t>너클조인트-복사본_20210915165259406_20211116132317344.png</t>
  </si>
  <si>
    <t>2021-11-22 13:11:27</t>
  </si>
  <si>
    <t>Q4542398</t>
  </si>
  <si>
    <t>CWC(DA),FA,160Dx40Dx550ST,10kgf/cm2,[CS1FN160-550-CJZD0231/SMC],FOR 3SMP RH ALLOYING,OR EQUIVALENT</t>
  </si>
  <si>
    <t>CS1FN160-550-CJZD0231</t>
  </si>
  <si>
    <t>FOR 3SMP RH ALLOYING</t>
  </si>
  <si>
    <t>https://www.smckorea.co.kr/ppis/data/domyun/CJZD0231-AP.pdf</t>
  </si>
  <si>
    <t>CS1_CDS1-1_20211013144708196_20211020193000243.jpg</t>
  </si>
  <si>
    <t>2021-11-18 16:11:11</t>
  </si>
  <si>
    <t>Q4545469</t>
  </si>
  <si>
    <t>CWC(DA),FB,32Dx12Dx700ST,[RHCL32-700/SMC],OR EQUIVALENT</t>
  </si>
  <si>
    <t>RHCL32-700</t>
  </si>
  <si>
    <t>에어실린더RHC카다로그_20211209112529053_20211214152000304.pdf</t>
  </si>
  <si>
    <t>두산선반에어실린더_20211209112236126_20211214152000276.jpg</t>
  </si>
  <si>
    <t>2021-12-17 13:12:34</t>
  </si>
  <si>
    <t>양승국</t>
  </si>
  <si>
    <t>skystc1997@posco.co.kr</t>
  </si>
  <si>
    <t>Q4549165</t>
  </si>
  <si>
    <t>CWC(DA),TC,80Dx25Dx125ST,10kgf/cm2,[ACM-N-TC80-S125-J/KCC],FOR CGL SHOT BLAST DUST COLLECTOR DOUBLE DAMPER PNEUMATIC CYLINDER,OR EQUIVALENT</t>
  </si>
  <si>
    <t>ACM-N-TC80-S125-J</t>
  </si>
  <si>
    <t>FOR CGL SHOT BLAST DUST COLLECTOR DOUBLE DAMPER PNEUMATIC CYLINDER</t>
  </si>
  <si>
    <t>ACM카달로그_20220119165138547.pdf</t>
  </si>
  <si>
    <t>https://www.kccpr.com/bbs/search.php?url=https%3A%2F%2Fwww.kccpr.com%2Fbbs%2Fsearch.php&amp;stx=ACM</t>
  </si>
  <si>
    <t>ACM_20220119165114295.jpg</t>
  </si>
  <si>
    <t>2022-01-21 13:01:32</t>
  </si>
  <si>
    <t>Q4550786</t>
  </si>
  <si>
    <t>FA,50Dx20Dx425ST,10kgf/cm2,[ACM-N-FA50-S425/KCC],OR EQUIVALENT</t>
  </si>
  <si>
    <t>ACM-N-FA50-S425</t>
  </si>
  <si>
    <t>ACM_20220111135135572.pdf</t>
  </si>
  <si>
    <t>ACM_20220111135109104.jpg</t>
  </si>
  <si>
    <t>Roll_Changing_Car_Air Cylinder_20220113105455723.jpg</t>
  </si>
  <si>
    <t>2022-02-09 08:02:06</t>
  </si>
  <si>
    <t>Q4550787</t>
  </si>
  <si>
    <t>CWC(DA),LB,50Dx20Dx30ST,[SDG1LN50-S8630-30/SMC],OR EQUIVALENT</t>
  </si>
  <si>
    <t>SDG1LN50-S8630-30</t>
  </si>
  <si>
    <t>CDG1LN50_20220110085649032.jpg</t>
  </si>
  <si>
    <t>2022-02-09 08:02:32</t>
  </si>
  <si>
    <t>Q4550788</t>
  </si>
  <si>
    <t>CWC(DA),TC,40Dx16Dx575ST,[CDA2T40-575Z/SMC],OR EQUIVALENT</t>
  </si>
  <si>
    <t>CDA2T40-575Z</t>
  </si>
  <si>
    <t>https://www.smckorea.co.kr/esales/data/sangpum/catalog/CA2.pdf</t>
  </si>
  <si>
    <t>CDA2T40_20220110085838252.jpg</t>
  </si>
  <si>
    <t>2022-02-09 08:02:05</t>
  </si>
  <si>
    <t>홍성현</t>
  </si>
  <si>
    <t>(광양)제강설비부 제강정비섹션</t>
  </si>
  <si>
    <t>정재승</t>
  </si>
  <si>
    <t>shk5912@posco.co.kr</t>
  </si>
  <si>
    <t>김선재</t>
  </si>
  <si>
    <t>jae7668@posco.co.kr</t>
  </si>
  <si>
    <t>hslee940111@posco.co.kr</t>
  </si>
  <si>
    <t>Q4570987</t>
  </si>
  <si>
    <t>CWC(DA),LB,50Dx30Dx165ST,3.0kgf/cm2,[CDA2T50-KRT09TO-165Z-A54Z/SMC],FOR 4M/C AIR CYLINDER,OR EQUIVALENT</t>
  </si>
  <si>
    <t>CDA2T50-KRT09TO-165Z-A54Z</t>
  </si>
  <si>
    <t>FOR 4M/C AIR CYLINDER</t>
  </si>
  <si>
    <t>C(D)A2_Z_20220819134831908.jpg</t>
  </si>
  <si>
    <t>2022-08-25 08:08:19</t>
  </si>
  <si>
    <t>김대한</t>
  </si>
  <si>
    <t>Q4580829</t>
  </si>
  <si>
    <t>40Dx16Dx450ST,[CDA2F40-450Z-Z73/SMC],FOR P1H HSL LABEL MACHINE   FEEDER  PNEUMATIC CYLINDER,OR EQUIVALENT</t>
  </si>
  <si>
    <t>CDA2F40-450Z-Z73</t>
  </si>
  <si>
    <t>FOR P1H HSL LABEL MACHINE   FEEDER  PNEUMATIC CYLINDER</t>
  </si>
  <si>
    <t>cda2f40-450z-z73_20221123105810184.jpg</t>
  </si>
  <si>
    <t>CDA2_20221123105527252.jpg</t>
  </si>
  <si>
    <t>2022-11-25 08:11:02</t>
  </si>
  <si>
    <t>홍석현</t>
  </si>
  <si>
    <t>seokhyun10@posco.co.kr</t>
  </si>
  <si>
    <t>권우석</t>
  </si>
  <si>
    <t>kws80395@posco.co.kr</t>
  </si>
  <si>
    <t>조경탁</t>
  </si>
  <si>
    <t>kyoungtak01@posco.co.kr</t>
  </si>
  <si>
    <t>(광양)압연설비1부 후판정비섹션</t>
  </si>
  <si>
    <t>(광양)압연설비1부 열연정비2섹션</t>
  </si>
  <si>
    <t>(포항)압연설비2부 냉연정비2섹션</t>
  </si>
  <si>
    <t>Q4586797</t>
  </si>
  <si>
    <t>CWC(DA),LB,50Dx20Dx550ST,[CDNA2L50-550-D-A93L3/SMC],FOR P1H LABEL MACHINE FEEDER LOCK PNEUMATIC CYLINDER,OR EQUIVALENT</t>
  </si>
  <si>
    <t>CDNA2L50-550-D-A93L3</t>
  </si>
  <si>
    <t>FOR P1H LABEL MACHINE FEEDER LOCK PNEUMATIC CYLINDER</t>
  </si>
  <si>
    <t>https://www.smckorea.co.kr/ppis/data/catalog/CNA2.pdf</t>
  </si>
  <si>
    <t>엔드락실린더_20230109143658929.jpg</t>
  </si>
  <si>
    <t>(포항)압연설비1부 열연정비섹션</t>
  </si>
  <si>
    <t>2023-01-16 16:01:35</t>
  </si>
  <si>
    <t>MRO e-Caltalog시스템 엔투비경유건으로 대체 Maker 미 발굴건,Label Feeder Lock  핵심 부품으로 기 설치된 Pneumatic Cylinder의 호환성을 위해 특정 사양으로 등록건 확인 후 승인,(특정 사양품감축 관련)특정 사양 감축 활동의 일환으로 차후 특정 사양품을 도면화,일반 사양화,복수화 전환 검토 필히 부탁드립니다. 감사합니다.</t>
  </si>
  <si>
    <t>(광양)압연설비2부 도금정비1섹션</t>
  </si>
  <si>
    <t>(포항)압연설비2부 전기강판정비섹션</t>
  </si>
  <si>
    <t>(포항)압연설비2부 STS압연정비섹션</t>
  </si>
  <si>
    <t>(포항)압연설비1부 후판정비섹션</t>
  </si>
  <si>
    <t>(포항)압연설비1부 선재정비섹션</t>
  </si>
  <si>
    <t>(광양)압연설비2부 냉연정비2섹션</t>
  </si>
  <si>
    <t>(광양)압연설비2부 도금정비2섹션</t>
  </si>
  <si>
    <t>광양생산부 정비섹션</t>
  </si>
  <si>
    <t>최인오</t>
  </si>
  <si>
    <t>choi6959@posco.co.kr</t>
  </si>
  <si>
    <t>2023-02-21 09:02:56</t>
  </si>
  <si>
    <t>Q4590564</t>
  </si>
  <si>
    <t>CWC(DA),40Dx30ST,[CQ2B40-30DZ/SMC],FOR 1CGL ZINC POT AIR KNIFE DOCKING UNIT,OR EQUIVALENT</t>
  </si>
  <si>
    <t>CQ2B40-30DZ</t>
  </si>
  <si>
    <t>FOR 1CGL ZINC POT AIR KNIFE DOCKING UNIT</t>
  </si>
  <si>
    <t>https://www.smckorea.co.kr/ppis/data/catalog/CQ2-Z.pdf</t>
  </si>
  <si>
    <t>CD2B40-30DZ_20230214081259454.jpg</t>
  </si>
  <si>
    <t>Q4295735 ,Q4476307의 복수화 사례를 참조하여 차후 필히 복수화 검토 부탁드립니다. MRO e-Caltalog시스템 경유건으로 대체 Maker 미 발굴건, 기 설치된 Pneumatic Cylinder의 호환성을 위해 특정 사양으로 등록건 확인 후 승인,(특정 사양품감축 관련) 차후 입고시 스케치, 현물 확인을 통한 도면화,일반 사양화,복수화 전환 검토 요청 필히 부탁드립니다. 감사합니다.</t>
  </si>
  <si>
    <t>https://www.smckorea.co.kr/ppis/data/catalog/CS2.pdf</t>
  </si>
  <si>
    <t>Q4592305</t>
  </si>
  <si>
    <t>CWC(DA),CA,160Dx40Dx320ST,[CS1CN160-320-CJBD0239/SMC],FOR 2CC MULTI BEBURRER,OR EQUIVALENT</t>
  </si>
  <si>
    <t>CS1CN160-320-CJBD0239</t>
  </si>
  <si>
    <t xml:space="preserve">FOR 2CC MULTI BEBURRER </t>
  </si>
  <si>
    <t>https://www.smckorea.co.kr/ppis/data/domyun/CJBD0239-AP.pdf</t>
  </si>
  <si>
    <t>CS1CN160-320-CJBD0239_20230302094846494.jpg</t>
  </si>
  <si>
    <t>2023-03-08 09:03:13</t>
  </si>
  <si>
    <t>MRO e-Caltalog시스템 경유건으로 대체 Maker 미 발굴건,2연주 정정 멀티디버러 에어실린더 핵심 부품으로 기 설치된 Pneumatic Cylinder의 호환성을 위해 특정 사양으로 등록건 확인 후 승인,(특정 사양품감축 관련) 차후 입고시 스케치, 현물 확인을 통한 도면화,일반 사양화,복수화 전환 검토 요청 필히 부탁드립니다. (주)TPC메카트로닉스 기술영업팀 노민영책임(010-9323-4684)으로 연락 확인후 복수화 검토 추가 필히 확인 부탁드립니다.감사합니다.</t>
  </si>
  <si>
    <t>2023-03-13 09:03:11</t>
  </si>
  <si>
    <t>Q4592849</t>
  </si>
  <si>
    <t>CWC(DA),TC,63Dx20Dx1100ST,[CA2T63-1100Z-XC14/SMC],FOR 1CGL BANDING MACHINE LOWER CHUTE CYLINDER,OR EQUIVALENT</t>
  </si>
  <si>
    <t>CA2T63-1100Z-XC14</t>
  </si>
  <si>
    <t>FOR 1CGL BANDING MACHINE LOWER CHUTE CYLINDER</t>
  </si>
  <si>
    <t>CA2T63-1100Z-XC14 도면_20230309101205940.jpg</t>
  </si>
  <si>
    <t>CA2T63-1100Z-XC14 도면_20230308172157076.jpg</t>
  </si>
  <si>
    <t>2023-03-13 09:03:48</t>
  </si>
  <si>
    <t>MRO e-Caltalog시스템 공급사 소개건으로 대체 Maker 미 발굴건, 기 설치된 Pneumatic Cylinder의 호환성을 위해 특정 사양으로 등록건 확인 후 승인,_x000D_
(특정 사양품감축 관련) 차후 입고시 스케치, 현물 확인을 통한 도면화,일반 사양화,복수화 전환 검토 요청 필히 부탁드립니다. 감사합니다.</t>
  </si>
  <si>
    <t>Q4592850</t>
  </si>
  <si>
    <t>CWC(DA),TC,250Dx60Dx1750ST,[CS1TN250-1750-CJBD0272/SMC],FOR 1CGL BANDING FRAME HEAD LIFTING CYLINDER</t>
  </si>
  <si>
    <t xml:space="preserve">CS1TN250-1750-CJBD0272  </t>
  </si>
  <si>
    <t>FOR 1CGL BANDING FRAME HEAD LIFTING CYLINDER</t>
  </si>
  <si>
    <t>CS1TN250-1750-CJBD0272 도면_20230309101322838.jpg</t>
  </si>
  <si>
    <t>CS1TN250-1750-CJBD0272 도면_20230308172501550.jpg</t>
  </si>
  <si>
    <t xml:space="preserve">MRO e-Caltalog시스템 공급사 소개건으로 대체 Maker 미 발굴건, 기 설치된 Pneumatic Cylinder의 호환성을 위해 특정 사양으로 등록건 확인 후 승인,_x000D_
(특정 사양품감축 관련) 차후 입고시 스케치, 현물 확인을 통한 도면화,일반 사양화,복수화 전환 검토 요청 필히 부탁드립니다. 감사합니다._x000D_
</t>
  </si>
  <si>
    <t>Q4592954</t>
  </si>
  <si>
    <t>CWC(DA),TC,180Dx45Dx200ST,[CS1TN180-200-CJBD0280/SMC],FOR 1CGL BANDING MACHINE CARRIDGE SHIFTING CYLINDER,OR EQUIVALENT</t>
  </si>
  <si>
    <t xml:space="preserve">CS1TN180-200-CJBD0280 </t>
  </si>
  <si>
    <t>FOR 1CGL BANDING MACHINE CARRIDGE SHIFTING CYLINDER</t>
  </si>
  <si>
    <t>CS1TN180-200-CJBD0280  도면_20230309101508507.jpg</t>
  </si>
  <si>
    <t>CS1TN180-200-CJBD0280  도면_20230308172721343.jpg</t>
  </si>
  <si>
    <t>2023-03-14 09:03:51</t>
  </si>
  <si>
    <t>MRO e-Caltalog시스템 경유건으로 대체 Maker 미 발굴건,도금 1CGL Banding Machine Carridge Shifting Cylinder의 핵심 부품으로 기 설치된 Pneumatic Cylinder의 호환성을 위해 특정 사양으로 등록건 확인 후 승인,(특정 사양품감축 관련) 차후 입고시 스케치, 현물 확인을 통한 도면화,일반 사양화,복수화 전환 검토 요청 필히 부탁드립니다. (주)TPC메카트로닉스 기술영업팀 노민영책임(010-9323-4684)과  복수화 재 검토 요청 부탁드립니다.감사합니다.</t>
  </si>
  <si>
    <t>박제혁</t>
  </si>
  <si>
    <t>jhpark0108@posco.co.kr</t>
  </si>
  <si>
    <t>855956@posco.co.kr</t>
  </si>
  <si>
    <t>(포항)EIC기술부 자동화설비정비섹션</t>
  </si>
  <si>
    <t>(광양)EIC기술부 자동화설비정비섹션</t>
  </si>
  <si>
    <t>Q4595473</t>
  </si>
  <si>
    <t>CSA,CA,32Dx33.6Dx300ST,10kgf/cm2,[CDY1S32-300BZ-A93/SMC],WITH SWITCH RAIL, AUTO SWITCH SWITCH, SHOCK ABSORBER,FOR PUNCH PRESS,OR EQUIVALENT</t>
  </si>
  <si>
    <t>CDY1S32-300BZ-A93</t>
  </si>
  <si>
    <t>WITH SWITCH RAIL, AUTO SWITCH SWITCH, SHOCK ABSORBER</t>
  </si>
  <si>
    <t>CY1S_20230323152908225.jpg</t>
  </si>
  <si>
    <t>https://www.google.com/url?sa=t&amp;rct=j&amp;q=&amp;esrc=s&amp;source=web&amp;cd=&amp;ved=2ahUKEwieronB65P-AhVFON4KHWhlBNwQFnoECAUQAQ&amp;url=https%3A%2F%2Fcontent2.smcetech.com%2Fpdf%2FCY.pdf&amp;usg=AOvVaw1cP-gIP8cALTUtmVwRhrNI</t>
  </si>
  <si>
    <t>CY1S_20230331074033096.jpg</t>
  </si>
  <si>
    <t>2023-04-13 15:04:58</t>
  </si>
  <si>
    <t xml:space="preserve">MRO e-Caltalog시스템 경유건으로 대체 Maker 미 발굴건,재질시험실 전기강판 펀치프레스 시편이송용 실린더의 핵심 부품으로 기 설치된 Pneumatic Cylinder의 호환성을 위해 특정 사양으로 등록건 확인 후 승인,(특정 사양품감축 관련) 차후 입고시 스케치, 현물 확인을 통한 도면화,일반 사양화,복수화 전환 검토 요청 필히 부탁드립니다. (주)TPC메카트로닉스 기술영업팀 노민영책임(010-9323-4684)과  복수화 재 검토 요청 부탁드립니다.감사합니다._x000D_
</t>
  </si>
  <si>
    <t>Q4595474</t>
  </si>
  <si>
    <t>CSA,CA,25Dx0Dx1600ST,10kgf/cm2,[MY1CWK25-1600-Z73/SMC],WITH AUTOSWITCH,FOR PUNCH PRESS,OR EQUIVALENT</t>
  </si>
  <si>
    <t>MY1CWK25-1600-Z73</t>
  </si>
  <si>
    <t>WITH AUTOSWITCH</t>
  </si>
  <si>
    <t>MY1W_20230323153840916.jpg</t>
  </si>
  <si>
    <t>https://www.smckorea.co.kr/ppis/data/catalog/MY1()W.pdf</t>
  </si>
  <si>
    <t>MY1W_20230323153804659.jpg</t>
  </si>
  <si>
    <t>2023-03-30 15:03:36</t>
  </si>
  <si>
    <t xml:space="preserve">MRO e-Caltalog시스템 경유건으로 대체 Maker 미 발굴건,재질시험실 전기강판 펀치프레스 시편이송용 실린더의 핵심 부품으로 기 설치된 Pneumatic Cylinder의 호환성을 위해 특정 사양으로 등록건 확인 후 승인,(특정 사양품감축 관련) 차후 입고시 스케치, 현물 확인을 통한 도면화,일반 사양화,복수화 전환 검토 요청 필히 부탁드립니다. (주)TPC메카트로닉스 기술영업팀 노민영책임(010-9323-4684)과  복수화 재 검토 요청 부탁드립니다.감사합니다._x000D_
 </t>
  </si>
  <si>
    <t>Q4596799</t>
  </si>
  <si>
    <t>32Dx200ST,[MY1B32-200Z-M9N/SMC],OR EQUIVALENT</t>
  </si>
  <si>
    <t>MY1B32-200Z-M9N</t>
  </si>
  <si>
    <t>https://www.smckorea.co.kr/ppis/data/catalog/MY1.pdf</t>
  </si>
  <si>
    <t>my1b_20230407142550379.jpg</t>
  </si>
  <si>
    <t>2023-04-13 10:04:31</t>
  </si>
  <si>
    <t>MRO e-Caltalog시스템 공급사 소개건으로 대체 Maker 미 발굴건,APL EXIT PAPER UNWINDER 개조 의 핵심 부품으로 기 설치된 Pneumatic Cylinder의 호환성을 위해 특정 사양으로 등록건 확인 후 승인,(주)TPC메카트로닉스 기술영업팀 노민영책임(010-9323-4684)과  복수화 재 검토 요청 부탁드립니다._x000D_
(특정 사양품감축 관련) 차후 입고시 스케치, 현물 확인을 통한 도면화,일반 사양화,복수화 전환 검토 요청 필히 부탁드립니다. 감사합니다.</t>
  </si>
  <si>
    <t>장요한</t>
  </si>
  <si>
    <t>dreamjyh1@posco.co.kr</t>
  </si>
  <si>
    <t>정정현</t>
  </si>
  <si>
    <t>(광양)압연설비2부 전기강판정비섹션</t>
  </si>
  <si>
    <t>wjd1670@posco.co.kr</t>
  </si>
  <si>
    <t>https://www.kccpr.com/bbs/board.php?bo_table=Pneumatic_cylinder&amp;wr_id=2&amp;sca=%ED%91%9C%EC%A4%80+%EC%8B%A4%EB%A6%B0%EB%8D%94</t>
  </si>
  <si>
    <t>nakdhs@posco.co.kr</t>
  </si>
  <si>
    <t>2023-06-09 10:06:57</t>
  </si>
  <si>
    <t>Q4602359</t>
  </si>
  <si>
    <t>CWC(DA),CA,63Dx20Dx300ST,[CDA2C63-KRT09JO-300Z-W-A54/SMC],FOR CGL OVEN FUME EXHAUST FAN DAMPER CYLINDER,OR EQUIVALENT</t>
  </si>
  <si>
    <t>CDA2C63-KRT09JO-300Z-W-A54</t>
  </si>
  <si>
    <t>FOR CGL OVEN FUME EXHAUST FAN DAMPER CYLINDER</t>
  </si>
  <si>
    <t>CDA2C63-KRT09JO-300Z-W-A54 도면_20230322090536209.jpg</t>
  </si>
  <si>
    <t>CDA2C63-KRT09JO-300Z-W-A54 도면_20230322090505368.jpg</t>
  </si>
  <si>
    <t>MRO e-Caltalog시스템 공급사 소개건으로 대체 Maker 미 발굴건,기 설치된 Pneumatic Cylinder의 호환성을 위해 특정 사양으로 등록건 확인 후 승인,_x000D_
(특정 사양품감축 관련) 차후 입고시 스케치, 현물 확인을 통한 도면화,일반 사양화,복수화 전환 검토 요청 필히 부탁드립니다. 감사합니다.</t>
  </si>
  <si>
    <t>김강민</t>
  </si>
  <si>
    <t>inhachris768@posco.co.kr</t>
  </si>
  <si>
    <t>Q4603925</t>
  </si>
  <si>
    <t>CWC(DA),FA,50Dx20Dx450ST,10kgf/cm2,[CDNA2F50-KRT22KO-450-D-B54L/SMC],FOR 2PL GAS CUTTING MACHINE MC2000,OR EQUIVALENT</t>
  </si>
  <si>
    <t>CDNA2F50-KRT22KO-450-D-B54L</t>
  </si>
  <si>
    <t>FOR 2PL GAS CUTTING MACHINE MC2000</t>
  </si>
  <si>
    <t>CNA2_20230607161506729.jpg</t>
  </si>
  <si>
    <t>2023-06-22 13:06:35</t>
  </si>
  <si>
    <t>MRO e-Caltalog시스템 경유건으로 대체 Maker 미 발굴건, 2PL GAS CUTTING MACHINE MC2000의 핵심 부품으로 기 설치된 Pneumatic Cylinder의 호환성을 위해 특정 사양으로 등록건 확인 후 승인,(특정 사양품감축 관련) 차후 입고시 스케치, 현물 확인을 통한 도면화,일반 사양화,복수화 전환 검토 요청 필히 부탁드립니다. 감사합니다.( KRT22KO 벨로즈우 사양 확인후 smc확인건)</t>
  </si>
  <si>
    <t>박민우</t>
  </si>
  <si>
    <t>cinnamon@posco.co.kr</t>
  </si>
  <si>
    <t>주성룡</t>
  </si>
  <si>
    <t>jsb4562@posco.co.kr</t>
  </si>
  <si>
    <t>Q4606860</t>
  </si>
  <si>
    <t>CWC(DA),TD,160Dx40Dx140ST,9.7kgf/cm2,[CS1TN160-KRD0368-140-XC14A/SMC],FOR 1EGL WELDER DOWN PASS PINCH ROLL UP/DOWN CYLINDER,OR EQUIVALENT</t>
  </si>
  <si>
    <t>CS1TN160-KRD0368-140-XC14A</t>
  </si>
  <si>
    <t>FOR 1EGL WELDER DOWN PASS PINCH ROLL UP/DOWN CYLINDER</t>
  </si>
  <si>
    <t>CS1TN160-KRD0368-140-XC14A 도면_20230718114028531.jpg</t>
  </si>
  <si>
    <t>CS1_20230718113831032.jpg</t>
  </si>
  <si>
    <t>MRO e-Caltalog시스템 경유건으로 대체 Maker 미 발굴건,1EGL WELDER DOWN PASS PINCH ROLL UP/DOWN CYLINDER로 기 설치된 Pneumatic Cylinder의 호환성을 위해 특정 사양으로 등록건 확인 후 승인,(특정 사양품감축 관련) 차후 입고시 스케치, 현물 확인을 통한 도면화,일반 사양화,복수화 전환 검토 요청 필히 부탁드립니다. 감사합니다.</t>
  </si>
  <si>
    <t>Q4607652</t>
  </si>
  <si>
    <t>CWC(DA),FA,200Dx50Dx2350ST,[ACL N H FA200 S2350 -Y D-J59K/KCC],1-1RCL BANDING MACHINE LIFTER</t>
  </si>
  <si>
    <t>ACL N H FA200 S2350 -Y D-J59K</t>
  </si>
  <si>
    <t>1-1RCL BANDING MACHINE LIFTER</t>
  </si>
  <si>
    <t>KCC 사양표_20230729092321253.png</t>
  </si>
  <si>
    <t>https://www.kccpr.com/bbs/search.php?url=https%3A%2F%2Fwww.kccpr.com%2Fbbs%2Fsearch.php&amp;stx=ACL+N+H+FA200+</t>
  </si>
  <si>
    <t>Banding Machine Head Lift Cylinder_20230616082952201.png</t>
  </si>
  <si>
    <t>2023-07-31 09:07:31</t>
  </si>
  <si>
    <t xml:space="preserve">MRO e-Caltalog시스템 경유건으로 대체 Maker 미 발굴건,Banding Machine Header Lift의 핵심 부품으로 기 설치된 Pneumatic Cylinder의 호환성을 위해 특정 사양으로 등록건 확인 후 승인,(특정 사양품감축 관련) 차후 입고시 스케치, 현물 확인을 통한 도면화,일반 사양화,복수화 전환 검토 요청 필히 부탁드립니다. (11) 특허등록 번호 (특허품이 아닌 경우 해당없음으로 기입)부탁드립니다. 향후 미 기입시 Rework처리 될수 있습니다. Q4482287와 유사건으로 Stroke가 다름 확인건, 감사합니다._x000D_
</t>
  </si>
  <si>
    <t>Q4607653</t>
  </si>
  <si>
    <t>CWC(DA),FA,200Dx50Dx2300ST,10kgf/cm2,[CDS1FN200-2300-A93L/SMC],FOR 3-2RCL BANDING MACHINE LIFTER,OR EQUIVALENT</t>
  </si>
  <si>
    <t>CDS1FN200-2300-A93L</t>
  </si>
  <si>
    <t>FOR 3-2RCL BANDING MACHINE LIFTER</t>
  </si>
  <si>
    <t>실린더 물품등록_20230729091830920.png</t>
  </si>
  <si>
    <t>https://www.smckorea.co.kr/ppis/data/catalog/CS1.pdf?ver=7825.631353098796</t>
  </si>
  <si>
    <t>실린더 사진_20230729092009962.png</t>
  </si>
  <si>
    <t>2023-07-31 09:07:41</t>
  </si>
  <si>
    <t>MRO e-Caltalog시스템 경유건으로 대체 Maker 미 발굴건,Banding Machine Header Lift의 핵심 부품으로 기 설치된 Pneumatic Cylinder의 호환성을 위해 특정 사양으로 등록건 확인 후 승인,(특정 사양품감축 관련) 차후 입고시 스케치, 현물 확인을 통한 도면화,일반 사양화,복수화 전환 검토 요청 필히 부탁드립니다. (11) 특허등록 번호 (특허품이 아닌 경우 해당없음으로 기입)부탁드립니다. 향후 미 기입시 Rework처리 될수 있습니다. Q4423335,Q4520848와 유사건으로 Stroke 및 센서 Type이  다름 확인건, 감사합니다.</t>
  </si>
  <si>
    <t>Q4608549</t>
  </si>
  <si>
    <t>CWC(DA),CB,200Dx50Dx150ST,10kgf/cm2,[CS1CN200-KRD0368-150/SMC],FOR K1APL NO.3 TENSION BRIDLE ROLL SNUBBER ROLL UP &amp; DOWN PNEUMATIC CYLINDER,OR EQUIVALENT</t>
  </si>
  <si>
    <t>CS1CN200-KRD0368-150</t>
  </si>
  <si>
    <t>FOR K1APL NO.3 TENSION BRIDLE ROLL SNUBBER ROLL UP &amp; DOWN PNEUMATIC CYLINDER</t>
  </si>
  <si>
    <t>CS1CN200-KRD0368-150_20230807164932049.jpg</t>
  </si>
  <si>
    <t>Cylinder_20230807165018060.jpg</t>
  </si>
  <si>
    <t>2023-08-08 11:08:11</t>
  </si>
  <si>
    <t>MRO e-Caltalog시스템 경유건으로 대체 Maker 미 발굴건,K1APL NO.3 TENSION BRIDLE ROLL SNUBBER ROLL UP &amp; DOWN PNEUMATIC CYLINDER로 기 설치된 Pneumatic Cylinder의 호환성을 위해 특정 사양으로 등록건 확인 후 승인,(특정 사양품감축 관련) 차후 입고시 스케치, 현물 확인을 통한 도면화,일반 사양화,복수화 전환 검토 요청 필히 부탁드립니다. 감사합니다.</t>
  </si>
  <si>
    <t>Q4608555</t>
  </si>
  <si>
    <t>CWC(DA),CB,250Dx60Dx400ST,10kgf/cm2,[CS1CN250-KRD0368-400/SMC],FOR K1APL NO.10 STEERING ROLL UP &amp; DOWN PNEUMATIC CYLINDER,OR EQUIVALENT</t>
  </si>
  <si>
    <t>CS1CN250-KRD0368-400</t>
  </si>
  <si>
    <t>FOR K1APL NO.10 STEERING ROLL UP &amp; DOWN PNEUMATIC CYLINDER</t>
  </si>
  <si>
    <t>CS1DN250-KRD0368-400 라벨_20230803111519273.jpg</t>
  </si>
  <si>
    <t>Cylinder_20230807165711445.jpg</t>
  </si>
  <si>
    <t>2023-08-08 11:08:33</t>
  </si>
  <si>
    <t>MRO e-Caltalog시스템 경유건으로 대체 Maker 미 발굴건,K1APL NO.10 STEERING ROLL UP &amp; DOWN PNEUMATIC CYLINDER로 기 설치된 Pump의 호환성을 위해 특정 사양으로 등록건 확인 후 승인,(특정 사양품감축 관련) 차후 입고시 스케치, 현물 확인을 통한 도면화,일반 사양화,복수화 전환 검토 요청 필히 부탁드립니다. 감사합니다.</t>
  </si>
  <si>
    <t>Q4608565</t>
  </si>
  <si>
    <t>CWC(DA),FE,200Dx50Dx150ST,10kgf/cm2,[CS1DN250-KRD0368-400/SMC],FOR K1APL FURNACE WCS DAM ROLL UP &amp; DOWN PNEUMATIC CYLINDER,OR EQUIVALENT</t>
  </si>
  <si>
    <t>CS1DN250-KRD0368-400</t>
  </si>
  <si>
    <t>FOR K1APL FURNACE WCS DAM ROLL UP &amp; DOWN PNEUMATIC CYLINDER</t>
  </si>
  <si>
    <t>CS1FN200-KRT04KO-150-XC5 라벨_20230803111800907.jpg</t>
  </si>
  <si>
    <t>Cylinder_20240116160853051.jpg</t>
  </si>
  <si>
    <t>2024-01-18 10:01:51</t>
  </si>
  <si>
    <t>MRO e-Caltalog시스템 경유건으로 대체 Maker 미 발굴건,K1APL FURNACE WCS DAM ROLL UP &amp; DOWN PNEUMATIC CYLINDER로 기 설치된 Pneumatic Cylinder의 호환성을 위해 특정 사양으로 등록건 확인 후 승인,(특정 사양품감축 관련) 차후 입고시 스케치, 현물 확인을 통한 도면화,일반 사양화,복수화 전환 검토 요청 필히 부탁드립니다. 감사합니다.</t>
  </si>
  <si>
    <t>Q4609634</t>
  </si>
  <si>
    <t>CWC(DA),CD,125Dx32Dx120ST,10kgf/cm2,[CDS2D125-120/SMC],FOR K1APL EXIT SHEAR PINCH ROLL UP &amp; DOWN,OR EQUIVALENT</t>
  </si>
  <si>
    <t>CDS2D125-120</t>
  </si>
  <si>
    <t>FOR K1APL EXIT SHEAR PINCH ROLL UP &amp; DOWN</t>
  </si>
  <si>
    <t>CS2_20230816105444058.jpg</t>
  </si>
  <si>
    <t>CS2_20230816105427834.jpg</t>
  </si>
  <si>
    <t>2023-08-18 10:08:16</t>
  </si>
  <si>
    <t>MRO e-Caltalog시스템 경유건으로 대체 Maker 미 발굴건,K1APL EXIT SHEAR PINCH ROLL UP &amp; DOWN로 기 설치된 Pneumatic Cylinder의 호환성을 위해 특정 사양으로 등록건 확인 후 승인,(특정 사양품감축 관련) 차후 입고시 스케치, 현물 확인을 통한 도면화,일반 사양화,복수화 전환 검토 요청 필히 부탁드립니다. 감사합니다.</t>
  </si>
  <si>
    <t>Q4609635</t>
  </si>
  <si>
    <t>CWC(DA),CF,40Dx14Dx40ST,10kgf/cm2,[CM2B40-40Z/SMC],FOR K1APL EXIT SEAL ROLL UPPER/LOWER SEAL PACKING OPEN/CLOSE,OR EQUIVALENT</t>
  </si>
  <si>
    <t>CM2B40-40Z</t>
  </si>
  <si>
    <t>FOR K1APL EXIT SEAL ROLL UPPER/LOWER SEAL PACKING OPEN/CLOSE</t>
  </si>
  <si>
    <t>CM2_20230816105642860.jpg</t>
  </si>
  <si>
    <t>CM2_20230816105623524.jpg</t>
  </si>
  <si>
    <t>2023-08-18 10:08:01</t>
  </si>
  <si>
    <t>MRO e-Caltalog시스템 경유건으로 대체 Maker 미 발굴건,K1APL EXIT SEAL ROLL UPPER/LOWER SEAL PACKING OPEN/CLOSE로 기 설치된 Pneumatic Cylinder의 호환성을 위해 특정 사양으로 등록건 확인 후 승인,(특정 사양품감축 관련) 차후 입고시 스케치, 현물 확인을 통한 도면화,일반 사양화,복수화 전환 검토 요청 필히 부탁드립니다. 감사합니다.</t>
  </si>
  <si>
    <t>Q4609636</t>
  </si>
  <si>
    <t>CWC(DA),FA,100Dx30Dx115ST,10kgf/cm2,[CA2F100-KRT10KO-115Z-W-XC5/SMC],FOR K1APL FURNACE ENTRY SEAL ROLL UP &amp; DOWN PNEUMATIC CYLINDER,OR EQUIVALENT</t>
  </si>
  <si>
    <t>CA2F100-KRT10KO-115Z-W-XC5</t>
  </si>
  <si>
    <t>FOR K1APL FURNACE ENTRY SEAL ROLL UP &amp; DOWN PNEUMATIC CYLINDER</t>
  </si>
  <si>
    <t>CA2_20230816110138500.jpg</t>
  </si>
  <si>
    <t xml:space="preserve">MRO e-Caltalog시스템 경유건으로 대체 Maker 미 발굴건,K1APL FURNACE ENTRY SEAL ROLL UP &amp; DOWN PNEUMATIC CYLINDER로 기 설치된 Pneumatic Cylinder의 호환성을 위해 특정 사양으로 등록건 확인 후 승인,(특정 사양품감축 관련) 차후 입고시 스케치, 현물 확인을 통한 도면화,일반 사양화,복수화 전환 검토 요청 필히 부탁드립니다. 감사합니다._x000D_
</t>
  </si>
  <si>
    <t>Q4609677</t>
  </si>
  <si>
    <t>CWC(DA),CD,140Dx36Dx135ST,10kgf/cm2,[CS1CN140-KRT04KO-135-XC5/SMC],FOR K1APL STRIP GRIPPER UP/DOWN PNEUMATIC CYLINDER,OR EQUIVALENT</t>
  </si>
  <si>
    <t>CS1CN140-KRT04KO-135-XC5</t>
  </si>
  <si>
    <t>FOR K1APL STRIP GRIPPER UP/DOWN PNEUMATIC CYLINDER</t>
  </si>
  <si>
    <t>CS1CN140-KRT04KO-135-XC5_20230818130538338.jpg</t>
  </si>
  <si>
    <t>CS1_20230816104955978.jpg</t>
  </si>
  <si>
    <t>2023-08-18 13:08:25</t>
  </si>
  <si>
    <t>MRO e-Caltalog시스템 경유건으로 대체 Maker 미 발굴건,K1APL STRIP GRIPPER UP/DOWN PNEUMATIC CYLINDER로 기 설치된 Pneumatic Cylinder의 호환성을 위해 특정 사양으로 등록건 확인 후 승인,(특정 사양품감축 관련) 차후 입고시 스케치, 현물 확인을 통한 도면화,일반 사양화,복수화 전환 검토 요청 필히 부탁드립니다. 감사합니다.(현장 Name Plate사진으로 사양 확인건)</t>
  </si>
  <si>
    <t>Q4609854</t>
  </si>
  <si>
    <t>CWC(DA),TD,300Dx70Dx550ST,10kgf/cm2,[CS1C0-VOA003-550/SMC],FOR K1APL COOLING DEVICE UPPER CASING UP/DOWN PNEUMATIC CYLINDER,OR EQUIVALENT</t>
  </si>
  <si>
    <t>CS1C0-VOA003-550</t>
  </si>
  <si>
    <t>FOR K1APL COOLING DEVICE UPPER CASING UP/DOWN PNEUMATIC CYLINDER</t>
  </si>
  <si>
    <t>CS1C0-VOA003-550 사양서_20230816104357707.jpg</t>
  </si>
  <si>
    <t>CS1_20230816104334033.jpg</t>
  </si>
  <si>
    <t>2023-08-21 09:08:14</t>
  </si>
  <si>
    <t>MRO e-Caltalog시스템 경유건으로 대체 Maker 미 발굴건,K1APL STRIP COOLING DEVICE 의 핵심 부품으로 기 설치된 Pneumatic Cylinder의 호환성을 위해 특정 사양으로 등록건 확인 후 승인,(특정 사양품감축 관련) 차후 입고시 스케치, 현물 확인을 통한 도면화,일반 사양화,복수화 전환 검토 요청 필히 부탁드립니다. 감사합니다.</t>
  </si>
  <si>
    <t>Q4610700</t>
  </si>
  <si>
    <t>CWC(DA),TC,63Dx20Dx50ST,10kgf/cm2,[C96ST63-50-CJBG0810/SMC],OR EQUIVALENT</t>
  </si>
  <si>
    <t>C96ST63-50-CJBG0810</t>
  </si>
  <si>
    <t>C96ST63-50-CJBG0810 도면_20230823093047288.jpg</t>
  </si>
  <si>
    <t>C96_20230823092933535.jpg</t>
  </si>
  <si>
    <t>2023-08-28 09:08:40</t>
  </si>
  <si>
    <t>MRO e-Caltalog시스템 경유건으로 대체 Maker 미 발굴건,3APL Side Trimmer Edge Support Roll의 핵심 부품으로 기 설치된 Pneumatic Cylinder의 호환성을 위해 특정 사양으로 등록건 확인 후 승인,(특정 사양품감축 관련) 차후 입고시 스케치, 현물 확인을 통한 도면화,일반 사양화,복수화 전환 검토 요청 필히 부탁드립니다. 감사합니다.</t>
  </si>
  <si>
    <t>Q4611126</t>
  </si>
  <si>
    <t>CWD,TC,100Dx30Dx420ST,[CDA2T100-420Z-A93L-XC14/SMC],OR EQUIVALENT</t>
  </si>
  <si>
    <t>CDA2T100-420Z-A93L-XC14</t>
  </si>
  <si>
    <t>CDA2T100-420Z-A93L-XC14도면_20230822112542085.jpg</t>
  </si>
  <si>
    <t>https://www.smckorea.co.kr/esales/data/sangpum/kisul_qa/2023KS008009/CDA2T100-420Z-A93L-XC14.pdf</t>
  </si>
  <si>
    <t>CA2_20230822112503791.jpg</t>
  </si>
  <si>
    <t>2023-08-30 13:08:39</t>
  </si>
  <si>
    <t xml:space="preserve">MRO e-Caltalog시스템 경유건으로 대체 Maker 미 발굴건,기 설치된 Pneumatic Cylinder의 호환성을 위해 특정 사양으로 등록건 확인 후 승인,_x000D_
(특정 사양품감축 관련) 차후 입고시 스케치, 현물 확인을 통한 도면화,일반 사양화,복수화 전환 검토 요청 필히 부탁드립니다. 감사합니다._x000D_
</t>
  </si>
  <si>
    <t>최봉근</t>
  </si>
  <si>
    <t>bongkeun.choi@posco.co.kr</t>
  </si>
  <si>
    <t>Q4618340</t>
  </si>
  <si>
    <t>32Dx0Dx500ST,10kgf/cm2,[CY1L32H-500/SMC],FOR 2APL BAND CUTTER,OR EQUIVALENT</t>
  </si>
  <si>
    <t>CY1L32H-500</t>
  </si>
  <si>
    <t>FOR 2APL BAND CUTTER</t>
  </si>
  <si>
    <t>https://www.smckorea.co.kr/ppis/data/catalog/CY1.pdf</t>
  </si>
  <si>
    <t>CY1L32H-500-SMC_20231103131749121.jpg</t>
  </si>
  <si>
    <t>2023-11-03 14:11:09</t>
  </si>
  <si>
    <t>NPR승인 화면에 측정 사양품 단수 등록건이나 카달로그 번호 없어 등록신청이력 조회 &gt; 카달로그 번호 (LC0471-0000796) 확인건,MRO e-Caltalog시스템 경유건으로 대체 Maker 미 발굴건, 2전강 2APL Band Cutter의 핵심 부품으로 기 설치된 Pneumatic Cylinder의 호환성을 위해 특정 사양으로 등록건 확인 후 승인,_x000D_
(특정 사양품감축 관련) 차후 입고시 스케치, 현물 확인을 통한 도면화,일반 사양화,복수화 전환 검토 요청 필히 부탁드립니다. (첨부 PDF 6~7 Page 확인)감사합니다.</t>
  </si>
  <si>
    <t xml:space="preserve">유사품 검색 및 사양 검증용 자료 확인후 승인합니다._x000D_
</t>
  </si>
  <si>
    <t>Q4621318</t>
  </si>
  <si>
    <t>80Dx71Dx500ST,10kgf/cm2,[CNA2D80-500-D/SMC],OR EQUIVALENT</t>
  </si>
  <si>
    <t>CNA2D80-500-D</t>
  </si>
  <si>
    <t>락실린더_20231129093247662.png</t>
  </si>
  <si>
    <t>lock cyl_20231204133201193.jpg</t>
  </si>
  <si>
    <t>2023-12-04 13:12:07</t>
  </si>
  <si>
    <t>Q4623087</t>
  </si>
  <si>
    <t>CWC(DA),FH,50Dx20Dx200ST,10.2kgf/cm2,[MLGPM50-200Z-F-A96L/SMC],OR EQUIVALENT</t>
  </si>
  <si>
    <t>MLGPM50-200Z-F-A96L</t>
  </si>
  <si>
    <t>MLGPM50_20231218093103754.jpg</t>
  </si>
  <si>
    <t>2023-12-18 11:12:10</t>
  </si>
  <si>
    <t>Q4625604</t>
  </si>
  <si>
    <t>CWC(DA),FC,63Dx20Dx400ST,1.0kgf/cm2,[CDNA2F63-KRT22KO-400-D-A93/SMC],OR EQUIVALENT</t>
  </si>
  <si>
    <t>CDNA2F63-KRT22KO-400-D-A93</t>
  </si>
  <si>
    <t>상면타각기 Pneumatic Cylinder 카탈로그_0900bf4ba4e0498b_613771_20240110080020121.pdf</t>
  </si>
  <si>
    <t>타각기 CYLINDER_20240219094415448.jpg</t>
  </si>
  <si>
    <t>2024-02-21 09:02:52</t>
  </si>
  <si>
    <t xml:space="preserve">MRO e-Caltalog시스템 경유건으로 대체 Maker 미 발굴건, 기 설치된 cylinder의 호환성을 위해 특정 사양으로 등록건 확인 후 승인, _x000D_
</t>
  </si>
  <si>
    <t>Q4626076</t>
  </si>
  <si>
    <t>CWD,LAx20Dx250ST,9.6kgf/cm2,[CY1S20-250BZ-A93L/SMC],FOR 2WRM LAZER MARKING M/C POSITION CYLINDER,OR EQUIVALENT</t>
  </si>
  <si>
    <t>CY1S20-250BZ-A93L</t>
  </si>
  <si>
    <t>FOR 2WRM LAZER MARKING M/C POSITION CYLINDER</t>
  </si>
  <si>
    <t>실린더 1_20240116080358551.jpg</t>
  </si>
  <si>
    <t>https://kr.misumi-ec.com/vona2/detail/221006480227/?HissuCode=CY1SG20-250BZ-A93L</t>
  </si>
  <si>
    <t>실린더12_20240116101018874.jpg</t>
  </si>
  <si>
    <t>2024-01-16 14:01:48</t>
  </si>
  <si>
    <t>Q4627207</t>
  </si>
  <si>
    <t>CWC(DA),CA,200Dx200Dx220ST,16kgf/cm2,[CDS2T200-200-CJCD0039/SMC],OR EQUIVALENT</t>
  </si>
  <si>
    <t>CDS2T200-200-CJCD0039</t>
  </si>
  <si>
    <t>CDS2T200-200-CJCD0039_20240117110145614.pdf</t>
  </si>
  <si>
    <t>cs2 실린더_20240117105756959.PNG</t>
  </si>
  <si>
    <t>2024-01-25 11:01:22</t>
  </si>
  <si>
    <t xml:space="preserve">MRO e-Caltalog시스템 경유건으로 대체 Maker 미 발굴건, 기 설치된 Cylinder의 호환성을 위해 특정 사양으로 등록건 확인 후 승인,_x000D_
유사사양 확인함._x000D_
</t>
  </si>
  <si>
    <t>Q4627759</t>
  </si>
  <si>
    <t>CWC(DA),TC,80Dx80Dx150ST,[CA2YT80-150Z-W/SMC],FOR K4H DC0~2 PINCH ROLL POLISHER AIR CYLINDER,OR EQUIVALENT</t>
  </si>
  <si>
    <t>CA2YT80-150Z-W</t>
  </si>
  <si>
    <t>FOR K4H DC0~2 PINCH ROLL POLISHER AIR CYLINDER</t>
  </si>
  <si>
    <t>CA2Y 카다로그_20240122135108312.pdf</t>
  </si>
  <si>
    <t>CA2YT 시리즈 사진_20240122135032098.PNG</t>
  </si>
  <si>
    <t>2024-01-30 16:01:55</t>
  </si>
  <si>
    <t xml:space="preserve">MRO e-Caltalog시스템 경유건으로 대체 Maker 미 발굴건, 기 설치된 Cylinder의 호환성을 위해 특정 사양으로 등록건 확인_x000D_
Q4458267등 유사사양 확인 후 stroke 길이 상이 등으로 승인. </t>
  </si>
  <si>
    <t>Q4627795</t>
  </si>
  <si>
    <t>CSA,LB,40Dx16Dx750ST,10.1kgf/cm2,[MDBB40-750Z-M9N/SMC],WITH SENSOR,MATERIAL TEST SHOP DTTM,OR EQUIVALENT</t>
  </si>
  <si>
    <t>MDBB40-750Z-M9N</t>
  </si>
  <si>
    <t>MATERIAL TEST SHOP DTTM</t>
  </si>
  <si>
    <t>https://www.smckorea.co.kr/homepage/ver3.5/product/catalogue_sub_detail.asp?cata_no=911#</t>
  </si>
  <si>
    <t>[이미지] MDBL(MDBB)_SMC_20240130074029706.jpg</t>
  </si>
  <si>
    <t>2024-01-31 08:01:50</t>
  </si>
  <si>
    <t xml:space="preserve">MRO e-Caltalog시스템 경유건으로 대체 Maker 미 발굴건, 기 설치된 Cylinder의 호환성을 위해 특정 사양으로 등록건 확인,  _x000D_
Q2211852 등 유사사양 확인 후 mounting type, stroke 상이로 승인_x000D_
</t>
  </si>
  <si>
    <t>Q4627796</t>
  </si>
  <si>
    <t>CSA,LB,40Dx16Dx690ST,10kgf/cm2,[MDBL40-690Z-W-M9N/SMC],WITH SENSOR,MATERIAL TEST SHOP DTTM,OR EQUIVALENT</t>
  </si>
  <si>
    <t>MDBL40-690Z-W-M9N</t>
  </si>
  <si>
    <t>[이미지] MDBL(MDBB)_SMC_20240130080046150.jpg</t>
  </si>
  <si>
    <t>2024-01-31 08:01:14</t>
  </si>
  <si>
    <t xml:space="preserve">MRO e-Caltalog시스템 경유건으로 대체 Maker 미 발굴건, 기 설치된 Cylinder의 호환성을 위해 특정 사양으로 등록건 확인,  _x000D_
유사사양 확인 후 승인_x000D_
</t>
  </si>
  <si>
    <t>leetaeho0411@posco.co.kr</t>
  </si>
  <si>
    <t>Q4629827</t>
  </si>
  <si>
    <t>125Dx727Dx500ST,9.7kgf/cm2,[CDS1TN125-KRD0368-500-Z73L/SMC],MAKER DWG NO:CDS1TN125-KRD0368-500-Z73L,OR EQUIVALENT</t>
  </si>
  <si>
    <t>CDS1TN125-KRD0368-500-Z73L</t>
  </si>
  <si>
    <t>MAKER DWG NO:CDS1TN125-KRD0368-500-Z73L</t>
  </si>
  <si>
    <t>CDS1TN125-KRD0368-500-Z73L_20240109111550766.pdf</t>
  </si>
  <si>
    <t>cds1_20240109111427520.png</t>
  </si>
  <si>
    <t>2024-02-20 14:02:50</t>
  </si>
  <si>
    <t>Q4636081</t>
  </si>
  <si>
    <t>CWC(DA),FA,180Dx45Dx100ST,9.89kgf/cm2,[CS1FN180-KRT04JO-100/SMC],MAKER DWG NO:CS1FN180-KRT04JO-100,FOR 1EGL ACS &amp; ARS WRINGER ROLL TOP PNEUMATIC CYLINDER,OR EQUIVALENT</t>
  </si>
  <si>
    <t>CS1FN180-KRT04JO-100</t>
  </si>
  <si>
    <t>MAKER DWG NO:CS1FN180-KRT04JO-100</t>
  </si>
  <si>
    <t>FOR 1EGL ACS &amp; ARS WRINGER ROLL TOP PNEUMATIC CYLINDER</t>
  </si>
  <si>
    <t>CS1FN180-KRT04JO-100 도면_20240417162506734.pdf</t>
  </si>
  <si>
    <t>CS1FN180-KRT04JO-100 대표_20240417162429494.PNG</t>
  </si>
  <si>
    <t xml:space="preserve">Q4111676등 유사 item 검색하였으나, stroke등 상이하여 확인하고 승인합니다. </t>
  </si>
  <si>
    <t>Q4636670</t>
  </si>
  <si>
    <t>CWC(DA),CA,320Dx320Dx250ST,[CDS2T320-250-CJCD0239/SMC],MAKER DWG NO:CDS2T320-250-CJCD0239,OR EQUIVALENT</t>
  </si>
  <si>
    <t>CDS2T320-250-CJCD0239</t>
  </si>
  <si>
    <t>MAKER DWG NO:CDS2T320-250-CJCD0239</t>
  </si>
  <si>
    <t>CDS2T320-250-CJCD0239_20240424160715569.pdf</t>
  </si>
  <si>
    <t>cs2 실린더_20240424160715682.PNG</t>
  </si>
  <si>
    <t>2024-04-25 08:04:39</t>
  </si>
  <si>
    <t xml:space="preserve">Q4627207등 유사item 검색하였으나, Boa Size상이로 확인하고 승인합니다. </t>
  </si>
  <si>
    <t>Q4636671</t>
  </si>
  <si>
    <t>CWC(DA),CA,250Dx250Dx250ST,[CDS2T250-250-CJCD0238/SMC],MAKER DWG NO:CDS2T250-250-CJCD0238,OR EQUIVALENT</t>
  </si>
  <si>
    <t>CDS2T250-250-CJCD0238</t>
  </si>
  <si>
    <t>MAKER DWG NO:CDS2T250-250-CJCD0238</t>
  </si>
  <si>
    <t>자재_물품등록_특정사양품 검토의뢰서_15,16가이드밴 실린더_이현우_20240424_20240424160857118.pptx</t>
  </si>
  <si>
    <t>cs2 실린더_20240424160857281.PNG</t>
  </si>
  <si>
    <t>2024-04-25 08:04:23</t>
  </si>
  <si>
    <t>Q4304959등 유사item 검색하였으나 Boa Size 등이 상이함 확인후 승인합니다.</t>
  </si>
  <si>
    <t>Q4642442</t>
  </si>
  <si>
    <t>CWC(DA),TC,63Dx20Dx125ST,7kgf/cm2,[CA2WT63-125KKZ-NW-XC5/SMC],FOR 2SMP SUB LANCE LOCKING DEVICE,OR EQUIVALENT</t>
  </si>
  <si>
    <t>CA2WT63-125KKZ-NW-XC5</t>
  </si>
  <si>
    <t>FOR 2SMP SUB LANCE LOCKING DEVICE</t>
  </si>
  <si>
    <t>https://www.smckorea.co.kr/ppis/data/catalog/CA2-Z.pdf?ver=9343.67818688394</t>
  </si>
  <si>
    <t>실린더 사진(복동, 양로드)_20240416114404866.png</t>
  </si>
  <si>
    <t>2024-06-28 10:06:43</t>
  </si>
  <si>
    <t xml:space="preserve">Q4107450 등 유사itme 검색하였으나, 없음 확인후 승인합니다. </t>
  </si>
  <si>
    <t>장재훈</t>
  </si>
  <si>
    <t>banana4356@posco.co.kr</t>
  </si>
  <si>
    <t>Q4648582</t>
  </si>
  <si>
    <t>CWC(DA),TC,80Dx25Dx800ST,10kgf/cm2,[CA2T80-800KZ-NW-XB6/SMC],FOR 2SMP DE-P SUB LANCE SLIDE GATE,OR EQUIVALENT</t>
  </si>
  <si>
    <t>CA2T80-800KZ-NW-XB6</t>
  </si>
  <si>
    <t>FOR 2SMP DE-P SUB LANCE SLIDE GATE</t>
  </si>
  <si>
    <t>https://www.smckorea.co.kr/homepage/ver3.5/product/catalogue_sub_detail.asp?cata_no=913</t>
  </si>
  <si>
    <t>실린더_20130409102657047_20240826073238606.jpg</t>
  </si>
  <si>
    <t>2024-08-27 08:08:20</t>
  </si>
  <si>
    <t xml:space="preserve">** 추후 결재문서 단수+특정사양으로 등록하는 사유를 좀 더 보완하여  작성 부탁드립니다. _x000D_
Q4037562등 유사item 검색하였으나, 회전 수 등 상이하여 확인후 승인합니다. </t>
  </si>
  <si>
    <t>Q4649046</t>
  </si>
  <si>
    <t>CWC(DA),CC,40Dx14Dx350ST,10kgf/cm2,[CDBM2B40-350-HN-A93/SMC],FOR 3CAL SAMPLE MACHINE "Y" HEAD,OR EQUIVALENT</t>
  </si>
  <si>
    <t>CDBM2B40-350-HN-A93</t>
  </si>
  <si>
    <t>FOR 3CAL SAMPLE MACHINE "Y" HEAD</t>
  </si>
  <si>
    <t>CM2엔드락_20240808163226993.jpg</t>
  </si>
  <si>
    <t>CM2엔드락_20240808163208789.jpg</t>
  </si>
  <si>
    <t>2024-09-02 11:09:47</t>
  </si>
  <si>
    <t>구건웅</t>
  </si>
  <si>
    <t>kkkunwoong@posco.co.kr</t>
  </si>
  <si>
    <t>2024-11-13 15:11:56</t>
  </si>
  <si>
    <t>Q4655802</t>
  </si>
  <si>
    <t>CWC(DA),TA,80Dx50Dx200ST,10kgf/cm2,[CDA2T80-KRT09KO-200Z-A54L3/SMC],FOR K1SMP 1RH SAMPLING PROBE LOADING CLAMP ROTATE,OR EQUIVALENT</t>
  </si>
  <si>
    <t>CDA2T80-KRT09KO-200Z-A54L3</t>
  </si>
  <si>
    <t>FOR K1SMP 1RH SAMPLING PROBE LOADING CLAMP ROTATE</t>
  </si>
  <si>
    <t>CDA2T80-KRT09KO-200Z-A54L3 대표사진_20241105115621263.PNG</t>
  </si>
  <si>
    <t>Q4657313</t>
  </si>
  <si>
    <t>CWC(DA),CB,80Dx25Dx200ST,10kgf/cm2,[CDA2D80-KRT09KO-200Z-W-A54Z/SMC],FOR K2SMP BUBBLING SAMPLING LANCE,OR EQUIVALENT</t>
  </si>
  <si>
    <t>CDA2D80-KRT09KO-200Z-W-A54Z</t>
  </si>
  <si>
    <t>FOR K2SMP BUBBLING SAMPLING LANCE</t>
  </si>
  <si>
    <t>벨로우즈 표준화_20241127165904391.pdf</t>
  </si>
  <si>
    <t>CA2 취부옵션_20241127165605635.jpg</t>
  </si>
  <si>
    <t>2024-11-29 07:11:40</t>
  </si>
  <si>
    <t xml:space="preserve">Q4591758등 유사item 검색하였으나, 동일 maker의 다른 형범임 확인하고 승인합니다. </t>
  </si>
  <si>
    <t>Q4658997</t>
  </si>
  <si>
    <t>CWC(DA),CC,140Dx300ST,9.9kgf/cm2,[CS1DN140-KRT04K0-300-XC5/SMC],7GGL AL INGOT FEEDER,OR EQUIVALENT</t>
  </si>
  <si>
    <t>CS1DN140-KRT04K0-300-XC5</t>
  </si>
  <si>
    <t>7GGL AL INGOT FEEDER</t>
  </si>
  <si>
    <t>https://www.smckorea.co.kr/ppis/data/catalog/CS1.pdf?ver=5456.764074372962</t>
  </si>
  <si>
    <t>CYLINDER-INGOT_20241216075846425.jpg</t>
  </si>
  <si>
    <t>2024-12-17 16:12:14</t>
  </si>
  <si>
    <t xml:space="preserve">Q4448869등 유사item 검색하였으나, 동일 메이커의 다른 형번임 확인후 승인합니다. _x000D_
</t>
  </si>
  <si>
    <t>Q4660031</t>
  </si>
  <si>
    <t>250Dx60Dx830ST,[CS1D250-KRD0368-830/SMC],FOR K3H SCRAP CHUTE LIFT,OR EQUIVALENT</t>
  </si>
  <si>
    <t>CS1D250-KRD0368-830</t>
  </si>
  <si>
    <t>FOR K3H SCRAP CHUTE LIFT</t>
  </si>
  <si>
    <t>cs1d250_20241218132730514.png</t>
  </si>
  <si>
    <t>https://www.smckorea.co.kr/homepage/ver3.5/product/catalogue_sub_detail.asp?cata_no=914</t>
  </si>
  <si>
    <t>캡처1_20250226141148414.png</t>
  </si>
  <si>
    <t>2025-02-27 13:02:36</t>
  </si>
  <si>
    <t xml:space="preserve">Q4020093등 유사item 검색하였으나,  stroke등 상이함 확인후 승인합니다. </t>
  </si>
  <si>
    <t>Q4660885</t>
  </si>
  <si>
    <t>10Dx4Dx60ST,0.61kgf/cm2,[MXH10-60Z-M9NS/SMC],OR EQUIVALENT</t>
  </si>
  <si>
    <t>MXH10-60Z-M9NS</t>
  </si>
  <si>
    <t>MXH-Z_20250107115123648.pdf</t>
  </si>
  <si>
    <t>https://www.smckorea.co.kr/ppis/data/catalog/MXH-Z.pdf?ver=7980.5295135706665</t>
  </si>
  <si>
    <t>MXH10-60Z-M9NS_20250107115123747.jpg</t>
  </si>
  <si>
    <t>2025-01-08 09:01:49</t>
  </si>
  <si>
    <t xml:space="preserve">MRO e-Caltalog시스템 경유건으로 대체 Maker 미 발굴건, 기 설치된 Cylinder의 호환성을 위해 특정 사양으로 등록건 확인, _x000D_
Q4644095등 유사item 검색하였으나, 유사/동일품 없음 확인후 승인합니다. _x000D_
</t>
  </si>
  <si>
    <t>홍성준</t>
  </si>
  <si>
    <t>ghdtjdwns181@posco.co.kr</t>
  </si>
  <si>
    <t>Q4661659</t>
  </si>
  <si>
    <t>CWC(DA),FA,30Dx100Dx220ST,[ACM-N FA 100-S220/KCC],FOR K1APL EXIT SIDE GUIDE OPEN CLOSE,OR EQUIVALENT</t>
  </si>
  <si>
    <t>ACM-N FA 100-S220</t>
  </si>
  <si>
    <t>FOR K1APL EXIT SIDE GUIDE OPEN CLOSE</t>
  </si>
  <si>
    <t>K1APL Exit Side Guide OpenClose KCC Pneumatic Cylinder 카탈로그_20250110074338417.png</t>
  </si>
  <si>
    <t>K1APL Exit Side Guide OpenClose KCC Pneumatic Cylinder 카탈로그 실물 사진_20250110074338483.png</t>
  </si>
  <si>
    <t>2025-01-14 13:01:22</t>
  </si>
  <si>
    <t xml:space="preserve">MRO e-Caltalog시스템 경유건으로 대체 Maker 미 발굴건, 기 설치된 Cylinder의 호환성을 위해 특정 사양으로 등록건 확인, _x000D_
Q4124778등 유사item 검색하였으나, 유사/동일품 없음 확인후 승인합니다. _x000D_
(특정 사양품감축 관련) 차후 입고시 스케치, 현물 확인을 통한 도면화,일반 사양화, 복수화 전환 검토 요청 필히 부탁드립니다. 감사합니다._x000D_
</t>
  </si>
  <si>
    <t>Q4661796</t>
  </si>
  <si>
    <t>CWC(DA),CA,250Dx150ST,[CS1CN250-KRD0368-150/SMC],FOR K1APL NO.6 TBR SNUBBER ROLL UP/DOWN,OR EQUIVALENT</t>
  </si>
  <si>
    <t>CS1CN250-KRD0368-150</t>
  </si>
  <si>
    <t>FOR K1APL NO.6 TBR SNUBBER ROLL UP/DOWN</t>
  </si>
  <si>
    <t>6TBR SR SMC Pneumatic Cylinder 카탈로그_20250113100103768.png</t>
  </si>
  <si>
    <t>SMC Pneumatic Cylinder 실물 사진_20250113100103847.png</t>
  </si>
  <si>
    <t>2025-01-15 11:01:16</t>
  </si>
  <si>
    <t xml:space="preserve">MRO e-Caltalog시스템 경유건으로 대체 Maker 미 발굴건, 기 설치된 Cylinder의 호환성을 위해 특정 사양으로 등록건 확인, _x000D_
Q4077013 등 유사 item 검색하였으나, 유사/동일품 없음 확인후 승인합니다. _x000D_
(특정 사양품감축 관련) 차후 입고시 스케치, 현물 확인을 통한 도면화,일반 사양화, 복수화 전환 검토 요청 필히 부탁드립니다. 감사합니다._x000D_
</t>
  </si>
  <si>
    <t>설비기술섹션</t>
  </si>
  <si>
    <t>Q4662387</t>
  </si>
  <si>
    <t>CWC(DA),FA,180Dx45Dx80ST,9.9kgf/cm2,[CS1F180-80-KRHD0444/SMC],FOR 1CGL EXIT WRINGER ROLL OPEN&amp;CLOSE CYLINDER,OR EQUIVALENT</t>
  </si>
  <si>
    <t>CS1F180-80-KRHD0444</t>
  </si>
  <si>
    <t>FOR 1CGL EXIT WRINGER ROLL OPEN&amp;CLOSE CYLINDER</t>
  </si>
  <si>
    <t>CS1F180-80-KRHD0444 도면_20250102163354322.pdf</t>
  </si>
  <si>
    <t>https://www.smckorea.co.kr/esales/data/sangpum/kisul_qa/2024KS012656/KRHD0444-AP.pdf</t>
  </si>
  <si>
    <t>CS1_20250102163143465.jpg</t>
  </si>
  <si>
    <t>CS1F180-80-KRHD0444_SMC_20250116152515461.jpg</t>
  </si>
  <si>
    <t>2025-01-20 15:01:54</t>
  </si>
  <si>
    <t xml:space="preserve">MRO e-Caltalog시스템 경유건으로 대체 Maker 미 발굴건, 기 설치된 Cylinder의 호환성을 위해 특정 사양으로 등록건 확인,_x000D_
Q4111676 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</si>
  <si>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Q4662525</t>
  </si>
  <si>
    <t>CWC(DA),FL,40Dx250ST,10kgf/cm2,[CDM2L40-250Z-M9BL/SMC],FOR 1RCL EXIT SLEEVE MACHINE,OR EQUIVALENT</t>
  </si>
  <si>
    <t>CDM2L40-250Z-M9BL</t>
  </si>
  <si>
    <t>FOR 1RCL EXIT SLEEVE MACHINE</t>
  </si>
  <si>
    <t>Pneumatic Cylinder_20250114075055004.png</t>
  </si>
  <si>
    <t>2025-01-21 13:01:25</t>
  </si>
  <si>
    <t xml:space="preserve">MRO e-Caltalog시스템 경유건으로 대체 Maker 미 발굴건, 기 설치된 Cylinder의 호환성을 위해 특정 사양으로 등록건 확인,_x000D_
Q4241983등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</si>
  <si>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Q4663082</t>
  </si>
  <si>
    <t>CWC(DA),80Dx22Dx75ST,10kgf/cm2,[CQ2A80-75DMZ/SMC],FOR STSTHENS 1CPL PAPER UNWINDER,OR EQUIVALENT</t>
  </si>
  <si>
    <t>CQ2A80-75DMZ</t>
  </si>
  <si>
    <t>FOR STSTHENS 1CPL PAPER UNWINDER</t>
  </si>
  <si>
    <t>박형 실린더 외형_20250122124715278.jpg</t>
  </si>
  <si>
    <t>2025-02-03 07:02:02</t>
  </si>
  <si>
    <t xml:space="preserve">MRO e-Caltalog시스템 경유건으로 대체 Maker 미 발굴건, 기 설치된 Cylinder의 호환성을 위해 특정 사양으로 등록건 확인,_x000D_
Q4420623등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</si>
  <si>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Q4664034</t>
  </si>
  <si>
    <t>CSA,180Dx45Dx850ST,10kgf/cm2,[CS1TN180-KRD036-8-850-XC15/SMC],OR EQUIVALENT</t>
  </si>
  <si>
    <t>CS1TN180-KRD036-8-850-XC15</t>
  </si>
  <si>
    <t>BANDING MACHINE HEAD CARRIAGE CYLINDER_20250205075724806.jpg</t>
  </si>
  <si>
    <t>김희재</t>
  </si>
  <si>
    <t>gmlwo7225@posco.co.kr</t>
  </si>
  <si>
    <t>2025-02-10 09:02:20</t>
  </si>
  <si>
    <t xml:space="preserve">MRO e-Caltalog시스템 경유건으로 대체 Maker 미 발굴건, 기 설치된 Cylinder의 호환성을 위해 특정 사양으로 등록건 확인,_x000D_
Q4350825 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</si>
  <si>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Q4664750</t>
  </si>
  <si>
    <t>CWC(DA),TC,80Dx25Dx150ST,10kgf/cm2,[CA2T80-KRT09KO-150Z-XC5/SMC],OR EQUIVALENT</t>
  </si>
  <si>
    <t>CA2T80-KRT09KO-150Z-XC5</t>
  </si>
  <si>
    <t>CA2_20250211141456015.jpg</t>
  </si>
  <si>
    <t>2025-02-17 16:02:12</t>
  </si>
  <si>
    <t xml:space="preserve">MRO e-Caltalog시스템 경유건으로 대체 Maker 미 발굴건, 기 설치된 Cylinder의 호환성을 위해 특정 사양으로 등록건 확인,_x000D_
Q4107450등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</si>
  <si>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Q4667371</t>
  </si>
  <si>
    <t>25Dx25Dx370ST,8kgf/cm2,[MY1B25-370-A93/SMC],BANDING MACHINE PAD EJECT,OR EQUIVALENT</t>
  </si>
  <si>
    <t>MY1B25-370-A93</t>
  </si>
  <si>
    <t>BANDING MACHINE PAD EJECT</t>
  </si>
  <si>
    <t>https://www.smckorea.co.kr/ppis/data/catalog/MY1.pdf?ver=104.67060961103725</t>
  </si>
  <si>
    <t>삼정_패드_실린더_ggwakjs_20210104_092200_20250327160457894.jpg</t>
  </si>
  <si>
    <t>2025-03-27 17:03:22</t>
  </si>
  <si>
    <t xml:space="preserve">_x000D_
MRO e-Caltalog시스템 경유건으로 대체 Maker 미 발굴건, 기 설치된 CYLINDER의 호환성을 위해 특정 사양으로 등록건 확인,_x000D_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</si>
  <si>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 xml:space="preserve">MRO e-Caltalog시스템 경유건으로 대체 Maker 미 발굴건, 기 설치된 CYLINDER의 호환성을 위해 특정 사양으로 등록건 확인,_x000D_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</si>
  <si>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Q4668346</t>
  </si>
  <si>
    <t>40Dx16Dx150ST,10.197162kgf/cm2,[MGPM40-150-HL-M9BZ/SMC],OR EQUIVALENT</t>
  </si>
  <si>
    <t>MGPM40-150-HL-M9BZ</t>
  </si>
  <si>
    <t>2RCL MGPM40-150-HL-M9BZ_20250321085338735.jpg</t>
  </si>
  <si>
    <t>2025-03-21 11:03:39</t>
  </si>
  <si>
    <t>Q4669390</t>
  </si>
  <si>
    <t>CWC(DA),CA,125Dx90Dx350ST,15kgf/cm2,[CDS1CN125-KRD0368-350-A54L/SMC],MAKER DWG NO:CDS1CN125-KRD0368-350-A54L,OR EQUIVALENT</t>
  </si>
  <si>
    <t>CDS1CN125-KRD0368-350-A54L</t>
  </si>
  <si>
    <t>MAKER DWG NO:CDS1CN125-KRD0368-350-A54L</t>
  </si>
  <si>
    <t>CDS1CN125-KRD0368-350-A54L 도면_20250325141804318.pdf</t>
  </si>
  <si>
    <t>CDS1CN125-KRD0368-350-A54L 대표사진_20250325141743709.png</t>
  </si>
  <si>
    <t>2025-04-02 10:04:28</t>
  </si>
  <si>
    <t xml:space="preserve">MRO e-Caltalog시스템 경유건으로 대체 Maker 미 발굴건, 기 설치된 CYLINDER의 호환성을 위해 특정 사양으로 등록건 확인,_x000D_
Q4096129등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</si>
  <si>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정세훈</t>
  </si>
  <si>
    <t>sehun0129@posco.co.kr</t>
  </si>
  <si>
    <t xml:space="preserve">기 설치된 물품의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</si>
  <si>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Q4672372</t>
  </si>
  <si>
    <t>CWC(DA),FB,160Dx40Dx50ST,10kgf/cm2,[TCS1GN160-50J/TPC]</t>
  </si>
  <si>
    <t>TCS1GN160-50J</t>
  </si>
  <si>
    <t>TCS1_20250424094050986.jpg</t>
  </si>
  <si>
    <t>https://tpcpage.co.kr/goods/detail.asp?gno=1538&amp;cate=714</t>
  </si>
  <si>
    <t>TCS_20250424094214231.jpg</t>
  </si>
  <si>
    <t>2025-04-29 15:04:47</t>
  </si>
  <si>
    <t xml:space="preserve">기 설치된 물품의 호환성을 위해 특정 사양으로 등록건 확인,_x000D_
Q4591763등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</si>
  <si>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Q4674415</t>
  </si>
  <si>
    <t>50Dx40Dx550ST,15kgf/cm2,[CDA2L50-550Z/SMC],FOR 2PL MOVING CAR,OR EQUIVALENT</t>
  </si>
  <si>
    <t>CDA2L50-550Z</t>
  </si>
  <si>
    <t>FOR 2PL MOVING CAR</t>
  </si>
  <si>
    <t>https://www.smcpneumatics.com/CDA2L50-550Z-P3DWASC.html</t>
  </si>
  <si>
    <t>CA2-Z_20250513104917334.jpg</t>
  </si>
  <si>
    <t>2025-05-21 07:05:44</t>
  </si>
  <si>
    <t>Q4675089</t>
  </si>
  <si>
    <t>CWC(DA),25Dx25Dx25ST,10kgf/cm2,[CDM2B25-25Z-A93L/SMC],FOR CHARPY IMPACT TESTER(STOPPER),OR EQUIVALENT</t>
  </si>
  <si>
    <t>CDM2B25-25Z-A93L</t>
  </si>
  <si>
    <t>FOR CHARPY IMPACT TESTER(STOPPER)</t>
  </si>
  <si>
    <t>_SMC_CDM2B25-25Z-A93L_CATALOG_20250526104540071.pdf</t>
  </si>
  <si>
    <t>SMC_CDM2B25-25Z-A93L_20250526104504139.jpg</t>
  </si>
  <si>
    <t>2025-05-27 17:05:32</t>
  </si>
  <si>
    <t xml:space="preserve">기 설치된 물품의 호환성을 위해 특정 사양으로 등록건 확인,_x000D_
Q4290511등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</si>
  <si>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Q4675156</t>
  </si>
  <si>
    <t>CWC(DA),16Dx16Dx25ST,7kgf/cm2,[CDJ2F16-25Z-A93L-B/SMC],FOR CHARPY IMPACT TESTER(SETTER),OR EQUIVALENT</t>
  </si>
  <si>
    <t>CDJ2F16-25Z-A93L-B</t>
  </si>
  <si>
    <t>FOR CHARPY IMPACT TESTER(SETTER)</t>
  </si>
  <si>
    <t>_SMC_CDJ2F16-25Z-A93L-B_CATALOG_20250526104947035.pdf</t>
  </si>
  <si>
    <t>SMC_CDJ2F16-25Z-A93L-B_20250526105245175.jpg</t>
  </si>
  <si>
    <t>2025-05-28 11:05:31</t>
  </si>
  <si>
    <t xml:space="preserve">기 설치된 물품의 호환성을 위해 특정 사양으로 등록건 확인,_x000D_
Q4644072등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</si>
  <si>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Q4675164</t>
  </si>
  <si>
    <t>CWC(DA),25Dx25Dx30ST,7kgf/cm2,[CDUK25-30D-A93L/SMC],FOR CHARPY IMPACT TESTER(BURR REMOVER),OR EQUIVALENT</t>
  </si>
  <si>
    <t>CDUK25-30D-A93L</t>
  </si>
  <si>
    <t>FOR CHARPY IMPACT TESTER(BURR REMOVER)</t>
  </si>
  <si>
    <t>_SMC_CDUK25-30D-A93L_CATALOG_20250526111558421.pdf</t>
  </si>
  <si>
    <t>SMC_CDUK25-30D-A93L_20250526111854632.jpg</t>
  </si>
  <si>
    <t>2025-05-28 13:05:15</t>
  </si>
  <si>
    <t xml:space="preserve">기 설치된 물품의 호환성을 위해 특정 사양으로 등록건 확인,_x000D_
Q4594812등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</si>
  <si>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CWC(DA),16Dx16Dx25ST,10kgf/cm2,[CDQSD16-25DM-A93L/SMC],FOR CHARPY IMPACT TESTER(HOLDER),OR EQUIVALENT</t>
  </si>
  <si>
    <t>CDQSD16-25DM-A93L</t>
  </si>
  <si>
    <t>FOR CHARPY IMPACT TESTER(HOLDER)</t>
  </si>
  <si>
    <t>_SMC_CDQSD16-25DM-A93L_CATALOG_20250528132218077.pdf</t>
  </si>
  <si>
    <t>SMC_CDQSD16-25DM-A93L_20250528132218190.jpg</t>
  </si>
  <si>
    <t>2025-05-29 13:05:54</t>
  </si>
  <si>
    <t xml:space="preserve">기 설치된 물품의 호환성을 위해 특정 사양으로 등록건 확인,_x000D_
Q4644099등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</si>
  <si>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 xml:space="preserve">기 설치된 물품의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부탁드립니다. 감사합니다._x000D_
</t>
  </si>
  <si>
    <t>Q4680486</t>
  </si>
  <si>
    <t>CWC(DA),CA,63Dx20Dx64ST,10kgf/cm2,[CG1DN63-64-CJD00567/SMC],MAKER DWG NO:CG1DN63-64-CJD00567,FOR K1C 3RCL OILER DRIP PAN SWING CYLINDER,OR EQUIVALENT</t>
  </si>
  <si>
    <t>CG1DN63-64-CJD00567</t>
  </si>
  <si>
    <t>MAKER DWG NO:CG1DN63-64-CJD00567</t>
  </si>
  <si>
    <t>FOR K1C 3RCL OILER DRIP PAN SWING CYLINDER</t>
  </si>
  <si>
    <t>CG1DN63-64-CJD00567_20250717071148728.pdf</t>
  </si>
  <si>
    <t>https://www.smckorea.co.kr/ppis/data/domyun/CJD00567-AP..pdf</t>
  </si>
  <si>
    <t>CG1_20250717071148769.jpg</t>
  </si>
  <si>
    <t>2025-07-17 09:07:26</t>
  </si>
  <si>
    <t xml:space="preserve">기 설치된 물품의 호환성을 위해 특정 사양으로 등록건 확인,_x000D_
Q2230732등 유사item 검색하였으나, 유사/동일품 없음 확인후 승인합니다._x000D_
(특정 사양품감축 관련) 차후 입고시 스케치, 현물 확인을 통한 도면화, 일반 사양화, 복수화 전환 검토 요청 부탁드립니다. 감사합니다._x000D_
_x000D_
</t>
  </si>
  <si>
    <t>CA,100Dx30Dx300ST,10kgf/cm2,[CA2B100-300Z/SMC],2FINEX RTO,OR EQUIVALENT</t>
  </si>
  <si>
    <t>CA2B100-300Z</t>
  </si>
  <si>
    <t>2FINEX RTO</t>
  </si>
  <si>
    <t>250812_A2_제선설비부_물품등록자료_T1663035 2FINEX RTO Pneumatic Cylinder CA2B100-300Z Catalog_20250812185026609.pdf</t>
  </si>
  <si>
    <t>https://www.smcpneumatics.com/CA2B100-300Z.html</t>
  </si>
  <si>
    <t>250812_A2_제선설비부_물품등록자료_T1663035 2FINEX RTO Pneumatic Cylinder CA2B100-300Z image_20250812185329161.jpg</t>
  </si>
  <si>
    <t>2025-08-13 07:08:01</t>
  </si>
  <si>
    <t>2025-08-19 13:08:47</t>
  </si>
  <si>
    <t>Q4683941</t>
  </si>
  <si>
    <t>CWC(DA),FA,63Dx20Dx600ST,10kgf/cm2,[MDBF63-600Z-W-M9BW/SMC],OR EQUIVALENT</t>
  </si>
  <si>
    <t>MDBF63-600Z-W-M9BW</t>
  </si>
  <si>
    <t>https://www.smckorea.co.kr/ &gt; 제품 검색 &gt; MDBF63-600Z-W-M9BW</t>
  </si>
  <si>
    <t>MDBF63-600Z-W-M9BW_20250818083414243.jpg</t>
  </si>
  <si>
    <t>Q4685419</t>
  </si>
  <si>
    <t>25Dx700ST,8kgf/cm2,[MY1B25-700Z-M9BW/SMC],OR EQUIVALENT</t>
  </si>
  <si>
    <t>MY1B25-700Z-M9BW</t>
  </si>
  <si>
    <t>MY1B25-700Z-M9BW_20250827113240355.jpg</t>
  </si>
  <si>
    <t>MY1B_20250827113210693.jpg</t>
  </si>
  <si>
    <t>2025-09-01 17:09:10</t>
  </si>
  <si>
    <t>Q4685560</t>
  </si>
  <si>
    <t>200Dx50Dx80ST,9.89kgf/cm2,[CS1FN200-KRT04KO-80/SMC],2APL PICKLE SQUEEZE ROLL UP/DOWN,OR EQUIVALENT</t>
  </si>
  <si>
    <t>CS1FN200-KRT04KO-80</t>
  </si>
  <si>
    <t>2APL PICKLE SQUEEZE ROLL UP/DOWN</t>
  </si>
  <si>
    <t>CS1FN200-KRT04KO-80_20250901145913989.pdf</t>
  </si>
  <si>
    <t>https://www.smckorea.co.kr/homepage/ver3.5/product/catalogue_sub_detail.asp?no=914</t>
  </si>
  <si>
    <t>CS1_20250827152926703.jpg</t>
  </si>
  <si>
    <t>2025-09-02 16:09:21</t>
  </si>
  <si>
    <t xml:space="preserve">기 설치된 물품의 호환성을 위해 특정 사양으로 등록건 확인, _x000D_
유사 item 검색하였으나, 유사/동일품 없음 확인후 승인합니다._x000D_
(특정 사양품감축 관련) 차후 입고시 스케치, 현물 확인을 통한 도면화, 일반 사양화, 복수화 전환 검토 요청 부탁드립니다. 감사합니다._x000D_
</t>
  </si>
  <si>
    <t>Q4687826</t>
  </si>
  <si>
    <t>CSB,32Dx12Dx50ST,10kgf/cm2,[CDG1BA32-50Z1/SMC],OR EQUIVALENT</t>
  </si>
  <si>
    <t>CDG1BA32-50Z1</t>
  </si>
  <si>
    <t>재질시험실 100KJ DWTT 실린더 (스토퍼)_20251203155205532.png</t>
  </si>
  <si>
    <t>2025-12-04 13:12:06</t>
  </si>
  <si>
    <t>Q4688206</t>
  </si>
  <si>
    <t>CWC(DA),SD,50Dx20Dx100ST,10.2kgf/cm2,[CDQ2A50-100DCZ-M9BWL/SMC],OR EQUIVALENT</t>
  </si>
  <si>
    <t>CDQ2A50-100DCZ-M9BWL</t>
  </si>
  <si>
    <t>16. 특정사양품(신규등록) 품의서(CDQ2A50-100DCZ-M9BWL)_20250924145804115.docx</t>
  </si>
  <si>
    <t xml:space="preserve"> https://www.smckorea.co.kr/</t>
  </si>
  <si>
    <t>16. Pneumatic Valve (공압 밸브)_20250924145312817.jpg</t>
  </si>
  <si>
    <t>2025-09-24 17:09:00</t>
  </si>
  <si>
    <t xml:space="preserve">기 설치된 물품의 호환성을 위해 특정 사양으로 등록건 확인,_x000D_
유사 item 검색하였으나, 유사/동일품 없음 확인후 승인합니다._x000D_
(특정 사양품감축 관련) 차후 입고시 스케치, 현물 확인을 통한 도면화, 일반 사양화, 복수화 전환 검토 요청 부탁드립니다. 감사합니다._x000D_
</t>
  </si>
  <si>
    <t>Q4691661</t>
  </si>
  <si>
    <t>CWC(DA),CD,140Dx36Dx200ST,10kgf/cm2,[CDS1DN140-KRT04KO-200-M9NL/SMC],FOR CGL PREMELT POT INGOT FEEDER,OR EQUIVALENT</t>
  </si>
  <si>
    <t>CDS1DN140-KRT04KO-200-M9NL</t>
  </si>
  <si>
    <t>FOR CGL PREMELT POT INGOT FEEDER</t>
  </si>
  <si>
    <t>SMC_file_20251103093934935.pdf</t>
  </si>
  <si>
    <t>CDS1DN_20251111073833443.png</t>
  </si>
  <si>
    <t>2025-11-11 17:11:54</t>
  </si>
  <si>
    <t xml:space="preserve">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</si>
  <si>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2023</t>
  </si>
  <si>
    <t>Q4694472</t>
  </si>
  <si>
    <t>CWC(DA),TC,140Dx36Dx150ST,10kgf/cm2,[CDS1TN140-KRT04KO-150/SMC],FOR CGL PREMELT LAUNDER COVER,OR EQUIVALENT</t>
  </si>
  <si>
    <t>CDS1TN140-KRT04KO-150</t>
  </si>
  <si>
    <t>FOR CGL PREMELT LAUNDER COVER</t>
  </si>
  <si>
    <t>상품정보_CS1 벨로우즈 부착 실린더_20251202145700110.pdf</t>
  </si>
  <si>
    <t>CDS1TN140-KRT04KO-150_20251201134541695.png</t>
  </si>
  <si>
    <t>2025-12-02 15:12:56</t>
  </si>
  <si>
    <t>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t>
  </si>
  <si>
    <t xml:space="preserve">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</si>
  <si>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Q4695802</t>
  </si>
  <si>
    <t>CWC(DA),TA,32Dx12Dx35ST,10kgf/cm2,[CM2U32-35/SMC],FOR K1ACL WELDER DRESSER PRESSING OPEN/CLOSE AIR CYLINDER,OR EQUIVALENT</t>
  </si>
  <si>
    <t>CM2U32-35</t>
  </si>
  <si>
    <t>FOR K1ACL WELDER DRESSER PRESSING OPEN/CLOSE AIR CYLINDER</t>
  </si>
  <si>
    <t>SMC_CM2 시리즈_20251215112715432.pdf</t>
  </si>
  <si>
    <t>Dresser pressing cylinder_20251215111118649.jpg</t>
  </si>
  <si>
    <t>2025-12-16 17:12:41</t>
  </si>
  <si>
    <t>Q4696036</t>
  </si>
  <si>
    <t>CWC(DA),CB,200Dx50Dx1800ST,10kgf/cm2,[CDS1DN200-KRD0368-1800-X1034/SMC],FOR 1EGL BANDING MACHINE HEAD,OR EQUIVALENT</t>
  </si>
  <si>
    <t>CDS1DN200-KRD0368-1800-X1034</t>
  </si>
  <si>
    <t>FOR 1EGL BANDING MACHINE HEAD</t>
  </si>
  <si>
    <t>CDS1 CYLINDER_20251215074400923.jpg</t>
  </si>
  <si>
    <t>2025-12-18 13:12:03</t>
  </si>
  <si>
    <t xml:space="preserve">기 설치된 물품의 호환성을 위해 특정 사양으로 등록건 확인,
Q4391441등 유사 item 검색하였으나 동일 메이커의 다른 형번임을 확인하였고, 유사/동일품 없음 확인후 승인합니다.
(특정 사양품감축 관련) 차후 입고시 스케치, 현물 확인을 통한 도면화, 일반 사양화, 복수화 전환 검토 요청 부탁드립니다. 감사합니다.
</t>
  </si>
  <si>
    <t>Q4697437</t>
  </si>
  <si>
    <t>CWC(DA),TC,200Dx246ST,[CDS1TN200-246K-A54/SMC],OR EQUIVALENT</t>
  </si>
  <si>
    <t>CDS1TN200-246K-A54</t>
  </si>
  <si>
    <t>CS1_20260106170106839.pdf</t>
  </si>
  <si>
    <t>CS1LN125-KRT04KO-600_20260106171938339.png</t>
  </si>
  <si>
    <t>2026-01-07 08:01:32</t>
  </si>
  <si>
    <t>Q-Code</t>
  </si>
  <si>
    <t>그룹사명</t>
  </si>
  <si>
    <t>품명</t>
  </si>
  <si>
    <t>Purchase Category</t>
  </si>
  <si>
    <t>표준화섹션담당자</t>
  </si>
  <si>
    <t>자재특성구분</t>
  </si>
  <si>
    <t>처리상태</t>
  </si>
  <si>
    <t>조달</t>
  </si>
  <si>
    <t>통화</t>
  </si>
  <si>
    <t>사양 및 규격</t>
  </si>
  <si>
    <t>단위</t>
  </si>
  <si>
    <t>계약형태</t>
  </si>
  <si>
    <t>Model-1</t>
  </si>
  <si>
    <t>Maker-1</t>
  </si>
  <si>
    <t>Option-1</t>
  </si>
  <si>
    <t>Model-2</t>
  </si>
  <si>
    <t>Maker-2</t>
  </si>
  <si>
    <t>Option-2</t>
  </si>
  <si>
    <t>Model-3</t>
  </si>
  <si>
    <t>Maker-3</t>
  </si>
  <si>
    <t>Option-3</t>
  </si>
  <si>
    <t>Option &amp; Others</t>
  </si>
  <si>
    <t>Application</t>
  </si>
  <si>
    <t>도면번호1</t>
  </si>
  <si>
    <t>첨부도면파일명</t>
  </si>
  <si>
    <t>첨부자재규격서명</t>
  </si>
  <si>
    <t>Model-1 첨부파일명</t>
  </si>
  <si>
    <t>Model-2 첨부파일명</t>
  </si>
  <si>
    <t>Model-3 첨부파일명</t>
  </si>
  <si>
    <t>Model-1 첨부URL1</t>
  </si>
  <si>
    <t>Model-1 첨부URL2</t>
  </si>
  <si>
    <t>Model-2 첨부URL1</t>
  </si>
  <si>
    <t>첨부Image파일명1</t>
  </si>
  <si>
    <t>첨부Image파일명2</t>
  </si>
  <si>
    <t>신청자명</t>
  </si>
  <si>
    <t>신청자 소속</t>
  </si>
  <si>
    <t>신청자 E-mail</t>
  </si>
  <si>
    <t>요청자명</t>
  </si>
  <si>
    <t>요청자 소속</t>
  </si>
  <si>
    <t>요청자 E-mail</t>
  </si>
  <si>
    <t>최종검토일</t>
  </si>
  <si>
    <t>단수승인사유</t>
  </si>
  <si>
    <t>검토자 메모</t>
  </si>
  <si>
    <t>월별Inactive대상</t>
  </si>
  <si>
    <t>년도</t>
    <phoneticPr fontId="2" type="noConversion"/>
  </si>
  <si>
    <t>2021</t>
  </si>
  <si>
    <t>2022</t>
  </si>
  <si>
    <t>2024</t>
  </si>
  <si>
    <t>2025</t>
  </si>
  <si>
    <t>2026</t>
  </si>
  <si>
    <t>Q4025556</t>
  </si>
  <si>
    <t>AC Geared Motor</t>
  </si>
  <si>
    <t>AC Geared Motor (Ready)</t>
  </si>
  <si>
    <t>4P,2.2kW,440V,60Hz,1720rpm,I=1/10,F_class,38D,CAGE,IP54,[FVB/HYOSUNG],TYPE:TE-F, DWG NO:GKEN0016, WITH BRAKE(DC225V),OR EQUIVALENT</t>
  </si>
  <si>
    <t>FVB</t>
  </si>
  <si>
    <t>HYOSUNG</t>
  </si>
  <si>
    <t>TYPE:TE-F, DWG NO:GKEN0016, WITH BRAKE(DC225V)</t>
  </si>
  <si>
    <t>광양 2냉연 PL Geared Motor물품등록서(도면)_20100929175658303.doc</t>
  </si>
  <si>
    <t>https://www.hyosungheavyindustries.com/kr/data/geared-motors?kw=2.2&amp;poles=4&amp;ratio=10&amp;voltage_hz=440V%2C60Hz&amp;mounting=G%2FM+Ver.&amp;motor_type=&amp;installation=&amp;serise=</t>
  </si>
  <si>
    <t>4CGL MOTOR 사진_20250707074630404.jpg</t>
  </si>
  <si>
    <t>최인수</t>
  </si>
  <si>
    <t>(광양)냉연부 냉연정비2과</t>
  </si>
  <si>
    <t>강용민</t>
  </si>
  <si>
    <t>sonata@posco.co.kr</t>
  </si>
  <si>
    <t>2025-07-07 09:07:59</t>
  </si>
  <si>
    <t>Q4048530</t>
  </si>
  <si>
    <t>4P,0.4kW,220V,60Hz,1700rpm,I=1/30,E_class,105H,28D,135X90MM,CAGE,[NH105/SAMYANG REDUCTION GEAR],WITH BRAKE(AC220V)</t>
  </si>
  <si>
    <t>NH105</t>
  </si>
  <si>
    <t>SAMYANG REDUCTION GEAR</t>
  </si>
  <si>
    <t>WITH BRAKE(AC220V)</t>
  </si>
  <si>
    <t>삼양모터(NH105,0.4KW,3상AC220V)_20110329090132116.jpg</t>
  </si>
  <si>
    <t>http://www.samyangmotor.co.kr/home/Minutely.html?goods_id=338</t>
  </si>
  <si>
    <t>rladyddus_20231229153326395.jpg</t>
  </si>
  <si>
    <t>최재학</t>
  </si>
  <si>
    <t>포장사업부 정비팀</t>
  </si>
  <si>
    <t>sjk087@poscomtech.com</t>
  </si>
  <si>
    <t>2024-01-04 08:01:50</t>
  </si>
  <si>
    <t>Q4062154</t>
  </si>
  <si>
    <t>AC Geared Motor (Order)</t>
  </si>
  <si>
    <t>4P,3.7kW,220V,60Hz,1776rpm,I=1/2.83,H_class,125H,45D,334X234,VVVF,IP55,[TW-VGM-125/TAE WEON INDUSTRIAL],SERVICE FACTOR:2, WITHOUT PLG(FDP-06BE),IE3,OR EQUIVALENT</t>
  </si>
  <si>
    <t>TW-VGM-125</t>
  </si>
  <si>
    <t>TAE WEON INDUSTRIAL</t>
  </si>
  <si>
    <t>SERVICE FACTOR:2, WITHOUT PLG(FDP-06BE)</t>
  </si>
  <si>
    <t>http://www.taeweon.co.kr/ko/product/geared_motor.php</t>
  </si>
  <si>
    <t>정비관련EDT&amp;MOTOR_calcsl_20240130_093200_20240209094916070.jpg</t>
  </si>
  <si>
    <t>신규 물품 등록 현장 실물 사진(3.7KW)_20240209100457355.jpg</t>
  </si>
  <si>
    <t>(포항)냉연부 냉연정비2과</t>
  </si>
  <si>
    <t>김동진</t>
  </si>
  <si>
    <t>calcsl@posco.co.kr</t>
  </si>
  <si>
    <t>2024-02-22 07:02:30</t>
  </si>
  <si>
    <t>Q4065911</t>
  </si>
  <si>
    <t>4P,5.5kW,440V,60Hz,15rpm,I=1:121,F_class,150H,50D,290X145,CAGE,[KHHXM8-8818/13-121/KUKJE],WITH MOTOR,OR EQUIVALENT</t>
  </si>
  <si>
    <t>KHHXM8-8818/13-121</t>
  </si>
  <si>
    <t>KUKJE</t>
  </si>
  <si>
    <t>WITH MOTOR</t>
  </si>
  <si>
    <t>물품등록_AC Geared Motor_20110729114908009.xls</t>
  </si>
  <si>
    <t>http://www.kjimc.com/cr-drive.html?page=9&amp;cate2=KHHX#plan</t>
  </si>
  <si>
    <t>1611166d719c9b09a9062_20240213144504273.png</t>
  </si>
  <si>
    <t>김동철</t>
  </si>
  <si>
    <t>정재성</t>
  </si>
  <si>
    <t>2024-02-14 11:02:48</t>
  </si>
  <si>
    <t>Q4116230</t>
  </si>
  <si>
    <t>4P,3.7kW,440V,60Hz,1750rpm,I=1/22,CAGE,[MODEL-NC TYPE(3.7KW X 4P)/SUNGDO],OR EQUIVALENT</t>
  </si>
  <si>
    <t>MODEL-NC TYPE(3.7KW X 4P)</t>
  </si>
  <si>
    <t>SUNGDO</t>
  </si>
  <si>
    <t>https://www.sdhoist.co.kr/?page_id=1081</t>
  </si>
  <si>
    <t>넙죽이 Type Geared Motor_20250514132006580.jpg</t>
  </si>
  <si>
    <t>김동성</t>
  </si>
  <si>
    <t>(광양)선강설비그룹 크레인정비과</t>
  </si>
  <si>
    <t>정동한</t>
  </si>
  <si>
    <t>2025-05-16 14:05:39</t>
  </si>
  <si>
    <t>Q4145015</t>
  </si>
  <si>
    <t>4kW,440V,60Hz,1769rpm,F_class,IP54,[R67 DRN112M4/BE5HR/TF/SEW],FOR 4WRM STACKER CRANE FORK MOTOR,OR EQUIVALENT</t>
  </si>
  <si>
    <t>R67 DRN112M4/BE5HR/TF</t>
  </si>
  <si>
    <t>SEW</t>
  </si>
  <si>
    <t>FOR 4WRM STACKER CRANE FORK MOTOR</t>
  </si>
  <si>
    <t>https://www.sew-eurodrive.kr/products/gearmotors/standard_gearmotors/helical_gearmotors_rdr/helical_gearmotors_rdr.html</t>
  </si>
  <si>
    <t>SEWEURODRIVE_AC Geared Motor_20250611144017444.png</t>
  </si>
  <si>
    <t>여동근</t>
  </si>
  <si>
    <t>(포항)설비기술부 중앙수리과</t>
  </si>
  <si>
    <t>karma5@posco.co.kr</t>
  </si>
  <si>
    <t>김종국</t>
  </si>
  <si>
    <t>2025-06-16 08:06:46</t>
  </si>
  <si>
    <t>Q4209824</t>
  </si>
  <si>
    <t>4P,7.5kW,220V,60Hz,1776rpm,I=1/15.52,H_class,300H,80D,390X400MM,VVVF,IP55,[TW-VGM-300/TAE WEON INDUSTRIAL],SERVICE FACTOR:2, WITHOUT PLG(FDP-06BE),IE3,OR EQUIVALENT</t>
  </si>
  <si>
    <t>TW-VGM-300</t>
  </si>
  <si>
    <t>http://www.taeweon.co.kr/</t>
  </si>
  <si>
    <t>대수리_모터_교체후_calcsl_20231129_110313_20240207154451561.jpg</t>
  </si>
  <si>
    <t>김항종</t>
  </si>
  <si>
    <t>(포항)냉연부 냉연설비개선팀</t>
  </si>
  <si>
    <t>(포항)냉연부 2냉연공장</t>
  </si>
  <si>
    <t>2024-02-13 09:02:16</t>
  </si>
  <si>
    <t>Q4247105</t>
  </si>
  <si>
    <t>4P,22kW,440V,60Hz,1781rpm,I=1/24.12,F_class,315H,90D,340X410MM,VVVF,IP54,[R137 DRN180L4/SEW],O/N :1055986,OR EQUIVALENT</t>
  </si>
  <si>
    <t>R137 DRN180L4</t>
  </si>
  <si>
    <t>O/N :1055986</t>
  </si>
  <si>
    <t>A6 Table Motor도면_20150223132721354.pdf</t>
  </si>
  <si>
    <t>철 AC MOTOR_20240110154016111.jpg</t>
  </si>
  <si>
    <t>최장기</t>
  </si>
  <si>
    <t>(광양)후판부 후판정비과</t>
  </si>
  <si>
    <t>권성팔</t>
  </si>
  <si>
    <t>2024-01-15 09:01:51</t>
  </si>
  <si>
    <t>Q4279280</t>
  </si>
  <si>
    <t>4P,11kW,440V,60Hz,1760rpm,I=1/11,F_class,CAGE,IP55,[CHHM15-6145-EP-11/SUMITOMO],GREASE TYPE,OR EQUIVALENT</t>
  </si>
  <si>
    <t>CHHM15-6145-EP-11</t>
  </si>
  <si>
    <t>SUMITOMO</t>
  </si>
  <si>
    <t>GREASE TYPE</t>
  </si>
  <si>
    <t>명판1_백승문_20151202081931520.jpg</t>
  </si>
  <si>
    <t>http://www.sumitomodrive.com/modules.php?name=Product&amp;op=brandOverview&amp;product_id=9&amp;bid=7&amp;area_id=9&amp;sid</t>
  </si>
  <si>
    <t>motor_백승문_20250312162243296.jpg</t>
  </si>
  <si>
    <t>(광양)도금부 도금정비과</t>
  </si>
  <si>
    <t>백승문</t>
  </si>
  <si>
    <t>smback@posco.co.kr</t>
  </si>
  <si>
    <t>2025-03-17 09:03:06</t>
  </si>
  <si>
    <t>Q4321303</t>
  </si>
  <si>
    <t>4P,2.2kW,440V,60Hz,1765rpm,I=1/4.32,F_class,90H,25D,110 X 130,VVVF,IP54,[R37(GEAR) DRN100L(MOTOR) 4(POLE)/AL(METAL FAN)//SEW],2,3ACL F'CE HEARTH ROLL MOTOR,IE3,OR EQUIVALENT</t>
  </si>
  <si>
    <t>R37(GEAR) DRN100L(MOTOR) 4(POLE)/AL(METAL FAN)/</t>
  </si>
  <si>
    <t xml:space="preserve"> 2,3ACL F'CE HEARTH ROLL MOTOR</t>
  </si>
  <si>
    <t>http://download.sew-eurodrive.com/download/pdf/21284997.pdf</t>
  </si>
  <si>
    <t>[물품등록]HR Motor2_20250717085325110.jpg</t>
  </si>
  <si>
    <t>[물품등록]HR Motor1_20250717085403085.jpg</t>
  </si>
  <si>
    <t>김진호</t>
  </si>
  <si>
    <t>문대근</t>
  </si>
  <si>
    <t>dg4837@posco.co.kr</t>
  </si>
  <si>
    <t>2025-07-23 10:07:11</t>
  </si>
  <si>
    <t>Q4620473</t>
  </si>
  <si>
    <t>4P,7.5kW,440V,60Hz,1770rpm,I=1/60,F_class,270H,70D,350X360,TE,[HLA020101057591/HYOSUNG]+WITH AC 220V MAGNETIC DISC BRAKE(SHB 185 A, SAMHWAN),OR EQUIVALENT</t>
  </si>
  <si>
    <t>HLA020101057591</t>
  </si>
  <si>
    <t>WITH AC 220V MAGNETIC DISC BRAKE(SHB 185 A, SAMHWAN)</t>
  </si>
  <si>
    <t>HLA020101057587_20240110111348485.png</t>
  </si>
  <si>
    <t>이용우</t>
  </si>
  <si>
    <t>yongwoo@posco.co.kr</t>
  </si>
  <si>
    <t>강경묵</t>
  </si>
  <si>
    <t>muk@posco.co.kr</t>
  </si>
  <si>
    <t>2024-01-17 09:01:33</t>
  </si>
  <si>
    <t xml:space="preserve">유사품 검색 및 사양 검증용 자료 확인후 승인합니다._x000D_
(특정 사양품감축 관련) 차후 입고시 스케치, 현물 확인을 통한 도면화,일반 사양화,복수화 전환 검토 요청 부탁드립니다._x000D_
</t>
  </si>
  <si>
    <t>Q4620571</t>
  </si>
  <si>
    <t>4P,2.2kW,440V,60Hz,1765rpm,I=1/30,F_class,172H,45D,172X232,TE,[HLA020101057588/HYOSUNG]+WITH AC 220V MAGNETIC DISC BRAKE(SHB 150 A, SAMHWAN),OR EQUIVALENT</t>
  </si>
  <si>
    <t>HLA020101057588</t>
  </si>
  <si>
    <t>WITH AC 220V MAGNETIC DISC BRAKE(SHB 150 A, SAMHWAN)</t>
  </si>
  <si>
    <t>HLA020101057587_20240110111127027.png</t>
  </si>
  <si>
    <t>2024-01-15 09:01:28</t>
  </si>
  <si>
    <t>Q4621046</t>
  </si>
  <si>
    <t>4P,5.5kW,440V,60Hz,1775rpm,I=1/100,F_class,270H,70D,350X360,TE,[HLA020101057590/HYOSUNG]+WITH AC 220V MAGNETIC DISC BRAKE(SHB 175 A, SAMHWAN),IP55,OR EQUIVALENT</t>
  </si>
  <si>
    <t>HLA020101057590</t>
  </si>
  <si>
    <t>WITH AC 220V MAGNETIC DISC BRAKE(SHB 175 A, SAMHWAN)</t>
  </si>
  <si>
    <t>IP55</t>
  </si>
  <si>
    <t>HLA020101057590_20240110110841222.png</t>
  </si>
  <si>
    <t>2024-01-11 17:01:24</t>
  </si>
  <si>
    <t>Q4621315</t>
  </si>
  <si>
    <t>4P,3.7kW,440V,60Hz,1755rpm,I=1/90,F_class,270H,70D,350X360,IP55,[HMA01080000560/HYOSUNG]+WITH AC 220V MAGNETIC DISC BRAKE(SHB 155 A, SAMHWAN),IE3,OR EQUIVALENT</t>
  </si>
  <si>
    <t>HMA01080000560</t>
  </si>
  <si>
    <t>WITH AC 220V MAGNETIC DISC BRAKE(SHB 155 A, SAMHWAN)</t>
  </si>
  <si>
    <t>HMA01080000560_20240110110451122.png</t>
  </si>
  <si>
    <t>2024-01-11 17:01:07</t>
  </si>
  <si>
    <t>Q4621316</t>
  </si>
  <si>
    <t>4P,3.7kW,440V,60Hz,1755rpm,I=1/120,F_class,270H,70D,350X360,TE,[HMA01080000560/HYOSUNG]+WITH AC 220V MAGNETIC DISC BRAKE(SHB 155 A, SAMHWAN),OR EQUIVALENT</t>
  </si>
  <si>
    <t>HMA0180000560_20240109150601499.png</t>
  </si>
  <si>
    <t>2024-01-17 09:01:58</t>
  </si>
  <si>
    <t>Q4622968</t>
  </si>
  <si>
    <t>4P,1.5kW,440V,60Hz,1750rpm,I=1/15,F_class,153H,38D,150X215,TE,[HLA020101057587/HYOSUNG]+WITH AC 220V MAGNETIC DISC BRAKE(SHB 142 A, SAMHWAN),OR EQUIVALENT</t>
  </si>
  <si>
    <t>HLA020101057587</t>
  </si>
  <si>
    <t>WITH AC 220V MAGNETIC DISC BRAKE(SHB 142 A, SAMHWAN)</t>
  </si>
  <si>
    <t>HLA020101057587_20240110103813748.png</t>
  </si>
  <si>
    <t>2024-01-17 09:01:45</t>
  </si>
  <si>
    <t>Q4626006</t>
  </si>
  <si>
    <t>4P,0.75kW,440V,60Hz,1715rpm,I=1/20,F_class,28D,PCD215(4-D11),IP54,[M2105-1HP-20-VT-N-R000-M606-0EP/NARASAMYANG],FOR P2H GREASE PUMP MOTOR,IE3,OR EQUIVALENT</t>
  </si>
  <si>
    <t>M2105-1HP-20-VT-N-R000-M606-0EP</t>
  </si>
  <si>
    <t>NARASAMYANG</t>
  </si>
  <si>
    <t>FOR P2H GREASE PUMP MOTOR</t>
  </si>
  <si>
    <t>그리스펌프 모터 명판_20240111100245803.jpg</t>
  </si>
  <si>
    <t>그리스펌프모터_20240111100154181.jpg</t>
  </si>
  <si>
    <t>이상완</t>
  </si>
  <si>
    <t>2024-01-16 09:01:30</t>
  </si>
  <si>
    <t>Q4626428</t>
  </si>
  <si>
    <t>4P,18.5kW,440V,60Hz,1781rpm,I=30.84,155(F)_class,265H,90D,370X340,VVVF,IP55,[R127 DRN180M4/SEW],IE3,OR EQUIVALENT</t>
  </si>
  <si>
    <t>R127 DRN180M4</t>
  </si>
  <si>
    <t>상세사양_20240111162733604.pdf</t>
  </si>
  <si>
    <t>https://download.sew-eurodrive.com/download/pdf/26883198.pdf#search=%22PBAAC;PBAA;PBA;PB;P%22</t>
  </si>
  <si>
    <t>이미지_20240111162748013.png</t>
  </si>
  <si>
    <t>김점규</t>
  </si>
  <si>
    <t>2024-01-18 16:01:45</t>
  </si>
  <si>
    <t>Q4626431</t>
  </si>
  <si>
    <t>4P,11kW,440V,60Hz,1776rpm,I=29.49,155(F)_class,250H,70D,370X290,VVVF,IP55,[R107 DRN160M4/SEW],IE3,OR EQUIVALENT</t>
  </si>
  <si>
    <t>R107 DRN160M4</t>
  </si>
  <si>
    <t>Dimension,Motor Date sheet ( R107 DRN160M4 )_20240111160941794.pdf</t>
  </si>
  <si>
    <t>이미지_20240111160334227.png</t>
  </si>
  <si>
    <t>2024-01-18 16:01:19</t>
  </si>
  <si>
    <t>Q4626748</t>
  </si>
  <si>
    <t>4P,1.5kW,440V,60Hz,1767rpm,I=30.18,F_class,115H,35D,165X135,TEFC,[R57 DRN90L4/SEW],OR EQUIVALENT</t>
  </si>
  <si>
    <t>R57 DRN90L4</t>
  </si>
  <si>
    <t>shotblast미분배출기어드motordatasheet및외형도_20240117143248119_20240118081000622.pptx</t>
  </si>
  <si>
    <t>https://www.sew-eurodrive.kr/hom.html</t>
  </si>
  <si>
    <t>미분회수모터_20240117142924181_20240118081000158.jpg</t>
  </si>
  <si>
    <t>2024-01-22 15:01:52</t>
  </si>
  <si>
    <t xml:space="preserve">추후 신청시 결재내용의 "(11)특허등록 번호(해당시):" 해당없음으로 표기 부탁드립니다. _x000D_
MRO e-Caltalog시스템 경유건으로 대체 Maker 미 발굴건, 기 설치된 motor의 호환성을 위해 특정 사양으로 등록건 확인 후 승인, 감사합니다. </t>
  </si>
  <si>
    <t>Q4626750</t>
  </si>
  <si>
    <t>4P,0.37kW,440V,60Hz,1730rpm,I=84.00,F_class,100H,33.3D,87X60,TEFC,[SA47 DRN71M4/SEW]</t>
  </si>
  <si>
    <t>SA47 DRN71M4</t>
  </si>
  <si>
    <t>shotblast미분회수스크류기어드motordatasheet및외형도_20240117144304736_20240118081001360.pptx</t>
  </si>
  <si>
    <t>https://www.sew-eurodrive.kr/products/gear_units/standard_gear_units/helical_gear_units_r/helical_gear_units_r.html</t>
  </si>
  <si>
    <t>미분회수모터_20240117144242062_20240118081001020.jpg</t>
  </si>
  <si>
    <t>2024-01-22 15:01:59</t>
  </si>
  <si>
    <t xml:space="preserve">추후 신청시 결재내용의 "(11)특허등록 번호(해당시):" 해당없음으로 표기 부탁드립니다. _x000D_
MRO e-Caltalog시스템 경유건으로 대체 Maker 미 발굴건, 기 설치된 motor의 호환성을 위해 특정 사양으로 등록건 확인 후 승인, 감사합니다. _x000D_
</t>
  </si>
  <si>
    <t>Q4626751</t>
  </si>
  <si>
    <t>4P,0.18kW,440V,60Hz,1750rpm,I=69.47,F_class,90H,25D,130X110,VVVF,TEFC,[R27 DRN71MS4/BE03HF/EK8A/SEW],OR EQUIVALENT</t>
  </si>
  <si>
    <t>R27 DRN71MS4/BE03HF/EK8A</t>
  </si>
  <si>
    <t>shotblast유량게이트기어드motordatasheet및외형도_20240117145633533_20240118081002514.pptx</t>
  </si>
  <si>
    <t>어브라시브밸브모터_20240117145616479_20240118081002270.jpg</t>
  </si>
  <si>
    <t>2024-01-22 15:01:46</t>
  </si>
  <si>
    <t>Q4626857</t>
  </si>
  <si>
    <t>4P,1.5kW,440V,60Hz,1720rpm,I=1/30,B_class,112H,30D,180,CAGE,IP44,[HWRV30-DCB90V/SMB],NAMEPLATE:HWV-30-30,IE3,OR EQUIVALENT</t>
  </si>
  <si>
    <t>HWRV30-DCB90V</t>
  </si>
  <si>
    <t>SMB</t>
  </si>
  <si>
    <t>NAMEPLATE:HWV-30-30</t>
  </si>
  <si>
    <t>FwdREGeardMotor모델명문의_20240111092111195_20240116151000366.pdf</t>
  </si>
  <si>
    <t>http://www.smme.co.kr/sub/sub03.php</t>
  </si>
  <si>
    <t>물품등록-Dart장착기주행감속기_20240110135356731_20240116151000155.jpg</t>
  </si>
  <si>
    <t>전준형</t>
  </si>
  <si>
    <t>16505402@posco.co.kr</t>
  </si>
  <si>
    <t>2024-01-23 10:01:33</t>
  </si>
  <si>
    <t xml:space="preserve">MRO e-Caltalog시스템 경유건으로 대체 Maker 미 발굴건, 기 설치된 모터의 호환성을 위해 특정 사양으로 등록건 확인 후 승인. </t>
  </si>
  <si>
    <t>Q4626858</t>
  </si>
  <si>
    <t>4P,0.2kW,440V,60Hz,1700rpm,I=1/180,B_class,98H,45D,100X125MM,CAGE,IP44,[HWO25-DCB90V/SMB],NAMEPLATE:HWO-25-180,IE3,OR EQUIVALENT</t>
  </si>
  <si>
    <t>HWO25-DCB90V</t>
  </si>
  <si>
    <t>NAMEPLATE:HWO-25-180</t>
  </si>
  <si>
    <t>FwdREGeardMotor모델명문의_20240111143236740_20240116151004293.pdf</t>
  </si>
  <si>
    <t>물품등록-Dart회전거치대감속기_20240111131608752_20240116151004170.jpg</t>
  </si>
  <si>
    <t>2024-01-23 10:01:36</t>
  </si>
  <si>
    <t>Q4627389</t>
  </si>
  <si>
    <t>4P,7.5kW,440V,60Hz,1755rpm,I=1/50,F_class,270H,70D,360X350,CAGE,IP55,[MG-F270/SAMYANG REDUCTION GEAR],IE3,OR EQUIVALENT</t>
  </si>
  <si>
    <t>MG-F270</t>
  </si>
  <si>
    <t>MG-F270 명판_20240126084044638.jpg</t>
  </si>
  <si>
    <t>http://www.samyangmotor.co.kr/home/Minutely.html?goods_id=484</t>
  </si>
  <si>
    <t>1609911663996_20240116132126145_20240126084044737.jpg</t>
  </si>
  <si>
    <t>이용섭</t>
  </si>
  <si>
    <t>riach@posco.co.kr</t>
  </si>
  <si>
    <t>2024-01-26 16:01:08</t>
  </si>
  <si>
    <t>MRO e-Caltalog시스템 엔투비 경유건으로 대체 Maker 미 발굴건, 기 설치된 motor의 호환성을 위해 특정 사양으로 등록건 확인, _x000D_
Q4217417 등 유사사양 확인 후 압력과 기어비 상이하여 승인,</t>
  </si>
  <si>
    <t>Q4627987</t>
  </si>
  <si>
    <t>4P,0.75kW,440V,60Hz,1735rpm,I=1/1003,F_class,70D,PCD360(8-S14),CAGE,IP55,[KDVXM1-8817/10-B/KUKJE INDUSTRIAL MACHINERY],IE3,OR EQUIVALENT</t>
  </si>
  <si>
    <t>KDVXM1-8817/10-B</t>
  </si>
  <si>
    <t>KUKJE INDUSTRIAL MACHINERY</t>
  </si>
  <si>
    <t>도면_20240124095151042.pdf</t>
  </si>
  <si>
    <t>http://www.kjimc.com/cr-drive.html?page=19&amp;cate2=KDVX#plan</t>
  </si>
  <si>
    <t>CR DRIVE 사진_20240129102753143.jpg</t>
  </si>
  <si>
    <t>인상열</t>
  </si>
  <si>
    <t>(포항)제강설비부 압연크레인정비섹션</t>
  </si>
  <si>
    <t>차영재</t>
  </si>
  <si>
    <t>musso3361@posco.co.kr</t>
  </si>
  <si>
    <t>2024-02-01 09:02:37</t>
  </si>
  <si>
    <t xml:space="preserve">MRO e-Caltalog시스템 경유건으로 대체 Maker 미 발굴건, 기 설치된 AC Geared Motor의 호환성을 위해 특정 사양으로 등록건 확인,  _x000D_
Q4075418 등 유사사양 확인 후 승인_x000D_
</t>
  </si>
  <si>
    <t>Q4628137</t>
  </si>
  <si>
    <t>4P,3.7kW,440V,60Hz,1800rpm,I=1/35,F_class,150H,50D,290X145,VVVF,IP55,[DHM5-F14/DSCYCLO],WITH KEY, WITH AC BRAKE(440V), MOTOR TEFC,IE3,OR EQUIVALENT</t>
  </si>
  <si>
    <t>DHM5-F14</t>
  </si>
  <si>
    <t>DSCYCLO</t>
  </si>
  <si>
    <t>WITH KEY, WITH AC BRAKE(440V), MOTOR TEFC</t>
  </si>
  <si>
    <t>Cyclo Reducer 현장명판_20240201132520002.jpg</t>
  </si>
  <si>
    <t>http://dscyclo.com/machine1</t>
  </si>
  <si>
    <t>DHM5-F14_20240119102044267_20240201132520140.jpg</t>
  </si>
  <si>
    <t>2024-02-05 08:02:46</t>
  </si>
  <si>
    <t xml:space="preserve">MRO e-Caltalog시스템 엔투비 경유건으로 대체 Maker 미 발굴건, 기 설치된 motor의 호환성을 위해 특정 사양으로 등록건 확인, _x000D_
Q2196134등 유사사양 rpm, vvvp 상이함 확인 후 승인,_x000D_
</t>
  </si>
  <si>
    <t>Q4632857</t>
  </si>
  <si>
    <t>4P,5.5kW,440V,60Hz,1780rpm,I=1/43,F_class,200H,70D,380X275,CAGE,[DHHM8-9175-43/HANA MECHANICAL&amp;ELECTRICAL],MAKER DWG NO:DHHM8-9175-43,OR EQUIVALENT</t>
  </si>
  <si>
    <t>DHHM8-9175-43</t>
  </si>
  <si>
    <t>HANA MECHANICAL&amp;ELECTRICAL</t>
  </si>
  <si>
    <t>MAKER DWG NO:DHHM8-9175-43</t>
  </si>
  <si>
    <t>[메이커도면] 원료시험실 Conveyor Motor_DHHM8-9175-43_20240319080822371.pdf</t>
  </si>
  <si>
    <t>이미지 원료시험실 기어드모터_20240319080822407.jpg</t>
  </si>
  <si>
    <t>2024-03-19 13:03:56</t>
  </si>
  <si>
    <t>Q4553771등 유사item 검색하였으나, 유사품 없고 V등이 상이하여 확인후 승인.</t>
  </si>
  <si>
    <t>Q4633856</t>
  </si>
  <si>
    <t>4P,0.55kW,254-277/440-480V,60Hz,1745/16rpm,I=105.83,IE3_class,35D,150 X  195MM,CAGE,[R67 DRN80MK4/SEW],IE3,OR EQUIVALENT</t>
  </si>
  <si>
    <t>R67 DRN80MK4</t>
  </si>
  <si>
    <t>Chip Conveyor Motor_20240322101122386.pdf</t>
  </si>
  <si>
    <t>Roll Shop Chip Conveyor Motor_20210813075617782.jpg</t>
  </si>
  <si>
    <t>정규완</t>
  </si>
  <si>
    <t>2024-03-27 09:03:51</t>
  </si>
  <si>
    <t>Q4504137등 유사item 확인하였으나 capacity등 상이하여 확인후 승인함.</t>
  </si>
  <si>
    <t>Q4635763</t>
  </si>
  <si>
    <t>4P,2.2kW,440V,60Hz,1765rpm,I=1/150.78,225H,60D,250X310,VVVF,IP54,[R97 DRN100L4/BE5HF/SEW],IE3,OR EQUIVALENT</t>
  </si>
  <si>
    <t>R97 DRN100L4/BE5HF</t>
  </si>
  <si>
    <t>2acl_코타머토_kkyyuu7210_20240311_170304_20240416090044092.jpg</t>
  </si>
  <si>
    <t>R97DRN100L4BE5HF_20240416090044296.png</t>
  </si>
  <si>
    <t>권용성</t>
  </si>
  <si>
    <t>soso@posco.co.kr</t>
  </si>
  <si>
    <t>권두현</t>
  </si>
  <si>
    <t>kwon1423@posco.co.kr</t>
  </si>
  <si>
    <t>2024-04-16 16:04:33</t>
  </si>
  <si>
    <t xml:space="preserve">**추후 특허번호 해당없음으로 작성 필히 부탁드립니다. _x000D_
Q4571149등 유사item 검색하였으나, gear ratio 상이하여 확인하고 승인합니다. </t>
  </si>
  <si>
    <t>Q4636710</t>
  </si>
  <si>
    <t>4P,2.2kW,254/440V,60Hz,1765/174rpm,I=1/10.15,155F_class,115H,30D,165X135,CAGE,IP54,[R47 DRN100L4/SEW],IE3,OR EQUIVALENT</t>
  </si>
  <si>
    <t>R47 DRN100L4</t>
  </si>
  <si>
    <t>003_20240404165529457.pdf</t>
  </si>
  <si>
    <t>https://download.sew-eurodrive.com/download/pdf_u/22742654.pdf</t>
  </si>
  <si>
    <t>d_20240404165456956.jpg</t>
  </si>
  <si>
    <t>김기봉</t>
  </si>
  <si>
    <t>정정훈</t>
  </si>
  <si>
    <t>jeonghoon717@posco.co.kr</t>
  </si>
  <si>
    <t>2024-04-25 10:04:20</t>
  </si>
  <si>
    <t xml:space="preserve">Q4368598, Q4596341 등 유사item 검색하였으나, 감속비가 다르고 일부 사양이 다름 확인하고 승인합니다. _x000D_
_x000D_
_x000D_
_x000D_
  </t>
  </si>
  <si>
    <t>Q4637519</t>
  </si>
  <si>
    <t>4P,0.75kW,440V,60Hz,1735rpm,I=1/120,F_class,153H,38D,215X150,CAGE,IP44,[MG153F-120/SAMYANG REDUCTION GEAR],WITH MOTOR(440V,0.75KW,1735RPM),IE3</t>
  </si>
  <si>
    <t>MG153F-120</t>
  </si>
  <si>
    <t>WITH MOTOR(440V,0.75KW,1735RPM)</t>
  </si>
  <si>
    <t>MG153F-120명판_20240507074128871.JPG</t>
  </si>
  <si>
    <t>http://www.sygear.co.kr/e_sub01/sub01.php</t>
  </si>
  <si>
    <t>MG153F-120 감속기_20240507074129043.JPG</t>
  </si>
  <si>
    <t>신민석</t>
  </si>
  <si>
    <t>광양전구체2단계시운전TF팀</t>
  </si>
  <si>
    <t>dhdlakwj@poscofuturem.com</t>
  </si>
  <si>
    <t>위대한</t>
  </si>
  <si>
    <t>wdh_co@poscofuturem.com</t>
  </si>
  <si>
    <t>2024-05-08 08:05:49</t>
  </si>
  <si>
    <t xml:space="preserve">Q2132831등 유사 item 검색하였으나, RPM 상이로 확인하고 승인합니다. </t>
  </si>
  <si>
    <t>Q4638190</t>
  </si>
  <si>
    <t>4P,2.2kW,440V,60Hz,1765rpm,I=1/60,F_class,181H,50D,245X240,IP55,[22TE-FAPR/HYOSUNG],IE3,OR EQUIVALENT</t>
  </si>
  <si>
    <t>22TE-FAPR</t>
  </si>
  <si>
    <t>효성_[HYOSUNG Low Voltage Induction Motor Data Sheet]_20240507094257074.pdf</t>
  </si>
  <si>
    <t>EDGE HEATER_20240507094257217.png</t>
  </si>
  <si>
    <t>2024-05-16 10:05:45</t>
  </si>
  <si>
    <t xml:space="preserve">Q4104823등 유사item 검색하였으나, RPM이 모두 달라 확인하고 승인합니다. </t>
  </si>
  <si>
    <t>Q4638436</t>
  </si>
  <si>
    <t>4P,0.18kW,254-277/440-480V,60Hz,1695rpm,I=1/28.37,130(B)_class,92H,25D,VVVF,IP55,[RF27 DRN63M4/BE03HR/SEW],WITH BRAKE(BRAKE VOLTAGE_AC400V),IE3,OR EQUIVALENT</t>
  </si>
  <si>
    <t>RF27 DRN63M4/BE03HR</t>
  </si>
  <si>
    <t>WITH BRAKE(BRAKE VOLTAGE_AC400V)</t>
  </si>
  <si>
    <t>제품자료_20240514160945785.pdf</t>
  </si>
  <si>
    <t>https://www.sew-eurodrive.kr/os/dud/?tab=documents&amp;country=KR&amp;language=ko_kr&amp;doc_lang=en-US,ko-KP&amp;doc_type=G,E,F,CD,DD,PL,H,A,V&amp;search=RF27DRN63M4/BE03HR</t>
  </si>
  <si>
    <t>이미지_20240514160908264.png</t>
  </si>
  <si>
    <t>조남현</t>
  </si>
  <si>
    <t>blackjo@posco.co.kr</t>
  </si>
  <si>
    <t>2024-05-20 08:05:18</t>
  </si>
  <si>
    <t xml:space="preserve">Q4613862등 유사item 검색하였으나, 기어비, 전압등 상이하여 확인후 승인합니다. </t>
  </si>
  <si>
    <t>Q4639475</t>
  </si>
  <si>
    <t>4P,1.5kW,440V,60Hz,1740rpm,I=1/90,F_class,172H,45D,276X216,CAGE,IP54,[MG 172F/SAMYANG REDUCTION GEAR],IE3</t>
  </si>
  <si>
    <t>MG 172F</t>
  </si>
  <si>
    <t>필터프레스 여과판 이송 모터3_20240529074454217.jpg</t>
  </si>
  <si>
    <t>http://narasyg.com/sub02/sub01.php</t>
  </si>
  <si>
    <t>필터프레스 여과판 이송 모터2_20240529074454382.jpg</t>
  </si>
  <si>
    <t>2024-05-30 13:05:03</t>
  </si>
  <si>
    <t xml:space="preserve">Q4278424등 유사item 검색 하였으나, speed rating이 상이하여 확인후 승인합니다. </t>
  </si>
  <si>
    <t>Q4639750</t>
  </si>
  <si>
    <t>4P,30kW,380V,60Hz,1780rpm,I=1/6.56,F_class,265H,90D,370X340,VVVF,IP55,[TW-PVGM-275/TAE WEON INDUSTRIAL],WITHOUT PLG(EZA-SAPLC-04-S14-C-C), MAKER DWG NO:PVGM-240328-000,PVGM-240328-001,IE3,OR EQUIVALENT</t>
  </si>
  <si>
    <t>TW-PVGM-275</t>
  </si>
  <si>
    <t>WITHOUT PLG(EZA-SAPLC-04-S14-C-C), MAKER DWG NO:PVGM-240328-000,PVGM-240328-001</t>
  </si>
  <si>
    <t>www.taeweon.co.kr</t>
  </si>
  <si>
    <t>P1010228 (1)_20240516114033575.JPG</t>
  </si>
  <si>
    <t>백현국</t>
  </si>
  <si>
    <t>seven4x@posco.co.kr</t>
  </si>
  <si>
    <t>2024-06-03 17:06:04</t>
  </si>
  <si>
    <t xml:space="preserve">Q4062154등 유사Item 검색하였으나, KW가 상이하여 확인후 승인합니다. _x000D_
_x000D_
</t>
  </si>
  <si>
    <t>Q4640817</t>
  </si>
  <si>
    <t>4P,1.5kW,440V,60Hz,1800rpm,I=1/87,50D,330X195,CAGE,[CHHM2-6145-EP-B-87/SUMITOMO],FOR #3WRM RSM,IE3,OR EQUIVALENT</t>
  </si>
  <si>
    <t>CHHM2-6145-EP-B-87</t>
  </si>
  <si>
    <t xml:space="preserve">FOR #3WRM RSM </t>
  </si>
  <si>
    <t>https://korea.sumitomodrive.com/sites/default/files/2024-03/c2001-9.4.pdf</t>
  </si>
  <si>
    <t>Geared Motor_20240619132139498.jpg</t>
  </si>
  <si>
    <t>김현준</t>
  </si>
  <si>
    <t>630853@posco.co.kr</t>
  </si>
  <si>
    <t>2024-06-24 16:06:26</t>
  </si>
  <si>
    <t xml:space="preserve">Q4263843등 유사 item 검색하였으나, capacity등 상이함 확인하고 승인합니다. </t>
  </si>
  <si>
    <t>Q4647368</t>
  </si>
  <si>
    <t>4P,0.1kW,440V,60Hz,1730rpm,I=1/120,E_class,36H,22D,95X95,CAGE,IP44,[RNFM01-20L-120/SUMITOMO],IE1,OR EQUIVALENT</t>
  </si>
  <si>
    <t>RNFM01-20L-120</t>
  </si>
  <si>
    <t>https://wsearch.shi.co.jp/?go=bcXDA4oNJnZzDkEPxJFawF%252FK9LvdxZtoJaI9cvfhu%252FWFppZQz6mPR52QBu6hNwmvk7U3EBH1sOTxrS%252BwvbbQ4HBpIveLXLxeMwY5t4zP95E%253D%26f%3Dr&amp;rid=1479355138911855&amp;ref=https%3A%2F%2Fwsearch.shi.co.jp%2F%3Fkw%3DRNFM01%26ie%3Du%26la%3Den</t>
  </si>
  <si>
    <t>polisher_oscilation__donghyeok_20240807_092630_20240813090300956.jpg</t>
  </si>
  <si>
    <t>최보인</t>
  </si>
  <si>
    <t>(포항)압연설비2부 냉연정비1섹션</t>
  </si>
  <si>
    <t>boin@posco.co.kr</t>
  </si>
  <si>
    <t>안동혁</t>
  </si>
  <si>
    <t>donghyeok@posco.co.kr</t>
  </si>
  <si>
    <t>2024-08-13 14:08:56</t>
  </si>
  <si>
    <t xml:space="preserve">Q4455620등 유사item 검색하였으나, 감속비, RPM 등 상이하여 확인후 승인합니다. _x000D_
</t>
  </si>
  <si>
    <t>Q4648584</t>
  </si>
  <si>
    <t>6P,3.7kW,440V,60Hz,1165rpm,I=1/80,350,[THFA-095/TAE WOO],4CC BLOOM SLUDGE AGITATOR,OR EQUIVALENT</t>
  </si>
  <si>
    <t>THFA-095</t>
  </si>
  <si>
    <t>TAE WOO</t>
  </si>
  <si>
    <t>4CC BLOOM SLUDGE AGITATOR</t>
  </si>
  <si>
    <t>sludge agitator motor_20240813090019619.jpg</t>
  </si>
  <si>
    <t>http://www.tae-woo.co.kr/page.prod1-6.php</t>
  </si>
  <si>
    <t>Sludge Agitator_20240813090019696.png</t>
  </si>
  <si>
    <t>김영학</t>
  </si>
  <si>
    <t>bluesea@posco.co.kr</t>
  </si>
  <si>
    <t>최욱진</t>
  </si>
  <si>
    <t>wooksco@posco.co.kr</t>
  </si>
  <si>
    <t>2024-08-27 08:08:12</t>
  </si>
  <si>
    <t xml:space="preserve">Q4030461등 유사item 검색하였으나, 동일 Pole 등 없음 확인후 승인합니다. </t>
  </si>
  <si>
    <t>Q4648621</t>
  </si>
  <si>
    <t>4P,5.5kW,440V,60Hz,1740rpm,I=1/15,F_class,265,IP54,[THFA-075/TAE WOO],FOR 4CC BL MIXING TANK(4,5),OR EQUIVALENT</t>
  </si>
  <si>
    <t>THFA-075</t>
  </si>
  <si>
    <t>FOR 4CC BL MIXING TANK(4,5)</t>
  </si>
  <si>
    <t>제탁 Mixing Agitator_20240813090226935.jpg</t>
  </si>
  <si>
    <t>Sludge Agitator_20251119100507830.png</t>
  </si>
  <si>
    <t>2025-11-28 11:11:47</t>
  </si>
  <si>
    <t>Q4648584등 유사 item 검색하였으나, RPM등 상이하여 확인하고 승인합니다.</t>
  </si>
  <si>
    <t>Q4648623</t>
  </si>
  <si>
    <t>4P,7.5kW,440V,60Hz,1750rpm,I=1/30,F_class,202H,55D,PCD340(6-D19),IP55,[10HP_NV205_1/30/NAMKANG],WITH KEY 1EA,OR EQUIVALENT</t>
  </si>
  <si>
    <t>10HP_NV205_1/30</t>
  </si>
  <si>
    <t>NAMKANG</t>
  </si>
  <si>
    <t>WITH KEY 1EA</t>
  </si>
  <si>
    <t>http://m.nkeng.net/shop_contents/myboard_read.htm?load_type=&amp;page_idx=0&amp;tag_on=&amp;h_search_c=0&amp;h_search_v=&amp;me_popup=&amp;myboard_code=st_myboard&amp;page_limit=10&amp;idx=318102&amp;page=4&amp;category_idx=</t>
  </si>
  <si>
    <t>MX기어드모터_20240820074946583.jpg</t>
  </si>
  <si>
    <t>홍민기</t>
  </si>
  <si>
    <t>minki9438@posco.co.kr</t>
  </si>
  <si>
    <t>2024-08-27 13:08:25</t>
  </si>
  <si>
    <t xml:space="preserve">Q4613693등 유사item  검색하였으나, rpm 등 상이하여 확인 후 승인합니다. _x000D_
</t>
  </si>
  <si>
    <t>Q4651509</t>
  </si>
  <si>
    <t>4P,3.7kW,440V,60Hz,1758rpm,I=1/115.82,155(F)_class,212H,60D,118X225,IP55,[KA87DRN100L4/SEW],DUTY TYPE : S1, POWER FACTOR : 0.72, INVERTER DUTY : VPWM,IE3,OR EQUIVALENT</t>
  </si>
  <si>
    <t>KA87DRN100L4</t>
  </si>
  <si>
    <t>DUTY TYPE : S1, POWER FACTOR : 0.72, INVERTER DUTY : VPWM</t>
  </si>
  <si>
    <t>제품상세자료_20240717162043100.pdf</t>
  </si>
  <si>
    <t>https://download.sew-eurodrive.com/download/pdf/26883198.pdf</t>
  </si>
  <si>
    <t>이미지_20240717162003644.png</t>
  </si>
  <si>
    <t>조영광</t>
  </si>
  <si>
    <t>(광양)제선설비부 고로정비섹션</t>
  </si>
  <si>
    <t>gloryjo4750@posco.co.kr</t>
  </si>
  <si>
    <t>2024-09-30 08:09:53</t>
  </si>
  <si>
    <t>Q4652297</t>
  </si>
  <si>
    <t>4P,22kW,440V,60Hz,1770rpm,F_class,FF350,IP54,[V30HV1FPOC-EGL01/HIGEN],OR EQUIVALENT</t>
  </si>
  <si>
    <t>V30HV1FPOC-EGL01</t>
  </si>
  <si>
    <t>HIGEN</t>
  </si>
  <si>
    <t>V30HV1-DS_20241007075956436.pdf</t>
  </si>
  <si>
    <t>https://www.higenrnm.com/kr/sub/product/view.asp?p_idx=3&amp;p_cate=10</t>
  </si>
  <si>
    <t>V30(22KW) MOTOR_20241007075956539.jpg</t>
  </si>
  <si>
    <t>2024-10-08 16:10:18</t>
  </si>
  <si>
    <t>Q4652873</t>
  </si>
  <si>
    <t>4P,3kW,254/440V,60Hz,1759rpm,F_class,IP65,[EDRN 100L 4 /3D-C/TF/AL/SEW],EX TC IIIC 120C DC,IE3,OR EQUIVALENT,KCS CERTIFICATE</t>
  </si>
  <si>
    <t>EDRN 100L 4 /3D-C/TF/AL</t>
  </si>
  <si>
    <t>EX TC IIIC 120C DC</t>
  </si>
  <si>
    <t>RDM Traveling motor_3KW_20241007113635776.pdf</t>
  </si>
  <si>
    <t>RDM_cable_ideal_20201029_141741_20241007113635854.jpg</t>
  </si>
  <si>
    <t>황규빈</t>
  </si>
  <si>
    <t>(포항)제선설비부 화성정비섹션</t>
  </si>
  <si>
    <t>hgb124@posco.co.kr</t>
  </si>
  <si>
    <t>설찬엽</t>
  </si>
  <si>
    <t>ideal@posco.co.kr</t>
  </si>
  <si>
    <t>2024-10-15 09:10:08</t>
  </si>
  <si>
    <t xml:space="preserve">Q4483491등 유사 item 검색했으나, speed rating 상이함 확인후 승인합니다. </t>
  </si>
  <si>
    <t>Q4654419</t>
  </si>
  <si>
    <t>4P,7.5kW,440V,60Hz,1760rpm,I=1/165,F_class,265H,110D,480X395,CAGE,IP55,[CHHM10-6215DB-EP-B-165/SUMITOMO],WITH OUT GEAR BOX,IE3,OR EQUIVALENT</t>
  </si>
  <si>
    <t>CHHM10-6215DB-EP-B-165</t>
  </si>
  <si>
    <t>WITH OUT GEAR BOX</t>
  </si>
  <si>
    <t>CHHM10-6215DB-EP-B-165_20241016150927195.pdf</t>
  </si>
  <si>
    <t>mse1erm9_20241007134646192.png</t>
  </si>
  <si>
    <t>김수현</t>
  </si>
  <si>
    <t>2024-10-31 08:10:59</t>
  </si>
  <si>
    <t>Q4654999</t>
  </si>
  <si>
    <t>4P,7.5kW,440V,60Hz,1760rpm,I=1/187,F_class,250H,95D,380X480,CAGE,IP55,[P7P5TC216R/HYUNDAI ELECTRIC],HHXM10-1916-187, BRAKE CHB A 195( AC 440V B-TYPE),IE3,OR EQUIVALENT</t>
  </si>
  <si>
    <t>P7P5TC216R</t>
  </si>
  <si>
    <t>HYUNDAI ELECTRIC</t>
  </si>
  <si>
    <t>HHXM10-1916-187, BRAKE CHB A 195( AC 440V B-TYPE)</t>
  </si>
  <si>
    <t>CBL_도면_최종도면_240722 STS Drive Parameter 외 요청자료_5. Motor 관련자료_현대 7.5kW 모터 성적서 - 복사본_20241031082919932.pdf</t>
  </si>
  <si>
    <t xml:space="preserve"> http://www.changwonbm.co.kr/sub_tech.htm</t>
  </si>
  <si>
    <t>CBL Coil Car motor 7.5kw Hyundai_20241231133447344.png</t>
  </si>
  <si>
    <t>박진홍</t>
  </si>
  <si>
    <t>xggo@posco.co.kr</t>
  </si>
  <si>
    <t>2025-01-10 08:01:16</t>
  </si>
  <si>
    <t>Q4656460</t>
  </si>
  <si>
    <t>6P,1kW,440V,60Hz,[T/S GEARED MOTOR ASS'Y(30TON)(WITH BRAKE)/BANDO],00-2, 01-2, 02(02-1~02-10), 03(03-1~03-12),OR EQUIVALENT</t>
  </si>
  <si>
    <t>T/S GEARED MOTOR ASS'Y(30TON)(WITH BRAKE)</t>
  </si>
  <si>
    <t>BANDO</t>
  </si>
  <si>
    <t>00-2, 01-2, 02(02-1~02-10), 03(03-1~03-12)</t>
  </si>
  <si>
    <t>사양 상세도_20241114081400944.png</t>
  </si>
  <si>
    <t>사양품 실물_20241114081401029.jpg</t>
  </si>
  <si>
    <t>박경득</t>
  </si>
  <si>
    <t>홍명환</t>
  </si>
  <si>
    <t>(포항)제강설비부 선강크레인정비섹션</t>
  </si>
  <si>
    <t>hmh1492@posco.co.kr</t>
  </si>
  <si>
    <t>2024-11-19 17:11:41</t>
  </si>
  <si>
    <t>Q4659727</t>
  </si>
  <si>
    <t>4P,0.75kW,440V,60Hz,1751rpm,I=1/191,F_class,140H,40D,120X140,VVVF,IP54,[K67 R37 DRN80M4/SEW],M1A-180(L)/NORMAL,IE3,OR EQUIVALENT</t>
  </si>
  <si>
    <t>K67 R37 DRN80M4</t>
  </si>
  <si>
    <t>M1A-180(L)/NORMAL</t>
  </si>
  <si>
    <t>300W04_20241217075859157.png</t>
  </si>
  <si>
    <t>download.sew-eurodrive.com/download/pdf_u/26883198.pdf#search=%22drn%22</t>
  </si>
  <si>
    <t>300w04_20241223140234305.png</t>
  </si>
  <si>
    <t>이상섭</t>
  </si>
  <si>
    <t>antihero@posco.co.kr</t>
  </si>
  <si>
    <t>김준수</t>
  </si>
  <si>
    <t>joonsco@posco.co.kr</t>
  </si>
  <si>
    <t>2024-12-24 17:12:40</t>
  </si>
  <si>
    <t xml:space="preserve">Q4195241등 유사item 검색하였으나,  reduction ratio 등 상이함 확인후 승인합니다. </t>
  </si>
  <si>
    <t>Q4659961</t>
  </si>
  <si>
    <t>4P,22kW,440V,60Hz,1770rpm,I=1/5.45,F_class,300H,80D,180M,IP44,[MAKER DWG NO:GMB4150-1-1/HYUNDAI HEAVY INDUSTRY],MAKER DWG NO:GMB4150-1-1,OR EQUIVALENT</t>
  </si>
  <si>
    <t>MAKER DWG NO:GMB4150-1-1</t>
  </si>
  <si>
    <t>HYUNDAI HEAVY INDUSTRY</t>
  </si>
  <si>
    <t>GMB4150-1-1_20241223090228359.png</t>
  </si>
  <si>
    <t>http://www.hyundaimotorindustries.com/post/product/13780/%ed%98%84%eb%8c%80-%ed%94%84%eb%a6%ac%eb%af%b8%ec%97%84-%eb%aa%a8%ed%84%b0-22kw30hp-hyundai-premium-motor-22kw/</t>
  </si>
  <si>
    <t>HWRT Holl Down Roll Motor_20241223090228513.png</t>
  </si>
  <si>
    <t>김기웅</t>
  </si>
  <si>
    <t>kwkw7288@posco.co.kr</t>
  </si>
  <si>
    <t>2024-12-27 15:12:06</t>
  </si>
  <si>
    <t>Q4001348등 유사item 검색하였으나, 유사품 없음 확인후 승인합니다.</t>
  </si>
  <si>
    <t>Q4660900</t>
  </si>
  <si>
    <t>6P,30kW,440V,60Hz,1200rpm,I=1/15,F_class,300H,90D,470X480,CAGE,IP55,[JK-BT2200/JEIL REDUCER],IE3,OR EQUIVALENT</t>
  </si>
  <si>
    <t>JK-BT2200</t>
  </si>
  <si>
    <t>JEIL REDUCER</t>
  </si>
  <si>
    <t>40HP6P15-BT2200_20250106142505558.pdf</t>
  </si>
  <si>
    <t>http://jireducer.co.kr/03.html</t>
  </si>
  <si>
    <t>40HP6P15_20250102161003139.jpg</t>
  </si>
  <si>
    <t>민동우</t>
  </si>
  <si>
    <t>(포항)제선설비부 고로정비섹션</t>
  </si>
  <si>
    <t>이용남</t>
  </si>
  <si>
    <t>yungyung@posco.co.kr</t>
  </si>
  <si>
    <t>2025-01-08 10:01:49</t>
  </si>
  <si>
    <t xml:space="preserve">MRO e-Caltalog시스템 경유건으로 대체 Maker 미 발굴건, 기 설치된 Motor의 호환성을 위해 특정 사양으로 등록건 확인, _x000D_
Q2216726 등 유사item 검색하였으나, 유사/동일품 없음 확인후 승인합니다. _x000D_
</t>
  </si>
  <si>
    <t>Q4663248</t>
  </si>
  <si>
    <t>4P,2.2kW,254/440V,60Hz,1767rpm,I=1/374,F_class,26H,16D,250,VVVF,IP55,[DRN100L4BE5/TF/EK8C/SEW],IE3,OR EQUIVALENT</t>
  </si>
  <si>
    <t>DRN100L4BE5/TF/EK8C</t>
  </si>
  <si>
    <t>94355 DRN100L4_BE5_FG_TF_EK8C_20250124082013933.pdf</t>
  </si>
  <si>
    <t>https://www.sew-eurodrive.kr/os/dud/?tab=documents&amp;country=KR&amp;language=ko_kr&amp;doc_lang=en-US,ko-KP&amp;doc_type=G,D,E,F,CD,DD,PL,H,A,V&amp;search=DRN100L</t>
  </si>
  <si>
    <t>DRN100L_20250124082014036.png</t>
  </si>
  <si>
    <t>조영재</t>
  </si>
  <si>
    <t>boomnight@posco.co.kr</t>
  </si>
  <si>
    <t>2025-02-03 13:02:08</t>
  </si>
  <si>
    <t xml:space="preserve">MRO e-Caltalog시스템 경유건으로 대체 Maker 미 발굴건, 기 설치된 Motor의 호환성을 위해 특정 사양으로 등록건 확인,_x000D_
Q4608839등 유사item 검색하였으나, 유사/동일품 없음 확인후 승인합니다. (특정 사양품감축 관련) 차후 입고시 스케치, 현물 확인을 통한 도면화,일반 사양화, 복수화 전환 검토 요청 필히 부탁드립니다. 감사합니다._x000D_
</t>
  </si>
  <si>
    <t>Q4663270</t>
  </si>
  <si>
    <t>POSCO VIETNAM</t>
  </si>
  <si>
    <t>4P,0.4kW,380V,50Hz,1750rpm,I=1/10,F_class,28D,PCD175(4-D11),CAGE,IP54,[F1VM-10/HYOSUNG],MAKER DWG NO:EK2DO07864H0001</t>
  </si>
  <si>
    <t>F1VM-10</t>
  </si>
  <si>
    <t>MAKER DWG NO:EK2DO07864H0001</t>
  </si>
  <si>
    <t>F1VM10_20250123104718373.pdf</t>
  </si>
  <si>
    <t>https://www.famotor.co.kr/shop/item.php?it_id=1718954286&amp;ca_id=8040&amp;page=8&amp;sort=it_type2&amp;sortodr=desc&amp;page=8</t>
  </si>
  <si>
    <t>0.4kw_20250123105020719.jpg</t>
  </si>
  <si>
    <t>NGUYỄN HOÀNG PHƯƠNG</t>
  </si>
  <si>
    <t>Facilities Improvement Team</t>
  </si>
  <si>
    <t>nh.phuong@posco.net</t>
  </si>
  <si>
    <t>2025-02-03 14:02:45</t>
  </si>
  <si>
    <t>Q4663348</t>
  </si>
  <si>
    <t>4P,2.2kW,440V,60Hz,1765rpm,I=1/202.57,F_class,144H,85D,PCD215(6-M12),CAGE,IP55,[SK5382AZBGH-100LP/4 KR TF/NORD],IE3,OR EQUIVALENT</t>
  </si>
  <si>
    <t>SK5382AZBGH-100LP/4 KR TF</t>
  </si>
  <si>
    <t>NORD</t>
  </si>
  <si>
    <t>AC Geared Motor_NORD_SK5382AZBGH 100LP 4 KR TF_Catalog_20250203084415684.pdf</t>
  </si>
  <si>
    <t>http://incmotion.com/board_vWqr50/15159</t>
  </si>
  <si>
    <t>AC Geared Motor_NORD_SK5382AZBGH 100LP 4 KR TF_Image_20250203084415766.png</t>
  </si>
  <si>
    <t>이영민</t>
  </si>
  <si>
    <t>(포항)제선설비부 소결정비섹션</t>
  </si>
  <si>
    <t>nedter@posco.co.kr</t>
  </si>
  <si>
    <t>이병승</t>
  </si>
  <si>
    <t>seung2@posco.co.kr</t>
  </si>
  <si>
    <t>2025-02-03 17:02:34</t>
  </si>
  <si>
    <t xml:space="preserve">MRO e-Caltalog시스템 경유건으로 대체 Maker 미 발굴건, 기 설치된 AC Geared Motor의 호환성을 위해 특정 사양으로 등록건 확인,_x000D_
Q4461621등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</si>
  <si>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Q4668341</t>
  </si>
  <si>
    <t>4P,1.5kW,440V,60Hz,1750rpm,I=1/40,F_class,85H,45D,PCD210(6-M10 DP20),CAGE,IP44,[SRA150-05271R-S3EF1-U/SUNGWONTECH],MAKER DWG NO:SRA150-000-000,IE3,OR EQUIVALENT</t>
  </si>
  <si>
    <t>SRA150-05271R-S3EF1-U</t>
  </si>
  <si>
    <t>SUNGWONTECH</t>
  </si>
  <si>
    <t>MAKER DWG NO:SRA150-000-000</t>
  </si>
  <si>
    <t>AC Geared Motor_SUNGWONTECH_SRA150-05271R-S3EF1-U_Drawing_20250317091302706.pdf</t>
  </si>
  <si>
    <t>https://www.sungwontech.com/sub02_1.html</t>
  </si>
  <si>
    <t>AC Geared Motor_SUNGWONTECH_SRA150-05271R-S3EF1-U_Image_20250317091302777.png</t>
  </si>
  <si>
    <t>김상진</t>
  </si>
  <si>
    <t>sangjin@posco.co.kr</t>
  </si>
  <si>
    <t>2025-03-21 11:03:56</t>
  </si>
  <si>
    <t xml:space="preserve">MRO e-Caltalog시스템 경유건으로 대체 Maker 미 발굴건, 기 설치된 AC Geared Motor의 호환성을 위해 특정 사양으로 등록건 확인,_x000D_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</si>
  <si>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Q4671008</t>
  </si>
  <si>
    <t>4P,0.75kW,440V,60Hz,0.14rpm,I=1/12857,TEFC_class,300H,100D,PCD420(6-M16 TAP),55,[MMAS-0.75-B-0.14/MYUNG MIN],IE3,OR EQUIVALENT</t>
  </si>
  <si>
    <t>MMAS-0.75-B-0.14</t>
  </si>
  <si>
    <t>MYUNG MIN</t>
  </si>
  <si>
    <t>MMAS-0.75-B-0.14_20250415104930599.jpg</t>
  </si>
  <si>
    <t>http://mmi21.com/bbs/view.php?id=product_51&amp;page=1&amp;sn1=&amp;divpage=1&amp;sn=off&amp;ss=on&amp;sc=on&amp;select_arrange=headnum&amp;desc=asc&amp;no=14&amp;PHPSESSID=3dd206309502aeeb22f575d13979614c</t>
  </si>
  <si>
    <t>MMAS-0.75-B-0.14_20250410150408128.jpg</t>
  </si>
  <si>
    <t>임운선</t>
  </si>
  <si>
    <t>ulami@posco.co.kr</t>
  </si>
  <si>
    <t>2025-04-16 11:04:49</t>
  </si>
  <si>
    <t xml:space="preserve">MRO e-Caltalog시스템 경유건으로 대체 Maker 미 발굴건, 기 설치된   MMAS-0.75-B-0.14의 호환성을 위해 특정 사양으로 등록건 확인,_x000D_
Q4517793등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</si>
  <si>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Q4673632</t>
  </si>
  <si>
    <t>4P,15kW,440V,60Hz,1800rpm,I=1/20,F_class,300H,80D,370X380,CAGE,IP55,[45JK-HT/JEIL REDUCER],MAKER DWG NO:20H4P20-H2150,IE3,OR EQUIVALENT</t>
  </si>
  <si>
    <t>45JK-HT</t>
  </si>
  <si>
    <t>MAKER DWG NO:20H4P20-H2150</t>
  </si>
  <si>
    <t>C-411A 15kW Geared Motor(JK-HT)_20250512144122878.pdf</t>
  </si>
  <si>
    <t>http://www.j-mc.co.kr/bbs/board.php?bo_table=jeil1_142&amp;sf=&amp;sp=&amp;st=&amp;page=3</t>
  </si>
  <si>
    <t>C-411A Motor_20250512144107657.png</t>
  </si>
  <si>
    <t>이상기</t>
  </si>
  <si>
    <t>qkek078@posco.co.kr</t>
  </si>
  <si>
    <t>2025-05-15 10:05:24</t>
  </si>
  <si>
    <t xml:space="preserve">**'Base Size' 작성시 : 베이스 앙카의 축방향 X 가로방향 으로 기재 부탁드립니다. _x000D_
** 'Option &amp; others'칸에 : maker dwg no:#### 필히 기재해 주십시오._x000D_
_x000D_
기 설치된 물품의 호환성을 위해 특정 사양으로 등록건 확인, Q3603045등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</si>
  <si>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Q4673842</t>
  </si>
  <si>
    <t>4P,3kW,440V,60Hz,1763rpm,I=147.32,F_class,212H,60D,CAGE,IP65,[KA87/T DRN100L4/BE5HF/SEW-EURODRIVE],IE3,OR EQUIVALENT</t>
  </si>
  <si>
    <t>KA87/T DRN100L4/BE5HF</t>
  </si>
  <si>
    <t>SEW-EURODRIVE</t>
  </si>
  <si>
    <t>https://www.sew-eurodrive.kr/products/motors/ac_motors/ac_motors_drn/ac_motors_drn.html</t>
  </si>
  <si>
    <t>6기 Bucket Car Turntable Lock Device Geared Motor_20250827143628663.jpg</t>
  </si>
  <si>
    <t>장명</t>
  </si>
  <si>
    <t>wkdaud13@posco.co.kr</t>
  </si>
  <si>
    <t>2025-09-11 07:09:19</t>
  </si>
  <si>
    <t>Q4675359</t>
  </si>
  <si>
    <t>4P,0.4kW,440V,60Hz,1750rpm,I=1/30,F_class,28D,PCD175(4-D11),CAGE,IP54,[F1VM-10/HYOSUNG],OR EQUIVALENT</t>
  </si>
  <si>
    <t>EK2DO07864H0001_20250520074554510.pdf</t>
  </si>
  <si>
    <t>https://www.hyosungheavyindustries.com/kr/business/gear-solutions/M010302#summary</t>
  </si>
  <si>
    <t>STL_hadongho_20250515_085137_20250520074824005.jpg</t>
  </si>
  <si>
    <t>하동호</t>
  </si>
  <si>
    <t>hadongho@posco.co.kr</t>
  </si>
  <si>
    <t>2025-05-29 16:05:06</t>
  </si>
  <si>
    <t xml:space="preserve">기 설치된 물품의 호환성을 위해 특정 사양으로 등록건 확인,_x000D_
Q4663270등 유사item 검색하였으나 감속비가 서로 상이함 확인하였으며, 유사/동일품 없음 확인후 승인합니다._x000D_
(특정 사양품감축 관련) 차후 입고시 스케치, 현물 확인을 통한 도면화, 일반 사양화, 복수화 전환 검토 요청 필히 부탁드립니다. 감사합니다._x000D_
</t>
  </si>
  <si>
    <t>Q4676530</t>
  </si>
  <si>
    <t>4P,0.75kW,440V,60Hz,1750rpm,I=1/43,F_class,210H,38D,PCD180(6-D11),CAGE,IP55,[CVAM1-A03-43/HYUP DONG],MAKER DWG NO:VA1B-SF003-G-23B,IE3,OR EQUIVALENT</t>
  </si>
  <si>
    <t>CVAM1-A03-43</t>
  </si>
  <si>
    <t>HYUP DONG</t>
  </si>
  <si>
    <t>MAKER DWG NO:VA1B-SF003-G-23B</t>
  </si>
  <si>
    <t>CVAM-A03  1HP×4P×43_20250407151326800.pdf</t>
  </si>
  <si>
    <t>http://www.hdcyclo.com/</t>
  </si>
  <si>
    <t>CVAM1-A03-43_20250410160149566.jpg</t>
  </si>
  <si>
    <t>문상종</t>
  </si>
  <si>
    <t>tkswhd2000@posco.co.kr</t>
  </si>
  <si>
    <t>허지웅</t>
  </si>
  <si>
    <t>jwoong2@posco.co.kr</t>
  </si>
  <si>
    <t>2025-06-12 13:06:26</t>
  </si>
  <si>
    <t xml:space="preserve">기 설치된 물품의 호환성을 위해 특정 사양으로 등록건 확인,_x000D_
Q4458332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</si>
  <si>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Q4676532</t>
  </si>
  <si>
    <t>4P,1.5kW,440V,60Hz,1750rpm,I=1/289,F_class,340H,60D,PCD 310(6-11D),CAGE,IP55,[CVAMW2-B052-AB-289/HYUP DONG],WITH BRAKE(AC 440V, B TYPE),IE3,OR EQUIVALENT</t>
  </si>
  <si>
    <t>CVAMW2-B052-AB-289</t>
  </si>
  <si>
    <t>WITH BRAKE(AC 440V, B TYPE)</t>
  </si>
  <si>
    <t>CVAMW-B052-AB  2HP×4P×289(21C ENG)_20250414155453543.pdf</t>
  </si>
  <si>
    <t>http://www.hdcyclo.com/default/product/cyclo/cyclo_02.php?section=cyclo_02</t>
  </si>
  <si>
    <t>CVAMW2-B052-AB-289_20250410160253556.jpg</t>
  </si>
  <si>
    <t>김영욱</t>
  </si>
  <si>
    <t>yy920@posco.co.kr</t>
  </si>
  <si>
    <t>2025-06-12 13:06:28</t>
  </si>
  <si>
    <t>Q4676783</t>
  </si>
  <si>
    <t>4P,11kW,440V,60Hz,1780rpm,I=1/50,F_class,280H,76D,IP55,[HHM28/HYOSUNG],FOR STS3 SHOT BLASTER LOWER IMPELLER SCREW CONVEYOR MOTOR,IE3,OR EQUIVALENT</t>
  </si>
  <si>
    <t>HHM28</t>
  </si>
  <si>
    <t>FOR STS3 SHOT BLASTER LOWER IMPELLER SCREW CONVEYOR MOTOR</t>
  </si>
  <si>
    <t>특정사양품 신규등록 품의서 (STS3제강 연주 정정 SB 하부 Impeller Screw Motor 11kw)_20250613093722776.xlsx</t>
  </si>
  <si>
    <t>https://www.hyosungheavyindustries.com/kr/data/geared-motors?kw=11&amp;poles=4&amp;ratio=50&amp;voltage_hz=440V%2C60Hz&amp;mounting=&amp;motor_type=TE-F&amp;installation=&amp;serise=H</t>
  </si>
  <si>
    <t>HHM28_20250613093722846.jpg</t>
  </si>
  <si>
    <t>이민형</t>
  </si>
  <si>
    <t>(포항)제강설비부</t>
  </si>
  <si>
    <t>tjswlwk@posco.co.kr</t>
  </si>
  <si>
    <t>설성진</t>
  </si>
  <si>
    <t>keyssj98@posco.co.kr</t>
  </si>
  <si>
    <t>2025-06-16 09:06:19</t>
  </si>
  <si>
    <t>[공지] 특정사양품(단수) 물품등록 프로세스 개선 (e-Catalog 의무소싱 폐지) 적용(특정사양품(단수) 등록 절차 개선 (포스코 및 그룹사 대상, 25.4.16부))건으로 _x000D_
Shot Blaster 하부 Impeller Screw Conveyor Motor로 설비효율성을 위해 특정 사양으로 등록건 확인 후 승인,(특정 사양품감축 관련) 차후 입고시 스케치, 현물 확인을 통한 도면화,일반 사양화,복수화 전환 검토 요청 필히 부탁드립니다. 감사합니다.*HHM*&amp;*28*&amp;*4p*&amp;*11kw* 조회시 Q4035399와 유사 사양[HHM28-G01/HYOSUNG]건만 있음 확인후 승인, 사양 검증용 엑셀 자료 확인후 승인</t>
  </si>
  <si>
    <t>Q4676819</t>
  </si>
  <si>
    <t>4P,0.75kW,440V,60Hz,1734rpm,I=1/45,F_class,130H,32D,170X125,CAGE,IP55,[MFG32T-45RB0.75-4/DAESUNG INDUSTRIAL]</t>
  </si>
  <si>
    <t>MFG32T-45RB0.75-4</t>
  </si>
  <si>
    <t>DAESUNG INDUSTRIAL</t>
  </si>
  <si>
    <t>밴딩기 컨베이어 전후진 모터_20250610120100406.JPG</t>
  </si>
  <si>
    <t>http://www.dsmachinery.co.kr/board/board_machine01/board_list.asp?scrID=0000000157&amp;pageNum=4&amp;subNum=1&amp;ssubNum=1</t>
  </si>
  <si>
    <t>대성모터 1_20250610120042349.JPG</t>
  </si>
  <si>
    <t>정우현</t>
  </si>
  <si>
    <t>광양양극재정비섹션</t>
  </si>
  <si>
    <t>jwh406@poscofuturem.com</t>
  </si>
  <si>
    <t>2025-06-16 13:06:05</t>
  </si>
  <si>
    <t xml:space="preserve">[공지] 특정사양품(단수) 물품등록 프로세스 개선 (e-Catalog 의무소싱 폐지) 적용(특정사양품(단수) 등록 절차 개선 (포스코 및 그룹사 대상, 25.4.16부))건으로 _x000D_
랩핑기 컨베이어 전/후진 모터로 설비효율성을 위해 특정 사양으로 등록건 확인 후 승인,(특정 사양품감축 관련) 차후 입고시 스케치, 현물 확인을 통한 도면화,일반 사양화,복수화 전환 검토 요청 필히 부탁드립니다. 감사합니다. 현장 명판 사진으로 사양 추가 확인건, *MFG*&amp;*32T*&amp;*45*&amp;*RB* 조회시 동일 사양없음 확인후 승인 </t>
  </si>
  <si>
    <t>Q4676820</t>
  </si>
  <si>
    <t>4P,0.4kW,440V,60Hz,1700rpm,I=1/45,F_class,110H,24D,140X90,CAGE,IP44,[MFG24T-45RB0.4-4/DAESUNG INDUSTRIAL]</t>
  </si>
  <si>
    <t>MFG24T-45RB0.4-4</t>
  </si>
  <si>
    <t>밴딩기 컨베이어 전후진 모터_20250610112107977.JPG</t>
  </si>
  <si>
    <t>대성모터 1_20250610113229653.JPG</t>
  </si>
  <si>
    <t>2025-06-16 13:06:11</t>
  </si>
  <si>
    <t xml:space="preserve">[공지] 특정사양품(단수) 물품등록 프로세스 개선 (e-Catalog 의무소싱 폐지) 적용(특정사양품(단수) 등록 절차 개선 (포스코 및 그룹사 대상, 25.4.16부))건으로 _x000D_
랩핑기 컨베이어 전/후진 모터로 설비효율성을 위해 특정 사양으로 등록건 확인 후 승인,(특정 사양품감축 관련) 차후 입고시 스케치, 현물 확인을 통한 도면화,일반 사양화,복수화 전환 검토 요청 필히 부탁드립니다. 감사합니다. 현장 명판 사진으로 사양 추가 확인건, *MFG*&amp;*24T*&amp;*45*&amp;*RB* 조회시 동일 사양없음 확인후 승인 </t>
  </si>
  <si>
    <t>Q4677828</t>
  </si>
  <si>
    <t>4P,3.7kW,440V,60Hz,1755rpm,I=1/100,F_class,485H,810D,260X295,CAGE,IP55,[HHM25/HYOSUNG],DC BRAKE, MAKER DWG NO:EK2DO07240H0001,IE3,OR EQUIVALENT</t>
  </si>
  <si>
    <t>HHM25</t>
  </si>
  <si>
    <t>DC BRAKE, MAKER DWG NO:EK2DO07240H0001</t>
  </si>
  <si>
    <t>EK2DO07240H0001_20250528143339969.pdf</t>
  </si>
  <si>
    <t>https://www.hyosungheavyindustries.com/kr/data/geared-motors?kw=3.7&amp;poles=4&amp;ratio=100&amp;voltage_hz=440V%2C60Hz&amp;mounting=G%2FM+Hor.&amp;motor_type=&amp;installation=&amp;serise=</t>
  </si>
  <si>
    <t>HHM_20250528142752462.png</t>
  </si>
  <si>
    <t>김희선</t>
  </si>
  <si>
    <t>(광양)압연설비2부 냉연정비1섹션</t>
  </si>
  <si>
    <t>eden6770@posco.co.kr</t>
  </si>
  <si>
    <t>김성수</t>
  </si>
  <si>
    <t>K)압연제어팀</t>
  </si>
  <si>
    <t>naia-1004@poscoict.com</t>
  </si>
  <si>
    <t>2025-06-24 17:06:09</t>
  </si>
  <si>
    <t>Q4678818</t>
  </si>
  <si>
    <t>4P,2.2kW,440V,60Hz,1760rpm,I=1/47.69,F_class,60D,IP65,[BS40-13L/DPE11LB4-D-S/ESX027A6/BAUER],IE3,OR EQUIVALENT</t>
  </si>
  <si>
    <t>BS40-13L/DPE11LB4-D-S/ESX027A6</t>
  </si>
  <si>
    <t>BAUER</t>
  </si>
  <si>
    <t>Tail Bender Adjust Motor Bauer_20250627110153584.pdf</t>
  </si>
  <si>
    <t>Tail Bender Adjust Motor 실물사진_20250627110119450.png</t>
  </si>
  <si>
    <t>정인교</t>
  </si>
  <si>
    <t>jeonginkyo@posco.co.kr</t>
  </si>
  <si>
    <t>2025-07-03 07:07:18</t>
  </si>
  <si>
    <t xml:space="preserve">기 설치된 물품의 호환성을 위해 특정 사양으로 등록건 확인,_x000D_
Q4057031등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</si>
  <si>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Q4683150</t>
  </si>
  <si>
    <t>4P,0.75kW,440V,60Hz,1735rpm,I=1/5,F_class,135H,32D,180X135,CAGE,IP55,[F1HM13+TE-F/HYOSUNG HEAVY INDUSTRIES],IE3,OR EQUIVALENT</t>
  </si>
  <si>
    <t>F1HM13+TE-F</t>
  </si>
  <si>
    <t>HYOSUNG HEAVY INDUSTRIES</t>
  </si>
  <si>
    <t>F1HM 0.75KW 1_5 사양서_20250808075654988.pdf</t>
  </si>
  <si>
    <t>F1HM 사진_20250805150154137.png</t>
  </si>
  <si>
    <t>배재천</t>
  </si>
  <si>
    <t>(광양)제강설비부 연주정비섹션</t>
  </si>
  <si>
    <t>2025-08-11 11:08:06</t>
  </si>
  <si>
    <t>Q4683420</t>
  </si>
  <si>
    <t>4P,2.2kW,440V,60Hz,1765rpm,I=1/10,F_class,100L,IP55,[FVB/HYOSUNG],OR EQUIVALENT</t>
  </si>
  <si>
    <t>모터 명판_20250805171323860.jpg</t>
  </si>
  <si>
    <t>기어드 모터 사진_20250805135914053.jpg</t>
  </si>
  <si>
    <t>오선훈</t>
  </si>
  <si>
    <t>(광양)고순도니켈사업추진반 조업안전섹션</t>
  </si>
  <si>
    <t>sun2340@posco.co.kr</t>
  </si>
  <si>
    <t>강형수</t>
  </si>
  <si>
    <t>(광양)고순도니켈사업추진반 니켈정제공장</t>
  </si>
  <si>
    <t>hengsu@posco.co.kr</t>
  </si>
  <si>
    <t>2025-08-12 16:08:53</t>
  </si>
  <si>
    <t>Q4685049</t>
  </si>
  <si>
    <t>120D,PCD590(12-D22),[MMJV 1 - 31173/HAPDONG],FOR 3WRM M202 THICKNER,OR EQUIVALENT,OR EQUIVALENT</t>
  </si>
  <si>
    <t>MMJV 1 - 31173</t>
  </si>
  <si>
    <t>HAPDONG</t>
  </si>
  <si>
    <t>FOR 3WRM M202 THICKNER,OR EQUIVALENT</t>
  </si>
  <si>
    <t>주석 2025-08-28 083926_20250828084020238.png</t>
  </si>
  <si>
    <t xml:space="preserve">http://www.hpower.kr/page.php?bo_table=020402_3 </t>
  </si>
  <si>
    <t>reducer_20250826135008129.png</t>
  </si>
  <si>
    <t>2025-08-28 08:08:16</t>
  </si>
  <si>
    <t xml:space="preserve">** 추후 물품 등록시 도면 캡처한 파일 첨부 부탁드립니다. (URL 삭제 /수정/변경 시 추척 불가)_x000D_
   사양검증자료에 기재되어 있지 않은 data는 모두 삭제합니다. (추후 삭제후 신청 필요)_x000D_
_x000D_
기 설치된 물품의 호환성을 위해 특정 사양으로 등록건 확인, 유사item 검색하였으나, 유사/동일품 없음 확인후 승인합니다._x000D_
(특정 사양품감축 관련) 차후 입고시 스케치, 현물 확인을 통한 도면화, 일반 사양화, 복수화 전환 검토 요청 부탁드립니다. 감사합니다._x000D_
</t>
  </si>
  <si>
    <t>Q4685554</t>
  </si>
  <si>
    <t>6P,5.5kW,440V,60Hz,1200rpm,I=1/43,F_class,429H,915D,380X175,CAGE,IP44,[CHHX-6175-43/SUMITOMO],WITH MOTOR,IE3,OR EQUIVALENT</t>
  </si>
  <si>
    <t>CHHX-6175-43</t>
  </si>
  <si>
    <t>CHHX-6175-43_20250605103034813.pdf</t>
  </si>
  <si>
    <t>https://us.sumitomodrive.com/en-us/product/cyclo-6000-gearmotor</t>
  </si>
  <si>
    <t>CHHX-6175-43_20250605095213601.png</t>
  </si>
  <si>
    <t>박민혁</t>
  </si>
  <si>
    <t>pmh1012@posco.co.kr</t>
  </si>
  <si>
    <t>2025-09-02 16:09:23</t>
  </si>
  <si>
    <t xml:space="preserve">기 설치된 물품의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부탁드립니다. 감사합니다._x000D_
_x000D_
</t>
  </si>
  <si>
    <t>Q4685650</t>
  </si>
  <si>
    <t>4P,0.09kW,220V,60Hz,1600rpm,I=1/60,63H,18D,VVVF,[S9I90GTH-E/SPG]+WITH HEAD  S9KD60B,OR EQUIVALENT</t>
  </si>
  <si>
    <t>S9I90GTH-E</t>
  </si>
  <si>
    <t>SPG</t>
  </si>
  <si>
    <t>WITH HEAD  S9KD60B</t>
  </si>
  <si>
    <t>[카탈로그]S9I90GTH-E_20250901090909524.pptx</t>
  </si>
  <si>
    <t>http://www.spg.co.kr/sub/product.php?cate1=AC&amp;gc_id=10</t>
  </si>
  <si>
    <t>S9I90GTH-E_20250901132618414.jpg</t>
  </si>
  <si>
    <t>변현룡</t>
  </si>
  <si>
    <t>sbehsy@posco.co.kr</t>
  </si>
  <si>
    <t>2025-09-03 09:09:07</t>
  </si>
  <si>
    <t xml:space="preserve">기 설치된 물품의 호환성을 위해 특정 사양으로 등록건 확인,_x000D_
Q4454434 등 유사item 검색하였으나 감속비 등 옵션 일부 상이함 확인하였으며, 유사/동일품 없음 확인후 승인합니다._x000D_
(특정 사양품감축 관련) 차후 입고시 스케치, 현물 확인을 통한 도면화, 일반 사양화, 복수화 전환 검토 요청 부탁드립니다. 감사합니다._x000D_
_x000D_
</t>
  </si>
  <si>
    <t>Q4686262</t>
  </si>
  <si>
    <t>4P,7.5kW,440V,60Hz,1750rpm,I=1/8,F_class,200H,48D,236X260,CAGE,IP55,[FHB/HYOSUNG],FRAME:132M,14.3A,WITH BRAKE(AC440V/DC90V), MAKER DWG NO:EK2DO07179H0001,IE3,OR EQUIVALENT</t>
  </si>
  <si>
    <t>FHB</t>
  </si>
  <si>
    <t>FRAME:132M,14.3A,WITH BRAKE(AC440V/DC90V), MAKER DWG NO:EK2DO07179H0001</t>
  </si>
  <si>
    <t>FHB_20250822103303092.pdf</t>
  </si>
  <si>
    <t>https://www.hyosungheavyindustries.com/kr/data/geared-motors?kw=7.5&amp;poles=4&amp;ratio=10&amp;voltage_hz=440V%2C60Hz&amp;mounting=G%2FM+Hor.&amp;motor_type=&amp;installation=&amp;serise=</t>
  </si>
  <si>
    <t>FHB_20250822103137259.jpg</t>
  </si>
  <si>
    <t>2025-09-08 17:09:11</t>
  </si>
  <si>
    <t xml:space="preserve">기 설치된 물품의 호환성을 위해 특정 사양으로 등록건 확인, _x000D_
유사item 검색하였으나, 유사/동일품 없음 확인후 승인합니다._x000D_
(특정 사양품감축 관련) 차후 입고시 스케치, 현물 확인을 통한 도면화, 일반 사양화, 복수화 전환 검토 요청 부탁드립니다. 감사합니다._x000D_
</t>
  </si>
  <si>
    <t>Q4686579</t>
  </si>
  <si>
    <t>4P,2.2kW,440V,60Hz,1765rpm,I=1/3.41,F CLASS_class,50H,25D,110X130,IP54,[R37 DRN 100LM4/SEW],4.8[A]  R37(GEAR) DRN100L(FRAME) 4(POLE) / AL(METAL FAN) / 2,3ACL FCE PHS,NOF H/R MOTOR,IE3,OR EQUIVALENT</t>
  </si>
  <si>
    <t xml:space="preserve">R37 DRN 100LM4 </t>
  </si>
  <si>
    <t>4.8[A]  R37(GEAR) DRN100L(FRAME) 4(POLE) / AL(METAL FAN) / 2,3ACL FCE PHS,NOF H/R MOTOR</t>
  </si>
  <si>
    <t>https://download.sew-eurodrive.com/download/pdf_u/27804879.pdf#search=%2260hz%22</t>
  </si>
  <si>
    <t>20251124_6278409445228858361.jpg</t>
  </si>
  <si>
    <t>[물품등록]SEW2_20250908155605203.jpg</t>
  </si>
  <si>
    <t>정지헌</t>
  </si>
  <si>
    <t>abc333@posco.co.kr</t>
  </si>
  <si>
    <t>2025-09-10 16:09:08</t>
  </si>
  <si>
    <t>Q4687210</t>
  </si>
  <si>
    <t>4P,0.75kW,440V,0-60Hz,0-1735rpm,I=1/50,F_class,153H,38D,215 X 150,VVVF,IP55,[F1HM15/HYOSUNG],WITH BRAKE,IE3,OR EQUIVALENT</t>
  </si>
  <si>
    <t>F1HM15</t>
  </si>
  <si>
    <t>WITH BRAKE</t>
  </si>
  <si>
    <t>F1HM15_0.75KW_20250915112445399.jpg</t>
  </si>
  <si>
    <t>https://www.hyosungheavyindustries.com/kr/data/geared-motors?kw=0.75&amp;poles=4&amp;ratio=50&amp;voltage_hz=440V%2C60Hz&amp;mounting=G%2FM+Hor.&amp;motor_type=TE-F&amp;installation=INDOOR&amp;serise=F1</t>
  </si>
  <si>
    <t>자동화창고_컨베어_모터_867984_20250912_161816_20250914154810855.jpg</t>
  </si>
  <si>
    <t>남영현</t>
  </si>
  <si>
    <t>2025-09-16 13:09:00</t>
  </si>
  <si>
    <t>Q4687213</t>
  </si>
  <si>
    <t>4P,1.5kW,440V,60Hz,0-1735rpm,I=1/60,F_class,135H,32D,190X150,VVVF,IP55,[RPH 1.5KW/HYOSUNG],WITH BRAKE,IE3,OR EQUIVALENT</t>
  </si>
  <si>
    <t>RPH 1.5KW</t>
  </si>
  <si>
    <t>RPH_HYOSUNG_1.5KW_20250915112901967.jpg</t>
  </si>
  <si>
    <t>https://www.hyosungheavyindustries.com/kr/data/geared-motors?kw=1.5&amp;poles=4&amp;ratio=60&amp;voltage_hz=440V%2C60Hz&amp;mounting=G%2FM+Hor.&amp;motor_type=TE-F&amp;installation=INDOOR&amp;serise=RP</t>
  </si>
  <si>
    <t>RPH_20250914162816051.png</t>
  </si>
  <si>
    <t>2025-09-16 13:09:08</t>
  </si>
  <si>
    <t>Q4687215</t>
  </si>
  <si>
    <t>4P,0.75kW,440V,0-60Hz,0-1735rpm,I=1/50,F_class,120H,28D,155X120,VVVF,IP55,[RPH 0.75KW/HYOSUNG],WITH BRAKE,IE3,OR EQUIVALENT</t>
  </si>
  <si>
    <t>RPH 0.75KW</t>
  </si>
  <si>
    <t>RPH_HYOSUNG_0.75KW_20250915112735830.jpg</t>
  </si>
  <si>
    <t>https://www.hyosungheavyindustries.com/kr/data/geared-motors?kw=0.75&amp;poles=4&amp;ratio=50&amp;voltage_hz=440V%2C60Hz&amp;mounting=G%2FM+Hor.&amp;motor_type=TE-F&amp;installation=INDOOR&amp;serise=RP</t>
  </si>
  <si>
    <t>RPH_20250914161516867.png</t>
  </si>
  <si>
    <t>2025-09-16 13:09:41</t>
  </si>
  <si>
    <t>Q4688194</t>
  </si>
  <si>
    <t>6P,440V,60Hz,1200rpm,I=1/3045,[VA02C-130S-3045(125)-DU/HYUP DONG CYCLO],2CC THICKENER SCRAPER DRIVE,OR EQUIVALENT</t>
  </si>
  <si>
    <t>VA02C-130S-3045(125)-DU</t>
  </si>
  <si>
    <t>HYUP DONG CYCLO</t>
  </si>
  <si>
    <t>2CC THICKENER SCRAPER DRIVE</t>
  </si>
  <si>
    <t>VA02C-130S-3045(125)-DU_20250919074208093.pdf</t>
  </si>
  <si>
    <t>http://hdcyclo.com/default/download/drawing.php?com_board_basic=read_form&amp;com_board_idx=365&amp;section=drawing&amp;&amp;com_board_search_code=&amp;com_board_search_value1=&amp;com_board_search_value2=&amp;com_board_page=&amp;&amp;com_board_id=8&amp;&amp;com_board_id=8</t>
  </si>
  <si>
    <t>M1_20250919074208163.jpg</t>
  </si>
  <si>
    <t>2025-09-24 16:09:10</t>
  </si>
  <si>
    <t>Q4688462</t>
  </si>
  <si>
    <t>6P,5.5kW,440V,60Hz,1140rpm,I=1/150,F_class,208.557D,CAGE,IP65,[5.5KW 1140RPM(P/N:JK-092098)/JEILEPS]+WITHOUT MOTOR,WITHOUT ENCODER,IE3,OR EQUIVALENT</t>
  </si>
  <si>
    <t>5.5KW 1140RPM(P/N:JK-092098)</t>
  </si>
  <si>
    <t>JEILEPS</t>
  </si>
  <si>
    <t>WITHOUT MOTOR</t>
  </si>
  <si>
    <t>WITHOUT ENCODER</t>
  </si>
  <si>
    <t>JKGBOX_20250925172819926.png</t>
  </si>
  <si>
    <t>http://www.jeileps.com/kor/product/motor.html</t>
  </si>
  <si>
    <t>JMotor_20251127164055116.png</t>
  </si>
  <si>
    <t>허준환</t>
  </si>
  <si>
    <t>868286@posco.co.kr</t>
  </si>
  <si>
    <t>김힘찬</t>
  </si>
  <si>
    <t>strongchan@posco.co.kr</t>
  </si>
  <si>
    <t>2025-11-28 14:11:14</t>
  </si>
  <si>
    <t>Q4688576</t>
  </si>
  <si>
    <t>4P,0.75kW,440V,60Hz,1735/35rpm,I=1/50,F_class,120H,8D,145X190,CAGE,IP55,[RPH/HYOSUNG],IE3,OR EQUIVALENT</t>
  </si>
  <si>
    <t>RPH</t>
  </si>
  <si>
    <t>https://www.hyosungheavyindustries.com/kr/data/geared-motors</t>
  </si>
  <si>
    <t>13. RPH10 50-4 (기어드 모터)_20250929103559811.jpg</t>
  </si>
  <si>
    <t>2025-09-29 16:09:47</t>
  </si>
  <si>
    <t>Q4688577</t>
  </si>
  <si>
    <t>4P,0.75kW,440V,60Hz,1735/35rpm,I=50,F_class,120H,8D,145X190,CAGE,IP55,[RPH/HYOSUNG]+BRAKE,IE3,OR EQUIVALENT</t>
  </si>
  <si>
    <t>BRAKE</t>
  </si>
  <si>
    <t>13.14.15. 기어드 모터_20250929103825992.pptx_20250929103825992.pptx</t>
  </si>
  <si>
    <t xml:space="preserve"> https://www.hyosungheavyindustries.com/kr/data/geared-motors</t>
  </si>
  <si>
    <t>14. RPH10 50-4(ACB) (기어드 모터)_20250929103826123.jpg</t>
  </si>
  <si>
    <t>2025-09-29 16:09:10</t>
  </si>
  <si>
    <t>Q4688760</t>
  </si>
  <si>
    <t>4P,1.5kW,440V,60Hz,1750/29.2rpm,I=60,F_class,135H,10D,190X235,CAGE,IP55,[RPH/HYOSUNG]+BRAKE,OR EQUIVALENT</t>
  </si>
  <si>
    <t>15. (기어드 모터)_20250929103706247.jpg</t>
  </si>
  <si>
    <t>2025-09-30 16:09:43</t>
  </si>
  <si>
    <t>Q4688770</t>
  </si>
  <si>
    <t>4P,5.5kW,254-266/440-460V,60Hz,1768/412rpm,I=1/4.29,F_class,130H,35D,IP55,[R67 DRN132S4/EK8C/SEW],IE3,OR EQUIVALENT</t>
  </si>
  <si>
    <t>R67 DRN132S4/EK8C</t>
  </si>
  <si>
    <t>SEWeurodrive Motor 이미지.pdf_20250929153042956.jpg</t>
  </si>
  <si>
    <t>이승환</t>
  </si>
  <si>
    <t>lsh8862@posco.co.kr</t>
  </si>
  <si>
    <t>2025-09-30 16:09:19</t>
  </si>
  <si>
    <t xml:space="preserve">기 설치된 물품의 호환성을 위해 특정 사양으로 등록건 확인,_x000D_
Q4347771등 유사 item 검색하였으나, 유사/동일품 없음 확인후 승인합니다._x000D_
(특정 사양품감축 관련) 차후 입고시 스케치, 현물 확인을 통한 도면화, 일반 사양화, 복수화 전환 검토 요청 부탁드립니다. 감사합니다._x000D_
</t>
  </si>
  <si>
    <t>Q4688995</t>
  </si>
  <si>
    <t>6P,5.5kW,440V,60Hz,1180rpm,I=1/30,F_class,225H,55D,265X280,VVVF,IP54,[FHB 5.5KW/HYOSUNG]+WITH BRAKE,WITH BRAKE, MAKER DWG NO:EK2DO07178H0001,OR EQUIVALENT</t>
  </si>
  <si>
    <t>FHB 5.5KW</t>
  </si>
  <si>
    <t>WITH BRAKE, MAKER DWG NO:EK2DO07178H0001</t>
  </si>
  <si>
    <t>Press Leveller Depressing Geard Motor 외형도_20251001172710528.pdf</t>
  </si>
  <si>
    <t>https://www.hyosungheavyindustries.com/kr/data/low-voltage?s_std1=IEC60034-1&amp;s_efficiency=KS+PREMIUM&amp;s_kw=5.5&amp;s_poles=6&amp;s_volt=440&amp;s_start_m=DIRECT+ON+LINE&amp;s_type=TE-F+V1&amp;s_explosion_proof_type=&amp;s_protect_grade=IP54&amp;s_location=</t>
  </si>
  <si>
    <t>ACM55_20251001172208033.png</t>
  </si>
  <si>
    <t>오봉주</t>
  </si>
  <si>
    <t>obj0810@posco.co.kr</t>
  </si>
  <si>
    <t>2025-10-02 13:10:45</t>
  </si>
  <si>
    <t xml:space="preserve">*'Base Size' 작성시 : 베이스 앙카의 축방향(축이 정면으로 보이는 각도) X 가로방향 으로 기재 부탁드립니다. 현재 반대로 작성되어 있어 수정하였습니다._x000D_
_x000D_
기 설치된 물품의 호환성을 위해 특정 사양으로 등록건 확인,유사 item 검색하였으나, 유사/동일품 없음 확인후 승인합니다._x000D_
(특정 사양품감축 관련) 차후 입고시 스케치, 현물 확인을 통한 도면화, 일반 사양화, 복수화 전환 검토 요청 부탁드립니다. 감사합니다._x000D_
</t>
  </si>
  <si>
    <t>Q4690240</t>
  </si>
  <si>
    <t>4P,0.75kW,440V,60Hz,1740rpm,I=1/30.42,F_class,100X110,VVVF,IP54,[HB100N007SYA-001-R0/NARA SAMYANG],WITH BRAKE AC-B, MAKER DWG NO:HB100N007SYA-001,IE3,OR EQUIVALENT</t>
  </si>
  <si>
    <t>HB100N007SYA-001-R0</t>
  </si>
  <si>
    <t>NARA SAMYANG</t>
  </si>
  <si>
    <t>WITH BRAKE AC-B, MAKER DWG NO:HB100N007SYA-001</t>
  </si>
  <si>
    <t>HB100N007SYA-001-R0 오른쪽_20251020140216100.pdf</t>
  </si>
  <si>
    <t>http://www.sygear.co.kr/bbs/board.php?tbl=data01&amp;mode=VIEW&amp;num=2349&amp;category=Helical%20Bevel%20Geared%20Motor&amp;findType=&amp;findWord=hb100&amp;sort1=&amp;sort2=&amp;it_id=&amp;shop_flag=&amp;mobile_flag=&amp;search_name=&amp;search_addr=&amp;page=11</t>
  </si>
  <si>
    <t>기어_duator12_20251020_092125_20251020132332019.jpg</t>
  </si>
  <si>
    <t>강진경</t>
  </si>
  <si>
    <t>jin1210@posco.co.kr</t>
  </si>
  <si>
    <t>조용석</t>
  </si>
  <si>
    <t>duator12@posco.co.kr</t>
  </si>
  <si>
    <t>2025-10-21 10:10:27</t>
  </si>
  <si>
    <t>기 설치된 물품의 호환성을 위해 특정 사양으로 등록건 확인,_x000D_
유사 item 검색하였으나, 유사/동일품 없음 확인후 승인합니다._x000D_
(특정 사양품감축 관련) 차후 입고시 스케치, 현물 확인을 통한 도면화, 일반 사양화, 복수화 전환 검토 요청 부탁드립니다. 감사합니다._x000D_
I searched for similar items, but I approve it after checking th</t>
  </si>
  <si>
    <t>Q4690241</t>
  </si>
  <si>
    <t>4P,0.75kW,440V,60Hz,1760rpm,I=1/30.42,F_class,100H,22D,110X100,VVVF,IP54,[HB100N007SYB-001-R0/NARA SAMYANG],WITH BRAKE AC-B,IE3,OR EQUIVALENT</t>
  </si>
  <si>
    <t>HB100N007SYB-001-R0</t>
  </si>
  <si>
    <t>WITH BRAKE AC-B</t>
  </si>
  <si>
    <t>HB100N007SYB-001-R0 왼쪽_20251020140631972.pdf</t>
  </si>
  <si>
    <t>http://www.sygear.co.kr/bbs/board.php?tbl=data01&amp;mode=VIEW&amp;num=2350&amp;category=Helical%20Bevel%20Geared%20Motor&amp;findType=&amp;findWord=hb100&amp;sort1=&amp;sort2=&amp;it_id=&amp;shop_flag=&amp;mobile_flag=&amp;search_name=&amp;search_addr=&amp;page=11</t>
  </si>
  <si>
    <t>기어_20251020140702792.jpg</t>
  </si>
  <si>
    <t>2025-10-21 10:10:29</t>
  </si>
  <si>
    <t>Q4690711</t>
  </si>
  <si>
    <t>4P,11kW,440V,60Hz,1776/8.9rpm,I=1/200,F_class,375H,100D,330X350,CAGE,IP54,[KA127 R87 DRN160M4/BE20HF/TF/C/SEW],IE3,OR EQUIVALENT</t>
  </si>
  <si>
    <t>KA127 R87 DRN160M4/BE20HF/TF/C</t>
  </si>
  <si>
    <t>Dimension sheet_20250923155204647.pdf</t>
  </si>
  <si>
    <t>https://download.sew-eurodrive.com/download/pdf_u/27804879.pdf</t>
  </si>
  <si>
    <t>2025-09-23 16 01_20250923161338956.png</t>
  </si>
  <si>
    <t>정주영</t>
  </si>
  <si>
    <t>wnduddl3236@posco.co.kr</t>
  </si>
  <si>
    <t>2025-10-27 13:10:42</t>
  </si>
  <si>
    <t>Q4690883</t>
  </si>
  <si>
    <t>6P,0.5kW,440V,60Hz,1120rpm,I=1/12,F_class,80,CAGE,[GM-SD0.8(NM-6C08)/NAMSUNG MACHINARY],OR EQUIVALENT</t>
  </si>
  <si>
    <t>GM-SD0.8(NM-6C08)</t>
  </si>
  <si>
    <t>NAMSUNG MACHINARY</t>
  </si>
  <si>
    <t>hoist geard motor_20251022131417154.png</t>
  </si>
  <si>
    <t>http://www.enamsung.com/download/catalog/electric_wire_hoist.pdf</t>
  </si>
  <si>
    <t>6CGL Scrap Baller Hoist 주행 모터_20251022110444369.png</t>
  </si>
  <si>
    <t>asm8939@posco.co.kr</t>
  </si>
  <si>
    <t>2025-10-28 09:10:40</t>
  </si>
  <si>
    <t xml:space="preserve">_x000D_
기 설치된 물품의 호환성을 위해 특정 사양으로 등록건 확인,_x000D_
유사 item 검색하였으나, 유사/동일품 없음 확인후 승인합니다._x000D_
(특정 사양품감축 관련) 차후 입고시 스케치, 현물 확인을 통한 도면화, 일반 사양화, 복수화 전환 검토 요청 부탁드립니다. 감사합니다._x000D_
</t>
  </si>
  <si>
    <t>Q4691049</t>
  </si>
  <si>
    <t>4P,0.75kW,440V,60Hz,1735rpm,I=1/60,F_class,153H,38D,250*185,55,[F1HM15/HYOSUNG],IE3,OR EQUIVALENT</t>
  </si>
  <si>
    <t>Hyosung Geared Motor 카탈로그_20251021173011474.pdf</t>
  </si>
  <si>
    <t>https://motor.hyosung.com/m02_01/4</t>
  </si>
  <si>
    <t>수냉관 Rotary Valve Motor_20251022161347182.png</t>
  </si>
  <si>
    <t>김유선</t>
  </si>
  <si>
    <t>kyselecsafe@posco.co.kr</t>
  </si>
  <si>
    <t>2025-10-29 10:10:14</t>
  </si>
  <si>
    <t>Q4691680</t>
  </si>
  <si>
    <t>4P,11kW,440V,60Hz,1776rpm,I=1/73.30,155(F)_class,200H,90D,360X270,CAGE,IP54,[K107 DRN160M4/BE20/SEW],IE3,OR EQUIVALENT</t>
  </si>
  <si>
    <t>K107 DRN160M4/BE20</t>
  </si>
  <si>
    <t>모터 사이즈_20251103162509440.pdf</t>
  </si>
  <si>
    <t>스크린샷 2025-10-31 164623_20251103134500556.jpg</t>
  </si>
  <si>
    <t>이상재</t>
  </si>
  <si>
    <t>sangjae84@posco.co.kr</t>
  </si>
  <si>
    <t>2025-11-04 10:11:51</t>
  </si>
  <si>
    <t>Q4692012</t>
  </si>
  <si>
    <t>4P,0.75kW,440V,60Hz,1750rpm,I=1/43,F_class,38D,CAGE,IP65,[DHFM1-F11-43/DSCYCLO],WITH BRAKE(DC-B),IE3,OR EQUIVALENT</t>
  </si>
  <si>
    <t>DHFM1-F11-43</t>
  </si>
  <si>
    <t>WITH BRAKE(DC-B)</t>
  </si>
  <si>
    <t>DHF_20251105163854226.png</t>
  </si>
  <si>
    <t>http://dscyclo.com/catalogue</t>
  </si>
  <si>
    <t>DHFM1_20251105162454624.png</t>
  </si>
  <si>
    <t>2025-11-06 10:11:03</t>
  </si>
  <si>
    <t>Q4692904</t>
  </si>
  <si>
    <t>4P,2.2kW,440V,60Hz,1800rpm,I=1/59,F_class,150H,50D,290MMX145MM,IP55,[KDHM3-8814-59-IV-B/KUKJE INDUSTRIAL MACHINEY CORP],FOR K2C BANDING MACHINE TREVERSE MOTOR,OR EQUIVALENT</t>
  </si>
  <si>
    <t>KDHM3-8814-59-IV-B</t>
  </si>
  <si>
    <t>KUKJE INDUSTRIAL MACHINEY CORP</t>
  </si>
  <si>
    <t>FOR K2C BANDING MACHINE TREVERSE MOTOR</t>
  </si>
  <si>
    <t>KDHM3-8814-59-IV-B_20251114085653952.pdf</t>
  </si>
  <si>
    <t>http://www.kjimc.com/support_01.html</t>
  </si>
  <si>
    <t>AC Geared Motor_20251114131823390.jpg</t>
  </si>
  <si>
    <t>김길영</t>
  </si>
  <si>
    <t>kky5695@posco.co.kr</t>
  </si>
  <si>
    <t>2025-11-17 08:11:23</t>
  </si>
  <si>
    <t>Q4695454</t>
  </si>
  <si>
    <t>4P,0.75kW,220/380V,60Hz,1735rpm,I=1/90,F_class,165H,42D,215X175MM,CAGE,IP55,[EK2DO07139H0001/HYOSUNG]+WITH BRAKE(AC-B),MAKER DWG NO:EK2DO07139H0001,IE3,OR EQUIVALENT</t>
  </si>
  <si>
    <t>EK2DO07139H0001</t>
  </si>
  <si>
    <t>WITH BRAKE(AC-B)</t>
  </si>
  <si>
    <t>MAKER DWG NO:EK2DO07139H0001</t>
  </si>
  <si>
    <t>EK2DO07139H0001_20251212071023871.pdf</t>
  </si>
  <si>
    <t>https://www.hyosungheavyindustries.com/kr/data/geared-motors?page=1&amp;motor_type=TE-F&amp;poles=4&amp;voltage_hz=220/380V,60Hz&amp;page=2&amp;kw=0.75&amp;ratio=90</t>
  </si>
  <si>
    <t>F1HM 사진_20251212075225665.png</t>
  </si>
  <si>
    <t>유웅진</t>
  </si>
  <si>
    <t>yoowj@posco.co.kr</t>
  </si>
  <si>
    <t>성원석</t>
  </si>
  <si>
    <t>wonsuk.sung@posco.co.kr</t>
  </si>
  <si>
    <t>2025-12-12 10:12:17</t>
  </si>
  <si>
    <t xml:space="preserve">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</si>
  <si>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Q4695761</t>
  </si>
  <si>
    <t>4P,.75kW,220-380V,0-60Hz,1725rpm,I=1/100,F_class,CAGE,IP55,[PAL32-100-PB075R4R/SPG],IE1,OR EQUIVALENT</t>
  </si>
  <si>
    <t>PAL32-100-PB075R4R</t>
  </si>
  <si>
    <t>pdf_20210722142415266_20251215093746297.pdf</t>
  </si>
  <si>
    <t>http://ww.famotor.co.kr/shop/item.php?it_id=1582691805</t>
  </si>
  <si>
    <t>Q3900026_20251212155334037.PNG</t>
  </si>
  <si>
    <t>송봉영</t>
  </si>
  <si>
    <t>whitesong@posco.co.kr</t>
  </si>
  <si>
    <t>2025-12-16 15:12:04</t>
  </si>
  <si>
    <t xml:space="preserve">송봉영 님과 통화하여(12.17. 오후 3:50분경) 특허번호 '해당없음' 확인하였음.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</si>
  <si>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Q4666497</t>
  </si>
  <si>
    <t>Hydraulic Filter</t>
  </si>
  <si>
    <t>[DLF-06/DHC]+3/4x120Wx203Lx98T_100mesh,7bar,OIL_WITH FILTER ELEMENT_FOR K1ACL TENSION REEL LUB INLET FILTER</t>
  </si>
  <si>
    <t>Filter(Ready Made)</t>
  </si>
  <si>
    <t>http://dhchyd.co.kr/skin_nw2/product_list.php?boardT=v&amp;page_idx=131&amp;goods_data=aWR4PTExNyZfJnN0YXJ0UGFnZT0wJl8mbGlzdE5vPTE0Jl8mdGFibGU9cmVkX2dvb2RzJl8mcGFnZV9pZHg9MTMxJl8mc2VhcmNoX2l0ZW09||</t>
  </si>
  <si>
    <t>Q4666846</t>
  </si>
  <si>
    <t>[LMTS40-100S 40F/MASUDA]_100micron,10kg/cm2,HYDRAULIC_FOR K3C PL ENTRY HYDRAULIC RETURN FILTER,OR EQUIVALENT</t>
  </si>
  <si>
    <t>http://www.e-masuda.co.jp/cover/guide/index-s.html</t>
  </si>
  <si>
    <t>Q4667180</t>
  </si>
  <si>
    <t>[TEF 310.25VG.16.S.P.-.G.6.E1/EATON]_25micron_PLUG STEEL,10bar,HYDRAULIC OIL,OR EQUIVALENT</t>
  </si>
  <si>
    <t>박희선</t>
  </si>
  <si>
    <t>http://www.eaton.com.br/ecm/groups/public/@pub/@filtration/documents/content/pct_1106891.pdf</t>
  </si>
  <si>
    <t>Q4643736</t>
  </si>
  <si>
    <t>[SJ-18 80A/SHC]_60mesh_STS304_STS304,7bar_WITH FILTER ELEMENT_FOR K1ACL COATER CIRCULATION FILTER,OR EQUIVALENT</t>
  </si>
  <si>
    <t>http://www.se-jin.co.kr/</t>
  </si>
  <si>
    <t>허환</t>
  </si>
  <si>
    <t>에스엔엔씨</t>
  </si>
  <si>
    <t>Q4560272</t>
  </si>
  <si>
    <t>[2.0630 PWR10-A00-0-M/HENGST]_FOR P2H DC HYDRAULIC PUMP FILTER,OR EQUIVALENT</t>
  </si>
  <si>
    <t>https://www.boschrexroth.com/documents/12605/25201145/RE51517_2019-12_Web.pdf/e89d4ef5-3ffc-5dd0-45b5-ab71939c04ad</t>
  </si>
  <si>
    <t>Q4675784</t>
  </si>
  <si>
    <t>[DFP ON 1320 QD 3 D 2.0/-L24/B6/HYDAC]x158Wx826L_3micron,315bar,OIL_FOR 2H NO.1~3 HSL MILL &amp; CPC PUMP FILTER,OR EQUIVALENT</t>
  </si>
  <si>
    <t>강전학</t>
  </si>
  <si>
    <t>https://www.hydac.com/shop/ko-kr/catalogsearch/result?q=DFP</t>
  </si>
  <si>
    <t>Q1237346</t>
  </si>
  <si>
    <t>[1300 R 003 SN/HYDAC]_3micron_GLASS FIBRE,20bar_RETURN FILTER ELEMENT</t>
  </si>
  <si>
    <t>https://www.hydac.com/shop/en/filtration-technology/filter-elements</t>
  </si>
  <si>
    <t>Q4679780</t>
  </si>
  <si>
    <t>[INFU3C32100AWS/INFILS],10bar,CARBON STEEL,OR EQUIVALENT</t>
  </si>
  <si>
    <t>http://www.infils.co.kr/bbs/board.php?bo_table=community02&amp;wr_id=3</t>
  </si>
  <si>
    <t>Q4679766</t>
  </si>
  <si>
    <t>[INFU3C2450AWS/INFILS]x580Lx340T,10bar,CARBON STEEL,OR EQUIVALENT</t>
  </si>
  <si>
    <t>Q4674943</t>
  </si>
  <si>
    <t>[W 940/MANN+HUMMEL]xOD93x142L,1400kPa,LUBE OIL,40L/min_THREAD SIZE:3/4-16UNF,OR EQUIVALENT</t>
  </si>
  <si>
    <t>https://www.mann-filter.com/kr-ko/catalog/search-results/product.html/w940_mann-filter.html</t>
  </si>
  <si>
    <t>Q4686695</t>
  </si>
  <si>
    <t>[TPS-PFU-F100-60/TPSYSTEM]x630Wx781L,15bar,SS275_FOR K3C DELIVERY BENDING SYSTEM,OR EQUIVALENT</t>
  </si>
  <si>
    <t>http://www.tpsystem.kr/bbs/board.php?bo_table=product&amp;wr_id=35&amp;sca=%EC%9C%A0%EC%95%95%EC%8B%9C%EC%8A%A4%ED%85%9C</t>
  </si>
  <si>
    <t>Q4686382</t>
  </si>
  <si>
    <t>[W-FRS-08-10P-08T/MASUDA],1MPa,OIL,OR EQUIVALENT</t>
  </si>
  <si>
    <t>윤해상</t>
  </si>
  <si>
    <t>http://www.e-masuda.co.jp/products/pdf/fr/fr%20catalog.pdf</t>
  </si>
  <si>
    <t>임성민</t>
  </si>
  <si>
    <t>Q4690210</t>
  </si>
  <si>
    <t>[IMS-120PF-6000G &amp; IPP-700D-CLP/ILHWAMAGNESIA],OR EQUIVALENT</t>
  </si>
  <si>
    <t>이호영</t>
  </si>
  <si>
    <t>http://www.magnesia.co.kr/sub02/sub02_1.html?con=1</t>
  </si>
  <si>
    <t>Q4692008</t>
  </si>
  <si>
    <t>[312389/EATON]xOD102x312L_NITRILE,16bar_FOR R/C 501 SLEW &amp; DER' RETURN FILTER ELEMENT,OR EQUIVALENT</t>
  </si>
  <si>
    <t>정승모</t>
  </si>
  <si>
    <t>https://www.eaton.com/kr/ko-kr/skuPage.312389.html</t>
  </si>
  <si>
    <t>Q4692009</t>
  </si>
  <si>
    <t>[312637/EATON]xOD45x160.2L_NITRILE,30bar_FOR R/C 501 SLEW &amp; DER' LINE FILTER ELEMENT,OR EQUIVALENT</t>
  </si>
  <si>
    <t>https://www.eaton.com/us/en-us/skuPage.312637.html</t>
  </si>
  <si>
    <t>ROL</t>
  </si>
  <si>
    <t>Q4696125</t>
  </si>
  <si>
    <t>[SFSC-500-10-M0090-A-A-00-FE212-0-6T-MD-P01-NN/MPFILTRI]_90micron_WIRE MESH,TELLUS OIL_FOR 3RM RECLAIMER 501 SUCTION FILTER,OR EQUIVALENT</t>
  </si>
  <si>
    <t>https://www.mpfiltri.com/product/sfsc/</t>
  </si>
  <si>
    <t>Q4696218</t>
  </si>
  <si>
    <t>[ROBX3125DSL/SKF]x830Wx850Lx550T,5bar,OIL_FOR K1C RCL HYDRAULIC SYSTEM,OR EQUIVALENT</t>
  </si>
  <si>
    <t>https://jsgindustrial.com/wp-content/uploads/2025/01/RecondOil-Box-Product-Datasheet.pdf</t>
  </si>
  <si>
    <t>Q4683168</t>
  </si>
  <si>
    <t>[M-100/THREE-R]xOD177.6x114L,CELLULOSE,3.2L/min,OR EQUIVALENT</t>
  </si>
  <si>
    <t>이종호</t>
  </si>
  <si>
    <t>http://www.threer.co.kr/sub/product/product01.asp</t>
  </si>
  <si>
    <t>Q4697646</t>
  </si>
  <si>
    <t>[RF ON 330 D L 10 B 1.X/HYDAC]_10micron,25bar,ALUMINUM_FOR 2EGL TENSION LEVELLER HYDRAULIC FILTER,OR EQUIVALENT</t>
  </si>
  <si>
    <t>https://www.hydac.com/shop/ko-kr/catalogsearch/result?q=RF</t>
  </si>
  <si>
    <t>Q4698720</t>
  </si>
  <si>
    <t>[INFSHH16F241UB/INFILS],10bar,CARBON,OR EQUIVALENT</t>
  </si>
  <si>
    <t>http://www.infils.co.kr/bbs/board.php?bo_table=community02&amp;wr_id=5</t>
  </si>
  <si>
    <t>Q4699455</t>
  </si>
  <si>
    <t>[FF5782NN/FLEETGUARD],FUEL_SPIN-ON, NANONET_FOR CUMMINS ENGINE,OR EQUIVALENT</t>
  </si>
  <si>
    <t>오안석</t>
  </si>
  <si>
    <t>https://www.fleetguard.com/product/ff5782nn/01t5x000008FDmpAAG</t>
  </si>
  <si>
    <t>Q4699433</t>
  </si>
  <si>
    <t>[LF14000NN/FLEETGUARD]_ID101.60xOD118.88x294.69L,LUBE OIL_SPIN-ON, NANONET_FOR CUMMINS ENGINE,OR EQUIVALENT</t>
  </si>
  <si>
    <t>https://www.fleetguard.com/product/lf14000nn/01t5x000008FDTrAAO</t>
  </si>
  <si>
    <t>Q4699470</t>
  </si>
  <si>
    <t>[FS53015/FLEETGUARD],FUEL/WATER SEPARATOR_CARTRIDGE, ELEMAX_FOR CUMMINS ENGINE,OR EQUIVALENT</t>
  </si>
  <si>
    <t>https://www.fleetguard.com/product/fs53015/01t5x000008FGWHAA4</t>
  </si>
  <si>
    <t>Q1035916</t>
  </si>
  <si>
    <t>Filter Element</t>
  </si>
  <si>
    <t>HYDRAULIC,[HC9021FHT8Z/PALL],ID25.4xOD44.7x203.2L,25micron,INERT INORGANIC FIBER,160kg/cm2,FOR 2CCP T/D CAR SN HYD LINE</t>
  </si>
  <si>
    <t>HC9021FHT8Z</t>
  </si>
  <si>
    <t>PALL</t>
  </si>
  <si>
    <t>FOR 2CCP T/D CAR SN HYD LINE</t>
  </si>
  <si>
    <t>https://shop.pall.com/us/en/products/zidHC9021FHT8Z?CategoryName=&amp;CatalogID=&amp;tracking=searchterm:hc9021fht8z#attr_attachments</t>
  </si>
  <si>
    <t>20251021134131245.jpg</t>
  </si>
  <si>
    <t>2025-11-06 17:11:38</t>
  </si>
  <si>
    <t>Q1035918</t>
  </si>
  <si>
    <t>HYDRAULIC,[HC9020FRN8Z/PALL],ID25.4xOD45.2,INERT INORGANIC FIBER,OR EQUIVALENT</t>
  </si>
  <si>
    <t>HC9020FRN8Z</t>
  </si>
  <si>
    <t>https://shop.pall.com/us/en/products/zidHC9020FCN8Z?CategoryName=products&amp;CategoryDomainName=PALL-products&amp;CatalogID=products</t>
  </si>
  <si>
    <t>20221018171246957.jpg</t>
  </si>
  <si>
    <t>2022-10-25 13:10:55</t>
  </si>
  <si>
    <t>Q1035923</t>
  </si>
  <si>
    <t>HYDRAULIC,[HC9600FRP8Z/PALL],ID43.2xOD79,3micron,INERT INORGANIC FIBER</t>
  </si>
  <si>
    <t>HC9600FRP8Z</t>
  </si>
  <si>
    <t>https://www.pall.com/kr/ko/industrial-manufacturing/supralon-filters-elements.html?_gl=1*w99vr4*_ga*ODU5Njc3MjA0LjE3MjkyMTAwNTE.*_gid*MTE2MzA1OTQzNy4xNzI5MjEwMDU0*_fplc*eTRMa2hDRjFTSHd4S3phelFFRDNHQTd2dU1NUTZ6dEhsQkRRV3hXVG1RV1ZpMm9GSiUyRm9MdjZHZlc1Q</t>
  </si>
  <si>
    <t>20241018090512803.jpg</t>
  </si>
  <si>
    <t>2024-10-22 13:10:27</t>
  </si>
  <si>
    <t>Q1035932</t>
  </si>
  <si>
    <t>HYDRAULIC,[HC9601FHN8Z/PALL],ID42.9xOD82.8x203.2L,6micron,INERT INORGANIC FIBER,210kg/cm2,FOR 2CCP INMO DISTRIBUT V/V STAND,OR EQUIVALENT</t>
  </si>
  <si>
    <t>HC9601FHN8Z</t>
  </si>
  <si>
    <t>FOR 2CCP INMO DISTRIBUT V/V STAND</t>
  </si>
  <si>
    <t>https://shop.pall.com/us/en/search?SearchTerm=HC9601FHN8Z&amp;selectedtab=&amp;resetsearch=true</t>
  </si>
  <si>
    <t>Q1035932_20221018171628795.jpg</t>
  </si>
  <si>
    <t>2022-10-25 13:10:28</t>
  </si>
  <si>
    <t>Q1035944</t>
  </si>
  <si>
    <t>OIL,HYDRAULIC,[HC9600FRS8Z/PALL],ID43.2xOD79,12micron,FIBER</t>
  </si>
  <si>
    <t>HC9600FRS8Z</t>
  </si>
  <si>
    <t xml:space="preserve"> https://shop.pall.com/us/en/products/zidHC9600FRS8Z?CategoryName=products&amp;CategoryDomainName=PALL-products&amp;CatalogID=products</t>
  </si>
  <si>
    <t>20240207091321415.jpg</t>
  </si>
  <si>
    <t>2024-02-15 08:02:36</t>
  </si>
  <si>
    <t>Q1035949</t>
  </si>
  <si>
    <t>HYDRAULIC,[HC9600FRT4Z/PALL],ID43.2xOD79x101.6L,25micron,INERT INORGANIC FIBER,160kg/cm2,FOR 2CCP T/D SN HYD LINE,OR EQUIVALENT</t>
  </si>
  <si>
    <t>HC9600FRT4Z</t>
  </si>
  <si>
    <t>FOR 2CCP T/D SN HYD LINE</t>
  </si>
  <si>
    <t>https://shop.pall.com/us/en/search?SearchTerm=HC9600FRT4Z&amp;selectedtab=&amp;resetsearch=true</t>
  </si>
  <si>
    <t>20221018173115776.jpg</t>
  </si>
  <si>
    <t>2022-10-25 13:10:29</t>
  </si>
  <si>
    <t>Q1035956</t>
  </si>
  <si>
    <t>HYDRAULIC,[HC9800FRN4Z/PALL],3micron,INORGANIC FIBER,EPOXY RESIN,10.3bar</t>
  </si>
  <si>
    <t>HC9800FRN4Z</t>
  </si>
  <si>
    <t>https://shop.pall.com/us/en/search?SearchTerm=HC9800FRN4Z&amp;selectedtab=&amp;resetsearch=true</t>
  </si>
  <si>
    <t>20250211100840699.jpg</t>
  </si>
  <si>
    <t>2025-02-17 10:02:26</t>
  </si>
  <si>
    <t>Q1035960</t>
  </si>
  <si>
    <t>HYDRAULIC,[HC8400FRS26Z/PALL],ID82.8xOD152.4x600.4L,12micron,INERT INORGANIC FIBER,20kg/cm2,FOR INMO HYDTANK RETUREN LINE,OR EQUIVALENT</t>
  </si>
  <si>
    <t>HC8400FRS26Z</t>
  </si>
  <si>
    <t>FOR INMO HYDTANK RETUREN LINE</t>
  </si>
  <si>
    <t>https://shop.pall.com/us/en/products/zidHC8400FCS26H?CategoryName=products&amp;CategoryDomainName=PALL-products&amp;CatalogID=products</t>
  </si>
  <si>
    <t>20221018173444537.jpg</t>
  </si>
  <si>
    <t>2022-10-25 13:10:05</t>
  </si>
  <si>
    <t>Q1037371</t>
  </si>
  <si>
    <t>Air Filter</t>
  </si>
  <si>
    <t>[AP-08 25A/TAISEI KOGYO]xOD60x29Wx60L,20micron,0.4m3/min,FOR CRANE REDUCER</t>
  </si>
  <si>
    <t>AP-08 25A</t>
  </si>
  <si>
    <t>TAISEI KOGYO</t>
  </si>
  <si>
    <t>FOR CRANE REDUCER</t>
  </si>
  <si>
    <t>http://www.taiseikogyo.co.jp/en/product/filter/breather/ap.html</t>
  </si>
  <si>
    <t>Q1037371_20230421155140170.jpg</t>
  </si>
  <si>
    <t>2023-04-21 16:04:22</t>
  </si>
  <si>
    <t>Q1103425</t>
  </si>
  <si>
    <t>Varied Filter</t>
  </si>
  <si>
    <t>[F010006-01/ECOTECH]x47Lx47W,5micron_TEFLON FILTER_1SET(50EA),FOR TMS NO2,SO2 ANALYZER,OR EQUIVALENT</t>
  </si>
  <si>
    <t>F010006-01</t>
  </si>
  <si>
    <t>ECOTECH</t>
  </si>
  <si>
    <t>1SET(50EA)</t>
  </si>
  <si>
    <t>FOR TMS NO2,SO2 ANALYZER</t>
  </si>
  <si>
    <t>https://www.ecotech.com/wp-content/uploads/2016/04/M010060-Serinus-60-NO2-User-Manual-3.0.pdf</t>
  </si>
  <si>
    <t>Q1103425(TEFLON FITER)_20211210131308355.gif</t>
  </si>
  <si>
    <t>2022-01-11 10:01:33</t>
  </si>
  <si>
    <t>Q1107845</t>
  </si>
  <si>
    <t>[NO 5A 100SH/TOYO KEIKI]x110Lx110Wx0.22T,7micron</t>
  </si>
  <si>
    <t>BOX</t>
  </si>
  <si>
    <t>NO 5A 100SH</t>
  </si>
  <si>
    <t>TOYO KEIKI</t>
  </si>
  <si>
    <t>https://www.bnfkorea.net/product/detail.html?product_no=2074#none</t>
  </si>
  <si>
    <t>어드밴텍 5A_20240214144705429.jpg</t>
  </si>
  <si>
    <t>2024-02-20 08:02:32</t>
  </si>
  <si>
    <t>1300 R 003 SN</t>
  </si>
  <si>
    <t>HYDAC</t>
  </si>
  <si>
    <t>RETURN FILTER ELEMENT</t>
  </si>
  <si>
    <t>Filter Element Hydac_20250612112207847.JPG</t>
  </si>
  <si>
    <t>2025-06-17 14:06:19</t>
  </si>
  <si>
    <t>Q1237378</t>
  </si>
  <si>
    <t>[HC9100FRP8Z/PALL]_5micron_FILTER ELEMENT</t>
  </si>
  <si>
    <t>HC9100FRP8Z</t>
  </si>
  <si>
    <t>FILTER ELEMENT</t>
  </si>
  <si>
    <t>https://shop.pall.com/us/en/search?SearchTerm=HC9100FCP8H+&amp;selectedtab=&amp;resetsearch=true</t>
  </si>
  <si>
    <t>20220801143546961.jpg</t>
  </si>
  <si>
    <t>2022-08-09 16:08:26</t>
  </si>
  <si>
    <t>Q1237386</t>
  </si>
  <si>
    <t>[HC9601FHP8Z/PALL]x202L,210bar,OR EQUIVALENT</t>
  </si>
  <si>
    <t>HC9601FHP8Z</t>
  </si>
  <si>
    <t>https://www.pall.com/kr/ko/industrial-manufacturing/landing/supralon-filters-elements.html</t>
  </si>
  <si>
    <t>20230519135333427.jpg</t>
  </si>
  <si>
    <t>2023-05-24 08:05:37</t>
  </si>
  <si>
    <t>Q1237470</t>
  </si>
  <si>
    <t>[926170/PARKER]_25 MICRON_FOR FILTER HYDRAULIC/LUBE OIL</t>
  </si>
  <si>
    <t xml:space="preserve">926170 </t>
  </si>
  <si>
    <t>PARKER</t>
  </si>
  <si>
    <t>25 MICRON</t>
  </si>
  <si>
    <t xml:space="preserve">FOR FILTER HYDRAULIC/LUBE OIL </t>
  </si>
  <si>
    <t>https://www.ebay.com/p/1700235778?iid=173694433902</t>
  </si>
  <si>
    <t>설비반 필터_20220120090741216.jpg</t>
  </si>
  <si>
    <t>2022-01-28 07:01:16</t>
  </si>
  <si>
    <t>Q2000967</t>
  </si>
  <si>
    <t>[HC9800FRN8Z/PALL]x200L_6micron_GLASS PAPER,210kg/cm2_L/D SN V/V STAND</t>
  </si>
  <si>
    <t>HC9800FRN8Z</t>
  </si>
  <si>
    <t>L/D SN V/V STAND</t>
  </si>
  <si>
    <t>https://shop.pall.com/us/en/products/zidHC8500FRP26Z?CategoryName=products&amp;CategoryDomainName=PALL-products&amp;CatalogID=products</t>
  </si>
  <si>
    <t>20240314170217648.jpg</t>
  </si>
  <si>
    <t>박영일</t>
  </si>
  <si>
    <t>기계설비부 제강기계정비과 2연주기계주임</t>
  </si>
  <si>
    <t>2024-03-20 10:03:25</t>
  </si>
  <si>
    <t>Q2040724</t>
  </si>
  <si>
    <t>TURBINE OIL,HYDRAULIC,[HC9601FHS13Z/PALL],10micron,ULTIPOR3,80kg/cm2,FOR #13,14GT POWER OIL FILTER,OR EQUIVALENT</t>
  </si>
  <si>
    <t>HC9601FHS13Z</t>
  </si>
  <si>
    <t>FOR #13,14GT POWER OIL FILTER</t>
  </si>
  <si>
    <t>https://shop.pall.com/us/en/power-utilities/nuclear-plants/nuclear-condensate/zidi1chhx65?CategoryName=PG12&amp;CatalogID=Power-Generation</t>
  </si>
  <si>
    <t>20230315112913178.jpg</t>
  </si>
  <si>
    <t>정연욱</t>
  </si>
  <si>
    <t>환경에너지부 발전과</t>
  </si>
  <si>
    <t>2023-03-20 08:03:03</t>
  </si>
  <si>
    <t>Q2043187</t>
  </si>
  <si>
    <t>[HC9020FRN8Z/PALL]_6micron,HYDRAULIC_PALL_FOR 2PL OIL CELLAR,OR EQUIVALENT</t>
  </si>
  <si>
    <t>FOR 2PL OIL CELLAR</t>
  </si>
  <si>
    <t>https://shop.pall.com/us/en/products/zidHC9020FCN8H</t>
  </si>
  <si>
    <t>20240621064233251.jpg</t>
  </si>
  <si>
    <t>진영곤</t>
  </si>
  <si>
    <t>기계설비부 연주기계정비과 3연주기계정비</t>
  </si>
  <si>
    <t>2024-06-27 08:06:15</t>
  </si>
  <si>
    <t>Noise Filter</t>
  </si>
  <si>
    <t>Electrical &amp; Electron</t>
  </si>
  <si>
    <t>Q2059052</t>
  </si>
  <si>
    <t>[NH-3100 65A/SEYANG],1micron,ELEMENT NO:0731-92,FOR P2H AIR DRYER FILTER,OR EQUIVALENT</t>
  </si>
  <si>
    <t>NH-3100 65A</t>
  </si>
  <si>
    <t>SEYANG</t>
  </si>
  <si>
    <t>Element No:0731-92</t>
  </si>
  <si>
    <t>FOR P2H Air Dryer FILTER</t>
  </si>
  <si>
    <t>http://www.seyangcorp.co.kr/</t>
  </si>
  <si>
    <t>Filter_20220126094152413.jpg</t>
  </si>
  <si>
    <t>황석주</t>
  </si>
  <si>
    <t>제강부 기술관리팀</t>
  </si>
  <si>
    <t>2022-01-26 09:01:24</t>
  </si>
  <si>
    <t>Q2070781</t>
  </si>
  <si>
    <t>OIL,HYDRAULIC,[HC9020FRN4Z/PALL],7micron,FOR K1CCP 4M/C M/C EMBR VALVE STAND FILTEROIL FILTERING,OR EQUIVALENT</t>
  </si>
  <si>
    <t>HC9020FRN4Z</t>
  </si>
  <si>
    <t>FOR K1CCP 4M/C M/C EMBR Valve Stand FilterOIL FILTERING</t>
  </si>
  <si>
    <t>https://shop.pall.com/us/en/search?SearchTerm=HC9020FRN4Z&amp;selectedtab=&amp;resetsearch=true</t>
  </si>
  <si>
    <t>20221018172218283.jpg</t>
  </si>
  <si>
    <t>서영래</t>
  </si>
  <si>
    <t>기계설비부 제강기계정비과 연주수리주임</t>
  </si>
  <si>
    <t>syrae@posco.co.kr</t>
  </si>
  <si>
    <t>2022-10-25 13:10:15</t>
  </si>
  <si>
    <t>Q2079980</t>
  </si>
  <si>
    <t>OIL,HYDRAULIC,[HC8900FRN16Z/PALL],7micron,GLASS FIBER,FOR K1CCP 4M/C T/D RETURNT/D RECIRCULATION FILTER,OR EQUIVALENT</t>
  </si>
  <si>
    <t>HC8900FRN16Z</t>
  </si>
  <si>
    <t>FOR K1CCP 4M/C T/D ReturnT/D Recirculation Filter</t>
  </si>
  <si>
    <t>https://shop.pall.com/us/en/products/zidHC8900FRN16Z?CategoryName=products&amp;CategoryDomainName=PALL-products&amp;CatalogID=products</t>
  </si>
  <si>
    <t>20220610152741943.jpg</t>
  </si>
  <si>
    <t>최병원</t>
  </si>
  <si>
    <t>(광)공무-기계설비-제강기계정비</t>
  </si>
  <si>
    <t>2022-06-20 13:06:40</t>
  </si>
  <si>
    <t>Q2079981</t>
  </si>
  <si>
    <t>OIL,HYDRAULIC,[HC8500FRP26Z/PALL]x660L,5micron,FIBER GLASS(ULTIPOR3),10kg/cm2,FOR HYD LINE,OR EQUIVALENT</t>
  </si>
  <si>
    <t>HC8500FRP26Z</t>
  </si>
  <si>
    <t>FOR HYD LINE</t>
  </si>
  <si>
    <t>HC8500FCP26H_20240305134610077.jpg</t>
  </si>
  <si>
    <t>2024-03-06 14:03:53</t>
  </si>
  <si>
    <t>Q2082969</t>
  </si>
  <si>
    <t>HYDRAULIC,[0660 D 003 SN/HYDAC],3micron,BETAMICRON-N ELEMENT,FOR 2PL RF HYD' PUMP</t>
  </si>
  <si>
    <t>0660 D 003 SN</t>
  </si>
  <si>
    <t>FOR 2PL RF HYD' PUMP</t>
  </si>
  <si>
    <t>https://www.hydac.com/shop/ko-kr/1260909</t>
  </si>
  <si>
    <t>hydac_on_20250416143843765.jpg</t>
  </si>
  <si>
    <t>(포)공무-기계설비-후판기계정비</t>
  </si>
  <si>
    <t>2025-06-10 13:06:48</t>
  </si>
  <si>
    <t>Q2084600</t>
  </si>
  <si>
    <t>OIL,HYDRAULIC,[HC6200FRN8Z/PALL],ID34xOD82.5x406L,7micron,GLASS FIBER,20kg/cm2,TW37E,FOR K1,2CCP MOLD STAND HYD UNIT RETURN,OR EQUIVALENT</t>
  </si>
  <si>
    <t>HC6200FRN8Z</t>
  </si>
  <si>
    <t>TW37E</t>
  </si>
  <si>
    <t>FOR K1,2CCP MOLD STAND HYD UNIT RETURN</t>
  </si>
  <si>
    <t>https://www.pall.com/en/industrial-manufacturing/landing/supralon-crossover-tool.html</t>
  </si>
  <si>
    <t>20220406154934446.jpg</t>
  </si>
  <si>
    <t>한병하</t>
  </si>
  <si>
    <t>2022-04-11 08:04:24</t>
  </si>
  <si>
    <t>Q2090583</t>
  </si>
  <si>
    <t>OIL,HYDRAULIC,[PI 3211 PS VST 10/FILTRATION GROUP(MAHLE)],ID25.5xOD47,10micron,210bar,MAHLE INDUSTRIE FILTER,FOR LNG DIVERTER DAMPER OIL UNIT INLET FILTER</t>
  </si>
  <si>
    <t>PI 3211 PS VST 10</t>
  </si>
  <si>
    <t>FILTRATION GROUP(MAHLE)</t>
  </si>
  <si>
    <t>MAHLE INDUSTRIE FILTER</t>
  </si>
  <si>
    <t>FOR LNG DIVERTER DAMPER OIL UNIT INLET FILTER</t>
  </si>
  <si>
    <t>https://www.kc-co.com/spare-part/mahle-filtration-group/pi-3211-ps-vst-10/</t>
  </si>
  <si>
    <t>pi-3211-smx-vst-10-oil-filter-element57135684674_20230413104753362.jpg</t>
  </si>
  <si>
    <t>김철근</t>
  </si>
  <si>
    <t>(광양)기계설비부 동력기계정비과</t>
  </si>
  <si>
    <t>2023-04-17 13:04:25</t>
  </si>
  <si>
    <t>Q2125522</t>
  </si>
  <si>
    <t>AIR,[KHF-31(40A)/KEUMSUNG],1micron,MICRO FIBER/ETC,9.32kg/cm2,11.0NM3/MIN,FOR LNG TERMINAL AIR DRYER(KSD200S)</t>
  </si>
  <si>
    <t>KHF-31(40A)</t>
  </si>
  <si>
    <t>KEUMSUNG</t>
  </si>
  <si>
    <t>FOR LNG TERMINAL AIR DRYER(KSD200S)</t>
  </si>
  <si>
    <t>http://www.ksair.co.kr/theme/daontheme_business08/html/business/02_05_01.php</t>
  </si>
  <si>
    <t>AIR-FILTER 200HP_20240206092900661.JPG</t>
  </si>
  <si>
    <t>khf_01_20240206093032494.jpg</t>
  </si>
  <si>
    <t>최재구</t>
  </si>
  <si>
    <t>LNG사업추진반 설비운영팀</t>
  </si>
  <si>
    <t>2024-02-21 09:02:32</t>
  </si>
  <si>
    <t>Q2125524</t>
  </si>
  <si>
    <t>AIR,[KHF-13(40A)/KEUMSUNG],0.01micron,MICRO FIBER/ETC,9.32kg/cm2,10.0 NM3/MIN,FOR LNG TERMINAL AIR DRYER(KSD200S)</t>
  </si>
  <si>
    <t>KHF-13(40A)</t>
  </si>
  <si>
    <t>Filter Element_20240206093713609.png</t>
  </si>
  <si>
    <t>khf_01_20240206093914725.jpg</t>
  </si>
  <si>
    <t>2024-02-21 09:02:43</t>
  </si>
  <si>
    <t>Q2127113</t>
  </si>
  <si>
    <t>HYDRAULIC,[2.0013 PWR10-C00-0-M/BOSCH REXROTH(HENGST)],0.2micron,AC150/STS304,FOR 2APL CPC,EPC</t>
  </si>
  <si>
    <t>2.0013 PWR10-C00-0-M</t>
  </si>
  <si>
    <t>BOSCH REXROTH(HENGST)</t>
  </si>
  <si>
    <t>FOR 2APL CPC,EPC</t>
  </si>
  <si>
    <t>https://epg.eu/wp-content/uploads/2014/01/1._2._Elements_re51420_2010-10.pdf</t>
  </si>
  <si>
    <t>Filter Element_20230309114341029.jpg</t>
  </si>
  <si>
    <t>김병영</t>
  </si>
  <si>
    <t>(포항)기계설비부 선재기계정비과</t>
  </si>
  <si>
    <t>최원탁</t>
  </si>
  <si>
    <t>2023-03-13 15:03:06</t>
  </si>
  <si>
    <t>Q2141291</t>
  </si>
  <si>
    <t>GAS,[SAHT-SF-FE-P2/SEAH],ID13xOD17x2T,2micron,PAPER,5kg/cm2,FOR COG GAS BLOWER</t>
  </si>
  <si>
    <t>SAHT-SF-FE-P2</t>
  </si>
  <si>
    <t>SEAH</t>
  </si>
  <si>
    <t xml:space="preserve">FOR COG GAS BLOWER </t>
  </si>
  <si>
    <t>https://saht.co.kr/eng/part/?pIdx=part&amp;B_Name=product&amp;b_dir=product_bbs&amp;b_url=contents&amp;list_no=13&amp;category=p1</t>
  </si>
  <si>
    <t>Q21412911_20231012112300094.png</t>
  </si>
  <si>
    <t>김계성</t>
  </si>
  <si>
    <t>(광양)전기제어설비부 화성전기정비과</t>
  </si>
  <si>
    <t>연성주</t>
  </si>
  <si>
    <t>2023-12-07 10:12:07</t>
  </si>
  <si>
    <t>Q2179566</t>
  </si>
  <si>
    <t>Filter Accessories</t>
  </si>
  <si>
    <t>FILTER CONTROL ASSY,[TYPE2300/BOLLFILTER],FOR 2H AUTO FILTER CONTROL ASS'Y</t>
  </si>
  <si>
    <t>TYPE2300</t>
  </si>
  <si>
    <t>BOLLFILTER</t>
  </si>
  <si>
    <t>FOR 2H AUTO FILTER CONTROL ASS'Y</t>
  </si>
  <si>
    <t>FW- [문서결재 승인]_Oil Auto Filter 물품 등록 요청서_mail_1198043753717.eml</t>
  </si>
  <si>
    <t>https://www.bollfilter.com/service/component-parts/electronic-control?_gl=1*nhs70y*_up*MQ..*_ga*ODU1OTQyNjQzLjE2NzU4MjAyNzc.*_ga_KN6VBVL6FR*MTY3NTgyMDI3Ni4xLjEuMTY3NTgyMDUxMC4wLjAuMA..</t>
  </si>
  <si>
    <t>Q2179566_20250903152047133.jpg</t>
  </si>
  <si>
    <t>추문성</t>
  </si>
  <si>
    <t>(포항)열연부 조업지원팀</t>
  </si>
  <si>
    <t>상동규</t>
  </si>
  <si>
    <t>(포항)열연부 2열연공장</t>
  </si>
  <si>
    <t>2025-09-05 10:09:07</t>
  </si>
  <si>
    <t>Q2215202</t>
  </si>
  <si>
    <t>[PF32-9N/KEUMSUNG HIGH TECH]x185Wx800L,5micron,24M3,FOR KSM AIR COMPRESSOR PRE FILLTER,OR EQUIVALENT</t>
  </si>
  <si>
    <t>PF32-9N</t>
  </si>
  <si>
    <t>KEUMSUNG HIGH TECH</t>
  </si>
  <si>
    <t>24M3</t>
  </si>
  <si>
    <t xml:space="preserve">FOR KSM AIR COMPRESSOR PRE FILLTER </t>
  </si>
  <si>
    <t>광양 소결 계장에어 필터[주흥락]_1237788124574.pdf</t>
  </si>
  <si>
    <t>http://www.ksair.co.kr/korean/02/02_02_16.htm</t>
  </si>
  <si>
    <t>PF32-9N 사진_20230711092337261.jpg</t>
  </si>
  <si>
    <t>김종래</t>
  </si>
  <si>
    <t>(광양)제선부 조업지원팀</t>
  </si>
  <si>
    <t>kimjr@posco.co.kr</t>
  </si>
  <si>
    <t>주흥락</t>
  </si>
  <si>
    <t>(광양)제선부 소결공장</t>
  </si>
  <si>
    <t>2023-07-11 09:07:30</t>
  </si>
  <si>
    <t>Q2227219</t>
  </si>
  <si>
    <t>AIR,[LF31-936/KEUMSUNG HIGHTECH],1micron,FOR 2CCP AIR DRYER</t>
  </si>
  <si>
    <t>LF31-936</t>
  </si>
  <si>
    <t>KEUMSUNG HIGHTECH</t>
  </si>
  <si>
    <t>FOR 2CCP AIR DRYER</t>
  </si>
  <si>
    <t>2연주공장 자재사양품 물품등록신청서(1014)_1256112409902.pdf</t>
  </si>
  <si>
    <t>http://www.ksair.co.kr/</t>
  </si>
  <si>
    <t>금성하이텍_20230308134257749.jpg</t>
  </si>
  <si>
    <t>장부호</t>
  </si>
  <si>
    <t>(광양)제강부 조업지원팀</t>
  </si>
  <si>
    <t>jangbuho@posco.co.kr</t>
  </si>
  <si>
    <t>김철환</t>
  </si>
  <si>
    <t>(광양)제강부 2연주공장</t>
  </si>
  <si>
    <t>2023-03-08 14:03:57</t>
  </si>
  <si>
    <t>Q2232220</t>
  </si>
  <si>
    <t>OIL,HYDRAULIC,[P-COS-L-24-A-100W/DONGSAN KIGONG],100mesh,STS304,FOR 3CGL #5,6 TBR LUBRICATION OIL FILTER ELEMENT,OR EQUIVALENT</t>
  </si>
  <si>
    <t>P-COS-L-24-A-100W</t>
  </si>
  <si>
    <t>DONGSAN KIGONG</t>
  </si>
  <si>
    <t>FOR 3CGL #5,6 TBR LUBRICATION OIL FILTER ELEMENT</t>
  </si>
  <si>
    <t>http://www.dskg21.com/bbs/board.php?bo_table=p03_5&amp;wr_id=5</t>
  </si>
  <si>
    <t>3CGL TBR Lubrication Oil Filter_20250512134839476.jpg</t>
  </si>
  <si>
    <t>홍성목</t>
  </si>
  <si>
    <t>(포항)압연정비부 냉연정비1과</t>
  </si>
  <si>
    <t>정도연</t>
  </si>
  <si>
    <t>2025-05-15 11:05:55</t>
  </si>
  <si>
    <t>POSCO-Thainox OU</t>
  </si>
  <si>
    <t>USD</t>
  </si>
  <si>
    <t>THB</t>
  </si>
  <si>
    <t>VILEDON</t>
  </si>
  <si>
    <t>Q3205372</t>
  </si>
  <si>
    <t>POSCO YAMATO VINA</t>
  </si>
  <si>
    <t>INVERTER[BK0-C2101H01/MITSUBISHI],AC 3PHASE,AC 440 V,1A,OPTION LINE FILTER FR-BLF</t>
  </si>
  <si>
    <t>BK0-C2101H01</t>
  </si>
  <si>
    <t>MITSUBISHI</t>
  </si>
  <si>
    <t>OPTION LINE FILTER FR-BLF</t>
  </si>
  <si>
    <t>https://www.amikon-shop.de/mitsubishi-line-filter-fr-blf-bk0-c2101h01/elektronik-gesamt/mitsubishi/a-12770/</t>
  </si>
  <si>
    <t>B9_20220526122226573.JPG</t>
  </si>
  <si>
    <t>2022-05-26 13:05:09</t>
  </si>
  <si>
    <t>Q3205374</t>
  </si>
  <si>
    <t>INVERTER[ITMSF480-050/IN-TECH],AC 3PHASE,AC 440V,50A</t>
  </si>
  <si>
    <t>ITMSF480-050</t>
  </si>
  <si>
    <t>IN-TECH</t>
  </si>
  <si>
    <t>http://intech-fa.co.kr/bbs/bbs_download.php?bbs_data=aWR4PTU2Jmxpc3RObz00JnN0YXJ0UGFnZT0wJnRhYmxlPWNzX2Jic19kYXRhJmNvZGU9ZGF0YSZzZWFyY2hfaXRlbT0mc2VhcmNoX29yZGVyPQ==||&amp;download=1</t>
  </si>
  <si>
    <t>노이즈필터(이민홍)_20230801143953000.jpg</t>
  </si>
  <si>
    <t>2023-08-07 09:08:38</t>
  </si>
  <si>
    <t>Q3401369</t>
  </si>
  <si>
    <t>HYDRAULIC,[HC9020FRP4Z/PALL]x130L,1580, B&gt;=1000,OIL,FOR ME-010/020-005</t>
  </si>
  <si>
    <t>HC9020FRP4Z</t>
  </si>
  <si>
    <t>Pall</t>
  </si>
  <si>
    <t>1580, B&gt;=1000,Oil</t>
  </si>
  <si>
    <t>FOR ME-010/020-005</t>
  </si>
  <si>
    <t>http://shop.pall.com/us/en/products/zidHC9020FRP4Z?CategoryName=&amp;CatalogID=&amp;tracking=searchterm:hc9020frp4z#attr_attachments</t>
  </si>
  <si>
    <t>20250818081840127.jpg</t>
  </si>
  <si>
    <t>2025-08-19 11:08:44</t>
  </si>
  <si>
    <t>Filter(Made to Order)</t>
  </si>
  <si>
    <t>BUSCH</t>
  </si>
  <si>
    <t>포스코엠텍</t>
  </si>
  <si>
    <t>CKD</t>
  </si>
  <si>
    <t>Q3901544</t>
  </si>
  <si>
    <t>Strap Machine Material</t>
  </si>
  <si>
    <t>[024631/JPS],SCM415,HRC20~25</t>
  </si>
  <si>
    <t>024631</t>
  </si>
  <si>
    <t>JPS</t>
  </si>
  <si>
    <t>HRC20~25</t>
  </si>
  <si>
    <t>http://sjps.co.kr/tensioner-st-114/</t>
  </si>
  <si>
    <t>jps st114-3_20221125081323923.jpg</t>
  </si>
  <si>
    <t>2022-11-29 13:11:04</t>
  </si>
  <si>
    <t>PZSS OU</t>
  </si>
  <si>
    <t>CNY</t>
  </si>
  <si>
    <t>Q4000907</t>
  </si>
  <si>
    <t>POSCO MEXICO</t>
  </si>
  <si>
    <t>[1004H FILTER ELEMENT/HARVARD]xOD190.5x501.65L_1micron,5.6kg/cm2_FOR EDT MACHINE</t>
  </si>
  <si>
    <t>1004H FILTER ELEMENT</t>
  </si>
  <si>
    <t xml:space="preserve">HARVARD </t>
  </si>
  <si>
    <t>FOR EDT MACHINE</t>
  </si>
  <si>
    <t>1004 Filter Element 1000 Size_20220324063422826.pdf</t>
  </si>
  <si>
    <t>https://www.harvardfiltration.com/1000-series-element</t>
  </si>
  <si>
    <t>1000-series_1_20220324063930029.jpg</t>
  </si>
  <si>
    <t>Kim Yo Han</t>
  </si>
  <si>
    <t>ce023718@posco.com</t>
  </si>
  <si>
    <t>CEPEDA POSADAS IRIS JEANETTE</t>
  </si>
  <si>
    <t>Equipo de Mantenimiento</t>
  </si>
  <si>
    <t>iris.cepeda@posco.net</t>
  </si>
  <si>
    <t>2022-04-11 07:04:11</t>
  </si>
  <si>
    <t>Q4002236</t>
  </si>
  <si>
    <t>[HC2216FRN6Z/PALL]_210_FOR K3CCP LADLE SLIDE GATE,OR EQUIVALENT</t>
  </si>
  <si>
    <t>HC2216FRN6Z</t>
  </si>
  <si>
    <t>210</t>
  </si>
  <si>
    <t>FOR K3CCP LADLE SLIDE GATE</t>
  </si>
  <si>
    <t>https://shop.pall.com/us/en/products/zidHC2216FCN6H</t>
  </si>
  <si>
    <t>HC2216_20220421083048165.jpg</t>
  </si>
  <si>
    <t>김진성</t>
  </si>
  <si>
    <t>(광양)압연정비부 후판정비과</t>
  </si>
  <si>
    <t>2022-04-27 09:04:21</t>
  </si>
  <si>
    <t>Q4002242</t>
  </si>
  <si>
    <t>[HC2246FRN6H50/PALL]_210_FOR K3CCP POWER UNIT 250L,OR EQUIVALENT</t>
  </si>
  <si>
    <t>HC2246FRN6H50</t>
  </si>
  <si>
    <t>FOR K3CCP POWER UNIT 250L</t>
  </si>
  <si>
    <t>https://shop.pall.com/us/en/products/zidHC2246FCN6H50</t>
  </si>
  <si>
    <t>HC2246FCN6H50_20220421083713140.jpg</t>
  </si>
  <si>
    <t>2022-04-27 09:04:49</t>
  </si>
  <si>
    <t>Q4002675</t>
  </si>
  <si>
    <t>[HC2286FRS30H50/PALL]_210_FOR K3CCP CIRCULATION UNIT,OR EQUIVALENT</t>
  </si>
  <si>
    <t>HC2286FRS30H50</t>
  </si>
  <si>
    <t>FOR K3CCP CIRCULATION UNIT</t>
  </si>
  <si>
    <t>HC2286FCS30H50_20230411141043472.jpg</t>
  </si>
  <si>
    <t>2023-04-12 15:04:41</t>
  </si>
  <si>
    <t>Q4004417</t>
  </si>
  <si>
    <t>[AF40-06D-D/SMC],ID19.05xOD19.05,5micron,1MPa,AIR FILTER,AIR(DUST)_BAG</t>
  </si>
  <si>
    <t>AF40-06D-D</t>
  </si>
  <si>
    <t>AIR(DUST)_BAG</t>
  </si>
  <si>
    <t>http://www.smckorea.co.kr</t>
  </si>
  <si>
    <t>20250205170222767.jpg</t>
  </si>
  <si>
    <t>최 광식</t>
  </si>
  <si>
    <t>내화물부(일반)</t>
  </si>
  <si>
    <t>cks@poscofuturem.com</t>
  </si>
  <si>
    <t>김 두규</t>
  </si>
  <si>
    <t>kdg6254@poscofuturem.com</t>
  </si>
  <si>
    <t>2025-02-11 09:02:43</t>
  </si>
  <si>
    <t>Q4022652</t>
  </si>
  <si>
    <t>POSCO-TCS OU</t>
  </si>
  <si>
    <t>AIR,[KHF-31/KEUMSUNG HIGHTECH],1micron,7kg/cm2,AFTER FILTER,65A-LF31-10N2,FOR C-017-001/3</t>
  </si>
  <si>
    <t>KHF-31</t>
  </si>
  <si>
    <t>AFTER FILTER,65A-LF31-10N2</t>
  </si>
  <si>
    <t>FOR C-017-001/3</t>
  </si>
  <si>
    <t>Q4022652_20220309151041981.JPG</t>
  </si>
  <si>
    <t>정원재</t>
  </si>
  <si>
    <t>정비부</t>
  </si>
  <si>
    <t>WJJUNG@POSCOENERGY.COM</t>
  </si>
  <si>
    <t>2022-03-11 13:03:31</t>
  </si>
  <si>
    <t>Q4022654</t>
  </si>
  <si>
    <t>포스코인터</t>
  </si>
  <si>
    <t>AIR,[KSOM-10/KWANGSHIN],10micron,POLYESTER,SUCTION FILTER,DRY TYPE,FOR 34 KWANGSHIN AIR COMPRESSOR C-017-001/3</t>
  </si>
  <si>
    <t>KSOM-10</t>
  </si>
  <si>
    <t>KWANGSHIN</t>
  </si>
  <si>
    <t>SUCTION FILTER,DRY TYPE</t>
  </si>
  <si>
    <t>FOR 34 KWANGSHIN AIR COMPRESSOR C-017-001/3</t>
  </si>
  <si>
    <t>SUCTION FILTER_20100906092006669.pdf</t>
  </si>
  <si>
    <t>http://www.kwangshin.com/eng/index/index.htm</t>
  </si>
  <si>
    <t>Q4022654_20221208102137657.JPG</t>
  </si>
  <si>
    <t>2022-12-09 09:12:59</t>
  </si>
  <si>
    <t>Q4049034</t>
  </si>
  <si>
    <t>[NH-3100/SEYANG],ID150xOD150,1micron,10kg/cm2,AIR,FOR STS 3APL AIR PLANT,OR EQUIVALENT</t>
  </si>
  <si>
    <t>NH-3100</t>
  </si>
  <si>
    <t>AIR</t>
  </si>
  <si>
    <t xml:space="preserve">FOR STS 3APL AIR PLANT </t>
  </si>
  <si>
    <t>http://www.seyangcorp.co.kr/html/business/down/CATALOGUE06.pdf</t>
  </si>
  <si>
    <t>물품등록 이미지_세양 DRY_AIR FILTER CASE_20231123141745098.jpg</t>
  </si>
  <si>
    <t>스테인리스압연부 압연정비과</t>
  </si>
  <si>
    <t>한상섭</t>
  </si>
  <si>
    <t>sangsub@posco.co.kr</t>
  </si>
  <si>
    <t>2023-11-27 13:11:05</t>
  </si>
  <si>
    <t>Q4056807</t>
  </si>
  <si>
    <t>HYDRAULIC,[HC9600FRS16Z/PALL],ID48xOD80.5x427.5L,POLYESTER/CARBON/ETC,2MPa,&gt;/=1000,FOR HYDRAULIC FILTER SYSTEM OF TCM</t>
  </si>
  <si>
    <t>HC9600FRS16Z</t>
  </si>
  <si>
    <t>&gt;/=1000</t>
  </si>
  <si>
    <t>FOR HYDRAULIC FILTER SYSTEM OF TCM</t>
  </si>
  <si>
    <t>Element filter HC9600FKS16H_20110615122408641.pdf</t>
  </si>
  <si>
    <t>12_20220817103025324.jpg</t>
  </si>
  <si>
    <t>ĐINH QUỐC HỎA</t>
  </si>
  <si>
    <t>Material Purchasing Team</t>
  </si>
  <si>
    <t>purchasing.hoa@posco.net</t>
  </si>
  <si>
    <t>NGÔ THANH TÂM</t>
  </si>
  <si>
    <t>PCM Section</t>
  </si>
  <si>
    <t>nt.tam@posco.net</t>
  </si>
  <si>
    <t>2022-08-18 07:08:23</t>
  </si>
  <si>
    <t>Q4061281</t>
  </si>
  <si>
    <t>AIR,[0160 MU 010 P(PART NO.248055)/HYDAC],10micron,PAPER FIBRE,FOR POSCOSS 100TON M/P</t>
  </si>
  <si>
    <t>0160 MU 010 P(PART NO.248055)</t>
  </si>
  <si>
    <t>FOR POSCOSS 100TON M/P</t>
  </si>
  <si>
    <t>1310348069_20110711103835486.pdf</t>
  </si>
  <si>
    <t>Filter element 0160_20251201154359409.jpg</t>
  </si>
  <si>
    <t>박대규</t>
  </si>
  <si>
    <t>기계정비팀</t>
  </si>
  <si>
    <t>최상기</t>
  </si>
  <si>
    <t>2025-12-02 09:12:28</t>
  </si>
  <si>
    <t>Q4065230</t>
  </si>
  <si>
    <t>[P/N:3200762538/HORIBA],FILTER,FOR OCMA-300</t>
  </si>
  <si>
    <t>P/N:3200762538</t>
  </si>
  <si>
    <t>HORIBA</t>
  </si>
  <si>
    <t>FILTER</t>
  </si>
  <si>
    <t>FOR OCMA-300</t>
  </si>
  <si>
    <t>20110803_유분측정기(OCMA-300)_20110803172821812.ppt</t>
  </si>
  <si>
    <t>http://www.horiba.com/kr/process-environmental/products/water-quality-measurement/lab-use/details/ocma-300-oil-content-analyzer-236/</t>
  </si>
  <si>
    <t>44430_20240620133642103.jpg</t>
  </si>
  <si>
    <t>손정하</t>
  </si>
  <si>
    <t>(포항)품질기술부 화학시험과</t>
  </si>
  <si>
    <t>김성윤</t>
  </si>
  <si>
    <t>2024-06-27 08:06:51</t>
  </si>
  <si>
    <t>Q4065962</t>
  </si>
  <si>
    <t>[AF50-06D-D/SMC]x90Wx245L,1MPa,ALUMINUM DIE CAST,0.5micron,3/4" D</t>
  </si>
  <si>
    <t>AF50-06D-D</t>
  </si>
  <si>
    <t>3/4" D</t>
  </si>
  <si>
    <t>http://content2.smcetech.com/pdf/af.pdf</t>
  </si>
  <si>
    <t>AF20-AF40-D_20250210173911702.jpg</t>
  </si>
  <si>
    <t>Cepeda Posadas Iris Jeanette</t>
  </si>
  <si>
    <t>Eq. de Reparación de Equipos</t>
  </si>
  <si>
    <t>2025-02-11 11:02:42</t>
  </si>
  <si>
    <t>Q4066926</t>
  </si>
  <si>
    <t>[AF40-06-D/SMC]xOD70x169L,5micron,1MPa,AIR FILTER</t>
  </si>
  <si>
    <t>AF40-06-D</t>
  </si>
  <si>
    <t>AF40-06_20110813170856726.pdf</t>
  </si>
  <si>
    <t>AF40-06-A_20250508153422841.png</t>
  </si>
  <si>
    <t>陈建峰</t>
  </si>
  <si>
    <t>冷轧机械设备科(二工厂)</t>
  </si>
  <si>
    <t>曹燕锋</t>
  </si>
  <si>
    <t>caoyf@posco.net</t>
  </si>
  <si>
    <t>2025-05-19 08:05:56</t>
  </si>
  <si>
    <t>Q4067292</t>
  </si>
  <si>
    <t>AIR,[LF31-98/KEUMSUNG HIGHTECH],1micron,SPP/SS275,7kg/cm2,176NM3/MIN,KHF-31 150A,FOR LINE FILTER OF AIR COMPRESSOR</t>
  </si>
  <si>
    <t>LF31-98</t>
  </si>
  <si>
    <t>KHF-31 150A</t>
  </si>
  <si>
    <t>FOR LINE FILTER OF AIR COMPRESSOR</t>
  </si>
  <si>
    <t>LINE FILTER 1 MICRON_20110817175025144.pdf</t>
  </si>
  <si>
    <t>IMG_20240222_095232_20240311112443923.jpg</t>
  </si>
  <si>
    <t>PHẠM VĂN HƯỞNG</t>
  </si>
  <si>
    <t>Const-Maintenance</t>
  </si>
  <si>
    <t>pham.huong@posco.net</t>
  </si>
  <si>
    <t>PHAN THIÊN DIỆP</t>
  </si>
  <si>
    <t>phan.diep@posco.net</t>
  </si>
  <si>
    <t>2024-03-26 09:03:33</t>
  </si>
  <si>
    <t>Q4072117</t>
  </si>
  <si>
    <t>HYDRAULIC,[2.0100 PWR3-B00-0-M/HENGST],5micron,200kg/cm2,25 L/MIN,FOR K3CC DEBURRER</t>
  </si>
  <si>
    <t>2.0100 PWR3-B00-0-M</t>
  </si>
  <si>
    <t>HENGST</t>
  </si>
  <si>
    <t xml:space="preserve">FOR K3CC DEBURRER </t>
  </si>
  <si>
    <t>https://www.hengst.com/Produkte/Produktgruppen/Hydraulik/Datenbl%C3%A4tter/neu/EN/RE51467_2021-04_web.pdf</t>
  </si>
  <si>
    <t>Q4072117_20240903075808243.jpg</t>
  </si>
  <si>
    <t>정재원</t>
  </si>
  <si>
    <t>jjw076@posco.co.kr</t>
  </si>
  <si>
    <t>2024-09-05 13:09:13</t>
  </si>
  <si>
    <t>Q4079320</t>
  </si>
  <si>
    <t>HYDRAULIC,[HD 069-166/ARGO HYTOS],10micron,MICRO FIBER PAPER,WITH OPTICAL INDICATOR(HD 049. 1400),FOR K3SMP 400TON CRANE HYD UNIT FILTER,OR EQUIVALENT</t>
  </si>
  <si>
    <t>HD 069-166</t>
  </si>
  <si>
    <t>ARGO HYTOS</t>
  </si>
  <si>
    <t>WITH OPTICAL INDICATOR(HD 049. 1400)</t>
  </si>
  <si>
    <t>FOR K3SMP 400TON CRANE HYD UNIT FILTER</t>
  </si>
  <si>
    <t>용선 크레인 Filter Element_R_20111115100517448.xls</t>
  </si>
  <si>
    <t>http://www.argo-hytos.com/</t>
  </si>
  <si>
    <t>HD 069 166_20231219142451166.png</t>
  </si>
  <si>
    <t>신운호</t>
  </si>
  <si>
    <t>2023-12-19 15:12:25</t>
  </si>
  <si>
    <t>Q4081550</t>
  </si>
  <si>
    <t>HYDRAULIC,[0850 R 005 BH4HC/HYDAC],5micron,GLASS FIBER</t>
  </si>
  <si>
    <t>0850 R 005 BH4HC</t>
  </si>
  <si>
    <t>HYD FILTER_20111202143631473.pdf</t>
  </si>
  <si>
    <t>Element_20230912124410880.jpg</t>
  </si>
  <si>
    <t>王民</t>
  </si>
  <si>
    <t>wangm@posco.net</t>
  </si>
  <si>
    <t>2023-09-12 17:09:04</t>
  </si>
  <si>
    <t>Q4086138</t>
  </si>
  <si>
    <t>POSCO-VST OU</t>
  </si>
  <si>
    <t>HYDRAULIC,[TFX-400-80/DEPAIKE],ID65xOD82x265L,80micron,FOR VBA02</t>
  </si>
  <si>
    <t>TFX-400-80</t>
  </si>
  <si>
    <t>DEPAIKE</t>
  </si>
  <si>
    <t>FOR VBA02</t>
  </si>
  <si>
    <t>FILTER TFA-400_20120111185522710.ppt</t>
  </si>
  <si>
    <t>www.depaike.com</t>
  </si>
  <si>
    <t>b33_201051190907_20231211155855287.jpg</t>
  </si>
  <si>
    <t>b35_201051195580_20231211155911955.jpg</t>
  </si>
  <si>
    <t>HỒ VIẾT PHÚC</t>
  </si>
  <si>
    <t>Maint-Util</t>
  </si>
  <si>
    <t>2024-01-02 09:01:33</t>
  </si>
  <si>
    <t>Q4089826</t>
  </si>
  <si>
    <t>Decanter/Distiller/Evaporator/Purifier/Filter Eqpt</t>
  </si>
  <si>
    <t>Reagent &amp; Laboratory tool</t>
  </si>
  <si>
    <t>김대완</t>
  </si>
  <si>
    <t>[P/N:12272004/AGILENT],BOND ELUT SPECIALTY,FOR GAS CHROMATOGRHPHY,500MG,6ML,ENVIRELUT-PESTICIDE,30/PK,OR EQUIVALENT</t>
  </si>
  <si>
    <t>P/N:12272004</t>
  </si>
  <si>
    <t>AGILENT</t>
  </si>
  <si>
    <t>500MG,6ML,ENVIRELUT-PESTICIDE,30/PK</t>
  </si>
  <si>
    <t>FOR GAS CHROMATOGRHPHY</t>
  </si>
  <si>
    <t>http://www.labplus.co.kr/search/search.asp?keyword=12272004</t>
  </si>
  <si>
    <t>Q4089826_20250516161537827.png</t>
  </si>
  <si>
    <t>서영진</t>
  </si>
  <si>
    <t>(광양)품질기술부 화학시험과</t>
  </si>
  <si>
    <t>abcd6989@posco.co.kr</t>
  </si>
  <si>
    <t>최중일</t>
  </si>
  <si>
    <t>jichoi@posco.co.kr</t>
  </si>
  <si>
    <t>2025-05-20 11:05:53</t>
  </si>
  <si>
    <t>Q4091021</t>
  </si>
  <si>
    <t>PTKP OU</t>
  </si>
  <si>
    <t>WATER,[BW30XFR-400/34I/DUPONT],ID29xOD201x1029L,POLYAMIDE THIN-FILM COMPOSITE,11,500 M3/D,MEMBRANE, REVERSE OSMOSIS</t>
  </si>
  <si>
    <t>BW30XFR-400/34I</t>
  </si>
  <si>
    <t>DUPONT</t>
  </si>
  <si>
    <t>MEMBRANE, REVERSE OSMOSIS</t>
  </si>
  <si>
    <t>DOW变为DUPONT_20220123174819205.pdf</t>
  </si>
  <si>
    <t>BW30XFR-400-34i_20120209085108297.pdf</t>
  </si>
  <si>
    <t>MEMBRANA_20220123173413338.png</t>
  </si>
  <si>
    <t>Sección Soporte de Materiales</t>
  </si>
  <si>
    <t>2022-02-07 11:02:01</t>
  </si>
  <si>
    <t>Q4093631</t>
  </si>
  <si>
    <t>HYDRAULIC OIL,HYDRAULIC,[1700R003SN/HYDAC],3micron,FIBERGLASS,2.5MPa,850L/MIN</t>
  </si>
  <si>
    <t>1700R003SN</t>
  </si>
  <si>
    <t>1700R003BN3HC_20120314202628723.pdf</t>
  </si>
  <si>
    <t>New Picture_20250812111159884.bmp</t>
  </si>
  <si>
    <t>陈健</t>
  </si>
  <si>
    <t>热轧设备科</t>
  </si>
  <si>
    <t>2025-08-18 13:08:24</t>
  </si>
  <si>
    <t>Q4095391</t>
  </si>
  <si>
    <t>AIR,[FILTER S-1000FR/2500S/KYUNGSEO CLOTECH]</t>
  </si>
  <si>
    <t>FILTER S-1000FR/2500S</t>
  </si>
  <si>
    <t>KYUNGSEO CLOTECH</t>
  </si>
  <si>
    <t>https://www.cleaner21.co.kr/shop/item.php?it_id=1320997651</t>
  </si>
  <si>
    <t>진공청소기 필터_20230817091019723.jpg</t>
  </si>
  <si>
    <t>이 현정</t>
  </si>
  <si>
    <t>음극재공장(2차전지소재)</t>
  </si>
  <si>
    <t>odri6149@poscofuturem.com</t>
  </si>
  <si>
    <t>최 기석</t>
  </si>
  <si>
    <t>metal75@poscofuturem.com</t>
  </si>
  <si>
    <t>2023-08-21 08:08:25</t>
  </si>
  <si>
    <t>Q4096269</t>
  </si>
  <si>
    <t>OIL,HYDRAULIC,[HC8900FRS13Z/PALL],12micron,OR EQUIVALENT</t>
  </si>
  <si>
    <t>HC8900FRS13Z</t>
  </si>
  <si>
    <t>HC8900FKS13H_Drwaing_20120410105932622.pdf</t>
  </si>
  <si>
    <t>HC8900FKS13H_20250625105905820.jpg</t>
  </si>
  <si>
    <t>이현종</t>
  </si>
  <si>
    <t>(광양)제강부 연주정비지원팀</t>
  </si>
  <si>
    <t>문영길</t>
  </si>
  <si>
    <t>(광양)제강부 1연주공장</t>
  </si>
  <si>
    <t>ykmun@posco.co.kr</t>
  </si>
  <si>
    <t>2025-06-27 15:06:10</t>
  </si>
  <si>
    <t>Q4097800</t>
  </si>
  <si>
    <t>AIR,[P/N:KS-DY-0908-E001/KWANGSHIN],MD:KSDYNL-2-125, 6" ANSI 150LP WN.RF,FOR 56 AIR COMPRESSOR C-517-001 SUCTION FILTER</t>
  </si>
  <si>
    <t>P/N:KS-DY-0908-E001</t>
  </si>
  <si>
    <t>MD:KSDYNL-2-125, 6" ANSI 150LP WN.RF</t>
  </si>
  <si>
    <t>FOR 56 AIR COMPRESSOR C-517-001 SUCTION FILTER</t>
  </si>
  <si>
    <t>56_kwangshin Compressor_SUCTION FILTER_20120427135351295.pdf</t>
  </si>
  <si>
    <t>http://www.kwangshin.com/sub03/sub_intro.htm</t>
  </si>
  <si>
    <t>Q4097800_20221018105151607.JPG</t>
  </si>
  <si>
    <t>인천발전부</t>
  </si>
  <si>
    <t>2022-10-24 08:10:21</t>
  </si>
  <si>
    <t>Q4098669</t>
  </si>
  <si>
    <t>[FI2H-4T-7/HY-LOK]x19.0Wx75.2L,7micron,STAINLESS,3000psi,S316,AIR LINE SMALL SPACE</t>
  </si>
  <si>
    <t>FI2H-4T-7</t>
  </si>
  <si>
    <t>HY-LOK</t>
  </si>
  <si>
    <t xml:space="preserve">AIR LINE SMALL SPACE </t>
  </si>
  <si>
    <t>cuerpo del filtro de 7 micrones_20120424081241960.pdf</t>
  </si>
  <si>
    <t>Inline-Filter_20250301070321012.jpg</t>
  </si>
  <si>
    <t>Uno Patron</t>
  </si>
  <si>
    <t>생산부</t>
  </si>
  <si>
    <t>Ramírez Rodríguez José De Jesús</t>
  </si>
  <si>
    <t>Sector de Mantto. Eléctrico 1</t>
  </si>
  <si>
    <t>2025-03-06 10:03:40</t>
  </si>
  <si>
    <t>Q4122869</t>
  </si>
  <si>
    <t>[PI 0126 MIC/MAHLE],ID73xOD118x81L,OIL,81000L/h,SMP FOR EAF</t>
  </si>
  <si>
    <t>PI 0126 MIC</t>
  </si>
  <si>
    <t>MAHLE</t>
  </si>
  <si>
    <t>SMP FOR EAF</t>
  </si>
  <si>
    <t>mahle-Pi0101-Pi0185_20121107150357995.pdf</t>
  </si>
  <si>
    <t>www.mahle-industrialfiltration.com</t>
  </si>
  <si>
    <t>Q4122869_20221115094915551.JPG</t>
  </si>
  <si>
    <t>马焕龙</t>
  </si>
  <si>
    <t>制钢机械设备科</t>
  </si>
  <si>
    <t>高学志</t>
  </si>
  <si>
    <t>gaoxz@posco.net</t>
  </si>
  <si>
    <t>2022-11-17 11:11:04</t>
  </si>
  <si>
    <t>Q4136511</t>
  </si>
  <si>
    <t>[CKPF-P02/CK SOLUTION]x660Wx1000Lx25T,NYLON,POLYESTER ETC,PRE FILTER(OA)</t>
  </si>
  <si>
    <t>CKPF-P02</t>
  </si>
  <si>
    <t>CK SOLUTION</t>
  </si>
  <si>
    <t>PRE FILTER(OA)</t>
  </si>
  <si>
    <t>http://www.cksolution.co.kr</t>
  </si>
  <si>
    <t>PRE-FILTER-25T_20240821145647599.jpg</t>
  </si>
  <si>
    <t>김 수미</t>
  </si>
  <si>
    <t>음극재공장(생산라인)</t>
  </si>
  <si>
    <t>박 용태</t>
  </si>
  <si>
    <t>기술연구소 음극소재연구실</t>
  </si>
  <si>
    <t>pyt888@poscofuturem.com</t>
  </si>
  <si>
    <t>2024-08-21 15:08:49</t>
  </si>
  <si>
    <t>Q4148879</t>
  </si>
  <si>
    <t>[ZSA-4000/ZEOFILTECH],BALL/PELLET TYPE,PRE FILTER/CARBON FILTER,ZEOFILTECH, SPECIAL FILTER</t>
  </si>
  <si>
    <t>ZSA-4000</t>
  </si>
  <si>
    <t>ZEOFILTECH</t>
  </si>
  <si>
    <t xml:space="preserve"> BALL/PELLET TYPE,PRE FILTER/CARBON FILTER,ZEOFILTECH, SPECIAL FILTER</t>
  </si>
  <si>
    <t>http://www.zeofiltech.co.kr/</t>
  </si>
  <si>
    <t>ZSA-4000_20250321081303670.jpg</t>
  </si>
  <si>
    <t>이철환</t>
  </si>
  <si>
    <t>조업기술팀</t>
  </si>
  <si>
    <t>ylylyl@snnc.co.kr</t>
  </si>
  <si>
    <t>2025-03-21 11:03:06</t>
  </si>
  <si>
    <t>Q4148880</t>
  </si>
  <si>
    <t>[ZSA-0510/ZEOFILTECH],BALL/PELLET TYPE,PRE FILTER/ZEO FILTER,ZEOFILTECH, SPECIAL FILTER</t>
  </si>
  <si>
    <t>ZSA-0510</t>
  </si>
  <si>
    <t>zeofiltech</t>
  </si>
  <si>
    <t>BALL/PELLET TYPE,PRE FILTER/ZEO FILTER,ZEOFILTECH, SPECIAL FILTER</t>
  </si>
  <si>
    <t>ZSA-0510_20250321082318596.jpg</t>
  </si>
  <si>
    <t>2025-03-21 11:03:31</t>
  </si>
  <si>
    <t>Q4150575</t>
  </si>
  <si>
    <t>IDR</t>
  </si>
  <si>
    <t>HYDRAULIC,[1.0200 PWR6-AH0-0-V/HENGST]+P/N:1003013B,FOR HYDRAULIC SYSTEM CASTING PLATFORM &amp; STRAND GUIDE CCM PTKP</t>
  </si>
  <si>
    <t>1.0200 PWR6-AH0-0-V</t>
  </si>
  <si>
    <t>P/N:1003013B</t>
  </si>
  <si>
    <t>FOR HYDRAULIC SYSTEM CASTING PLATFORM &amp; STRAND GUIDE CCM PTKP</t>
  </si>
  <si>
    <t>R928028157_20130521183129533.pdf</t>
  </si>
  <si>
    <t>https://www.boschrexroth.com/en/us/products/product-groups/industrial-hydraulics/filter/filter-elements/1</t>
  </si>
  <si>
    <t>IH_FILTER_ELEMENTE_PROD_PIC_20180626_084454.big_20230202102721684.jpg</t>
  </si>
  <si>
    <t>Atwinda Sukma Putri</t>
  </si>
  <si>
    <t>Steel Making</t>
  </si>
  <si>
    <t xml:space="preserve">Ahmad Sobandi </t>
  </si>
  <si>
    <t>Steelmaking</t>
  </si>
  <si>
    <t>2023-02-06 13:02:59</t>
  </si>
  <si>
    <t>Q4205037</t>
  </si>
  <si>
    <t>Water Filter</t>
  </si>
  <si>
    <t>WATER,[RF3-4-EPT9-NM-N-1-1-X/KS150/HYDAC]_12Dx101Dx1025L_100mesh_STS316_10bar_FOR 2PLATE S4,5 AUTO FILTER STRAINER,OR EQUIVALENT</t>
  </si>
  <si>
    <t>RF3-4-EPT9-NM-N-1-1-X/KS150</t>
  </si>
  <si>
    <t>FOR 2PLATE S4,5 AUTO FILTER STRAINER</t>
  </si>
  <si>
    <t>0900bf4b98d513a1_266007_20140430134520048.pdf</t>
  </si>
  <si>
    <t>http://www.hydac.com/kr-ko/products/filtration-and-fluid-conditioning/process-filter/filter-elements/filter-elements-rf3rf4.html</t>
  </si>
  <si>
    <t>냉각수오토스트레이너필터_20221230085211992.jpg</t>
  </si>
  <si>
    <t>박병환</t>
  </si>
  <si>
    <t>(포항)후판부 조업개선팀</t>
  </si>
  <si>
    <t>이명곤</t>
  </si>
  <si>
    <t>(포항)후판부 2후판공장</t>
  </si>
  <si>
    <t>2023-01-03 13:01:04</t>
  </si>
  <si>
    <t>모델 확인 후 처리</t>
  </si>
  <si>
    <t>Q4217008</t>
  </si>
  <si>
    <t>POSCO-ASSAN TST OU</t>
  </si>
  <si>
    <t>TRY</t>
  </si>
  <si>
    <t>[GHF20-25/GEM-FA]xOD94x94Wx183L_25micron_NITRIL,8bar,ALUMINUM,35~200L/h_FOR CHUCK REDUCER LUBRICATION_G3/4''</t>
  </si>
  <si>
    <t>GHF20-25</t>
  </si>
  <si>
    <t>GEM-FA</t>
  </si>
  <si>
    <t>FOR CHUCK REDUCER LUBRICATION</t>
  </si>
  <si>
    <t>G3/4''</t>
  </si>
  <si>
    <t>GHF SERİSİ HİDROLİK HAT TİPİ DÖNÜŞ FİLTRELERİ 1_20140722155342109.docx</t>
  </si>
  <si>
    <t>http://www.guneyhidropar.com/gemfa.html</t>
  </si>
  <si>
    <t>GHF20-25_20251226181930273.png</t>
  </si>
  <si>
    <t>NAZMI BAYRAM</t>
  </si>
  <si>
    <t>TLL-SPM-STL-CGPL (MEK)</t>
  </si>
  <si>
    <t>2025-12-30 15:12:52</t>
  </si>
  <si>
    <t>Q4233954</t>
  </si>
  <si>
    <t>GAS PURIFIER,[02005A1/SERVOMEX],FOR SERVOPRO PURE GAS ANALYZER,OR EQUIVALENT</t>
  </si>
  <si>
    <t>02005A1</t>
  </si>
  <si>
    <t>SERVOMEX</t>
  </si>
  <si>
    <t>FOR SERVOPRO PURE GAS ANALYZER</t>
  </si>
  <si>
    <t>04 Purifier Manual_1_20141120091755571.pdf</t>
  </si>
  <si>
    <t>PURIFIER_20250205152440011.jpg</t>
  </si>
  <si>
    <t>최상호</t>
  </si>
  <si>
    <t>(포항)에너지부 에너지정비과</t>
  </si>
  <si>
    <t>spana707@posco.co.kr</t>
  </si>
  <si>
    <t>양해용</t>
  </si>
  <si>
    <t>gunyhy@posco.co.kr</t>
  </si>
  <si>
    <t>2025-02-06 09:02:54</t>
  </si>
  <si>
    <t>Q4247419</t>
  </si>
  <si>
    <t>GAS,[P/N: 1253 0327/MWM],ID80xOD100x45Wx90Lx5T,FELT,FOR GAS GENERATOR GAS FILTER 1221 1892</t>
  </si>
  <si>
    <t>P/N: 1253 0327</t>
  </si>
  <si>
    <t>MWM</t>
  </si>
  <si>
    <t>FOR GAS GENERATOR GAS FILTER 1221 1892</t>
  </si>
  <si>
    <t>Gas filter 1221 1891 catalogo_20150224011827150.jpg</t>
  </si>
  <si>
    <t>gas filter 1221 1891 _20250305052359056.jpg</t>
  </si>
  <si>
    <t>Briones Gloria Romarico</t>
  </si>
  <si>
    <t>SEC. DE MANTTO DE UTILIDADES</t>
  </si>
  <si>
    <t>2025-03-06 10:03:23</t>
  </si>
  <si>
    <t>Q4249219</t>
  </si>
  <si>
    <t>OIL,HYDRAULIC,[HC9600FCN16H/PALL],7micron,FIBER GLASS,20bar,FOR  HYDRAULIC PL</t>
  </si>
  <si>
    <t xml:space="preserve">HC9600FCN16H </t>
  </si>
  <si>
    <t xml:space="preserve">FOR  HYDRAULIC PL  </t>
  </si>
  <si>
    <t>http://www.pall.com/main/power-generation/product.page?lid=gri78loo</t>
  </si>
  <si>
    <t>Element Filter_20231201152417255.jpg</t>
  </si>
  <si>
    <t>TRẦN VĂN QUANG</t>
  </si>
  <si>
    <t>tv.quang@posco.net</t>
  </si>
  <si>
    <t>2023-12-04 11:12:18</t>
  </si>
  <si>
    <t>Q4249796</t>
  </si>
  <si>
    <t>HYDRAULIC,[2.0100 PWR10-A00-0-M/HENGST],FOR 3FINEX GAS CLEAN HYD'</t>
  </si>
  <si>
    <t>2.0100 PWR10-A00-0-M</t>
  </si>
  <si>
    <t>FOR 3FINEX GAS CLEAN HYD'</t>
  </si>
  <si>
    <t>https://www.hengst.com/Produkte/Produktgruppen/Hydraulik/Datenbl%C3%A4tter/neu/EN/RE51448_2X_110LEN2023_06_web.pdf</t>
  </si>
  <si>
    <t>element 이미지2_20250321083745367.jpg</t>
  </si>
  <si>
    <t>한인수</t>
  </si>
  <si>
    <t>(포항)FINEX연구개발추진반 설비강건화프로젝트 기계정비3과</t>
  </si>
  <si>
    <t>assumption@posco.co.kr</t>
  </si>
  <si>
    <t>2025-04-02 10:04:32</t>
  </si>
  <si>
    <t>Q4249797</t>
  </si>
  <si>
    <t>HYDRAULIC,[1.0400 PWR6-A00-0-M/HENGST],3FINEX GAS CLEAN HYD',OR EQUIVALENT</t>
  </si>
  <si>
    <t>1.0400 PWR6-A00-0-M</t>
  </si>
  <si>
    <t>3FINEX GAS CLEAN HYD'</t>
  </si>
  <si>
    <t>http://www.boschrexroth.com/ics/Vornavigation/Vornavi.cfm?Language=KO&amp;Region=none&amp;VHist=Start,p537431&amp;PageID=p537439</t>
  </si>
  <si>
    <t>element 이미지2_20251030155050991.jpg</t>
  </si>
  <si>
    <t>2025-11-03 16:11:31</t>
  </si>
  <si>
    <t>Q4249798</t>
  </si>
  <si>
    <t>HYDRAULIC,[2.0400 PWR6-A00-0-M/HENGST],FOR 3FINEX GAS CLEAN HYD',OR EQUIVALENT</t>
  </si>
  <si>
    <t>2.0400 PWR6-A00-0-M</t>
  </si>
  <si>
    <t>element 이미지2_20251030154522759.jpg</t>
  </si>
  <si>
    <t>2025-11-03 16:11:42</t>
  </si>
  <si>
    <t>Q4253862</t>
  </si>
  <si>
    <t>[SH-AB-AS-1130/SHC]_ID65xOD107x188L_40micron_FOR STS4 OIL TANK AIR BREATHER</t>
  </si>
  <si>
    <t>SH-AB-AS-1130</t>
  </si>
  <si>
    <t>SHC</t>
  </si>
  <si>
    <t xml:space="preserve">FOR STS4 Oil Tank Air Breather </t>
  </si>
  <si>
    <t>http://www.se-jin.co.kr/P-BREATHER%20FILTER/P-FILLER%20BREATHER%20FILTER-SH-AB-AS.htm</t>
  </si>
  <si>
    <t>sh-ab-1130_20230329111448160.jpg</t>
  </si>
  <si>
    <t>정명수</t>
  </si>
  <si>
    <t>(포항)스테인리스제강부 스테인리스제강정비과</t>
  </si>
  <si>
    <t>이재문</t>
  </si>
  <si>
    <t>jm0802@posco.co.kr</t>
  </si>
  <si>
    <t>2023-03-30 15:03:35</t>
  </si>
  <si>
    <t>Q4255635</t>
  </si>
  <si>
    <t>[1300 R 010 SN/HYDAC],10micron,GLASS FIBRE,20bar,RETURN FILTER ELEMENT</t>
  </si>
  <si>
    <t>1300 R 010 SN</t>
  </si>
  <si>
    <t>fliter_element Cat_20250612103211017.pdf</t>
  </si>
  <si>
    <t>fliter_element Cat_20150423163532569.pdf</t>
  </si>
  <si>
    <t>Filter Element Hydac_20250612104037979.JPG</t>
  </si>
  <si>
    <t>2025-06-19 15:06:07</t>
  </si>
  <si>
    <t>Q4256411</t>
  </si>
  <si>
    <t>HYDRAULIC,[HC9800FRS4Z/PALL],12micron,GLASS FIBER,FOR K2H DC1,2 MANDREL,OR EQUIVALENT</t>
  </si>
  <si>
    <t>HC9800FRS4Z</t>
  </si>
  <si>
    <t xml:space="preserve">FOR K2H DC1,2 MANDREL </t>
  </si>
  <si>
    <t>http://www.pall.com/ps/PDFGenerator?URL=http://www.pall.com/main/Industrial-Manufacturing/printpdf.page%3Flid=gri78lzc%26country=KR%26industry=Industrial-Manufacturing</t>
  </si>
  <si>
    <t>HC9800_20251020110810713.jpg</t>
  </si>
  <si>
    <t>(광양)열연부 열연정비과</t>
  </si>
  <si>
    <t>noblesse11@posco.co.kr</t>
  </si>
  <si>
    <t>윤도영</t>
  </si>
  <si>
    <t>demu12@posco.co.kr</t>
  </si>
  <si>
    <t>2025-10-21 13:10:21</t>
  </si>
  <si>
    <t>Q4263920</t>
  </si>
  <si>
    <t>HYDRAULIC,[HC9601FHP16Z/PALL],FOR 5CGL LASER WELDER,OR EQUIVALENT</t>
  </si>
  <si>
    <t>HC9601FHP16Z</t>
  </si>
  <si>
    <t>FOR 5CGL LASER WELDER</t>
  </si>
  <si>
    <t>5CGL Laswe Welder MIEBACH 유압 Filter(pall) Element PDFGenerator_20150706134224483.pdf</t>
  </si>
  <si>
    <t>www.pall.com/contaminationcontrol</t>
  </si>
  <si>
    <t>FILTER_20260114141937554.jpg</t>
  </si>
  <si>
    <t>김용업</t>
  </si>
  <si>
    <t>2026-01-19 11:01:33</t>
  </si>
  <si>
    <t>FOR AIR DRYER</t>
  </si>
  <si>
    <t>Q4268241</t>
  </si>
  <si>
    <t>HYDRAULIC,[1.1000 PWR10-A00-0-M/HENGST],FOR IDSMP VESSEL EXCHANGE CAR</t>
  </si>
  <si>
    <t>1.1000 PWR10-A00-0-M</t>
  </si>
  <si>
    <t>FOR IDSMP VESSEL EXCHANGE CAR</t>
  </si>
  <si>
    <t>10TEN_re51424_2011-06 (Return Filter)_20150812120707392.pdf</t>
  </si>
  <si>
    <t>Q4268241_20230717161356291.jpg</t>
  </si>
  <si>
    <t>YOHAN SEPTIAN MAULANA</t>
  </si>
  <si>
    <t>Steelmaking Maintenance Team</t>
  </si>
  <si>
    <t>A.A. OKKY MAHENDRA</t>
  </si>
  <si>
    <t>2023-07-31 13:07:26</t>
  </si>
  <si>
    <t>Q4289393</t>
  </si>
  <si>
    <t>HYDRAULIC,[SJ-17-EL-100A-100WBE-DS/SHC],100mesh,SUS304,FOR K4H FM F3,F4,F5 BACK UP ROLL LUBRICTION SYSTEM,OR EQUIVALENT</t>
  </si>
  <si>
    <t>SJ-17-EL-100A-100WBE-DS</t>
  </si>
  <si>
    <t>FOR K4H FM F3,F4,F5 BACK UP ROLL LUBRICTION SYSTEM</t>
  </si>
  <si>
    <t>http://www.se-jin.co.kr/P-LINE%20FILTER/P-LINE%20FILTER-SJ17.htm</t>
  </si>
  <si>
    <t>SJ17_20250724135108183.jpg</t>
  </si>
  <si>
    <t>서성준</t>
  </si>
  <si>
    <t>jun2000@posco.co.kr</t>
  </si>
  <si>
    <t>2025-07-25 15:07:19</t>
  </si>
  <si>
    <t xml:space="preserve">결재 문서 해당 Model 없어 요청자 확인시 누락확인 OK(서성준 님) 확인후 승인 </t>
  </si>
  <si>
    <t>Q4289395</t>
  </si>
  <si>
    <t>HYDRAULIC,[SJ-17-EL-125A-100WBE-DS/SHC],100mesh,SUS304,FOR K4H FM F6,F7 BACK UP ROLL LUBRICTION SYSTEM,OR EQUIVALENT</t>
  </si>
  <si>
    <t>SJ-17-EL-125A-100WBE-DS</t>
  </si>
  <si>
    <t>FOR K4H FM F6,F7 BACK UP ROLL LUBRICTION SYSTEM</t>
  </si>
  <si>
    <t>SJ17_20250724141639673.jpg</t>
  </si>
  <si>
    <t>2025-07-30 11:07:54</t>
  </si>
  <si>
    <t>Q4289876</t>
  </si>
  <si>
    <t>HYDRAULIC,[0005L003P(P/N:00309450)/HYDAC],3micron,CELLULOSE PAPER</t>
  </si>
  <si>
    <t>0005L003P(P/N:00309450)</t>
  </si>
  <si>
    <t>https://store.livhaven.com/309450-hydac-filter-element-0005l003p</t>
  </si>
  <si>
    <t>0005L003P_20230519082204176.png</t>
  </si>
  <si>
    <t>김영식</t>
  </si>
  <si>
    <t>권오찬</t>
  </si>
  <si>
    <t>kochan@posco.co.kr</t>
  </si>
  <si>
    <t>2023-05-22 13:05:43</t>
  </si>
  <si>
    <t>다운로드 자료 마지막 페이지(134 page) Replace Element 내용 참조</t>
  </si>
  <si>
    <t>Q4292545</t>
  </si>
  <si>
    <t>[P/N:8301A-0024A/HANSHIN AIR COMPRESSOR]_20micron,MICRO GLASS_USE FOR AIR COMPRESSOR</t>
  </si>
  <si>
    <t>P/N:8301A-0024A</t>
  </si>
  <si>
    <t>HANSHIN AIR COMPRESSOR</t>
  </si>
  <si>
    <t>USE FOR AIR COMPRESSOR</t>
  </si>
  <si>
    <t>Oil Filters KOBELCO_20160324101735257.pdf</t>
  </si>
  <si>
    <t>한신필터_20230512164045403.jpg</t>
  </si>
  <si>
    <t>Outsourcing Management Team</t>
  </si>
  <si>
    <t>NGUYỄN VĂN THẢO</t>
  </si>
  <si>
    <t>Utility Operation Section</t>
  </si>
  <si>
    <t>nv.thao@posco.net</t>
  </si>
  <si>
    <t>2023-05-15 13:05:21</t>
  </si>
  <si>
    <t>Q4294742</t>
  </si>
  <si>
    <t>MEMBRANE PLATE,[ODM-K-M1200-Z-4-32-37/TAEYOUNG],1220WX1260H,POLYPROPYLENE,OR EQUIVALENT</t>
  </si>
  <si>
    <t>ODM-K-M1200-Z-4-32-37</t>
  </si>
  <si>
    <t>TAEYOUNG</t>
  </si>
  <si>
    <t>http://www.tae-young.com/kr/?sub=1459739983</t>
  </si>
  <si>
    <t>MEMBRANE  PLATE_20220127113853419.jpg</t>
  </si>
  <si>
    <t>박춘규</t>
  </si>
  <si>
    <t>(포항)STS압연부 조업개선과</t>
  </si>
  <si>
    <t>임현석</t>
  </si>
  <si>
    <t>(포항)STS압연부 소둔산세공장</t>
  </si>
  <si>
    <t>messi@posco.co.kr</t>
  </si>
  <si>
    <t>2022-01-27 11:01:31</t>
  </si>
  <si>
    <t>Q4295426</t>
  </si>
  <si>
    <t>OIL,HYDRAULIC,[UE210AP13H/PALL],3micron,INORGANIC FIBER,210kg/cm2,265L/MIN,FOR CCP ROLL SHOP HYDRAULIC UNIT,OR EQUIVALENT</t>
  </si>
  <si>
    <t>UE210AP13H</t>
  </si>
  <si>
    <t>FOR CCP ROLL SHOP HYDRAULIC UNIT</t>
  </si>
  <si>
    <t>UE210AP13Z(필터엘레멘트)_20160407223025979.pdf</t>
  </si>
  <si>
    <t>http://www.pall.com/pdfs/Industrial-Manufacturing/M&amp;EUR210EN.pdf</t>
  </si>
  <si>
    <t>UE210Ap Filter_20251020110113277.png</t>
  </si>
  <si>
    <t>김태동</t>
  </si>
  <si>
    <t>(광양)선강설비그룹 연주기수리과</t>
  </si>
  <si>
    <t>정상훈</t>
  </si>
  <si>
    <t>shjung92@posco.co.kr</t>
  </si>
  <si>
    <t>2025-10-20 15:10:10</t>
  </si>
  <si>
    <t>Q4295473</t>
  </si>
  <si>
    <t>OIL,HYDRAULIC,[UE310AP20H/PALL],3micron,INORGANIC FIBER,760L/MIN,FOR KCCP ROLL SHOP,OR EQUIVALENT</t>
  </si>
  <si>
    <t>UE310AP20H</t>
  </si>
  <si>
    <t>FOR KCCP ROLL SHOP</t>
  </si>
  <si>
    <t>160408_광)연주기수리과_특정 사양품 신규 등록 품의서 Hydraulic Filter_20160409151448805.docx</t>
  </si>
  <si>
    <t>UE310AP20Z등록사양카달로그_20160409151620189.pdf</t>
  </si>
  <si>
    <t>http://www.pall.co.kr/main/search-kr.page?keyword=hnp022</t>
  </si>
  <si>
    <t>Q4295473_20251124090136684.jpg</t>
  </si>
  <si>
    <t>정현</t>
  </si>
  <si>
    <t>hyui@posco.co.kr</t>
  </si>
  <si>
    <t>2025-11-25 10:11:10</t>
  </si>
  <si>
    <t>Q4298075</t>
  </si>
  <si>
    <t>[SMBB-80-S-L-10-O-C-S080-O/STAUFF]_ID50xOD80x133L_10micron,AIR,0.45m3/min_FOR K3SMP POS-LEAD SKIMMER EQUIPMENT HYDRAUL UNIT</t>
  </si>
  <si>
    <t>SMBB-80-S-L-10-O-C-S080-O</t>
  </si>
  <si>
    <t>STAUFF</t>
  </si>
  <si>
    <t xml:space="preserve">FOR K3SMP POS-LEAD SKIMMER EQUIPMENT HYDRAUL UNIT </t>
  </si>
  <si>
    <t>http://www.oilsolutions.com.au/downloads/FillerBreathers.pdf</t>
  </si>
  <si>
    <t>Air Breather(SES3)_20250909102223817.jpg</t>
  </si>
  <si>
    <t>유재철</t>
  </si>
  <si>
    <t>김명운</t>
  </si>
  <si>
    <t>dotori90@posco.co.kr</t>
  </si>
  <si>
    <t>2025-09-18 13:09:54</t>
  </si>
  <si>
    <t>Q4300025</t>
  </si>
  <si>
    <t>OIL,HYDRAULIC,[UE310AN40H/PALL],7micron,GLASS PAPER,420bar,760L/MIN,FOR BTM #3 R/F HYDRAULIC FILTER UNIT</t>
  </si>
  <si>
    <t>UE310AN40H</t>
  </si>
  <si>
    <t>FOR BTM #3 R/F Hydraulic Filter Unit</t>
  </si>
  <si>
    <t>UE310_20160519164122567.pdf</t>
  </si>
  <si>
    <t>http://www.pall.com/main/industrial-manufacturing/product.page?lid=ijnbseuq</t>
  </si>
  <si>
    <t>UE310_20231020085214761.png</t>
  </si>
  <si>
    <t>박영걸</t>
  </si>
  <si>
    <t>(포항)선재부 선재정비과</t>
  </si>
  <si>
    <t>2023-10-24 15:10:21</t>
  </si>
  <si>
    <t>Q4307082</t>
  </si>
  <si>
    <t>AIR,[AP-1500/DUCLEAN]xOD145x75Wx800L,MEMBRANE/POLY-PROPYLENE,24EA/1SET,72M2,IRON OXIDE BAG FILTER,OR EQUIVALENT</t>
  </si>
  <si>
    <t>AP-1500</t>
  </si>
  <si>
    <t>DUCLEAN</t>
  </si>
  <si>
    <t>24EA/1SET,72M2</t>
  </si>
  <si>
    <t>IRON OXIDE BAG FILTER</t>
  </si>
  <si>
    <t>http://www.chca.co.kr/main/dustcollector/view.php?key=JTI1MjUzRGtUTQ==</t>
  </si>
  <si>
    <t>element_20251002134621355.png</t>
  </si>
  <si>
    <t>지성환</t>
  </si>
  <si>
    <t>도급자재_EG테크</t>
  </si>
  <si>
    <t>윤행균</t>
  </si>
  <si>
    <t>(광양)냉연부 조업개선과</t>
  </si>
  <si>
    <t>2025-10-15 07:10:33</t>
  </si>
  <si>
    <t>Q4308518</t>
  </si>
  <si>
    <t>[DI6000(CAT NO:50155455)/THERMO FISHER SCIENTIFIC]x240Dx1155L,6000L AT 10' TDS_10bar_MIXED-BED ION EXCHANGE CARTRIDGE</t>
  </si>
  <si>
    <t>DI6000(CAT NO:50155455)</t>
  </si>
  <si>
    <t>THERMO FISHER SCIENTIFIC</t>
  </si>
  <si>
    <t>MIXED-BED ION EXCHANGE CARTRIDGE</t>
  </si>
  <si>
    <t>Exchange_20160623175545461.pdf</t>
  </si>
  <si>
    <t>https://www.thermofisher.cn/order/catalog/product/50155455?SID=srch-hj-50155455</t>
  </si>
  <si>
    <t>x_20230129103859851.jpg</t>
  </si>
  <si>
    <t>张志良</t>
  </si>
  <si>
    <t>电气设备科</t>
  </si>
  <si>
    <t>tianshi521wuliao@posco.net</t>
  </si>
  <si>
    <t>2023-01-31 14:01:18</t>
  </si>
  <si>
    <t>Q4310792</t>
  </si>
  <si>
    <t>HYDRAULIC,[0660 R 005 ON/HYDAC],5micron,OPTIMICRON</t>
  </si>
  <si>
    <t>0660 R 005 ON</t>
  </si>
  <si>
    <t>E7224-1-04-15_ON-Katalogversion_20160715165419574.pdf</t>
  </si>
  <si>
    <t>http://www.hydac.com/de-en/products/filtration-and-fluid-conditioning/hydraulic-and-lubrication-filter/filter-elements.html</t>
  </si>
  <si>
    <t>0660 R 005 ON_20221123183109162.png</t>
  </si>
  <si>
    <t>NUTTAPONG NUCHPRAYOON</t>
  </si>
  <si>
    <t>Maintenance Dept.</t>
  </si>
  <si>
    <t>2022-11-24 08:11:34</t>
  </si>
  <si>
    <t>Q4313262</t>
  </si>
  <si>
    <t>[AIR PULSE[HYC-200-10]/HANYANGCSI]x1000Lx75W_POLYESTER_ID160XOD200,OR EQUIVALENT</t>
  </si>
  <si>
    <t>AIR PULSE[HYC-200-10]</t>
  </si>
  <si>
    <t>HANYANGCSI</t>
  </si>
  <si>
    <t>ID160XOD200</t>
  </si>
  <si>
    <t>http://www.hanyangcsi.co.kr/top_hyc.htm</t>
  </si>
  <si>
    <t>Q4313262_20221115101456060.jpg</t>
  </si>
  <si>
    <t>김선만</t>
  </si>
  <si>
    <t>(광양)설비기술부 중앙수리과</t>
  </si>
  <si>
    <t>sm8156@posco.co.kr</t>
  </si>
  <si>
    <t>김병규</t>
  </si>
  <si>
    <t>2022-11-15 10:11:33</t>
  </si>
  <si>
    <t>Q4313934</t>
  </si>
  <si>
    <t>[AF50-F10BD-D/SMC],1MPa,5micron,G1",FOR FTP - SMP</t>
  </si>
  <si>
    <t>AF50-F10BD-D</t>
  </si>
  <si>
    <t>G1"</t>
  </si>
  <si>
    <t>FOR FTP - SMP</t>
  </si>
  <si>
    <t>AIR FILTER AF50-F10BD-NiL_20160727131001419.pdf</t>
  </si>
  <si>
    <t>AF50-F10BD-D_20250110170502974.GIF</t>
  </si>
  <si>
    <t>Lê Quang Phi</t>
  </si>
  <si>
    <t>Equipment &amp; Environment</t>
  </si>
  <si>
    <t>lephi86@posco-ssvina.com</t>
  </si>
  <si>
    <t>2025-01-14 09:01:11</t>
  </si>
  <si>
    <t>Q4314548</t>
  </si>
  <si>
    <t>[AF40-F04BD-D/SMC],5micron,1MPa,G1/2",LUBRICATE AIR LINE - SMP</t>
  </si>
  <si>
    <t>AF40-F04BD-D</t>
  </si>
  <si>
    <t>G1/2"</t>
  </si>
  <si>
    <t>LUBRICATE AIR LINE - SMP</t>
  </si>
  <si>
    <t>AF40-F04 3PAGE_20160729132246666.pdf</t>
  </si>
  <si>
    <t>AF40-F04BD-D_20250110170059682.GIF</t>
  </si>
  <si>
    <t>2025-01-20 14:01:18</t>
  </si>
  <si>
    <t>Q4317754</t>
  </si>
  <si>
    <t>[A303316005P(FOR MICOS150)/YUJIN],MICOS150 60HZ,25.8M3/MIN,9BAR,150KW(200HP),FOR 5COKE PROVEN AIN COMPRESSOR,OR EQUIVALENT</t>
  </si>
  <si>
    <t>A303316005P(FOR MICOS150)</t>
  </si>
  <si>
    <t>YUJIN</t>
  </si>
  <si>
    <t>MICOS150 60HZ,25.8M3/MIN,9BAR,150KW(200HP)</t>
  </si>
  <si>
    <t>FOR 5COKE PROVEN AIN COMPRESSOR</t>
  </si>
  <si>
    <t>30331610P_20160829111017329.jpg</t>
  </si>
  <si>
    <t>http://www.shinwoocnd.com/?r=home&amp;m=upload&amp;a=download&amp;uid=103</t>
  </si>
  <si>
    <t>Oil Separator 사양 수정_20221116164519324.png</t>
  </si>
  <si>
    <t>심승재</t>
  </si>
  <si>
    <t>(광양)화성부 화성정비과</t>
  </si>
  <si>
    <t>정의용</t>
  </si>
  <si>
    <t>2022-11-24 11:11:14</t>
  </si>
  <si>
    <t>Q4320608</t>
  </si>
  <si>
    <t>[3014006594/HORIBA]+MIST CATCHER(MC-050A)xOD23x193L,FOR CEMS GAS ANALYZER</t>
  </si>
  <si>
    <t>3014006594</t>
  </si>
  <si>
    <t>MIST CATCHER(MC-050A)</t>
  </si>
  <si>
    <t>FOR CEMS GAS ANALYZER</t>
  </si>
  <si>
    <t>SPARE PART HORIBA Specification_20160913110227472.pdf</t>
  </si>
  <si>
    <t>https://www.horiba.com/fileadmin/uploads/Process-Environmental/Documents/Downloads_Catalog/Catalog_Combustion/ENDA-5000_brochure_en_HRE2406C.pdf</t>
  </si>
  <si>
    <t>WhatsApp-Image-2023-07-03-at-08.20.15-_1__20230703161501636.jpg</t>
  </si>
  <si>
    <t>WEBI ANDRIANSAH</t>
  </si>
  <si>
    <t>Environment Management Team</t>
  </si>
  <si>
    <t>2023-07-10 08:07:09</t>
  </si>
  <si>
    <t>Q4320799</t>
  </si>
  <si>
    <t>AIR,[HFD 750/SPX],0.01micron,80A FILTER,FOR AIR DRYER,OR EQUIVALENT</t>
  </si>
  <si>
    <t>HFD 750</t>
  </si>
  <si>
    <t>SPX</t>
  </si>
  <si>
    <t>80A FILTER</t>
  </si>
  <si>
    <t>http://www.spxflowkorea.com/sub.php?code=JF-Series</t>
  </si>
  <si>
    <t>HFD-1_20230626111959473.jpg</t>
  </si>
  <si>
    <t>김시경</t>
  </si>
  <si>
    <t>도급자재_예코텍㈜</t>
  </si>
  <si>
    <t>강문호</t>
  </si>
  <si>
    <t>2023-06-26 14:06:31</t>
  </si>
  <si>
    <t>Q4325964</t>
  </si>
  <si>
    <t>WATER,[KWSB1-150-70-300-340/KOREA ENVI-TECH]+SLOT TUBE TYPE, SCREEN TYPE (IN TO OUT),ID70xOD76.3x340L,150micron,STS304,FOR LIME(K) S-815 AUTO STRANER UNIT (FOR AIR COMPRESSOR)</t>
  </si>
  <si>
    <t>KWSB1-150-70-300-340</t>
  </si>
  <si>
    <t>KOREA ENVI-TECH</t>
  </si>
  <si>
    <t>SLOT TUBE TYPE, SCREEN TYPE (IN TO OUT)</t>
  </si>
  <si>
    <t>FOR LIME(K) S-815 AUTO STRANER UNIT (FOR AIR COMPRESSOR)</t>
  </si>
  <si>
    <t>https://www.ket1999.com/product/detail037.html?product_no=25&amp;cate_no=26&amp;display_group=1</t>
  </si>
  <si>
    <t>KWSB1-150-70-300-340 Image_20241114104709559.JPG</t>
  </si>
  <si>
    <t>곽 영도</t>
  </si>
  <si>
    <t>광)LIME공장</t>
  </si>
  <si>
    <t>forward26@poscofuturem.com</t>
  </si>
  <si>
    <t>김 현철</t>
  </si>
  <si>
    <t>ferrari1985@poscofuturem.com</t>
  </si>
  <si>
    <t>2024-11-15 10:11:12</t>
  </si>
  <si>
    <t>Q4326434</t>
  </si>
  <si>
    <t>[AP-500/DUCLEAN],ID75xOD145x500L,POLYESTER,22.5M2, 2M/MIN,FOR 3PM OFF-LINE PUNCHER</t>
  </si>
  <si>
    <t>AP-500</t>
  </si>
  <si>
    <t>22.5M2, 2M/MIN</t>
  </si>
  <si>
    <t>FOR 3PM OFF-LINE PUNCHER</t>
  </si>
  <si>
    <t>http://www.chca.co.kr/?r=duclean&amp;c=2&amp;sort=adddata&amp;uid=1</t>
  </si>
  <si>
    <t>160927_B_후판제품 3후판Off_Line Puncher Filter물품등록_20241224162916474.jpg</t>
  </si>
  <si>
    <t>서광수</t>
  </si>
  <si>
    <t>(포항)후판부 조업개선과</t>
  </si>
  <si>
    <t>정숙종</t>
  </si>
  <si>
    <t>(포항)후판부 후판제품공장</t>
  </si>
  <si>
    <t>jking82@posco.co.kr</t>
  </si>
  <si>
    <t>2024-12-27 11:12:13</t>
  </si>
  <si>
    <t>Q4344194</t>
  </si>
  <si>
    <t>AIR,[CGDD780/GUARD FILTER],ID66.5xOD86x607L,NBR,FOR 1624 1002 03</t>
  </si>
  <si>
    <t>CGDD780</t>
  </si>
  <si>
    <t>GUARD FILTER</t>
  </si>
  <si>
    <t>FOR 1624 1002 03</t>
  </si>
  <si>
    <t>apf173749 POSCO_20170125175843779.pdf</t>
  </si>
  <si>
    <t>GUARD FİLTER_20220316011823487.jpg</t>
  </si>
  <si>
    <t>(MEC) TLL-STL-SPM-CGPL-PW</t>
  </si>
  <si>
    <t>2022-03-17 07:03:08</t>
  </si>
  <si>
    <t>Q4345957</t>
  </si>
  <si>
    <t>HYDRAULIC,[HC8304FRZ16Z/PALL],1micron,GLASS PAPER,16 INCH,FOR MOVING MACHINE FILTER ELEMENT,OR EQUIVALENT</t>
  </si>
  <si>
    <t>HC8304FRZ16Z</t>
  </si>
  <si>
    <t>16 INCH</t>
  </si>
  <si>
    <t>FOR MOVING MACHINE FILTER ELEMENT</t>
  </si>
  <si>
    <t>http://www.pall.com/ps/PDFGenerator?URL=http://www.pall.com/main/Industrial-Manufacturing/printpdf.page%3Flid=gri78m10%26industry=Industrial-Manufacturing</t>
  </si>
  <si>
    <t>paper_20250217134718477.png</t>
  </si>
  <si>
    <t>(광양)화성부 화성정비섹션</t>
  </si>
  <si>
    <t>조장호</t>
  </si>
  <si>
    <t>cjh3317@posco.co.kr</t>
  </si>
  <si>
    <t>2025-02-19 10:02:34</t>
  </si>
  <si>
    <t>Q4346068</t>
  </si>
  <si>
    <t>HYDRAULIC,[SJ-17-EL-150A-100WBE-DS/SHC],100mesh,SUS304,FOR K4H FL1 MAIN LUBRICATION SYSTEM,OR EQUIVALENT</t>
  </si>
  <si>
    <t>SJ-17-EL-150A-100WBE-DS</t>
  </si>
  <si>
    <t>FOR K4H FL1 MAIN LUBRICATION SYSTEM</t>
  </si>
  <si>
    <t>SJ-17_20250724141809618.jpg</t>
  </si>
  <si>
    <t>(광양)열연부 열연정비2섹션</t>
  </si>
  <si>
    <t>이세천</t>
  </si>
  <si>
    <t>secheon9009@posco.co.kr</t>
  </si>
  <si>
    <t>2025-07-30 17:07:58</t>
  </si>
  <si>
    <t>Q4346069</t>
  </si>
  <si>
    <t>HYDRAULIC,[SJ-17-EL-200A-100WBE-DS/SHC],100mesh,SUS304,FOR K4H FL2~3 MAIN LUBRICATION SYSTEM,OR EQUIVALENT</t>
  </si>
  <si>
    <t>SJ-17-EL-200A-100WBE-DS</t>
  </si>
  <si>
    <t>FOR K4H FL2~3 MAIN LUBRICATION SYSTEM</t>
  </si>
  <si>
    <t>SJ-17_20250724135412530.jpg</t>
  </si>
  <si>
    <t>2025-07-25 15:07:32</t>
  </si>
  <si>
    <t>Q4353630</t>
  </si>
  <si>
    <t>WATER,[SGF-6000/WATERTEC],P.P,250M3/H,OR EQUIVALENT</t>
  </si>
  <si>
    <t>SGF-6000</t>
  </si>
  <si>
    <t>WATERTEC</t>
  </si>
  <si>
    <t>섬유여재 카다로그_젠폴_20170407113326988.pdf</t>
  </si>
  <si>
    <t>http://www.watertech59.com/</t>
  </si>
  <si>
    <t>섬유여재1_20230213092501887.jpg</t>
  </si>
  <si>
    <t>섬유여재2_20230213092501926.jpg</t>
  </si>
  <si>
    <t>홍성원</t>
  </si>
  <si>
    <t>(포항)에너지부 동력섹션</t>
  </si>
  <si>
    <t>hsw51@posco.co.kr</t>
  </si>
  <si>
    <t>2023-02-17 13:02:29</t>
  </si>
  <si>
    <t>향후 신청시에는 신청사양을 좀 더 세밀하게 입력하여 주시길 바랍니다. 감사합니다.(2017.4.11)</t>
  </si>
  <si>
    <t>Q4354700</t>
  </si>
  <si>
    <t>FILTER ELEMENT,[P-G-UL-08A-10UW/TAISEIKOGYO],D62.2X155.3L,SUS,10micron,0~3.5MPA</t>
  </si>
  <si>
    <t>P-G-UL-08A-10UW</t>
  </si>
  <si>
    <t>TAISEIKOGYO</t>
  </si>
  <si>
    <t>0~3.5MPA</t>
  </si>
  <si>
    <t>CIP medium tank filter set규격_20170417131744808.jpg</t>
  </si>
  <si>
    <t>http://www.taiseikogyo.co.jp/en/product/filter/inline/ul.html</t>
  </si>
  <si>
    <t>hydraulic-oil-filter-with-replace-p-g_20251203134841594.jpg_350x350_20251203134841594.jpg</t>
  </si>
  <si>
    <t>김 병균</t>
  </si>
  <si>
    <t>UTILITY반</t>
  </si>
  <si>
    <t>김 봉직</t>
  </si>
  <si>
    <t>불소성공장</t>
  </si>
  <si>
    <t>kbj@poscofuturem.com</t>
  </si>
  <si>
    <t>2025-12-04 16:12:11</t>
  </si>
  <si>
    <t>Q4358144</t>
  </si>
  <si>
    <t>[DXE-20A-320/DHY],FOR DIESEL LOCOMOTIVE</t>
  </si>
  <si>
    <t>dxe-20a-320</t>
  </si>
  <si>
    <t>DHY</t>
  </si>
  <si>
    <t>FOR DIESEL LOCOMOTIVE</t>
  </si>
  <si>
    <t>http://www.dhy.co.kr/filter.html</t>
  </si>
  <si>
    <t>element_05_20251014175139549.jpg</t>
  </si>
  <si>
    <t>이강현</t>
  </si>
  <si>
    <t>도급자재_(주)코렘</t>
  </si>
  <si>
    <t>조대용</t>
  </si>
  <si>
    <t>(광양)생산기술부 구내운송과</t>
  </si>
  <si>
    <t>dyd7331@posco.co.kr</t>
  </si>
  <si>
    <t>2025-10-15 09:10:41</t>
  </si>
  <si>
    <t>Q4358145</t>
  </si>
  <si>
    <t>[DXE-20A-310/DHY],FOR DIESEL LOCOMOTIVE</t>
  </si>
  <si>
    <t>dxe-20a-310</t>
  </si>
  <si>
    <t>DXE-20A-310 DHY_20251016120803809.PNG</t>
  </si>
  <si>
    <t>2025-10-17 13:10:14</t>
  </si>
  <si>
    <t>Q4377421</t>
  </si>
  <si>
    <t>POSCO-PGDS OU</t>
  </si>
  <si>
    <t>[DLF-12/DONG HWA IND]+DLF-1 1/2"xOD110x250Lx160W,100micron,7kg/cm2,FOR CGL CPC HYDRAULIC SYSTEM</t>
  </si>
  <si>
    <t>DLF-12</t>
  </si>
  <si>
    <t>DONG HWA IND</t>
  </si>
  <si>
    <t>DLF-1 1/2"</t>
  </si>
  <si>
    <t>FOR CGL CPC HYDRAULIC SYSTEM</t>
  </si>
  <si>
    <t>20170829_111356_20170829121805567.jpg</t>
  </si>
  <si>
    <t>DLF-12_20250612160644531.jpg</t>
  </si>
  <si>
    <t>吴观华</t>
  </si>
  <si>
    <t>机械设备TEAM</t>
  </si>
  <si>
    <t>gc200020@posco.net</t>
  </si>
  <si>
    <t>张志鹏</t>
  </si>
  <si>
    <t>设备技术TEAM</t>
  </si>
  <si>
    <t>2025-06-12 17:06:59</t>
  </si>
  <si>
    <t>Q4382088</t>
  </si>
  <si>
    <t>HYDRAULIC,[PI 5111 PS 6/FILTRATION GROUP],ID25.4xOD47x247L,PS 6,110L/MIN,200</t>
  </si>
  <si>
    <t>PI 5111 PS 6</t>
  </si>
  <si>
    <t>FILTRATION GROUP</t>
  </si>
  <si>
    <t>200</t>
  </si>
  <si>
    <t>http://www.mahle-aftermarket.com/eu/en/products/filters/</t>
  </si>
  <si>
    <t>20251111081950097.jpeg</t>
  </si>
  <si>
    <t>설비관리팀</t>
  </si>
  <si>
    <t>2025-11-12 08:11:44</t>
  </si>
  <si>
    <t>Q4382783</t>
  </si>
  <si>
    <t>HYDRAULIC,[PI 23040 RN PS 10/FILTRATION GROUP],ID71.5xOD129.2x249L,PS 10,200</t>
  </si>
  <si>
    <t>PI 23040 RN PS 10</t>
  </si>
  <si>
    <t>MAHLE FILTER_20251114145622399.jpg</t>
  </si>
  <si>
    <t>2025-11-17 14:11:24</t>
  </si>
  <si>
    <t>Q4383637</t>
  </si>
  <si>
    <t>Machinery Common</t>
  </si>
  <si>
    <t>AIR PURIFIER,350Lx520Wx1750H,[IB-500BS/BEEX],AC 220V 50/60HZ 73W</t>
  </si>
  <si>
    <t>IB-500BS</t>
  </si>
  <si>
    <t>BEEX</t>
  </si>
  <si>
    <t>https://beex.com/ib_series/</t>
  </si>
  <si>
    <t>Air Purifier 사진_20231227113357419.png</t>
  </si>
  <si>
    <t>MOEHAMMAD AZWAR KHOMARUDIN</t>
  </si>
  <si>
    <t>Coke Plant</t>
  </si>
  <si>
    <t>m.azwar@krakatauposco.co.id</t>
  </si>
  <si>
    <t>2024-01-15 17:01:57</t>
  </si>
  <si>
    <t>Q4385702</t>
  </si>
  <si>
    <t>Spare Parts</t>
  </si>
  <si>
    <t>AIR,[CL-0980-H/G.A.TEC],ID68xOD92x724L,3micron,8.7kg/cm2,PRE-FILTER FOR AIR DRYER</t>
  </si>
  <si>
    <t>CL-0980-H</t>
  </si>
  <si>
    <t>G.A.TEC</t>
  </si>
  <si>
    <t>PRE-FILTER FOR AIR DRYER</t>
  </si>
  <si>
    <t>https://jf139.cafe24.com/</t>
  </si>
  <si>
    <t>01_20240611094019305.jpg</t>
  </si>
  <si>
    <t>Atthaphon Manomun</t>
  </si>
  <si>
    <t>atthaphon.ma@poscotcs.com</t>
  </si>
  <si>
    <t>PHONGSIRI AUGSORNPHANNA</t>
  </si>
  <si>
    <t>2024-06-12 09:06:36</t>
  </si>
  <si>
    <t xml:space="preserve">Spare Part registration. If you want to apply for a future purchase, please make sure that you attach a specific specification product declaration and a specific company URL (so that the application specification can be seen immediately) according to the change of the procurement division (J-&gt; L, etc.). Thank you._x000D_
_x000D_
Spare Part 등록건입니다. 향후 구매신청 시 조달구분 변경 (수정신청 시 J-&gt;L, 기타) 에 따른 특정사양품 품의서 및 신청사양의 카다로그, 특정사 URL(신청사양이 곧바로 보이도록)를 연결하시길 바랍니다. 감사합니다.(2017.11.16)_x000D_
</t>
  </si>
  <si>
    <t>Q4385703</t>
  </si>
  <si>
    <t>AIR,[K-0980EH-H/G.A.TEC],ID68xOD92x724L,1micron,8.7kg/cm2,AFTER FILTER FOR AIR DRYER</t>
  </si>
  <si>
    <t>K-0980EH-H</t>
  </si>
  <si>
    <t>AFTER FILTER FOR AIR DRYER</t>
  </si>
  <si>
    <t>5.2.6.2(2)_20240610182451125.JPG</t>
  </si>
  <si>
    <t>2024-06-11 08:06:27</t>
  </si>
  <si>
    <t>Q4389999</t>
  </si>
  <si>
    <t>HYDRAULIC,[P/N 60005389/LAEIS],ID60xOD95x400L,OIL PAPER,VACUUM OIL PRESS</t>
  </si>
  <si>
    <t>P/N 60005389</t>
  </si>
  <si>
    <t>LAEIS</t>
  </si>
  <si>
    <t>VACUUM OIL PRESS</t>
  </si>
  <si>
    <t>http://www.laeis.eu/Default.aspx?LN=en-US</t>
  </si>
  <si>
    <t>Q4389999_20240122153101720.JPG</t>
  </si>
  <si>
    <t>이 현규</t>
  </si>
  <si>
    <t>lhk@poscofuturem.com</t>
  </si>
  <si>
    <t>2024-01-23 13:01:00</t>
  </si>
  <si>
    <t>Q4392958</t>
  </si>
  <si>
    <t>HYDRAULIC,[P/N:UE310AZ13J/PALL],3micron,GLASS PAPER,FOR 30LPM HYDRAULIC FILTERING UNIT</t>
  </si>
  <si>
    <t>P/N:UE310AZ13J</t>
  </si>
  <si>
    <t>FOR 30LPM HYDRAULIC FILTERING UNIT</t>
  </si>
  <si>
    <t>UR310 Series Athalon Return Line Filters_20180108142908740.pdf</t>
  </si>
  <si>
    <t>FILTER ELEMENT_20240227075756197.jpg</t>
  </si>
  <si>
    <t>원종학</t>
  </si>
  <si>
    <t>(포항)설비기술부 중앙수리섹션</t>
  </si>
  <si>
    <t>2024-03-04 10:03:07</t>
  </si>
  <si>
    <t>Q4413051</t>
  </si>
  <si>
    <t>OIL,HYDRAULIC,[CH-57PLJ/CFS],ID88.9xOD152.4,0.5micron,CELLULOSE,368.3L,FOR 34 ST OIL PURIFIER PUMP(P-090~110-006)</t>
  </si>
  <si>
    <t>CH-57PLJ</t>
  </si>
  <si>
    <t>CFS</t>
  </si>
  <si>
    <t>368.3L</t>
  </si>
  <si>
    <t>FOR 34 ST OIL PURIFIER PUMP(P-090~110-006)</t>
  </si>
  <si>
    <t>FILTER ELEMENT(CH-57PLJ)_20180531091313420.pdf</t>
  </si>
  <si>
    <t>http://www.compressorfiltersupply.com/filterelement/CH-57PLJ/</t>
  </si>
  <si>
    <t>CH-57PLJ_20250218141739665.png</t>
  </si>
  <si>
    <t>함동훈</t>
  </si>
  <si>
    <t>2025-02-19 15:02:54</t>
  </si>
  <si>
    <t>Q4415702</t>
  </si>
  <si>
    <t>AIR,[CARTRIGDE FILTER/DM GREEN ZONE],ID100xOD200x500L,POLYESTER,FOR K3C LASER WELDER FUME FILTER(DCC-300),OR EQUIVALENT</t>
  </si>
  <si>
    <t>CARTRIGDE FILTER</t>
  </si>
  <si>
    <t>DM GREEN ZONE</t>
  </si>
  <si>
    <t>FOR K3C LASER WELDER FUME FILTER(DCC-300)</t>
  </si>
  <si>
    <t>http://이동식집진기.kr/data/cheditor4/1410/V83wmLLGuQaAOXLgf.png</t>
  </si>
  <si>
    <t>Filter_20250213085423347.jpg</t>
  </si>
  <si>
    <t>한재훈</t>
  </si>
  <si>
    <t>(광양)냉연부 3냉연공장</t>
  </si>
  <si>
    <t>jaehoonh@posco.co.kr</t>
  </si>
  <si>
    <t>김양섭</t>
  </si>
  <si>
    <t>2025-02-17 10:02:02</t>
  </si>
  <si>
    <t>Q4417397</t>
  </si>
  <si>
    <t>[PRE SUCTION FILTER ELEMENT/SA ENGINEERING]+P/N:T5110034x595Wx595Lx40T,10micron,AIR COMPRESSOR</t>
  </si>
  <si>
    <t>PRE SUCTION FILTER ELEMENT</t>
  </si>
  <si>
    <t>SA ENGINEERING</t>
  </si>
  <si>
    <t>P/N:T5110034</t>
  </si>
  <si>
    <t>AIR COMPRESSOR</t>
  </si>
  <si>
    <t>20180712093005909_20180712233110250.pdf</t>
  </si>
  <si>
    <t>DSCN3428_20231016134127552.JPG</t>
  </si>
  <si>
    <t>Rodríguez Angulo Orlando</t>
  </si>
  <si>
    <t>SEC. DE CONSTRUCCIÓN Y CIVIL</t>
  </si>
  <si>
    <t>orlando.rodriguez@posco.net</t>
  </si>
  <si>
    <t>2023-10-23 08:10:25</t>
  </si>
  <si>
    <t>In the future, please attach the specific URL (so that the application product is displayed immediately if possible). Thank you._x000D_
향후 신청 시에는 특정 사 URL(가능하면 신청제품이 곧바로 표시되도록)를 연결하시길 바랍니다. 감사합니다._x000D_
(2018.7.13)</t>
  </si>
  <si>
    <t>Q4417399</t>
  </si>
  <si>
    <t>[MAIN SUCTION FILTER ELEMENT/SA ENGINEERING]+P/N:T5110035x595Wx595Lx290T,2micron,AIR COMPRESSOR</t>
  </si>
  <si>
    <t>MAIN SUCTION FILTER ELEMENT</t>
  </si>
  <si>
    <t>P/N:T5110035</t>
  </si>
  <si>
    <t>20180712091822015_20180712233350521.pdf</t>
  </si>
  <si>
    <t>DSCN3462_20231016152924432.JPG</t>
  </si>
  <si>
    <t>2023-10-24 08:10:43</t>
  </si>
  <si>
    <t>Q4423088</t>
  </si>
  <si>
    <t>Tranceivers/Media Filters</t>
  </si>
  <si>
    <t>이정수</t>
  </si>
  <si>
    <t>LAN,RS-485,[SP-WLGW/MST],100mA,AC110-220V,MODBUS TCP,MODBUS RTU,WIRELESS,FOR K3H UPS ROOM TEMP,OR EQUIVALENT</t>
  </si>
  <si>
    <t>SP-WLGW</t>
  </si>
  <si>
    <t>MST</t>
  </si>
  <si>
    <t>MODBUS TCP,MODBUS RTU,WIRELESS</t>
  </si>
  <si>
    <t>FOR K3H UPS ROOM TEMP</t>
  </si>
  <si>
    <t>http://msti.co.kr/product/01_v/63/</t>
  </si>
  <si>
    <t>nc_20240730152051422.png</t>
  </si>
  <si>
    <t>선재권</t>
  </si>
  <si>
    <t>(포항)열연부 열연정비섹션</t>
  </si>
  <si>
    <t>sunjg79@posco.co.kr</t>
  </si>
  <si>
    <t>김정동</t>
  </si>
  <si>
    <t>kjdloveyou@posco.co.kr</t>
  </si>
  <si>
    <t>2024-09-25 08:09:48</t>
  </si>
  <si>
    <t>Q4425581</t>
  </si>
  <si>
    <t>HYDRAULIC,[FR16-020P/MASUDA],PACKING LINE</t>
  </si>
  <si>
    <t>FR16-020P</t>
  </si>
  <si>
    <t>MASUDA</t>
  </si>
  <si>
    <t>PACKING LINE</t>
  </si>
  <si>
    <t>http://www.e-masuda.co.jp/cover/guide/fr/fr.html</t>
  </si>
  <si>
    <t>Filter Element _20250821084638031.JPG</t>
  </si>
  <si>
    <t>제형모</t>
  </si>
  <si>
    <t>광)포장사업1부 정비팀</t>
  </si>
  <si>
    <t>je2698@sjpna.co.kr</t>
  </si>
  <si>
    <t>장한규</t>
  </si>
  <si>
    <t>gh0729@sjpna.co.kr</t>
  </si>
  <si>
    <t>2025-08-22 07:08:48</t>
  </si>
  <si>
    <t>향후 신청 시에는 사양입력을 좀 더 세밀하게 검토(예시Q4351256) 하여 주시길 바랍니다. 감사합니다.(2018.9.28)</t>
  </si>
  <si>
    <t>Q4430491</t>
  </si>
  <si>
    <t>HYDRAULIC,[I/N: 47726254001/INGERSOLL RAND],ID32.5xOD95x237L,FOR 2# AIR COMPRESSOR</t>
  </si>
  <si>
    <t>I/N: 47726254001</t>
  </si>
  <si>
    <t>INGERSOLL RAND</t>
  </si>
  <si>
    <t>FOR 2# AIR COMPRESSOR</t>
  </si>
  <si>
    <t>零件手册-S200-300-VSD(domestic) 24138471_C_watermarked_20181106124606795.pdf</t>
  </si>
  <si>
    <t>https://www.ingersollrand.com/zh-cn/air-compressor/parts-ac/maintenance</t>
  </si>
  <si>
    <t>IMG_8209_20250107110550247.jpg</t>
  </si>
  <si>
    <t>宋永生</t>
  </si>
  <si>
    <t>机械管理科</t>
  </si>
  <si>
    <t>sysqpss@posco.net</t>
  </si>
  <si>
    <t>2025-01-14 16:01:35</t>
  </si>
  <si>
    <t>In the future, please attach the specific URL (so that the application product is displayed immediately if possible). Thank you._x000D_
향후 신청 시에는 특정 사 URL(가능하면 신청제품이 곧바로 표시되도록)를 연결하시길 바랍니다. 감사합니다._x000D_
(2018.11.13)</t>
  </si>
  <si>
    <t>Q4441992</t>
  </si>
  <si>
    <t>INVERTER[BLCL-25-7 (P/N:3AXD50000621217)/ABB]+C183+C188 +V991,AC 3PHASE,0~680V,LCL-FILTER KIT,OR EQUIVALENT</t>
  </si>
  <si>
    <t>BLCL-25-7 (P/N:3AXD50000621217)</t>
  </si>
  <si>
    <t>ABB</t>
  </si>
  <si>
    <t>C183+C188 +V991</t>
  </si>
  <si>
    <t>LCL-FILTER KIT</t>
  </si>
  <si>
    <t>https://new.abb.com/products/3AXD50000621217/3axd50000621217</t>
  </si>
  <si>
    <t>Noise Filter BLCL-24-5 (3AUA0000163526)_20220905074612555.jpg</t>
  </si>
  <si>
    <t>안기영</t>
  </si>
  <si>
    <t>(광양)압연설비부 도금정비2섹션</t>
  </si>
  <si>
    <t>신형주</t>
  </si>
  <si>
    <t>shj3087@posco.co.kr</t>
  </si>
  <si>
    <t>2022-09-13 08:09:58</t>
  </si>
  <si>
    <t>Q4458718</t>
  </si>
  <si>
    <t>POSCO-QPSS OU</t>
  </si>
  <si>
    <t>[P/N:47701890001/INGERSOLL RAND],ID203xOD378x366L,FOR 2# AIR COMPRESSOR</t>
  </si>
  <si>
    <t>P/N:47701890001</t>
  </si>
  <si>
    <t>P80727-110822_20190814142858228.jpg</t>
  </si>
  <si>
    <t>timg_20230224142217296.jpg</t>
  </si>
  <si>
    <t>2023-03-02 08:03:01</t>
  </si>
  <si>
    <t>Q4461334</t>
  </si>
  <si>
    <t>Chemicals(General)</t>
  </si>
  <si>
    <t>[COATED CATALYST/RIST VENTURE]x1900Lx950W_450H,TIO2-V2O5-WO3-ZEOLITE,FOR KS/M SCR MODULE,OR EQUIVALENT</t>
  </si>
  <si>
    <t>COATED CATALYST</t>
  </si>
  <si>
    <t>RIST VENTURE</t>
  </si>
  <si>
    <t>450H,TIO2-V2O5-WO3-ZEOLITE</t>
  </si>
  <si>
    <t xml:space="preserve">FOR KS/M SCR MODULE </t>
  </si>
  <si>
    <t>190827_A2_광)제선소결_청정_저온 촉매 기술검토보고서_제올라이트_RIST_20190909181538260.pptx</t>
  </si>
  <si>
    <t>촉매1_20230519080614086.png</t>
  </si>
  <si>
    <t>(광양)제선부 조업안전섹션</t>
  </si>
  <si>
    <t>이강복</t>
  </si>
  <si>
    <t>yunbikkabi@posco.co.kr</t>
  </si>
  <si>
    <t>2023-05-19 08:05:30</t>
  </si>
  <si>
    <t>Q4465616</t>
  </si>
  <si>
    <t>HYDRAULIC,[0330-R-020-SN/HYDAC]</t>
  </si>
  <si>
    <t>0330-R-020-SN</t>
  </si>
  <si>
    <t>ON-ELEMENT_20191028112359370.pdf</t>
  </si>
  <si>
    <t>Element_20250422175451540.png</t>
  </si>
  <si>
    <t>0330R020BN3HC_20250422175451582.jpg</t>
  </si>
  <si>
    <t>2025-04-30 09:04:54</t>
  </si>
  <si>
    <t>Q4468019</t>
  </si>
  <si>
    <t>[MXA1210CBG2GG121/PARKER]_ID95x187L_10micron_ALUMINIUM LM24_OIL,10bar_ROLLSHOP</t>
  </si>
  <si>
    <t>MXA1210CBG2GG121</t>
  </si>
  <si>
    <t>ROLLSHOP</t>
  </si>
  <si>
    <t>Maxiflow_20191126163722272.pdf</t>
  </si>
  <si>
    <t>https://ph.parker.com/se/en/product/low-pressure-in-line-spin-on-filter-maxiflow-series/mxa1210cbg2gg121</t>
  </si>
  <si>
    <t>PARKER MXA1210CBG2GG121_20231211152451074.png</t>
  </si>
  <si>
    <t>KEREM FURUNCU</t>
  </si>
  <si>
    <t>ÖNLEYİCİ BAKIM</t>
  </si>
  <si>
    <t>2023-12-13 08:12:31</t>
  </si>
  <si>
    <t>Q4477637</t>
  </si>
  <si>
    <t>[EPEDAC600111/EPED],AIR FILTER FOR AIR CLEANER EPED-AC600,FOR PZSS LAB</t>
  </si>
  <si>
    <t>EPEDAC600111</t>
  </si>
  <si>
    <t>EPED</t>
  </si>
  <si>
    <t>AIR FILTER FOR AIR CLEANER EPED-AC600</t>
  </si>
  <si>
    <t>FOR PZSS LAB</t>
  </si>
  <si>
    <t>Air filter 2a.PNG</t>
  </si>
  <si>
    <t>20230118154013547.PNG</t>
  </si>
  <si>
    <t>黄伟</t>
  </si>
  <si>
    <t>实验分析科</t>
  </si>
  <si>
    <t>huangw@posco.net</t>
  </si>
  <si>
    <t>2023-01-30 08:01:14</t>
  </si>
  <si>
    <t>특정 자재 부품으로 채택함</t>
  </si>
  <si>
    <t>Q4486894</t>
  </si>
  <si>
    <t>ELECTRONIC[SN-E6H-CM/FINE SUNTRONIX],AC 1PHASE,AC 250V,6A</t>
  </si>
  <si>
    <t>SN-E6H-CM</t>
  </si>
  <si>
    <t>FINE SUNTRONIX</t>
  </si>
  <si>
    <t>IMG_20200602_154427_20200614222855091.jpg</t>
  </si>
  <si>
    <t>https://www.orientelec.co.kr/s2/view.php?bo_table=s2_1&amp;wr_id=224&amp;no=0</t>
  </si>
  <si>
    <t>IMG_20200602_154427_20250213101429149.jpg</t>
  </si>
  <si>
    <t>吴启菁</t>
  </si>
  <si>
    <t>热轧整备科</t>
  </si>
  <si>
    <t>wuqj@posco.net</t>
  </si>
  <si>
    <t>汤忠志</t>
  </si>
  <si>
    <t>tangzz@posco.net</t>
  </si>
  <si>
    <t>2025-02-13 11:02:05</t>
  </si>
  <si>
    <t>Q4493055</t>
  </si>
  <si>
    <t>[PART NO : 921999, 12AT-10C/PARKER]xOD95x148.84L_CANISTER FILTER_FOR BFWP,OR EQUIVALENT</t>
  </si>
  <si>
    <t xml:space="preserve">PART NO : 921999, 12AT-10C </t>
  </si>
  <si>
    <t xml:space="preserve">CANISTER FILTER </t>
  </si>
  <si>
    <t>FOR BFWP</t>
  </si>
  <si>
    <t>Parker_Filter Catalog_12AT_50AT_0900bf4b9fac2a37_559784_20200811140214007.pdf</t>
  </si>
  <si>
    <t xml:space="preserve">https://www.parker.com/Literature/Hydraulic%20Filter/HFD_Catalog/HFD_Catalog_12AT_50AT.pdf  </t>
  </si>
  <si>
    <t>10AT-10C_20241021161628191.png</t>
  </si>
  <si>
    <t>박노용</t>
  </si>
  <si>
    <t>(광양)발전부 발전정비섹션</t>
  </si>
  <si>
    <t>강승문</t>
  </si>
  <si>
    <t>tmdans007@posco.co.kr</t>
  </si>
  <si>
    <t>2024-10-21 16:10:54</t>
  </si>
  <si>
    <t>Q4499124</t>
  </si>
  <si>
    <t>POSCO-IAPC</t>
  </si>
  <si>
    <t>INR</t>
  </si>
  <si>
    <t>[P15/350S/VILEDON],L:50MTR , W:1.52MTR, T:20MM</t>
  </si>
  <si>
    <t>P15/350S</t>
  </si>
  <si>
    <t>P15 series filter pads_20201016235832884.pdf</t>
  </si>
  <si>
    <t>https://www.cleanairservices.com.au/P15%20series%20filter%20pads.pdf</t>
  </si>
  <si>
    <t>Filter Mats_20230720194353388.jpg</t>
  </si>
  <si>
    <t>Sandeep Sharma</t>
  </si>
  <si>
    <t>Maintenance</t>
  </si>
  <si>
    <t>Sandeep.Sharma@posco.net</t>
  </si>
  <si>
    <t>Q4506505</t>
  </si>
  <si>
    <t>[AC40-F04DG-D/SMC],10bar,PORT SIZE: 1/2'',FOR AIR COMPRESS SYSTEM</t>
  </si>
  <si>
    <t>AC40-F04DG-D</t>
  </si>
  <si>
    <t>PORT SIZE: 1/2''</t>
  </si>
  <si>
    <t>FOR AIR COMPRESS SYSTEM</t>
  </si>
  <si>
    <t>Catalogue SMC of Air combination_20201223190924389.pdf</t>
  </si>
  <si>
    <t>AC40-F04DG-D_20250110173827920.GIF</t>
  </si>
  <si>
    <t>Doan Thanh Kieu</t>
  </si>
  <si>
    <t>kieudt@posco-ssvina.com</t>
  </si>
  <si>
    <t>2025-01-13 11:01:42</t>
  </si>
  <si>
    <t>Q4518474</t>
  </si>
  <si>
    <t>[TS12D00/KENVITECH]x120L,20micron_FILTERING CARTRIDGE,FOR SCR GAS ANALYZER PRIMARY FILTER,OR EQUIVALENT</t>
  </si>
  <si>
    <t>TS12D00</t>
  </si>
  <si>
    <t>KENVITECH</t>
  </si>
  <si>
    <t>FILTERING CARTRIDGE</t>
  </si>
  <si>
    <t>FOR SCR GAS ANALYZER PRIMARY FILTER</t>
  </si>
  <si>
    <t>Varied Filter_20210408100757399.jpg</t>
  </si>
  <si>
    <t>http://www.kenvitech.com/images/m2/img37.jpg</t>
  </si>
  <si>
    <t>Filtering cartridge 20㎛_(Kenvitech)_20240425103831304.png</t>
  </si>
  <si>
    <t>김언규</t>
  </si>
  <si>
    <t>정현우</t>
  </si>
  <si>
    <t>hyunoo@posco.co.kr</t>
  </si>
  <si>
    <t>2024-05-07 08:05:12</t>
  </si>
  <si>
    <t>Q4521293</t>
  </si>
  <si>
    <t>[2600 R 010 SN/HYDAC],10micron,GLASS FIBRE,20bar,RETURN FILTER ELEMENT,FOR K3H FCE PILE CONVEYOR HYDRAULIC FILTER</t>
  </si>
  <si>
    <t>2600 R 010 SN</t>
  </si>
  <si>
    <t>FOR K3H FCE PILE CONVEYOR HYDRAULIC FILTER</t>
  </si>
  <si>
    <t>E7224-2-11-16_ON-Katalogversion_20210428114227569.pdf</t>
  </si>
  <si>
    <t>Filter Element Hydac_20250612115756956.JPG</t>
  </si>
  <si>
    <t>임택근</t>
  </si>
  <si>
    <t>(광양)압연설비부 열연정비2섹션</t>
  </si>
  <si>
    <t>정승용</t>
  </si>
  <si>
    <t>kmss12@posco.co.kr</t>
  </si>
  <si>
    <t>2025-06-17 14:06:46</t>
  </si>
  <si>
    <t>Gómez Ortega Juan Antonio</t>
  </si>
  <si>
    <t>SEC. DE MECÁNICO CGL2</t>
  </si>
  <si>
    <t>juan.gomez@posco.net</t>
  </si>
  <si>
    <t>Q4534562</t>
  </si>
  <si>
    <t>[AF40-04D-2R-D/SMC],10kg/cm2,OR EQUIVALENT</t>
  </si>
  <si>
    <t>AF40-04D-2R-D</t>
  </si>
  <si>
    <t>https://www.smckorea.co.kr/homepage/ver3.5/srch/ifame_hconfiguration.asp?param2=AF20-AF40-D</t>
  </si>
  <si>
    <t>CGL Laser Welder Air Filter_20260107102548945.jpg</t>
  </si>
  <si>
    <t>2026-01-08 17:01:56</t>
  </si>
  <si>
    <t>Q4538985</t>
  </si>
  <si>
    <t>[DFP ON 500 Q D3 B1/B6/HYDAC]xOD130x158Wx432.5L_STEEL,240bar,OIL_WITH INDICATOR VISUAL_FOR SPM HYDRAULIC SYSTEM</t>
  </si>
  <si>
    <t>DFP ON 500 Q D3 B1/B6</t>
  </si>
  <si>
    <t>WITH INDICATOR VISUAL</t>
  </si>
  <si>
    <t>FOR SPM HYDRAULIC SYSTEM</t>
  </si>
  <si>
    <t>DATA SHEE_20251006221745699.pdf_20251006221745699.pdf</t>
  </si>
  <si>
    <t>https://www.hydac.com/de-en/products/filtration-and-fluid-conditioning/hydraulic-and-lubrication-filter/filter-assemblies/block-mounting-filters/dfp.html</t>
  </si>
  <si>
    <t>Presentation1_20251006221745750.jpg</t>
  </si>
  <si>
    <t>Muñíz Arriaga José Antonio</t>
  </si>
  <si>
    <t>SEC. DE MECÁNICO CGL1</t>
  </si>
  <si>
    <t>jose.muniz@posco.net</t>
  </si>
  <si>
    <t>Casados Bautista Eduardo</t>
  </si>
  <si>
    <t>eduardo.casados@posco.net</t>
  </si>
  <si>
    <t>2025-10-15 09:10:54</t>
  </si>
  <si>
    <t>Q4545009</t>
  </si>
  <si>
    <t>[HKFE-B/HANKOOKSYSTEM]_PORTABLE FILTER MACHINE HHK-270/108_FOR STS2 HYD' ROOM,OR EQUIVALENT</t>
  </si>
  <si>
    <t>HKFE-B</t>
  </si>
  <si>
    <t>HANKOOKSYSTEM</t>
  </si>
  <si>
    <t>PORTABLE FILTER MACHINE HHK-270/108</t>
  </si>
  <si>
    <t>FOR STS2 HYD' ROOM</t>
  </si>
  <si>
    <t>hkfe_20211207135816338_20211214091000530.pdf</t>
  </si>
  <si>
    <t>http://www.hanksystem.co.kr/bizdemo19531/03/filters.php?com_board_basic=read_form&amp;com_board_idx=23&amp;&amp;com_board_search_code=&amp;com_board_search_value1=&amp;com_board_search_value2=&amp;com_board_page=&amp;&amp;com_board_id=11&amp;&amp;com_board_id=11</t>
  </si>
  <si>
    <t>HKFE-B_20220616155843373.jpg</t>
  </si>
  <si>
    <t>김경환</t>
  </si>
  <si>
    <t>2022-06-17 09:06:04</t>
  </si>
  <si>
    <t xml:space="preserve">사용부서 복수화 불가 사유 : 해당 메이커 제품만의 특화 기능이 있어 병기등록 불, 사용개소의 중요도가 높고, 대체사양을 발굴하기 제한되는 Maker임	_x000D_
</t>
  </si>
  <si>
    <t>Q4546969</t>
  </si>
  <si>
    <t>[CFM FILTER(GLASS95)/CLEAN AIR TECH]x610Wx610Lx150T,FOR CODN-200</t>
  </si>
  <si>
    <t>CFM FILTER(GLASS95)</t>
  </si>
  <si>
    <t>CLEAN AIR TECH</t>
  </si>
  <si>
    <t>FOR CODN-200</t>
  </si>
  <si>
    <t>CODN200_CFM필터성적서610610150T(0)_20211220153543424_20211222171001678.pdf</t>
  </si>
  <si>
    <t>http://www.cleanat.com/kr/sub/product/product_view.asp?mode=view&amp;s_cate=101013&amp;idx=18#tab2</t>
  </si>
  <si>
    <t>CFMFilter_20211207144119952_20211222171001469.jpg</t>
  </si>
  <si>
    <t>천보현</t>
  </si>
  <si>
    <t>탄소케미칼연구그룹</t>
  </si>
  <si>
    <t>bhyun@poscofuturem.com</t>
  </si>
  <si>
    <t>최혜지</t>
  </si>
  <si>
    <t>choi1024@poscofuturem.com</t>
  </si>
  <si>
    <t>2022-01-03 13:01:10</t>
  </si>
  <si>
    <t>향후 도면화 후 재검토</t>
  </si>
  <si>
    <t>Q4546970</t>
  </si>
  <si>
    <t>[CODN-200 PRE-FILTER/CLEAN AIR TECH]x610Wx610Lx20T</t>
  </si>
  <si>
    <t>CODN-200 PRE-FILTER</t>
  </si>
  <si>
    <t>http://www.cleanat.com/kr/sub/product/product_view.asp?mode=view&amp;s_cate=101013&amp;idx=18</t>
  </si>
  <si>
    <t>PreFilter_20211207145254506_20220104083450063.jpg</t>
  </si>
  <si>
    <t>2022-01-04 10:01:49</t>
  </si>
  <si>
    <t>Q4547173</t>
  </si>
  <si>
    <t>[AFTER FILTER YOC-420/YHB ECO]xOD380x300L,FILTER FOR OIL MIST CLEANER YOC-420</t>
  </si>
  <si>
    <t>AFTER FILTER YOC-420</t>
  </si>
  <si>
    <t>YHB ECO</t>
  </si>
  <si>
    <t>FILTER FOR OIL MIST CLEANER YOC-420</t>
  </si>
  <si>
    <t>https://yhbeco.com/board/bbs/board.php?bo_table=eng_product1&amp;wr_id=47&amp;page=2</t>
  </si>
  <si>
    <t>AFTER FILTER_20220103160607204.JPG</t>
  </si>
  <si>
    <t>NDARU YUNIATMOKO</t>
  </si>
  <si>
    <t>Testing and Inspection Team</t>
  </si>
  <si>
    <t>TRIO PURWANTO</t>
  </si>
  <si>
    <t>trio.p@krakatauposco.co.id</t>
  </si>
  <si>
    <t>2022-01-05 08:01:45</t>
  </si>
  <si>
    <t>Q4547552</t>
  </si>
  <si>
    <t>POSCO-Maharashtra OU</t>
  </si>
  <si>
    <t>[0950R010BN4HC/HYDAC],10micron,FILTER USE FOR HYDRAULIC RETURN LINE,CGL POSCO MAHARASHTRA</t>
  </si>
  <si>
    <t>0950R010BN4HC</t>
  </si>
  <si>
    <t xml:space="preserve">FILTER USE FOR HYDRAULIC RETURN LINE </t>
  </si>
  <si>
    <t>CGL POSCO MAHARASHTRA</t>
  </si>
  <si>
    <t>attachment (2)_20220106143548320.pdf</t>
  </si>
  <si>
    <t>https://www.hydac-na.com/wp-content/uploads/Filters-for-Hydraulic-and-Lube-Oil.pdf</t>
  </si>
  <si>
    <t>Capture34_20220106144102086.PNG</t>
  </si>
  <si>
    <t>2022-01-07 14:01:31</t>
  </si>
  <si>
    <t>Q4547831</t>
  </si>
  <si>
    <t>GAS,[CLLEX B-SB-21010/PNC]xOD210x1000L,0.33micron,POLYESTER+EPTFE,0~7KG/CM2,WASTE ROLL CUTTING AND DUST REMOVAL IN STORAGE YARD</t>
  </si>
  <si>
    <t>CLLEX B-SB-21010</t>
  </si>
  <si>
    <t>PNC</t>
  </si>
  <si>
    <t>0~7KG/CM2</t>
  </si>
  <si>
    <t>WASTE ROLL CUTTING AND DUST REMOVAL IN STORAGE YARD</t>
  </si>
  <si>
    <t>14_20220110152118511.JPG</t>
  </si>
  <si>
    <t>http://www.pnc21.com/product/sub02_302.html</t>
  </si>
  <si>
    <t>PPauto_20220105142340603.jpg</t>
  </si>
  <si>
    <t>翟青华</t>
  </si>
  <si>
    <t>设备修理科</t>
  </si>
  <si>
    <t>zhaiqh@posco.net</t>
  </si>
  <si>
    <t>杜元平</t>
  </si>
  <si>
    <t>duyp@posco.net</t>
  </si>
  <si>
    <t>2022-01-10 15:01:04</t>
  </si>
  <si>
    <t>Q4548007</t>
  </si>
  <si>
    <t>CANVAS FOR PRESS FILTER,WATER,[TETEX MONO 05-1010-K 051/SEFAR],100% POLYPROPILENE,0.55 MM,125X140.5 CMS (ONE LAYER)/ FOR DEHYDRATOR 221A/ UTILITY PLANT</t>
  </si>
  <si>
    <t>TETEX MONO 05-1010-K 051</t>
  </si>
  <si>
    <t>SEFAR</t>
  </si>
  <si>
    <t>0.55 MM</t>
  </si>
  <si>
    <t>125X140.5 CMS (ONE LAYER)/ FOR DEHYDRATOR 221A/ UTILITY PLANT</t>
  </si>
  <si>
    <t>Hoja de Especificaciones Tecnicas SEFAR TETEX MONO 05-1010-K-051_20220112015908871.pdf</t>
  </si>
  <si>
    <t>single canvas dehydrator 221 A_20220112020042341.pdf</t>
  </si>
  <si>
    <t>https://www.sefar.com/es/</t>
  </si>
  <si>
    <t>IMAGEN_20220112023319987.jpg</t>
  </si>
  <si>
    <t>LONA_20220112023344165.jpg</t>
  </si>
  <si>
    <t>Martínez Martínez Maribel</t>
  </si>
  <si>
    <t>SEC. DE SOPORTE DE OPERACIÓN</t>
  </si>
  <si>
    <t>maribel.martinez@posco.net</t>
  </si>
  <si>
    <t>Bolado Hernández Carlos</t>
  </si>
  <si>
    <t>SECCIÓN DE UTILIDADES</t>
  </si>
  <si>
    <t>carlos.bolado@posco.net</t>
  </si>
  <si>
    <t>2022-01-12 08:01:02</t>
  </si>
  <si>
    <t>Q4548008</t>
  </si>
  <si>
    <t>DOUBLE CANVAS FOR PRESS FILTER TYPE H,WATER,[TETEX MONO 05-1010-K 051/SEFAR],100% POLYPROPILENE,0.55 MM,125X140.5 CMS / FOR DEHYDRATOR 221A/ UTILITY PLANT</t>
  </si>
  <si>
    <t>0.55 MM,125X140.5 CMS / FOR DEHYDRATOR 221A/ UTILITY PLANT</t>
  </si>
  <si>
    <t>Hoja de Especificaciones Tecnicas SEFAR TETEX MONO 05-1010-K-051_20220112041940194.pdf</t>
  </si>
  <si>
    <t>Double canvas type H dehydrator 221 A_20220112042036683.pdf</t>
  </si>
  <si>
    <t>FILTRO PRENSA_20220112044217868.jpg</t>
  </si>
  <si>
    <t>2022-01-12 08:01:38</t>
  </si>
  <si>
    <t>Q4548088</t>
  </si>
  <si>
    <t>VND</t>
  </si>
  <si>
    <t>[RF ON 1300 D P 05 A 1. X/HYDAC]_OPTIMICRON,25bar,HYDRAULIC OIL_FOR EAF HYDRAULIC SYSTEM- RETURN &amp; RECIR. FILTER</t>
  </si>
  <si>
    <t>RF ON 1300 D P 05 A 1. X</t>
  </si>
  <si>
    <t>FOR EAF HYDRAULIC SYSTEM- RETURN &amp; RECIR. FILTER</t>
  </si>
  <si>
    <t>E7116-7-11-16_RF-Katalogversion_20220111181600978.pdf</t>
  </si>
  <si>
    <t>RF_20220111181646324.GIF</t>
  </si>
  <si>
    <t>Vo Ngoc Thuan</t>
  </si>
  <si>
    <t>prothuan@posco-ssvina.com</t>
  </si>
  <si>
    <t>2022-01-12 14:01:03</t>
  </si>
  <si>
    <t>Q4548089</t>
  </si>
  <si>
    <t>[DFP BH/HC 660 Q D 5 A 1.X/HYDAC]_BETAMICRON,315bar,HYDRAULIC OIL_FOR EAF HYDRAULIC SYSTEM-  DELIVERY FILTER</t>
  </si>
  <si>
    <t>DFP BH/HC 660 Q D 5 A 1.X</t>
  </si>
  <si>
    <t>FOR EAF HYDRAULIC SYSTEM-  DELIVERY FILTER</t>
  </si>
  <si>
    <t>E7551-12-11-16_DFP-Katalogversion_20220111183236542.pdf</t>
  </si>
  <si>
    <t>DFP_20220111183613762.GIF</t>
  </si>
  <si>
    <t>2022-01-12 14:01:27</t>
  </si>
  <si>
    <t>Q4548090</t>
  </si>
  <si>
    <t>[MDF BH/HC 240 O E 05 A 1.X/HYDAC]_BETAMICRON,280bar,HYDRAULIC OIL_FOR EAF HYDRAULIC SYSTEM- X LINE FILTER</t>
  </si>
  <si>
    <t>MDF BH/HC 240 O E 05 A 1.X</t>
  </si>
  <si>
    <t>FOR EAF HYDRAULIC SYSTEM- X LINE FILTER</t>
  </si>
  <si>
    <t>e7502-2-03-12_mdf-katalogversion_20220111184003477.pdf</t>
  </si>
  <si>
    <t>MDF_20220111184217501.GIF</t>
  </si>
  <si>
    <t>Q4548091</t>
  </si>
  <si>
    <t>[DF BH/HC 330 T F 05 A 1.X/HYDAC]_BETAMICRON,420bar,HYDRAULIC OIL_FOR LF HYDRAULIC SYSTEM- DELIVERY FILTER</t>
  </si>
  <si>
    <t>DF BH/HC 330 T F 05 A 1.X</t>
  </si>
  <si>
    <t>FOR LF HYDRAULIC SYSTEM- DELIVERY FILTER</t>
  </si>
  <si>
    <t>E7501-19-11-16_DF-DFF-Katalogversion_20220111184522716.pdf</t>
  </si>
  <si>
    <t>DF_20220111184645262.GIF</t>
  </si>
  <si>
    <t>Q4548092</t>
  </si>
  <si>
    <t>[RF BN/HC 660 D N 5 A 1.X/HYDAC]_BETAMICRON,25bar,HYDRAULIC OIL_FOR LF HYDRAULIC SYSTEM-  RECIR. FILTER</t>
  </si>
  <si>
    <t>RF BN/HC 660 D N 5 A 1.X</t>
  </si>
  <si>
    <t>FOR LF HYDRAULIC SYSTEM-  RECIR. FILTER</t>
  </si>
  <si>
    <t>RE SERIES_20220111185249587.pdf</t>
  </si>
  <si>
    <t>RF_20220111185454330.GIF</t>
  </si>
  <si>
    <t>Q4548093</t>
  </si>
  <si>
    <t>[RFD ON 1300 D A P 05 A 1.X/HYDAC]_OPTIMICRON,25bar,HYDRAULIC OIL_FOR LF HYDRAULIC SYSTEM- RETURN FILTER</t>
  </si>
  <si>
    <t>RFD ON 1300 D A P 05 A 1.X</t>
  </si>
  <si>
    <t>FOR LF HYDRAULIC SYSTEM- RETURN FILTER</t>
  </si>
  <si>
    <t>E7117-7-11-16_RFD-Katalogversion (1)_20220111185748269.pdf</t>
  </si>
  <si>
    <t>RFD_20220111185714169.GIF</t>
  </si>
  <si>
    <t>Q4548288</t>
  </si>
  <si>
    <t>[6905 117 F3/HAWE],OR EQUIVALENT</t>
  </si>
  <si>
    <t>6905 117 F3</t>
  </si>
  <si>
    <t>HAWE</t>
  </si>
  <si>
    <t>HAWE 6905 117 F1, F3_20220110082614525.pdf</t>
  </si>
  <si>
    <t>6905 117 F3_20220110082614564.jpg</t>
  </si>
  <si>
    <t>오세영</t>
  </si>
  <si>
    <t>dhtpdud8520@posco.co.kr</t>
  </si>
  <si>
    <t>2022-01-13 11:01:27</t>
  </si>
  <si>
    <t>Q4548289</t>
  </si>
  <si>
    <t>[GF-400/YHBECO]x353Wx394L,OR EQUIVALENT</t>
  </si>
  <si>
    <t>GF-400</t>
  </si>
  <si>
    <t>YHBECO</t>
  </si>
  <si>
    <t>http://yhb.kr/blog/portfolio-item/oil-mist-cleaner/</t>
  </si>
  <si>
    <t>YHB 글라스필터_20220113082152610.jpg</t>
  </si>
  <si>
    <t>최우용</t>
  </si>
  <si>
    <t>cwy3577@posco.co.kr</t>
  </si>
  <si>
    <t>2022-01-13 11:01:18</t>
  </si>
  <si>
    <t>Q4548836</t>
  </si>
  <si>
    <t>POLYESTER,[107-04-07-214 RPLX/SEFAR]_ID142x105Lx1.7T_550G/M2,DUST COLLECTOR SLEEVE FILTER/WATER AND OIL REPELLENT/#1SILO (CAOH2) IN UTILITY</t>
  </si>
  <si>
    <t>107-04-07-214 RPLX</t>
  </si>
  <si>
    <t>550G/M2,DUST COLLECTOR SLEEVE FILTER/WATER AND OIL REPELLENT/#1SILO (CAOH2) IN UTILITY</t>
  </si>
  <si>
    <t>Especificaciones Tecnicas 107-04-07-214 RPLX MANGAS_20220113051014692.pdf</t>
  </si>
  <si>
    <t>ficha mangas silo 1_20220113051135109.pdf</t>
  </si>
  <si>
    <t>MANGA_20220113051852424.jpg</t>
  </si>
  <si>
    <t>SILO CAL_20220113051918482.png</t>
  </si>
  <si>
    <t>De León Martínez Ana Valeria</t>
  </si>
  <si>
    <t>SEC. DE UTILIDADES</t>
  </si>
  <si>
    <t>2022-01-19 08:01:32</t>
  </si>
  <si>
    <t>Q4548837</t>
  </si>
  <si>
    <t>POLYESTER,[107-04-07-214 RPLX/SEFAR]_ID133xOD103x1.7T_550GR/M2,DUST COLLECTOR SLEEVE FILTER/WATER AND OIL REPELLENT/#2 SILO (CAOH2) IN UTILITY</t>
  </si>
  <si>
    <t>550GR/M2,DUST COLLECTOR SLEEVE FILTER/WATER AND OIL REPELLENT/#2 SILO (CAOH2) IN UTILITY</t>
  </si>
  <si>
    <t>Especificaciones Tecnicas 107-04-07-214 RPLX MANGAS_20220113064813412.pdf</t>
  </si>
  <si>
    <t>SEFAR SILO2_20220113064847512.pdf</t>
  </si>
  <si>
    <t>MANGA_20220113065516589.jpg</t>
  </si>
  <si>
    <t>SILO CAL2_20220113065541524.png</t>
  </si>
  <si>
    <t>2022-01-19 08:01:08</t>
  </si>
  <si>
    <t>Q4549390</t>
  </si>
  <si>
    <t>ELECTRONIC[WYFTH30T1A/WOONYOUNG],AC 3PHASE,500VAC,30A,OR EQUIVALENT</t>
  </si>
  <si>
    <t>WYFTH30T1A</t>
  </si>
  <si>
    <t>WOONYOUNG</t>
  </si>
  <si>
    <t>http://woonyoung.com/page/s0201_view.php?ocatecode=1337920582&amp;idx=153&amp;gcname=&amp;gnsub=&amp;gcatecode=1338276099&amp;ogcname=%EB%85%B8%EC%9D%B4%EC%A6%88%ED%95%84%ED%84%B0-Noise%20Filter</t>
  </si>
  <si>
    <t>WYFTH30T1A_20220101115501632_20220119133000654.jpg</t>
  </si>
  <si>
    <t>(포항)압연설비부 냉연정비1섹션</t>
  </si>
  <si>
    <t>2022-01-24 14:01:18</t>
  </si>
  <si>
    <t>Q4549554</t>
  </si>
  <si>
    <t>[TSZ-500/ANHUI CHUSHUI HUANBAO],20DX1550MM,SUS304,FOR PZSS 1#HAPL QUENCH</t>
  </si>
  <si>
    <t>TSZ-500</t>
  </si>
  <si>
    <t>ANHUI CHUSHUI HUANBAO</t>
  </si>
  <si>
    <t>FOR PZSS 1#HAPL QUENCH</t>
  </si>
  <si>
    <t>刷轴TSZ-500_20220120115014693.PNG</t>
  </si>
  <si>
    <t>http://www.ahcshb.com.cn/</t>
  </si>
  <si>
    <t>刷轴照片_20220120115335584.PNG</t>
  </si>
  <si>
    <t>陈红</t>
  </si>
  <si>
    <t>退火酸洗工厂</t>
  </si>
  <si>
    <t>chenhong11@posco.net</t>
  </si>
  <si>
    <t>张杰</t>
  </si>
  <si>
    <t>zjie@posco.net</t>
  </si>
  <si>
    <t>2022-01-25 11:01:36</t>
  </si>
  <si>
    <t>Q4549555</t>
  </si>
  <si>
    <t>[YSZ-400/ANHUI CHUSHUI HUANBAO],20DX1350MM,FOR PZSS 2#HAPL QUENCH</t>
  </si>
  <si>
    <t>YSZ-400</t>
  </si>
  <si>
    <t>FOR PZSS 2#HAPL QUENCH</t>
  </si>
  <si>
    <t>刷轴YSZ-400_20220120115813021.PNG</t>
  </si>
  <si>
    <t>刷轴照片_20220120120102177.PNG</t>
  </si>
  <si>
    <t>2022-01-25 11:01:55</t>
  </si>
  <si>
    <t>Q4549710</t>
  </si>
  <si>
    <t>LIQUID,[C1.F002.047/CHMLAB]x47Lx47Wx0.18T_FILTER PAPER_CONTENT&lt;0.06%,ANALYSIS FILTER PAPERASH CONTENT &lt;0.06%,RETENTION 7-9UM</t>
  </si>
  <si>
    <t>C1.F002.047</t>
  </si>
  <si>
    <t>CHMLAB</t>
  </si>
  <si>
    <t>CONTENT&lt;0.06%,ANALYSIS FILTER PAPERASH CONTENT &lt;0.06%</t>
  </si>
  <si>
    <t xml:space="preserve">RETENTION 7-9UM </t>
  </si>
  <si>
    <t>220119 필터 사양.PNG</t>
  </si>
  <si>
    <t>https://www.allforlab.com/pdt/DH20030300P1229</t>
  </si>
  <si>
    <t>20220316133347804.PNG</t>
  </si>
  <si>
    <t>권현빈</t>
  </si>
  <si>
    <t>양극재품질섹션</t>
  </si>
  <si>
    <t>khb9515@poscofuturem.com</t>
  </si>
  <si>
    <t>2022-03-18 17:03:17</t>
  </si>
  <si>
    <t>Q4549895</t>
  </si>
  <si>
    <t>HDMI TO HDMI,[V-JETN/WISEJET],5V / 1A USB,FREQUENCY RANGE  57GHZ ~ 64GHZ, WIRELESS TRANSMISSION DISTANCE  ~10M,FOR P1H CONFERENCE ROOM,OR EQUIVALENT</t>
  </si>
  <si>
    <t>V-JETN</t>
  </si>
  <si>
    <t>WISEJET</t>
  </si>
  <si>
    <t>FREQUENCY RANGE  57GHZ ~ 64GHZ, WIRELESS TRANSMISSION DISTANCE  ~10M</t>
  </si>
  <si>
    <t>FOR P1H CONFERENCE ROOM</t>
  </si>
  <si>
    <t>v-jetn사양_20220119162253889_20220127102014645.jpg</t>
  </si>
  <si>
    <t>http://wise-jet.com/ko/products/wireless-extender/v-jetn/</t>
  </si>
  <si>
    <t>20251125_3936649758148273201.jpg</t>
  </si>
  <si>
    <t>강민재</t>
  </si>
  <si>
    <t>(포항)열연부 1열연공장</t>
  </si>
  <si>
    <t>2022-01-27 15:01:06</t>
  </si>
  <si>
    <t>Q4550374</t>
  </si>
  <si>
    <t>[NDH810/NAMDO ENGINEERING],810MMX60MM,PVC,OR EQUIVALENT</t>
  </si>
  <si>
    <t>NDH810</t>
  </si>
  <si>
    <t>NAMDO ENGINEERING</t>
  </si>
  <si>
    <t>https://namdo-eng.com/?page_id=178&amp;board_name=board03&amp;order_by=fn_pid&amp;order_type=desc&amp;page_id=178&amp;vid=11</t>
  </si>
  <si>
    <t>NDH810-1_20220118164226592.jpg</t>
  </si>
  <si>
    <t>김만석</t>
  </si>
  <si>
    <t>what@posco.co.kr</t>
  </si>
  <si>
    <t>2022-02-07 09:02:36</t>
  </si>
  <si>
    <t>사용부서 복수화 불가 사유 : 특정사 전용부품으로 타사 부품 사용 불가</t>
  </si>
  <si>
    <t>Q4550389</t>
  </si>
  <si>
    <t>HYDRAULIC,[2.0160G25-A00-0-M/REXROTH],25mesh,STAINLESS STEEL WIRE MESH,R928006806,OR EQUIVALENT</t>
  </si>
  <si>
    <t>2.0160G25-A00-0-M</t>
  </si>
  <si>
    <t>REXROTH</t>
  </si>
  <si>
    <t>R928006806</t>
  </si>
  <si>
    <t>RE51517_2019-12_2._20211214090001364.pdf</t>
  </si>
  <si>
    <t>https://www.hydraulic-components.net/R928006806</t>
  </si>
  <si>
    <t>필터_20211210104550543_20211214090001243.jpg</t>
  </si>
  <si>
    <t>권오성</t>
  </si>
  <si>
    <t>(포항)선재부 조업안전섹션</t>
  </si>
  <si>
    <t>kos87@posco.co.kr</t>
  </si>
  <si>
    <t>조인섭</t>
  </si>
  <si>
    <t>(포항)선재부 4선재공장</t>
  </si>
  <si>
    <t>2022-02-07 10:02:36</t>
  </si>
  <si>
    <t>Q4550823</t>
  </si>
  <si>
    <t>[TS12D00/KENVITECH]x200L,CERAMIC,OR EQUIVALENT</t>
  </si>
  <si>
    <t>http://www.kenvitech.com/menu02-01-11/#tab-7b425907c98a0531f3b</t>
  </si>
  <si>
    <t>FILTER_20211209081758870_20211214090000991.png</t>
  </si>
  <si>
    <t>조동현</t>
  </si>
  <si>
    <t>(포항)발전부 발전정비섹션</t>
  </si>
  <si>
    <t>이혁</t>
  </si>
  <si>
    <t>heuy1982@posco.co.kr</t>
  </si>
  <si>
    <t>2022-02-09 09:02:21</t>
  </si>
  <si>
    <t>사용부서 복수화 불가 사유 : 특정사 전용부품으로 복수화 불가</t>
  </si>
  <si>
    <t>Q4550825</t>
  </si>
  <si>
    <t>[TS13204/KENVITECH]x57L,OR EQUIVALENT</t>
  </si>
  <si>
    <t>TS13204</t>
  </si>
  <si>
    <t>2차Filter_20211209090019729_20211214085001213.png</t>
  </si>
  <si>
    <t>2022-02-09 09:02:46</t>
  </si>
  <si>
    <t>Q4550827</t>
  </si>
  <si>
    <t>[P/N:TS13202/KENVITECH],AIR PRESSURE 0.1~1BAR,OR EQUIVALENT</t>
  </si>
  <si>
    <t>P/N:TS13202</t>
  </si>
  <si>
    <t>AIR PRESSURE 0.1~1BAR</t>
  </si>
  <si>
    <t>MDDryer_20211209094039277_20211214085000908.png</t>
  </si>
  <si>
    <t>2022-02-09 09:02:53</t>
  </si>
  <si>
    <t>Q4551158</t>
  </si>
  <si>
    <t>GAS,[JOP3PPF750-ISN/CHUNGRYU FNS]xOD106x750L,75micron,POLY-PROPYLEN,OR EQUIVALENT</t>
  </si>
  <si>
    <t>JOP3PPF750-ISN</t>
  </si>
  <si>
    <t>CHUNGRYU FNS</t>
  </si>
  <si>
    <t>JOP3PPF750-ISN_ 도면_20220210155603314.pdf</t>
  </si>
  <si>
    <t>f43759e3-b6b3-4d08-9062-415aa53bf123.pdf-0001_20220210155603363.jpg</t>
  </si>
  <si>
    <t>이진우</t>
  </si>
  <si>
    <t>(포항)선재부 1선재공장</t>
  </si>
  <si>
    <t>xvenusvx@posco.co.kr</t>
  </si>
  <si>
    <t>2022-02-11 08:02:57</t>
  </si>
  <si>
    <t>Q4551314</t>
  </si>
  <si>
    <t>[GTG12 445 W66S0/FREUDENBERG],ID395xOD445x660L,1micron,SYNTHETIC MICRO-GLASSFIBER /STEEL,AIR,0.3micron,1400M3/HR(99.5%),(E12(EN 1822), P/N:73089348 (PSB/290S), WITH NUT AND RUBBER WASHER,FOR 56 GT AIR INTAKE HEPA FILTER(CONICAL)</t>
  </si>
  <si>
    <t>GTG12 445 W66S0</t>
  </si>
  <si>
    <t>FREUDENBERG</t>
  </si>
  <si>
    <t>1400M3/HR(99.5%),(E12(EN 1822), P/N:73089348 (PSB/290S), WITH NUT AND RUBBER WASHER</t>
  </si>
  <si>
    <t>FOR 56 GT AIR INTAKE HEPA FILTER(CONICAL)</t>
  </si>
  <si>
    <t>GTG_E10_E12_performance_new_20220127150217790_20220204164000381.pdf</t>
  </si>
  <si>
    <t>https://products.freudenberg-filter.com/en/p/products/filter-cartridges-for-turbomachinery/depth-loading-filter-cartridges/gtg-epa-series#downloads</t>
  </si>
  <si>
    <t>GTG12445K66S0(원추)_20220127150240519_20220204164000342.jpg</t>
  </si>
  <si>
    <t>이종찬</t>
  </si>
  <si>
    <t>기계과</t>
  </si>
  <si>
    <t>LJC4027@POSCOINTL.COM</t>
  </si>
  <si>
    <t>2022-02-14 11:02:31</t>
  </si>
  <si>
    <t>복수화 일정에 맞춰 추진바랍니다.</t>
  </si>
  <si>
    <t>Q4551358</t>
  </si>
  <si>
    <t>[GTG12 324 W66S0/FREUDENBERG],ID324xOD324x660L,1micron,SYNTHETIC MICRO-GLASSFIBER/STEEL,0.3micron,1100M3/HR(99.5%),E12(EN 1822), P/N:73089348 (PSB/290S), WITH NUT AND RUBBER WASHER,FOR 56 GT AIR INTAKE HEPA FILTER(CYLINDRICAL)</t>
  </si>
  <si>
    <t>GTG12 324 W66S0</t>
  </si>
  <si>
    <t>1100M3/HR(99.5%),E12(EN 1822), P/N:73089348 (PSB/290S), WITH NUT AND RUBBER WASHER</t>
  </si>
  <si>
    <t>FOR 56 GT AIR INTAKE HEPA FILTER(CYLINDRICAL)</t>
  </si>
  <si>
    <t>GTG_E10_E12_performance_new_20220127150714599_20220204164000524.pdf</t>
  </si>
  <si>
    <t>CylindricalGTG12324_20220127150651679_20220204164000494.jpg</t>
  </si>
  <si>
    <t>2022-02-14 14:02:50</t>
  </si>
  <si>
    <t>Q4552372</t>
  </si>
  <si>
    <t>FILTER CORE,[HZ8314XBPF/PALL],FOR HH8300(39") SERISE CORE KIT,OR EQUIVALENT</t>
  </si>
  <si>
    <t>HZ8314XBPF</t>
  </si>
  <si>
    <t>FOR HH8300(39") SERISE CORE KIT</t>
  </si>
  <si>
    <t>Core Kit HZ8314XBPF Brochure_20191007154355581.pdf</t>
  </si>
  <si>
    <t>Pall_8300_Coreless_Retrofit_Kit_20191007153816987.jpg</t>
  </si>
  <si>
    <t>석대원</t>
  </si>
  <si>
    <t>2022-02-22 15:02:45</t>
  </si>
  <si>
    <t>Q4552448</t>
  </si>
  <si>
    <t>[P-AP-48-10U/TAISEI KOGYO],150A, AIR BREATHER,USE FOR TCM LINE</t>
  </si>
  <si>
    <t>P-AP-48-10U</t>
  </si>
  <si>
    <t>150A, AIR BREATHER</t>
  </si>
  <si>
    <t>USE FOR TCM LINE</t>
  </si>
  <si>
    <t>https://www.allworldmachinery.com/itemdetail/P-AP-48-10U</t>
  </si>
  <si>
    <t>P-AP-48-10U_20220223081002892.jpg</t>
  </si>
  <si>
    <t>2022-02-23 08:02:23</t>
  </si>
  <si>
    <t>Q4552506</t>
  </si>
  <si>
    <t>[RF ON 110 DC10B1.X/HYDAC]_FOR STS3 240T TEEMING C/R HYD' UNIT RETURN FILTER,OR EQUIVALENT</t>
  </si>
  <si>
    <t>RF ON 110 DC10B1.X</t>
  </si>
  <si>
    <t>FOR STS3 240T TEEMING C/R HYD' UNIT RETURN FILTER</t>
  </si>
  <si>
    <t>https://www.hydac.com/kr-ko/products/filtration-and-fluid-conditioning/hydraulic-and-lubrication-filter/filter-assemblies/return-line-filters-tank-mounting/rf/show/Download/index.html</t>
  </si>
  <si>
    <t>240티밍_qudwns8560_20220113_101836_20220214112718256_20220222154000156.jpg</t>
  </si>
  <si>
    <t>박준섭</t>
  </si>
  <si>
    <t>(포항)제강설비부 크레인정비섹션</t>
  </si>
  <si>
    <t>sebseb1004@posco.co.kr</t>
  </si>
  <si>
    <t>김병준</t>
  </si>
  <si>
    <t>qudwns8560@posco.co.kr</t>
  </si>
  <si>
    <t>2022-02-23 15:02:19</t>
  </si>
  <si>
    <t>해당 제품에 맞도록 Unit가 설계되어 타제품 사용이 불가합니다.</t>
  </si>
  <si>
    <t>Q4552581</t>
  </si>
  <si>
    <t>[SK 3286.410/RITTAL],ALUMINIUM</t>
  </si>
  <si>
    <t>SK 3286.410</t>
  </si>
  <si>
    <t xml:space="preserve">RITTAL </t>
  </si>
  <si>
    <t>filter mat 3286410_20220215102254337.pdf</t>
  </si>
  <si>
    <t>https://www.rittal.com/com-en/products/PG0168KLIMA1/PGR1953KLIMA1/PGR2010KLIMA1/PRO12290?variantId=3286410</t>
  </si>
  <si>
    <t>filter_20220215103054479.PNG</t>
  </si>
  <si>
    <t>RICO PRAYOGA NURAHMAN</t>
  </si>
  <si>
    <t>EIC Technology Team</t>
  </si>
  <si>
    <t>rico.prayoga@krakatauposco.co.id</t>
  </si>
  <si>
    <t>RIO ALDIANO</t>
  </si>
  <si>
    <t>2022-02-24 10:02:07</t>
  </si>
  <si>
    <t>Q4553500</t>
  </si>
  <si>
    <t>[GW-22-0001/AERIX],ID90xOD185x1500L,NOMEX/PTFE MEMBRANE,AIR</t>
  </si>
  <si>
    <t>GW-22-0001</t>
  </si>
  <si>
    <t>AERIX</t>
  </si>
  <si>
    <t>공침동 카트리지 필터 변경건_20220228175537118.JPG</t>
  </si>
  <si>
    <t>https://www.aerix.co.kr/%ec%a3%bc%eb%a6%84%eb%b0%b1/</t>
  </si>
  <si>
    <t>카트리지필터_20220210105912710_20220228175537163.jpg</t>
  </si>
  <si>
    <t>한동기</t>
  </si>
  <si>
    <t>양극재광양공장</t>
  </si>
  <si>
    <t>222781@poscofuturem.com</t>
  </si>
  <si>
    <t>2022-03-08 08:03:04</t>
  </si>
  <si>
    <t>Q4553504</t>
  </si>
  <si>
    <t>[22.524.0003/RETSCH]x120Wx120L,NON-WOVEN FABRIC,10PIECES,DUST FILTER FOR ZM 200 FAN</t>
  </si>
  <si>
    <t>22.524.0003</t>
  </si>
  <si>
    <t>RETSCH</t>
  </si>
  <si>
    <t>10PIECES</t>
  </si>
  <si>
    <t>DUST FILTER FOR ZM 200 FAN</t>
  </si>
  <si>
    <t>22.524.0003_20220308082925584.jpg</t>
  </si>
  <si>
    <t>https://www.retsch.kr/</t>
  </si>
  <si>
    <t>ZM200_dust filter-1.PNG</t>
  </si>
  <si>
    <t>ZM200_dust filter-2_20220303100903502.PNG</t>
  </si>
  <si>
    <t>김기정</t>
  </si>
  <si>
    <t>양극재연구그룹</t>
  </si>
  <si>
    <t>2022-03-08 08:03:35</t>
  </si>
  <si>
    <t>Q4553568</t>
  </si>
  <si>
    <t>HYDRAULIC,[F6,0GW0200M/K&amp;H EPPENSTEINER GMBH],IP65,FOR HYD CONTROL UNIT EMG</t>
  </si>
  <si>
    <t>F6,0GW0200M</t>
  </si>
  <si>
    <t>K&amp;H EPPENSTEINER GMBH</t>
  </si>
  <si>
    <t>IP65</t>
  </si>
  <si>
    <t>FOR HYD CONTROL UNIT EMG</t>
  </si>
  <si>
    <t>http://www.86006.com/mall/news/detail.shtml?newsBean.newsId=14333&amp;type=read&amp;newsType=1</t>
  </si>
  <si>
    <t>Filter_20230817174120294.PNG</t>
  </si>
  <si>
    <t>2023-08-21 15:08:44</t>
  </si>
  <si>
    <t>복수화 또는 일반화 추진 바랍니다.</t>
  </si>
  <si>
    <t>Q4553699</t>
  </si>
  <si>
    <t>432Lx230Wx230H,[ACTIVTEK INDUCT 5000/ACTIVTEK],OR EQUIVALENT</t>
  </si>
  <si>
    <t>ACTIVTEK INDUCT 5000</t>
  </si>
  <si>
    <t>ACTIVTEK</t>
  </si>
  <si>
    <t>Active Pure Technology Overview_20220224100012323.pdf</t>
  </si>
  <si>
    <t>5000_20220224095302205.jpg</t>
  </si>
  <si>
    <t>심규승</t>
  </si>
  <si>
    <t>(포항)안전방재그룹 방재섹션</t>
  </si>
  <si>
    <t>checkfire@posco.co.kr</t>
  </si>
  <si>
    <t>서영민</t>
  </si>
  <si>
    <t>seohv@posco.co.kr</t>
  </si>
  <si>
    <t>2022-03-10 11:03:59</t>
  </si>
  <si>
    <t>Q4554384</t>
  </si>
  <si>
    <t>[HFSD-699-20-5M-2S-JS8-T/CTC HYDRAULIC]x1100Wx690Lx1015T,20bar,OR EQUIVALENT</t>
  </si>
  <si>
    <t>HFSD-699-20-5M-2S-JS8-T</t>
  </si>
  <si>
    <t>CTC HYDRAULIC</t>
  </si>
  <si>
    <t>카달로그_20220214200129293.pdf</t>
  </si>
  <si>
    <t>http://ctchydraulic.com/754</t>
  </si>
  <si>
    <t>캡처1_20220214195851870.png</t>
  </si>
  <si>
    <t>김도우</t>
  </si>
  <si>
    <t>최재호</t>
  </si>
  <si>
    <t>2022-03-17 10:03:08</t>
  </si>
  <si>
    <t>복수화 불가 사유 : 타 메이커 사용시 현장 설치불가</t>
  </si>
  <si>
    <t>Q4554434</t>
  </si>
  <si>
    <t>HYDRAULIC,[0110 D 100 W/HYDAC],100micron,GLASS FIBER,FOR GEAR LUBRICATION LINES</t>
  </si>
  <si>
    <t>0110 D 100 W</t>
  </si>
  <si>
    <t>FOR GEAR LUBRICATION LINES</t>
  </si>
  <si>
    <t>https://www.hydac.com/shop/en/306092#simple-downloads</t>
  </si>
  <si>
    <t>hydac_20220316000354934.jpg</t>
  </si>
  <si>
    <t>TARIK YAMAN</t>
  </si>
  <si>
    <t>tarik.yaman@poscoassan.com</t>
  </si>
  <si>
    <t>2022-03-17 14:03:55</t>
  </si>
  <si>
    <t>Q4555378</t>
  </si>
  <si>
    <t>[YZ-IAQ-2424-H4/YOZIN]x594Wx594Lx100T,OR EQUIVALENT</t>
  </si>
  <si>
    <t>YZ-IAQ-2424-H4</t>
  </si>
  <si>
    <t>YOZIN</t>
  </si>
  <si>
    <t>220323_카달로그_양압공기정화설비 필터 사양_(주)여진_20220323174406388.pdf</t>
  </si>
  <si>
    <t>http://www.yozin.co.kr/sub02/p9_1_1.html</t>
  </si>
  <si>
    <t>PRU 파이널필터-1_20220316143110766.jpg</t>
  </si>
  <si>
    <t>공윤덕</t>
  </si>
  <si>
    <t>(포항)STS제강부 2제강공장</t>
  </si>
  <si>
    <t>jilydrum@posco.co.kr</t>
  </si>
  <si>
    <t>2022-03-25 09:03:48</t>
  </si>
  <si>
    <t>Q4377410 Air Filter로 승인처리 합니다.</t>
  </si>
  <si>
    <t>Q4555379</t>
  </si>
  <si>
    <t>[YZ-500V-3131-P2/YOZIN]x310Wx310Lx45T,OR EQUIVALENT</t>
  </si>
  <si>
    <t>YZ-500V-3131-P2</t>
  </si>
  <si>
    <t>220323_카달로그_양압공기정화설비 필터 사양_(주)여진_20220323174502468.pdf</t>
  </si>
  <si>
    <t>APS 프리필터_20220316140952635.jpg</t>
  </si>
  <si>
    <t>2022-03-25 09:03:10</t>
  </si>
  <si>
    <t>Q4377409 Air Filter로 승인처리 합니다.</t>
  </si>
  <si>
    <t>Q4555380</t>
  </si>
  <si>
    <t>[YZ-500V-3131-M3/YOZIN]x310Wx310Lx75T,OR EQUIVALENT</t>
  </si>
  <si>
    <t>YZ-500V-3131-M3</t>
  </si>
  <si>
    <t>220323_카달로그_양압공기정화설비 필터 사양_(주)여진_20220323174530724.pdf</t>
  </si>
  <si>
    <t>APS 미디엄필터_20220316141508667.jpg</t>
  </si>
  <si>
    <t>2022-03-25 09:03:02</t>
  </si>
  <si>
    <t>Q4555382</t>
  </si>
  <si>
    <t>[YZ-500V-3131-H3/YOZIN]x310Wx310Lx75T,OR EQUIVALENT</t>
  </si>
  <si>
    <t>YZ-500V-3131-H3</t>
  </si>
  <si>
    <t>220323_카달로그_양압공기정화설비 필터 사양_(주)여진_20220323174609830.pdf</t>
  </si>
  <si>
    <t>APS 헤파필터-1_20220316142548859.jpg</t>
  </si>
  <si>
    <t>Q4555383</t>
  </si>
  <si>
    <t>[YZ-IAQ-2424-P2/YOZIN]x594Wx594Lx45T</t>
  </si>
  <si>
    <t>YZ-IAQ-2424-P2</t>
  </si>
  <si>
    <t>220323_카달로그_양압공기정화설비 필터 사양_(주)여진_20220323174330133.pdf</t>
  </si>
  <si>
    <t>PRU 프리필터-1_20220316142914091.jpg</t>
  </si>
  <si>
    <t>2022-03-25 09:03:00</t>
  </si>
  <si>
    <t>Q4556613</t>
  </si>
  <si>
    <t>[RFM BN/HC 165G/HYDAC]xOD73.5x206L_10micron_BETAMICRON,130bar_FOR COATER UNIT ACL LINE INDIA</t>
  </si>
  <si>
    <t>RFM BN/HC 165G</t>
  </si>
  <si>
    <t>FOR COATER UNIT ACL LINE INDIA</t>
  </si>
  <si>
    <t>HYDAC RETURN FILTER_20220406133553075.pdf</t>
  </si>
  <si>
    <t>https://www.hydac.com/fileadmin/pdb/pdf/PRO0000000000000000000071061020011.pdf</t>
  </si>
  <si>
    <t>RFM BNHC_20220406140523072.jpg</t>
  </si>
  <si>
    <t>Himanshu Prakash Valsangkar</t>
  </si>
  <si>
    <t>CAL/ACL Mech. Maint.</t>
  </si>
  <si>
    <t>himanshu.valsangkar@posco.net</t>
  </si>
  <si>
    <t>2022-04-07 14:04:59</t>
  </si>
  <si>
    <t>Q4556620</t>
  </si>
  <si>
    <t>[LF3325/FLEETGUARD]xOD116x287L_STRATAPORE_84L/MIN_FOR PZSS HAPL ELECTRIC GENERATOR</t>
  </si>
  <si>
    <t>LF3325</t>
  </si>
  <si>
    <t>FLEETGUARD</t>
  </si>
  <si>
    <t xml:space="preserve">84L/MIN </t>
  </si>
  <si>
    <t>FOR PZSS HAPL ELECTRIC GENERATOR</t>
  </si>
  <si>
    <t>ef8faf7de2ba55a7285990de3e031b55_20220303112248619.pdf</t>
  </si>
  <si>
    <t>https://www.shanghaifleetguard.com/uploads/20180608/ef8faf7de2ba55a7285990de3e031b55.pdf</t>
  </si>
  <si>
    <t>搜狗截图20220303103059_20220303112952515.jpg</t>
  </si>
  <si>
    <t>韩伟伟</t>
  </si>
  <si>
    <t>退火酸洗整备科</t>
  </si>
  <si>
    <t>hanww@posco.net</t>
  </si>
  <si>
    <t>张江波</t>
  </si>
  <si>
    <t>zhangjb@posco.net</t>
  </si>
  <si>
    <t>2022-04-07 15:04:12</t>
  </si>
  <si>
    <t>Q4557038</t>
  </si>
  <si>
    <t>INVERTER[FR-BSF01/MITSUBISHI],AC 3PHASE,380/440V</t>
  </si>
  <si>
    <t>FR-BSF01</t>
  </si>
  <si>
    <t>img-408174546_20220408211832162.pdf</t>
  </si>
  <si>
    <t xml:space="preserve">: https://www.mitsubishielectric.com </t>
  </si>
  <si>
    <t>IMG_20220407_135319_20220407172535918.jpg</t>
  </si>
  <si>
    <t>Sushant Mane</t>
  </si>
  <si>
    <t>PCM Elect. Maint.</t>
  </si>
  <si>
    <t>sushant.m@posco.net</t>
  </si>
  <si>
    <t>2022-04-12 13:04:45</t>
  </si>
  <si>
    <t>Q4557917</t>
  </si>
  <si>
    <t>[NH-3100/SEYANG]+65A,ID65xOD65,FACE TO FACE 600MM,FOR P2H ROLL SHOP AIR DRYER AIR FILTER,OR EQUIVALENT</t>
  </si>
  <si>
    <t>65A</t>
  </si>
  <si>
    <t>FACE TO FACE 600MM</t>
  </si>
  <si>
    <t>FOR P2H ROLL SHOP AIR DRYER AIR FILTER</t>
  </si>
  <si>
    <t>NH-3100_20220420170438328.jpg</t>
  </si>
  <si>
    <t>3100_20220317111331536_20220420170438377.png</t>
  </si>
  <si>
    <t>kjh1784@posco.co.kr</t>
  </si>
  <si>
    <t>김은필</t>
  </si>
  <si>
    <t>huuroo@posco.co.kr</t>
  </si>
  <si>
    <t>2022-04-21 08:04:27</t>
  </si>
  <si>
    <t>Q4558103</t>
  </si>
  <si>
    <t>TRANCEIVERS/MEDIA FILTERS,[CH-PO-C-PS-1/COHANES NETWORKS]+USB PORT, BUZZER, LED LAMP,3.6V,RF CERTIFICATE (R-C-H10-SACON-20-AN-5),FOR P-3CC CRANE APPROACH NOTIFICATION TRANSMITTER,OR EQUIVALENT</t>
  </si>
  <si>
    <t>CH-PO-C-PS-1</t>
  </si>
  <si>
    <t>COHANES NETWORKS</t>
  </si>
  <si>
    <t>USB PORT, BUZZER, LED LAMP</t>
  </si>
  <si>
    <t>RF CERTIFICATE (R-C-H10-SACON-20-AN-5)</t>
  </si>
  <si>
    <t>FOR P-3CC CRANE APPROACH NOTIFICATION TRANSMITTER</t>
  </si>
  <si>
    <t>무선 데이타 통신 무선기기 사용 인증서 SACON-20-AN-5(한림기술)_20220422135021068.pdf</t>
  </si>
  <si>
    <t>http://www.cohaensnetworks.com/shop/item.php?it_id=1645512238</t>
  </si>
  <si>
    <t>3연주크레인접근개인알림이_20220410110813018_20220422135021215.png</t>
  </si>
  <si>
    <t>오장윤</t>
  </si>
  <si>
    <t>(포항)제강부 조업안전섹션</t>
  </si>
  <si>
    <t>김재근</t>
  </si>
  <si>
    <t>(포항)제강부 3연주공장</t>
  </si>
  <si>
    <t>2022-04-22 16:04:41</t>
  </si>
  <si>
    <t>Q4558104</t>
  </si>
  <si>
    <t>TRANCEIVERS/MEDIA FILTERS,[CH-PO-C-AP-1/COHANES NETWORKS],3.6V,RF CERTIFICATE (R-CRM-H10-SACON-18-WE-1),FOR- P-3CC CRANE APPROACH NOTIFICATION TRANSMITTER,OR EQUIVALENT</t>
  </si>
  <si>
    <t>CH-PO-C-AP-1</t>
  </si>
  <si>
    <t>RF CERTIFICATE (R-CRM-H10-SACON-18-WE-1)</t>
  </si>
  <si>
    <t>FOR- P-3CC CRANE APPROACH NOTIFICATION TRANSMITTER</t>
  </si>
  <si>
    <t>무선 데이타 통신 무선기기 사용 인증서 SACON-18-WE-1(한림기술)_20220422135732944.pdf</t>
  </si>
  <si>
    <t>3연주크레인알림조종석_20220410105047594_20220422135733044.png</t>
  </si>
  <si>
    <t>2022-04-22 16:04:48</t>
  </si>
  <si>
    <t>Q4558959</t>
  </si>
  <si>
    <t>POSCO MOBILITY Core</t>
  </si>
  <si>
    <t>[ULTRA NANO FILTER/CLEAN AIR TECH],ID95xOD145x500L,FUME,75TH,FOR CAPU-300</t>
  </si>
  <si>
    <t>ULTRA NANO FILTER</t>
  </si>
  <si>
    <t>75TH</t>
  </si>
  <si>
    <t>FOR CAPU-300</t>
  </si>
  <si>
    <t>[포스코모빌리티]CAPU-300용 카트리지필터_220429_20220429171408273.pdf</t>
  </si>
  <si>
    <t>http://www.cleanat.com/kr/sub/filter/nano.asp</t>
  </si>
  <si>
    <t>보그워너용접룸집진기필터_20220407143613660_20220429171227659.png</t>
  </si>
  <si>
    <t>이병곤</t>
  </si>
  <si>
    <t>포항생산그룹 제조2(포항)섹션</t>
  </si>
  <si>
    <t>byunggon.lee@poscomobility.com</t>
  </si>
  <si>
    <t>2022-05-02 09:05:23</t>
  </si>
  <si>
    <t>특허제품은 특허기간 내 복수화 불가하니 자체 관리하시기 바랍니다.</t>
  </si>
  <si>
    <t>Q4559126</t>
  </si>
  <si>
    <t>[RFBN/HC240 DE10D1.0/-L110/HYDAC],115bar_ELEMENT 0240R010BN3HC_FOR K1SMP LD SKIRT HYD' UNIT,OR EQUIVALENT</t>
  </si>
  <si>
    <t>RFBN/HC240 DE10D1.0/-L110</t>
  </si>
  <si>
    <t>ELEMENT 0240R010BN3HC</t>
  </si>
  <si>
    <t>FOR K1SMP LD SKIRT HYD' UNIT</t>
  </si>
  <si>
    <t>1전로_skirt_Return Filter_20220503110745148.jpg</t>
  </si>
  <si>
    <t>https://www.hydac.com/kr-ko/products/filtration-and-fluid-conditioning/show/Material/index.html</t>
  </si>
  <si>
    <t>1전로_skirt_ReturnFilter_20220418091745109_20220419092000658.jpg</t>
  </si>
  <si>
    <t>2022-05-03 16:05:54</t>
  </si>
  <si>
    <t>Q4559365</t>
  </si>
  <si>
    <t>[SK-12/SHC]xOD118x355L_100mesh_ALUMINIUM,10bar,OIL_THREAD:-PT 1 1/2",SCREW THREAD_FOR PMH PL ENTRY FLATTENER GEAR LUBRICATION FILTER</t>
  </si>
  <si>
    <t>SK-12</t>
  </si>
  <si>
    <t>THREAD:-PT 1 1/2",SCREW THREAD</t>
  </si>
  <si>
    <t>FOR PMH PL ENTRY FLATTENER GEAR LUBRICATION FILTER</t>
  </si>
  <si>
    <t>http://se-jin.co.kr/</t>
  </si>
  <si>
    <t>SK-12_20220509111228285.png</t>
  </si>
  <si>
    <t>Rohit More</t>
  </si>
  <si>
    <t>PCM Mech. Maint.</t>
  </si>
  <si>
    <t>r.more@posco.net</t>
  </si>
  <si>
    <t>2022-05-09 11:05:46</t>
  </si>
  <si>
    <t>Q4559386</t>
  </si>
  <si>
    <t>WATER,[P/N;22101,EXPE-PC PACK/MIRAEST]x315Wx73Lx155T,4bar</t>
  </si>
  <si>
    <t>P/N;22101,EXPE-PC PACK</t>
  </si>
  <si>
    <t>MIRAEST</t>
  </si>
  <si>
    <t>규격서-Expe-RO Ele20(포스코케미칼)_20220502094102327.pdf</t>
  </si>
  <si>
    <t>http://www.miraest.co.kr/contents/product/product01_2_2_view.htm?sm=2_</t>
  </si>
  <si>
    <t>PC PACK_20220429093252871.PNG</t>
  </si>
  <si>
    <t>이문용</t>
  </si>
  <si>
    <t>연구기획그룹</t>
  </si>
  <si>
    <t>munyong@poscofuturem.com</t>
  </si>
  <si>
    <t>2022-05-09 13:05:52</t>
  </si>
  <si>
    <t>Q4559465</t>
  </si>
  <si>
    <t>[IHF-S-Q60*150L/ILHUNG],STAINLESS,FOR 4FCWM,OR EQUIVALENT</t>
  </si>
  <si>
    <t>IHF-S-Q60*150L</t>
  </si>
  <si>
    <t>ILHUNG</t>
  </si>
  <si>
    <t>FOR 4FCWM</t>
  </si>
  <si>
    <t>집진기 데미스터_20220421111241364.png</t>
  </si>
  <si>
    <t>http://ilhung.com/contant.php?num=2_4_2</t>
  </si>
  <si>
    <t>흄집진기 데미스터 이미지_20220421111241402.png</t>
  </si>
  <si>
    <t>권용국</t>
  </si>
  <si>
    <t>dydrnr97@posco.co.kr</t>
  </si>
  <si>
    <t>박지훈</t>
  </si>
  <si>
    <t>(포항)설비기술부 토건설비섹션</t>
  </si>
  <si>
    <t>wlgns6220@posco.co.kr</t>
  </si>
  <si>
    <t>2022-05-10 08:05:07</t>
  </si>
  <si>
    <t>Q4559466</t>
  </si>
  <si>
    <t>[IHF-A-Q265*250L/ILHUNG],ACRYLIC,FOR 4F-CWM,OR EQUIVALENT</t>
  </si>
  <si>
    <t>IHF-A-Q265*250L</t>
  </si>
  <si>
    <t>FOR 4F-CWM</t>
  </si>
  <si>
    <t>집진기 분진필터_20220421111449159.png</t>
  </si>
  <si>
    <t>흄집진기 분진필터 사진_20220421111449178.png</t>
  </si>
  <si>
    <t>2022-05-10 08:05:41</t>
  </si>
  <si>
    <t>Q4559469</t>
  </si>
  <si>
    <t>[IHF-S-Q100/ILHUNG]_STEEL,FOR 4F-CWM,OR EQUIVALENT</t>
  </si>
  <si>
    <t>IHF-S-Q100</t>
  </si>
  <si>
    <t xml:space="preserve">FOR 4F-CWM </t>
  </si>
  <si>
    <t>IHF-S-Q100_20220510081240456.png</t>
  </si>
  <si>
    <t>흄 집진기 벤트필터 이미지_20220421111404936.png</t>
  </si>
  <si>
    <t>2022-05-10 08:05:40</t>
  </si>
  <si>
    <t>Q4559470</t>
  </si>
  <si>
    <t>[IHF-Q295LX188H/ILHUNG]_STEEL,OR EQUIVALENT</t>
  </si>
  <si>
    <t>IHF-Q295LX188H</t>
  </si>
  <si>
    <t>집진기 방음필터_20220421111524238.png</t>
  </si>
  <si>
    <t>흄집진기 방음필터 이미지_20220421111524258.png</t>
  </si>
  <si>
    <t>2022-05-10 08:05:44</t>
  </si>
  <si>
    <t>Q4559471</t>
  </si>
  <si>
    <t>[IHF-S-Q325-290L/ILHUNG]_STEEL,FOR 4F-CWM,OR EQUIVALENT</t>
  </si>
  <si>
    <t>IHF-S-Q325-290L</t>
  </si>
  <si>
    <t>집진기 프리필터_20220421111312766.png</t>
  </si>
  <si>
    <t>흄집진기 프리필터 이미지_20220615133025275.png</t>
  </si>
  <si>
    <t>2022-06-16 13:06:07</t>
  </si>
  <si>
    <t>Q4559865</t>
  </si>
  <si>
    <t>[CWMF-3318-BS/CHEONGWOO C&amp;T]x360Wx360Lx180T,GLASS FIBER</t>
  </si>
  <si>
    <t>CWMF-3318-BS</t>
  </si>
  <si>
    <t>CHEONGWOO C&amp;T</t>
  </si>
  <si>
    <t>https://cwcnt.com/product/cwmf-3318-bs-%EC%8B%A0%EC%84%B8%ED%8B%B1-%EB%B0%B1-%ED%95%84%ED%84%B0-%EC%A0%81%EC%9A%A9%EB%AA%A8%EB%8D%B8cafu-14-01/79/category/94/display/1/</t>
  </si>
  <si>
    <t>청우씨엔티_백필터_CWMF-3318-BS_20220512093255659_20220512160000862.JPG</t>
  </si>
  <si>
    <t>권해준</t>
  </si>
  <si>
    <t>천연흑연제품개발섹션</t>
  </si>
  <si>
    <t>hejun0113@poscofuturem.com</t>
  </si>
  <si>
    <t>2022-05-13 08:05:15</t>
  </si>
  <si>
    <t>Q4559867</t>
  </si>
  <si>
    <t>[CWMF-3314/CHEONGWOO C&amp;T]x330Wx330Lx150T</t>
  </si>
  <si>
    <t>CWMF-3314</t>
  </si>
  <si>
    <t>https://cwcnt.com/product/cwmf-3314-%EC%9C%A0%ED%95%B4%EA%B0%80%EC%8A%A4-%EC%A0%95%ED%99%94%EA%B8%B0-%EB%A9%94%EC%9D%B8%ED%95%84%ED%84%B0-%EC%A0%81%EC%9A%A9%EB%AA%A8%EB%8D%B8cafu-0205061314-01/39/category/94/display/1/</t>
  </si>
  <si>
    <t>청우씨엔티_메인필터_CWMF3314_20220512092929184_20220512160000515.JPG</t>
  </si>
  <si>
    <t>2022-05-13 08:05:59</t>
  </si>
  <si>
    <t>2.0630 PWR10-A00-0-M</t>
  </si>
  <si>
    <t>FOR P2H DC HYDRAULIC PUMP FILTER</t>
  </si>
  <si>
    <t>dchydfilter_20220504104722326_20250516161411240.jpg</t>
  </si>
  <si>
    <t>김도형</t>
  </si>
  <si>
    <t>dobro1205@posco.co.kr</t>
  </si>
  <si>
    <t>2025-05-21 08:05:59</t>
  </si>
  <si>
    <t>사용부서 복수화 불가사유:DC Hyd' Pump 및 System에 맞춰 설계,조립된 특정 사양품이므로 스펙상 다 Maker 호환사용이 불가</t>
  </si>
  <si>
    <t>Q4560349</t>
  </si>
  <si>
    <t>HYDRAULIC,[TA 46 B10 B001 P01/MP FILTRI],ID28xOD30x52Wx110L,10micron,POLYURETHAN,200L/MIN.,AIR BREATHER FOR EAF ELECTRODE TILTING STATION- HYD TANK</t>
  </si>
  <si>
    <t>TA 46 B10 B001 P01</t>
  </si>
  <si>
    <t>MP FILTRI</t>
  </si>
  <si>
    <t>AIR BREATHER FOR EAF ELECTRODE TILTING STATION- HYD TANK</t>
  </si>
  <si>
    <t>TA 46 B10 B001 P01 (PAGE 46,47)_20220517163048180.pdf</t>
  </si>
  <si>
    <t>ta 46_20220517164005495.jpg</t>
  </si>
  <si>
    <t>2022-05-18 13:05:44</t>
  </si>
  <si>
    <t>Q4560351</t>
  </si>
  <si>
    <t>HYDRAULIC,[MPA 045 M90 P01/MP FILTRI]xOD70x160L,90micron,WIRE MESH,875L/MIN.,FILTER WITHOUT MAGNETIC COLUMN FOR EAF ELECTRODE TILTING STATION- HYD TANK</t>
  </si>
  <si>
    <t>MPA 045 M90 P01</t>
  </si>
  <si>
    <t>FILTER WITHOUT MAGNETIC COLUMN FOR EAF ELECTRODE TILTING STATION- HYD TANK</t>
  </si>
  <si>
    <t>MPA045-M90_20220517172814142.pdf</t>
  </si>
  <si>
    <t>MPA045-M90_20220517173350472.jpg</t>
  </si>
  <si>
    <t>2022-05-18 13:05:53</t>
  </si>
  <si>
    <t>Q4560633</t>
  </si>
  <si>
    <t>[PI2111-057/MAHLE]_ID66x352Wx172Lx189T,32bar_FOR ECS FLUID COUPLING OIL FILTER,OR EQUIVALENT</t>
  </si>
  <si>
    <t>PI2111-057</t>
  </si>
  <si>
    <t>FOR ECS FLUID COUPLING OIL FILTER</t>
  </si>
  <si>
    <t>http://www.gutmark.com/UserFiles/File/pi210_ng600_en.pdf</t>
  </si>
  <si>
    <t>filter 사진_20220607171209665.png</t>
  </si>
  <si>
    <t>임종윤</t>
  </si>
  <si>
    <t>(광양)제선설비부 화성정비섹션</t>
  </si>
  <si>
    <t>손용희</t>
  </si>
  <si>
    <t>thsdydgml@posco.co.kr</t>
  </si>
  <si>
    <t>2022-06-08 15:06:08</t>
  </si>
  <si>
    <t>Q4560774</t>
  </si>
  <si>
    <t>AIR,AIR,[FB-137/JUNGDO TECHNOLOGY ENVIRONMENT]xOD137x1700Lx6T,NOMEX,5BAR,50NM3/MIN,550G/M2, MAX TEMPERATURE 200DEG CELCIUS,ACID RESISTANCE AND WATER PROOF TREATMENT,FOR DUST COLLECTOR FILTER BAG FOR ROTARY KILN</t>
  </si>
  <si>
    <t>FB-137</t>
  </si>
  <si>
    <t>JUNGDO TECHNOLOGY ENVIRONMENT</t>
  </si>
  <si>
    <t>550G/M2, MAX TEMPERATURE 200DEG CELCIUS,ACID RESISTANCE AND WATER PROOF TREATMENT</t>
  </si>
  <si>
    <t>FOR DUST COLLECTOR FILTER BAG FOR ROTARY KILN</t>
  </si>
  <si>
    <t>FILTER BAG - SNAP RING TYPE_20220518111717640.pdf</t>
  </si>
  <si>
    <t>Resized_20210504_100138_20220518111717676.jpg</t>
  </si>
  <si>
    <t>최용운</t>
  </si>
  <si>
    <t>세종음극재정비섹션</t>
  </si>
  <si>
    <t>yongun20@poscofuturem.com</t>
  </si>
  <si>
    <t>김종원</t>
  </si>
  <si>
    <t>음극재1공장</t>
  </si>
  <si>
    <t>kjwkobra@poscofuturem.com</t>
  </si>
  <si>
    <t>2022-05-23 09:05:16</t>
  </si>
  <si>
    <t>Q4560856</t>
  </si>
  <si>
    <t>HYDRAULIC,[P-UL-06A-50UK/TAISEI KOGYO]xOD62.2x155.3L,50MICRON,NOTCH WIRE,OR EQUIVALENT</t>
  </si>
  <si>
    <t>P-UL-06A-50UK</t>
  </si>
  <si>
    <t>http://www.taiseikogyo.co.jp/en/product/filter/inline/pdf/ul_catalog.pdf</t>
  </si>
  <si>
    <t>210316_광)선강설비소결정비_(신규이명준)소결청정GGHLOUHydraulicFilter_20220506134753303_20220509161000858.jpg</t>
  </si>
  <si>
    <t>(광양)제선설비부 소결정비섹션</t>
  </si>
  <si>
    <t>2022-05-23 15:05:39</t>
  </si>
  <si>
    <t>Q4561392</t>
  </si>
  <si>
    <t>[6905 117 F1/HAWE]xOD76x93L,6micron,IMPREGNATED PAPER,FOR GRINDING MACHINE HEADSTOCK CLAMPING UNIT OIL FILTER</t>
  </si>
  <si>
    <t>6905 117 F1</t>
  </si>
  <si>
    <t>FOR GRINDING MACHINE HEADSTOCK CLAMPING UNIT OIL FILTER</t>
  </si>
  <si>
    <t>Hawe D6905 AB_20220527115649403.pdf</t>
  </si>
  <si>
    <t>https://downloads.hawe.com/6/9/D6905_AB-en.pdf</t>
  </si>
  <si>
    <t>Hawe Oil Filter_20220527121041679.jpg</t>
  </si>
  <si>
    <t>DANIEL</t>
  </si>
  <si>
    <t>HSM Task Force Unit</t>
  </si>
  <si>
    <t>HANINDITO HAIDAR SATRIO</t>
  </si>
  <si>
    <t>hanindito.hs@krakatauposco.co.id</t>
  </si>
  <si>
    <t>2022-05-27 16:05:09</t>
  </si>
  <si>
    <t>Q4325339 If the unit is wrong, please apply for DPR</t>
  </si>
  <si>
    <t>Q4561627</t>
  </si>
  <si>
    <t>ELECTRONIC[SN-E15H-CM/ORIENTELECTRONICS],AC 1PHASE,250V,15A</t>
  </si>
  <si>
    <t>SN-E15H-CM</t>
  </si>
  <si>
    <t>ORIENTELECTRONICS</t>
  </si>
  <si>
    <t>https://www.orientelec.co.kr/s2/s2_1.php?ca_id=30</t>
  </si>
  <si>
    <t>SN-E15H-CM_20220517102408960_20220526085000134.JPG</t>
  </si>
  <si>
    <t>박가람</t>
  </si>
  <si>
    <t>구미양극재정비섹션</t>
  </si>
  <si>
    <t>gg9845@poscofuturem.com</t>
  </si>
  <si>
    <t>2022-05-31 07:05:38</t>
  </si>
  <si>
    <t>Q4561901</t>
  </si>
  <si>
    <t>[SPF-SS-10/INCS]xOD25x130Lx1.7T,10mesh,SUS316,OR EQUIVALENT</t>
  </si>
  <si>
    <t>SPF-SS-10</t>
  </si>
  <si>
    <t>INCS</t>
  </si>
  <si>
    <t>http://www.e-incs.co.kr/?c=11/91/113&amp;uid=159</t>
  </si>
  <si>
    <t>MESHFILTER_20220519165140957_20220602140311517.jpg</t>
  </si>
  <si>
    <t>최흥길</t>
  </si>
  <si>
    <t>(포항)EIC기술부 계장정비섹션</t>
  </si>
  <si>
    <t>이상진</t>
  </si>
  <si>
    <t>mykabin21@posco.co.kr</t>
  </si>
  <si>
    <t>2022-06-02 15:06:11</t>
  </si>
  <si>
    <t>향후 일반화 추진은 어렵다고 판단되니 대체품 발굴하여 복수화 추진바랍니다.</t>
  </si>
  <si>
    <t>Q4561904</t>
  </si>
  <si>
    <t>[SPF-SS-03/INCS]xOD25x130Lx1.7T,3mesh,SUS316,OR EQUIVALENT</t>
  </si>
  <si>
    <t>SPF-SS-03</t>
  </si>
  <si>
    <t>MESHFILTER_20220519164631746_20220602140658972.jpg</t>
  </si>
  <si>
    <t>2022-06-02 15:06:28</t>
  </si>
  <si>
    <t>일반화 추진은 어렵다고 판단되니, 대체품 발굴하여 복수화 추진바랍니다.</t>
  </si>
  <si>
    <t>Q4562066</t>
  </si>
  <si>
    <t>[YZ-SMF-M2/YOZIN]x500Wx500Lx50T,GLASS FIBER/AL,FOR 1CAL OILER FILTER,OR EQUIVALENT</t>
  </si>
  <si>
    <t>YZ-SMF-M2</t>
  </si>
  <si>
    <t>FOR 1CAL OILER FILTER</t>
  </si>
  <si>
    <t>http://www.yozin.co.kr/sub02/p9_1.html</t>
  </si>
  <si>
    <t>YZ-SMF-M2_20220502094345252_20220503084000186.jpg</t>
  </si>
  <si>
    <t>박정호</t>
  </si>
  <si>
    <t>(포항)냉연부 조업안전섹션</t>
  </si>
  <si>
    <t>hopark08@posco.co.kr</t>
  </si>
  <si>
    <t>권수용</t>
  </si>
  <si>
    <t>(포항)냉연부 1냉연공장</t>
  </si>
  <si>
    <t>ksyong@posco.co.kr</t>
  </si>
  <si>
    <t>2022-06-03 16:06:09</t>
  </si>
  <si>
    <t xml:space="preserve">특정사양품(단수) 부서장 승인서 양식 변경되었는데 11항 미작성_x000D_
* (11)특허등록 번호 (특허품이 아닌 경우 해당없음으로 기입) → 특허품이면 특허번호 확인해서 CPR 올리십시오_x000D_
* [필독] 특정사양품(단수) 부서장 승인서 양식 변경 안내 참조_x000D_
</t>
  </si>
  <si>
    <t>Q4562170</t>
  </si>
  <si>
    <t>[FMP1352BAG2A10NP01/MPFILTRI]x104Wx334L,320BAR,10MICRON_FOR WAVINESS</t>
  </si>
  <si>
    <t>FMP1352BAG2A10NP01</t>
  </si>
  <si>
    <t>MPFILTRI</t>
  </si>
  <si>
    <t>FOR WAVINESS</t>
  </si>
  <si>
    <t>F.T. FMP135_HP135_20220607012523998.pdf</t>
  </si>
  <si>
    <t>https://www.mpfiltri.com/products/hydraulic-filtration-1/in-line-filters-80-bar-high-pressure-11/fmp.html#0</t>
  </si>
  <si>
    <t>Filter FMP135_ HP135_20220607012919958.JPG</t>
  </si>
  <si>
    <t>Hernández Santiago Felipe Neri</t>
  </si>
  <si>
    <t>Sección de Pruebas Físicas</t>
  </si>
  <si>
    <t>felipe.hernandez@posco.net</t>
  </si>
  <si>
    <t>2022-06-07 09:06:37</t>
  </si>
  <si>
    <t>명판 이미지 검증자료 OK</t>
  </si>
  <si>
    <t>Q4562893</t>
  </si>
  <si>
    <t>HYDRAULIC,[LPF W/HC 240 G E 100 D 1.X /-L24-A2-B3/HYDAC],100micron,9bar,240L/MIN,FOR MANDREL REDUCER  CIRCULATION</t>
  </si>
  <si>
    <t>LPF W/HC 240 G E 100 D 1.X /-L24-A2-B3</t>
  </si>
  <si>
    <t>FOR MANDREL REDUCER  CIRCULATION</t>
  </si>
  <si>
    <t>Posco 220cst 100 mikron_20220613154042019.pdf</t>
  </si>
  <si>
    <t>HİDROLİK FİLİTRE_20220613154245385.png</t>
  </si>
  <si>
    <t>ABDULLAH FURUNCU</t>
  </si>
  <si>
    <t>abdullah.furuncu@poscoassan.com</t>
  </si>
  <si>
    <t>2022-06-14 09:06:56</t>
  </si>
  <si>
    <t>Q4563014</t>
  </si>
  <si>
    <t>POSCO-ICPC</t>
  </si>
  <si>
    <t>HYDRAULIC,[P/N:YK0812A4/ACE],100kg/cm2,RETURN FILTER,03TON FOR FORKLIFT HYDRAULIC SYSTEM</t>
  </si>
  <si>
    <t>P/N:YK0812A4</t>
  </si>
  <si>
    <t>ACE</t>
  </si>
  <si>
    <t>RETURN FILTER</t>
  </si>
  <si>
    <t>03TON FOR FORKLIFT HYDRAULIC SYSTEM</t>
  </si>
  <si>
    <t>Retrun Filter- 03 Ton Ace Forklift_20220614160217250.jpg</t>
  </si>
  <si>
    <t>Return Oil Filter_20220614155923168.jpg</t>
  </si>
  <si>
    <t>Parthasarathy M</t>
  </si>
  <si>
    <t>Engineering &amp; Maintenance</t>
  </si>
  <si>
    <t>parthasarathy@posco.net</t>
  </si>
  <si>
    <t>2022-06-15 08:06:25</t>
  </si>
  <si>
    <t>Q4563102</t>
  </si>
  <si>
    <t>AIR,[P/N:100IFET 150000(INDEX NO3), FOR HTC90/HHITMC],100mesh,FOR 3PL AIR COMPRESSOR,OR EQUIVALENT</t>
  </si>
  <si>
    <t>P/N:100IFET 150000(INDEX NO3), FOR HTC90</t>
  </si>
  <si>
    <t>HHITMC</t>
  </si>
  <si>
    <t>FOR 3PL AIR COMPRESSOR</t>
  </si>
  <si>
    <t>3후판 에어컴퓨레사 필터_20220613135417091.jpg</t>
  </si>
  <si>
    <t>내장형 필터_20220426101657325.jpg</t>
  </si>
  <si>
    <t>(포항)후판부 조업안전섹션</t>
  </si>
  <si>
    <t>조양래</t>
  </si>
  <si>
    <t>(포항)후판부 1후판공장</t>
  </si>
  <si>
    <t>jyl46@posco.co.kr</t>
  </si>
  <si>
    <t>2022-06-15 13:06:32</t>
  </si>
  <si>
    <t>Q4563113</t>
  </si>
  <si>
    <t>[BALL AUTOMATIC FILTER 6.64.07 DN100/BOLLFILER PROTECTION SYSTEM]_ID100xOD220x907Wx1350L_200micron_CAST IRON_STS STEEL,5bar_WITH SLUDGE CHECKER FILTER,OPERATION CONTROLLER_FOR P1H OIL CELLAR AUTO STRAINER,OR EQUIVALENT</t>
  </si>
  <si>
    <t>BALL AUTOMATIC FILTER 6.64.07 DN100</t>
  </si>
  <si>
    <t>BOLLFILER PROTECTION SYSTEM</t>
  </si>
  <si>
    <t>WITH SLUDGE CHECKER FILTER,OPERATION CONTROLLER</t>
  </si>
  <si>
    <t>FOR P1H OIL CELLAR AUTO STRAINER</t>
  </si>
  <si>
    <t>Oil Automatic filter 6.64type카다로그_20220615102559510.pdf</t>
  </si>
  <si>
    <t>https://www.bollfilter.com/filters/detail/bollfilter-automatic-type-664-automatic-self-cleaning-filter-for-large-engines</t>
  </si>
  <si>
    <t>DN100_20220615102559626.jpg</t>
  </si>
  <si>
    <t>2022-06-15 14:06:45</t>
  </si>
  <si>
    <t>Q4563436</t>
  </si>
  <si>
    <t>[WSP 103/WSTF],3400WX9700L,PP,WITH NEED INSTALL ZIPPER,OR EQUIVALENT</t>
  </si>
  <si>
    <t>WSP 103</t>
  </si>
  <si>
    <t>WSTF</t>
  </si>
  <si>
    <t xml:space="preserve">WITH NEED INSTALL ZIPPER </t>
  </si>
  <si>
    <t>WS P103_20220620073829813.png</t>
  </si>
  <si>
    <t>https://wsung.com</t>
  </si>
  <si>
    <t>필터크로스지퍼_20230525150532176.jpg</t>
  </si>
  <si>
    <t>이우진</t>
  </si>
  <si>
    <t>ulkudu@posco.co.kr</t>
  </si>
  <si>
    <t>정화중</t>
  </si>
  <si>
    <t>(광양)제선부 2제선공장</t>
  </si>
  <si>
    <t>vicman@posco.co.kr</t>
  </si>
  <si>
    <t>2023-05-26 09:05:45</t>
  </si>
  <si>
    <t>Q4563804</t>
  </si>
  <si>
    <t>[LM-EXL7-1M/VIVAGEN]_4EA/PK</t>
  </si>
  <si>
    <t>LM-EXL7-1M</t>
  </si>
  <si>
    <t>VIVAGEN</t>
  </si>
  <si>
    <t>4EA/PK</t>
  </si>
  <si>
    <t>http://www.vivagen.co.kr/bbs/board.php?tbl=vivagen&amp;mode=VIEW&amp;num=50&amp;category=Type+%A5%B1+%26+Type+%A5%B0++++++Pure+%26+Ultrapure+water&amp;findType=&amp;findWord=&amp;sort1=&amp;sort2=&amp;s1=&amp;s2=&amp;s3=&amp;s4=&amp;page=1</t>
  </si>
  <si>
    <t>[VIVAGEN]LM-EXL7-1M_20220616151439769_20220617101000302.jpg</t>
  </si>
  <si>
    <t>송인준</t>
  </si>
  <si>
    <t>dlswns6402@poscofuturem.com</t>
  </si>
  <si>
    <t>2022-06-22 10:06:16</t>
  </si>
  <si>
    <t>모델명은 이미지 확인가능으로 승인처리 합니다.</t>
  </si>
  <si>
    <t>Q4564244</t>
  </si>
  <si>
    <t>[LM-EXL7-5M/VIVAGEN]x80Dx250L_PP_4EA/PK</t>
  </si>
  <si>
    <t>LM-EXL7-5M</t>
  </si>
  <si>
    <t xml:space="preserve">http://www.vivagen.co.kr/bbs/board.php?tbl=vivagen&amp;mode=VIEW&amp;num=50&amp;category=Type+%A5%B1+%26+Type+%A5%B0++++++Pure+%26+Ultrapure+water&amp;findType=&amp;findWord=&amp;sort1=&amp;sort2=&amp;s1=&amp;s2=&amp;s3=&amp;s4=&amp;page=1 </t>
  </si>
  <si>
    <t>[VIVAGEN] LM-EXL7-5M_20220623082745095.jpg</t>
  </si>
  <si>
    <t>2022-06-27 09:06:09</t>
  </si>
  <si>
    <t>이미지 모델/메이커 검증 가능으로 승인처리 합니다.</t>
  </si>
  <si>
    <t>Q4564320</t>
  </si>
  <si>
    <t>TRANCEIVER,[REAL X2 PLUS/DNF KOREA],3.7V LI-ION BATTERY,REAL X2 + REAL X PTT</t>
  </si>
  <si>
    <t>REAL X2 PLUS</t>
  </si>
  <si>
    <t>DNF KOREA</t>
  </si>
  <si>
    <t>REAL X2 + REAL X PTT</t>
  </si>
  <si>
    <t>https://www.realx1.com/product/REALX2PLUS</t>
  </si>
  <si>
    <t>리얼엑스투_20220502104204474_20220627112423010.png</t>
  </si>
  <si>
    <t>윤명수</t>
  </si>
  <si>
    <t>금형연구그룹 금형제작섹션</t>
  </si>
  <si>
    <t>min200w2@poscomobility.com</t>
  </si>
  <si>
    <t>노유광</t>
  </si>
  <si>
    <t>yk.roh@poscomobility.com</t>
  </si>
  <si>
    <t>2022-06-27 15:06:03</t>
  </si>
  <si>
    <t>Q4564936</t>
  </si>
  <si>
    <t>AIR(DUST),AIR,[D/N:AR2206-PCH0002/AERIX],ID65xOD143x1000Lx1.6T,10micron,NOMEX/PTFE MEMBRANE,50M3/MIN,450KG/CM2, MAX TEMPERATURE 190 CELCIUS, MAX 210, FINAL-TREATMENT EPTFE MEMBRANE,50M3/MIN, DUST COLLECTOR FOR ROTARY KILN</t>
  </si>
  <si>
    <t>D/N:AR2206-PCH0002</t>
  </si>
  <si>
    <t>450KG/CM2, MAX TEMPERATURE 190 CELCIUS, MAX 210, FINAL-TREATMENT EPTFE MEMBRANE</t>
  </si>
  <si>
    <t xml:space="preserve">50M3/MIN, DUST COLLECTOR FOR ROTARY KILN </t>
  </si>
  <si>
    <t>주룸필터 NOMEX+PTFE Membrane (143x1000L)_20220630131140840.pdf</t>
  </si>
  <si>
    <t>1655701400932_20221017131208768.jpg</t>
  </si>
  <si>
    <t>2022-10-19 08:10:44</t>
  </si>
  <si>
    <t>Q4565011</t>
  </si>
  <si>
    <t>[NX300/NEUROS]x500Wx350Lx40T,SYNTHETIC FIBER,FOR 2BET UTILITY TUBO BLOWER MAIN FILTER</t>
  </si>
  <si>
    <t>NX300</t>
  </si>
  <si>
    <t>NEUROS</t>
  </si>
  <si>
    <t>FOR 2BET UTILITY TUBO BLOWER MAIN FILTER</t>
  </si>
  <si>
    <t>NX300_20220704134059451.png</t>
  </si>
  <si>
    <t>http://www.neuros.com/bbs/board.php?bo_table=nx_kor&amp;wr_id=7</t>
  </si>
  <si>
    <t>MAIN FILTER_20220623135607119.png</t>
  </si>
  <si>
    <t>신승현</t>
  </si>
  <si>
    <t>포항화성정비섹션</t>
  </si>
  <si>
    <t>skhbb@poscofuturem.com</t>
  </si>
  <si>
    <t>박상현</t>
  </si>
  <si>
    <t>steelglass@poscofuturem.com</t>
  </si>
  <si>
    <t>2022-07-04 13:07:21</t>
  </si>
  <si>
    <t>1.터공급사 제안이 없어서 특정사양품(단수)로 신청했다고 하는데, 지속적으로 관심을 가지고 복수화 추진하십시오._x000D_
2.결재양식이 바뀌었으니 차후에는 신규 양식으로 결재 받으십시오</t>
  </si>
  <si>
    <t>Q4565133</t>
  </si>
  <si>
    <t>[CWAFC-01/SKY TECH AUTOMATION &amp; ROBOTICS],ID45xOD69x1250Lx12T,8mesh,TITANIUM GR5,12kg/cm2,FOR ARP ROASTER SPRAY LINE CONCENTRATION WASTE ACID FILTERING IN ACID REGENERATION PLANT</t>
  </si>
  <si>
    <t>CWAFC-01</t>
  </si>
  <si>
    <t>SKY TECH AUTOMATION &amp; ROBOTICS</t>
  </si>
  <si>
    <t>FOR ARP ROASTER SPRAY LINE CONCENTRATION WASTE ACID FILTERING IN ACID REGENERATION PLANT</t>
  </si>
  <si>
    <t>TITANIUM GR5 CWA FILTER CAGE_20220702133442963.PDF</t>
  </si>
  <si>
    <t>http://staar.co.in/services.php</t>
  </si>
  <si>
    <t>untitled_20220702133443028.png</t>
  </si>
  <si>
    <t>Rohan Todkar</t>
  </si>
  <si>
    <t>rohan.t@posco.net</t>
  </si>
  <si>
    <t>2022-07-05 14:07:50</t>
  </si>
  <si>
    <t>Q4396787 불용코드이면 삭제 신청하십시오</t>
  </si>
  <si>
    <t>Q4565202</t>
  </si>
  <si>
    <t>[B5000131/SEAH ENGINEERING]x401Wx570Lx50T,0.02mesh,SYNTHETIC GLASS FIBER,SYNTHETIC GLASS FIBER,5PCS PER 1BOX,FOR NGT70~NGT100,OR EQUIVALENT</t>
  </si>
  <si>
    <t>B5000131</t>
  </si>
  <si>
    <t>SEAH ENGINEERING</t>
  </si>
  <si>
    <t>5PCS PER 1BOX</t>
  </si>
  <si>
    <t>FOR NGT70~NGT100</t>
  </si>
  <si>
    <t>NG775 , 100 CUBICLE(전장부) MEDIUM FILTER_20220524100149788.pdf</t>
  </si>
  <si>
    <t>http://www.seaheng.co.kr/main.jsp</t>
  </si>
  <si>
    <t>Air Filter Element_20220524100220244.JPG</t>
  </si>
  <si>
    <t>정성화</t>
  </si>
  <si>
    <t>sh1109@posco.co.kr</t>
  </si>
  <si>
    <t>2022-07-06 10:07:25</t>
  </si>
  <si>
    <t>Q4565203</t>
  </si>
  <si>
    <t>[B7001249/SEAH ENGINEERING]x401Wx570Lx20T,0.1mesh,POIYESTER,POLYESTER,10PCS PER 1BOX,FOR NGT70~NGT100,OR EQUIVALENT</t>
  </si>
  <si>
    <t>B7001249</t>
  </si>
  <si>
    <t>10PCS PER 1BOX</t>
  </si>
  <si>
    <t>NG775 , 100 CUBICLE(전장부) PRE FILTER_20220523212655881.pdf</t>
  </si>
  <si>
    <t>Air Filter Element_20220523213037370.JPG</t>
  </si>
  <si>
    <t>2022-07-06 10:07:05</t>
  </si>
  <si>
    <t>Q4565204</t>
  </si>
  <si>
    <t>[B7001187/SEAH ENGINEERING]x680Wx656Lx20T,0.1mesh,POIYESTER,POLYESTER,10PCS PER 1BOX,FOR NGT70~NGT100,OR EQUIVALENT</t>
  </si>
  <si>
    <t>B7001187</t>
  </si>
  <si>
    <t>NG775 , 100 CANOPY(기계부) PRE FILTER_20220524102352436.pdf</t>
  </si>
  <si>
    <t>Air Filter Element_20220524102250242.JPG</t>
  </si>
  <si>
    <t>2022-07-06 11:07:40</t>
  </si>
  <si>
    <t>Q4565205</t>
  </si>
  <si>
    <t>[B5000132/SEAH ENGINEERING]x680Wx656Lx50T,0.02mesh,SYNTHETIC GLASS FIBER,SYNTHETIC GLASS FIBER,5PCS PER 1BOX,FOR NGT70~NGT100,OR EQUIVALENT</t>
  </si>
  <si>
    <t>B5000132</t>
  </si>
  <si>
    <t>NG775 , 100 CANOPY(기계부) MEDIUM FILTER_20220524101736481.pdf</t>
  </si>
  <si>
    <t>Air Filter Element_20220524100543351.JPG</t>
  </si>
  <si>
    <t>2022-07-06 11:07:44</t>
  </si>
  <si>
    <t>Q4565318</t>
  </si>
  <si>
    <t>DECANTER,1400L,[FD2LL-OF-BS2/FINETEC CENTURY],FOR 3CC SLUDGE SYSTEM,SPEED: 8~10M3/HR,WITH GEAR UNIT,PULLEY,OR EQUIVALENT</t>
  </si>
  <si>
    <t>FD2LL-OF-BS2</t>
  </si>
  <si>
    <t>FINETEC CENTURY</t>
  </si>
  <si>
    <t>SPEED: 8~10M3/HR,WITH GEAR UNIT,PULLEY</t>
  </si>
  <si>
    <t>FOR 3CC SLUDGE SYSTEM</t>
  </si>
  <si>
    <t>http://www.fine-tec.com/common/business02_02.html</t>
  </si>
  <si>
    <t>DECANTER 실물 Image_20220703185849687.png</t>
  </si>
  <si>
    <t>김태연</t>
  </si>
  <si>
    <t>2022-07-07 00:07:49</t>
  </si>
  <si>
    <t>Q4566409</t>
  </si>
  <si>
    <t>HYDRAULIC,[GA TF5938-A/TRANSFLUID]+DWG NO:AM7015-D,60micron,20bar,FOR FTP #1,2,3 MAIN FAN- FLUID COUPLING-SCREW PUMP (FEED)</t>
  </si>
  <si>
    <t>GA TF5938-A</t>
  </si>
  <si>
    <t>TRANSFLUID</t>
  </si>
  <si>
    <t>DWG NO:AM7015-D</t>
  </si>
  <si>
    <t>FOR FTP #1,2,3 MAIN FAN- FLUID COUPLING-SCREW PUMP (FEED)</t>
  </si>
  <si>
    <t>2-GATF5938A_20220714184209668.pdf</t>
  </si>
  <si>
    <t>Oil filter (feed)_20220714183515039.jpg</t>
  </si>
  <si>
    <t>2022-07-15 14:07:34</t>
  </si>
  <si>
    <t>Q4566499</t>
  </si>
  <si>
    <t>[PE MEMBRANE 160X1000L/AIRIX]_ID90xOD185x1000L_PE MEMBRANE_HOLE SIZE 160</t>
  </si>
  <si>
    <t>PE MEMBRANE 160X1000L</t>
  </si>
  <si>
    <t>AIRIX</t>
  </si>
  <si>
    <t>HOLE SIZE 160</t>
  </si>
  <si>
    <t>160X1000._20220630163709206_20220714131000944.JPG</t>
  </si>
  <si>
    <t>주름필터_20220630164004340_20220714131000808.JPG</t>
  </si>
  <si>
    <t>최승진</t>
  </si>
  <si>
    <t>양극재공장</t>
  </si>
  <si>
    <t>csjo826@poscofuturem.com</t>
  </si>
  <si>
    <t>2022-07-18 09:07:29</t>
  </si>
  <si>
    <t>Q4566572</t>
  </si>
  <si>
    <t>VAPORIZER,[ETV-200/ENTEC],1.56MPa,LPG,CAPACITY: 200KG/H,OR EQUIVALENT</t>
  </si>
  <si>
    <t>ETV-200</t>
  </si>
  <si>
    <t>ENTEC</t>
  </si>
  <si>
    <t>CAPACITY: 200KG/H</t>
  </si>
  <si>
    <t>2PLPG탱크기화기상세사양_20220713161535069_20220714133001897.jpg</t>
  </si>
  <si>
    <t>http://entec22.com/</t>
  </si>
  <si>
    <t>2PLPG탱크기화기_20220713160126272_20220714133000227.jpg</t>
  </si>
  <si>
    <t>이영섭</t>
  </si>
  <si>
    <t>ysstyle@posco.co.kr</t>
  </si>
  <si>
    <t>2022-07-18 10:07:06</t>
  </si>
  <si>
    <t>Q4566707</t>
  </si>
  <si>
    <t>POSCO-Malaysia OU</t>
  </si>
  <si>
    <t>MYR</t>
  </si>
  <si>
    <t>[C4SF-J/SMC],ID53xOD60x170Lx4.5T,POLYCARBONATE,1.0MPa,FOR AIR FILTER BOWL ASSEMBLY AF50-06D</t>
  </si>
  <si>
    <t>C4SF-J</t>
  </si>
  <si>
    <t>FOR AIR FILTER BOWL ASSEMBLY AF50-06D</t>
  </si>
  <si>
    <t>P0295-P0364-E.qxd_20220717112050815.pdf</t>
  </si>
  <si>
    <t>https://www.smcpneumatics.com/pdfs/af.pdf</t>
  </si>
  <si>
    <t>IMG-20220708-WA0031_20220717113009877.jpg</t>
  </si>
  <si>
    <t>MOHD KHAIRULANUAR BIN ZAINUDDIN</t>
  </si>
  <si>
    <t>MAINTENANCE</t>
  </si>
  <si>
    <t>khairulanuar.zainuddin@posco.net</t>
  </si>
  <si>
    <t>Mohamad Fakrur Naim Bin Mat Bosni</t>
  </si>
  <si>
    <t>fakrur.bosni@posco.net</t>
  </si>
  <si>
    <t>2022-07-19 08:07:41</t>
  </si>
  <si>
    <t>Q4567779</t>
  </si>
  <si>
    <t>HYDRAULIC,[SKN 95-154/SHEKINAH],ID205xOD290x542L,16mesh,ELECTRICAL GALVANIZED IRON/ALUMINIUM/GLASS PAPER,FOR 34 GAS TURBINE VAPOR EXTRACTOR TANK</t>
  </si>
  <si>
    <t>SKN 95-154</t>
  </si>
  <si>
    <t>SHEKINAH</t>
  </si>
  <si>
    <t>FOR 34 GAS TURBINE VAPOR EXTRACTOR TANK</t>
  </si>
  <si>
    <t>FILTER Element도면(SKN 95-154)_20220721142601446.pdf</t>
  </si>
  <si>
    <t>http://www.sknah.co.kr/kor/business/oil.html</t>
  </si>
  <si>
    <t>filter_20220721142601496.JPG</t>
  </si>
  <si>
    <t>유은상</t>
  </si>
  <si>
    <t>eunsang17@poscointl.com</t>
  </si>
  <si>
    <t>2022-07-27 10:07:11</t>
  </si>
  <si>
    <t>Q4567891</t>
  </si>
  <si>
    <t>WATER,[PC-AC-B-ZK/HHITECH],SELF-HEALTH ACTIVE CARBON FILTER ELEMENT,FOR PRODUCING ULTRA- PURE WATER</t>
  </si>
  <si>
    <t>PC-AC-B-ZK</t>
  </si>
  <si>
    <t>HHITECH</t>
  </si>
  <si>
    <t>SELF-HEALTH ACTIVE CARBON FILTER ELEMENT</t>
  </si>
  <si>
    <t>FOR PRODUCING ULTRA- PURE WATER</t>
  </si>
  <si>
    <t>http://high-tech.cn/products/detail.asp?id=1&amp;x=1920&amp;x=1920</t>
  </si>
  <si>
    <t>pc-ac-b-zk_20220713151042698.JPG</t>
  </si>
  <si>
    <t>汤炀</t>
  </si>
  <si>
    <t>tangyang@posco.net</t>
  </si>
  <si>
    <t>2022-07-28 09:07:12</t>
  </si>
  <si>
    <t>Q4567896</t>
  </si>
  <si>
    <t>[CWPF-221/CHEONGWOO C&amp;T]x220Wx220Lx10T,NONWOVEN FABRIC,PRE FILTER,AIR/GAS/DUST,FOR STS2 CAFU-01 GAS AIR PURIFIER,OR EQUIVALENT</t>
  </si>
  <si>
    <t>CWPF-221</t>
  </si>
  <si>
    <t>FOR STS2 CAFU-01 GAS AIR PURIFIER</t>
  </si>
  <si>
    <t>catalog_kor (1)_20220726190308192.pdf</t>
  </si>
  <si>
    <t>https://cwcnt.com/product/cafu-01-cafu-10-%ED%83%81%EC%83%81%ED%98%95-%EC%9C%A0%ED%95%B4%EA%B0%80%EC%8A%A4-%EC%A0%95%ED%99%94%EA%B8%B0/70/category/42/display/1/</t>
  </si>
  <si>
    <t>PRE FILTER_20220726185134941.JPG</t>
  </si>
  <si>
    <t>김태호</t>
  </si>
  <si>
    <t>rockth@posco.co.kr</t>
  </si>
  <si>
    <t>박요한</t>
  </si>
  <si>
    <t>(포항)제강설비부 STS제강정비섹션</t>
  </si>
  <si>
    <t>pjohn0407@posco.co.kr</t>
  </si>
  <si>
    <t>2022-07-28 10:07:53</t>
  </si>
  <si>
    <t>품질기술부 전자현미경분석반 탁상용 유해가스 정화기(Q4480344) 필터로 승인처리 합니다.</t>
  </si>
  <si>
    <t>Q4568058</t>
  </si>
  <si>
    <t>[FH541-10-110-P005/SMC]_FOR 3CAL TR EPC LINE FILTER,OR EQUIVALENT</t>
  </si>
  <si>
    <t>FH541-10-110-P005</t>
  </si>
  <si>
    <t>FOR 3CAL TR EPC LINE FILTER</t>
  </si>
  <si>
    <t>http://119.81.240.248:8080/ProductPdf/EN/FH.pdf</t>
  </si>
  <si>
    <t>FILTER_20220725170503656_20220728082000656.jpg</t>
  </si>
  <si>
    <t>2022-07-29 13:07:40</t>
  </si>
  <si>
    <t>Q4568081</t>
  </si>
  <si>
    <t>[RH/LYO-100*10/JIANG SU REN HE]x240Wx420L_10micron,100L/min_MOTOR 1.5KW,AC 380V&amp;50HZ_FOR PZSS 2CRM MAIN MOTOR THIN OIL</t>
  </si>
  <si>
    <t>RH/LYO-100*10</t>
  </si>
  <si>
    <t>JIANG SU REN HE</t>
  </si>
  <si>
    <t>MOTOR 1.5KW,AC 380V&amp;50HZ</t>
  </si>
  <si>
    <t xml:space="preserve">FOR PZSS 2CRM MAIN MOTOR THIN OIL </t>
  </si>
  <si>
    <t>RHLYO-100资料_20220630114735464.PNG</t>
  </si>
  <si>
    <t>http://www.rhfilter.com/news.asp?id=269</t>
  </si>
  <si>
    <t>过滤装置_20220630114735511.PNG</t>
  </si>
  <si>
    <t>纪步红</t>
  </si>
  <si>
    <t>冷轧整备2科</t>
  </si>
  <si>
    <t>jibh@posco.net</t>
  </si>
  <si>
    <t>王军委</t>
  </si>
  <si>
    <t>wangjw@posco.net</t>
  </si>
  <si>
    <t>2022-07-29 15:07:37</t>
  </si>
  <si>
    <t>Q4568875</t>
  </si>
  <si>
    <t>[D/N:SKS-ACU-010(I/N:11)/MISUNG FIRTER]x190Wx340Lx20T,MEDIUM FILTER,FOR SKS-ACU 10R/T</t>
  </si>
  <si>
    <t>D/N:SKS-ACU-010(I/N:11)</t>
  </si>
  <si>
    <t>MISUNG FIRTER</t>
  </si>
  <si>
    <t>MEDIUM FILTER</t>
  </si>
  <si>
    <t>FOR SKS-ACU 10R/T</t>
  </si>
  <si>
    <t>사양파일 에어필터_20220808104555240.PNG</t>
  </si>
  <si>
    <t>필터1_20220808104555323.PNG</t>
  </si>
  <si>
    <t>손건태</t>
  </si>
  <si>
    <t>금형연구그룹 금형설계섹션</t>
  </si>
  <si>
    <t>pandragun1@poscomobility.com</t>
  </si>
  <si>
    <t>신재훈</t>
  </si>
  <si>
    <t>tls816@poscomobility.com</t>
  </si>
  <si>
    <t>2022-08-08 11:08:21</t>
  </si>
  <si>
    <t>Q4568878</t>
  </si>
  <si>
    <t>[D/N:SKS-ACU-010(I/N:3)/MISUNG FIRTER]x435Wx580Lx20T,POLYESTER,FRE FILTER,FOR SKS-ACU-10R/T</t>
  </si>
  <si>
    <t>D/N:SKS-ACU-010(I/N:3)</t>
  </si>
  <si>
    <t>FRE FILTER</t>
  </si>
  <si>
    <t>FOR SKS-ACU-10R/T</t>
  </si>
  <si>
    <t>사양파일 에어필터_20220808104844301.PNG</t>
  </si>
  <si>
    <t>필터3_20220808104844322.PNG</t>
  </si>
  <si>
    <t>2022-08-08 11:08:18</t>
  </si>
  <si>
    <t>Q4569041</t>
  </si>
  <si>
    <t>[SF W 110 W C 125 UE 1.0/HYDAC]+SUCTION LINE FILTER,HYDRAULIC FILTER_FOR CPC 1 &amp; 2 POR</t>
  </si>
  <si>
    <t>SF W 110 W C 125 UE 1.0</t>
  </si>
  <si>
    <t>SUCTION LINE FILTER</t>
  </si>
  <si>
    <t>FOR CPC 1 &amp; 2 POR</t>
  </si>
  <si>
    <t>HYDAC 1_20220803190057495.JPG</t>
  </si>
  <si>
    <t>https://www.hydac.com/shop/en/1283966#simple-downloads</t>
  </si>
  <si>
    <t>HYDAC_20220803185951512.JPG</t>
  </si>
  <si>
    <t>MUHAMMAD IZHAR BIN MOHD ALI</t>
  </si>
  <si>
    <t>izhar.ali@posco.net</t>
  </si>
  <si>
    <t>SHAHROL ANUAR BIN MOHAMAD</t>
  </si>
  <si>
    <t>shahrul.mohamad@posco.net</t>
  </si>
  <si>
    <t>2022-08-09 10:08:13</t>
  </si>
  <si>
    <t>Q4570035</t>
  </si>
  <si>
    <t>WATER,[P/N:5002011010(AP PACK1)/YOUNGIN CHROMASS]_PRE TREATMENT FILTER, AQUAPURI 5 SERIES</t>
  </si>
  <si>
    <t>P/N:5002011010(AP PACK1)</t>
  </si>
  <si>
    <t>YOUNGIN CHROMASS</t>
  </si>
  <si>
    <t>PRE TREATMENT FILTER, AQUAPURI 5 SERIES</t>
  </si>
  <si>
    <t>순수제조기 5시리즈_20220816134651696.pdf</t>
  </si>
  <si>
    <t>https://eng.youngincm.com/board/read.php?M2_IDX=7440&amp;PAGE=1&amp;B_IDX=46232</t>
  </si>
  <si>
    <t>순수제조기 필터_20220816134651799.JPG</t>
  </si>
  <si>
    <t>2022-08-18 09:08:08</t>
  </si>
  <si>
    <t>Q4570036</t>
  </si>
  <si>
    <t>WATER,[P/N:5002011020(AP PACK2)/YOUNGIN CHROMASS]_PRE TREATMENT FILTER, AQUAPURI 5 SERIES</t>
  </si>
  <si>
    <t>P/N:5002011020(AP PACK2)</t>
  </si>
  <si>
    <t>순수제조기 필터_20220816134527685.JPG</t>
  </si>
  <si>
    <t>2022-08-18 09:08:47</t>
  </si>
  <si>
    <t>Q4570162</t>
  </si>
  <si>
    <t>POSCO-IPPC</t>
  </si>
  <si>
    <t>HYDRAULIC,[S/E-20B/HYDROLINE]xOD93x146L,25micron,NOM,70LPM,POST THREAD TYPE B 3/4BSSP</t>
  </si>
  <si>
    <t>S/E-20B</t>
  </si>
  <si>
    <t>HYDROLINE</t>
  </si>
  <si>
    <t>POST THREAD TYPE B 3/4BSSP</t>
  </si>
  <si>
    <t>fILTER ELEMENT_20220808180115866.pdf</t>
  </si>
  <si>
    <t>HYDROLINE FILTER_20220808180657653.jpg</t>
  </si>
  <si>
    <t>Sanjay Namdeo Balgude</t>
  </si>
  <si>
    <t>sanjayb@posco.net</t>
  </si>
  <si>
    <t>2022-08-19 08:08:03</t>
  </si>
  <si>
    <t>Q4570770</t>
  </si>
  <si>
    <t>[F0777200A/PIUSI],12bar_ABSORBENT FILTERING PAPER_DESCRIPTION:60L/MIN FILTER WITH HEAD,FLOW RATE:60L/MIN-15,9GPM,INLET/OUTLET:1"BSP,200X120X140</t>
  </si>
  <si>
    <t>F0777200A</t>
  </si>
  <si>
    <t>PIUSI</t>
  </si>
  <si>
    <t>DESCRIPTION:60L/MIN FILTER WITH HEAD,FLOW RATE:60L/MIN-15,9GPM,INLET/OUTLET:1"BSP,200X120X140</t>
  </si>
  <si>
    <t>FUEL-BIOFUEL-FILTER_20220822104143062.pdf</t>
  </si>
  <si>
    <t>Oil and fuel filter_20220822104004990.png</t>
  </si>
  <si>
    <t>Nguyen Thanh Nam</t>
  </si>
  <si>
    <t>namnguyen@poscoss-vina.com</t>
  </si>
  <si>
    <t>2022-08-23 14:08:55</t>
  </si>
  <si>
    <t>Q4571061</t>
  </si>
  <si>
    <t>HYDRAULIC,[WG100-H114/TRIPLE-R]xOD114x179L,PAPER,FOR STS2COLD MILL TRM ROLL SHOP #7R/G Z OIL FILER,OR EQUIVALENT</t>
  </si>
  <si>
    <t>WG100-H114</t>
  </si>
  <si>
    <t>TRIPLE-R</t>
  </si>
  <si>
    <t>FOR STS2COLD MILL TRM ROLL SHOP #7R/G Z OIL FILER</t>
  </si>
  <si>
    <t>https://qrtranslator.com/0000006881/000014#wg</t>
  </si>
  <si>
    <t>Triple-RFilterElement_20220822092256842_20220823135001438.jpg</t>
  </si>
  <si>
    <t>이창현</t>
  </si>
  <si>
    <t>(포항)STS압연부 2냉연공장</t>
  </si>
  <si>
    <t>ckdgus956@posco.co.kr</t>
  </si>
  <si>
    <t>임충호</t>
  </si>
  <si>
    <t>hoya5000@posco.co.kr</t>
  </si>
  <si>
    <t>2022-08-25 16:08:32</t>
  </si>
  <si>
    <t>Q4571201</t>
  </si>
  <si>
    <t>[AL1000/AUTOLINK]xOD350,20mesh,OIL MIST,OR EQUIVALENT</t>
  </si>
  <si>
    <t>AL1000</t>
  </si>
  <si>
    <t>AUTOLINK</t>
  </si>
  <si>
    <t>http://alltool.kr/product/after%ED%95%84%ED%84%B0al%EC%9A%A9/212/category/30/display/1/#prdInfo</t>
  </si>
  <si>
    <t>aterfilter_20220825083515203_20220825114000206.jpg</t>
  </si>
  <si>
    <t>김회윤</t>
  </si>
  <si>
    <t>hoeyun5620@posco.co.kr</t>
  </si>
  <si>
    <t>2022-08-26 16:08:58</t>
  </si>
  <si>
    <t>Q4571203</t>
  </si>
  <si>
    <t>[URETHANE FILTER/AUTOLINK]xOD323x20T,URETHANE,FOR AL1000,OR EQUIVALENT</t>
  </si>
  <si>
    <t>URETHANE FILTER</t>
  </si>
  <si>
    <t>FOR AL1000</t>
  </si>
  <si>
    <t>alltool.kr/product/우레탄필터al용/214/category/30/display/1/</t>
  </si>
  <si>
    <t>우레탄필터_20220825085709365_20220825114000992.jpg</t>
  </si>
  <si>
    <t>Q4571357</t>
  </si>
  <si>
    <t>POLYPROPYLENE/STS304,[0115-S/TAEYOUNG FILTRATION SYSTEM]x1535Lx1570Wx1.1T,FOR P- 2SM FILLER PRESS MEMBARANE,OR EQUIVALENT</t>
  </si>
  <si>
    <t>SH</t>
  </si>
  <si>
    <t>0115-S</t>
  </si>
  <si>
    <t>TAEYOUNG FILTRATION SYSTEM</t>
  </si>
  <si>
    <t>FOR P- 2SM FILLER PRESS MEMBARANE</t>
  </si>
  <si>
    <t>220810_A2_포항2제강_FilterPressHead,End여과포_20220822101431310_20220830095806022.pdf</t>
  </si>
  <si>
    <t>tae-young.com</t>
  </si>
  <si>
    <t>220822_A2_포하2제강_낱장여과포_20220822101411244_20220830095806095.jpg</t>
  </si>
  <si>
    <t>최인호</t>
  </si>
  <si>
    <t>(포항)제강부 2제강공장</t>
  </si>
  <si>
    <t>smurf@posco.co.kr</t>
  </si>
  <si>
    <t>2022-08-30 10:08:40</t>
  </si>
  <si>
    <t>Q4571362</t>
  </si>
  <si>
    <t>POLYPROPYLENE/STS304,[0215-S/TAEYOUNG FILTRATION SYSTEM]x1605Lx1595Wx1.1T,FOR P- 2SM FILLER PRESS CHAMBER,OR EQUIVALENT</t>
  </si>
  <si>
    <t>0215-S</t>
  </si>
  <si>
    <t>FOR P- 2SM FILLER PRESS CHAMBER</t>
  </si>
  <si>
    <t>220810_A2_포항2제강_FilterPress멤브레인여과포_20220822095747811_20220830100428067.pdf</t>
  </si>
  <si>
    <t>220822_A2_포항2제강_멤브레인여과포_20220822095530651_20220830100428156.jpg</t>
  </si>
  <si>
    <t>2022-08-30 10:08:23</t>
  </si>
  <si>
    <t>Q4571369</t>
  </si>
  <si>
    <t>POLYPROPYLENE/STS304,[0315-S/TAEYOUNG FILTRATION SYSTEM]x1535Lx1570Wx1.1T,FOR P- 2SM FILLER PRESS HEAD,OR EQUIVALENT</t>
  </si>
  <si>
    <t>0315-S</t>
  </si>
  <si>
    <t>FOR P- 2SM FILLER PRESS HEAD</t>
  </si>
  <si>
    <t>220822_A2_포항2제강_여과포성적서_20220822100950970_20220824152253221.pdf</t>
  </si>
  <si>
    <t>220822_A2_포항2제강_챔버여과포_20220822100911504_20220824152253289.jpg</t>
  </si>
  <si>
    <t>2022-08-30 11:08:04</t>
  </si>
  <si>
    <t>Q4571764</t>
  </si>
  <si>
    <t>AIR,[PE MEMBRANE 160X800L/AERIX],ID90xOD185x155Wx800L,PE MEMBRANE</t>
  </si>
  <si>
    <t>PE MEMBRANE 160X800L</t>
  </si>
  <si>
    <t>주름필터(160 x 800L)_20220825095901545.pdf</t>
  </si>
  <si>
    <t>https://www.aerix.co.kr/%ed%99%98%ea%b2%bd-%ec%86%8c%eb%aa%a8%ed%92%88/%ec%a3%bc%eb%a6%84%ed%98%95-%ed%95%84%ed%84%b0%eb%b0%b1/</t>
  </si>
  <si>
    <t>주름필터_20220825095901603.JPG</t>
  </si>
  <si>
    <t>2022-09-02 09:09:33</t>
  </si>
  <si>
    <t>Q4571766</t>
  </si>
  <si>
    <t>[D80926K/3M]xOD121x34Lx93W,FOR MUILI-GAS CARTRIDGE/FILTER</t>
  </si>
  <si>
    <t>D80926K</t>
  </si>
  <si>
    <t>3M</t>
  </si>
  <si>
    <t>FOR MUILI-GAS CARTRIDGE/FILTER</t>
  </si>
  <si>
    <t>https://www.3m.co.kr/3M/ko_KR/p/d/v101161165/</t>
  </si>
  <si>
    <t>방진방독마스크 필터_20220825100049179.PNG</t>
  </si>
  <si>
    <t>2022-09-02 09:09:15</t>
  </si>
  <si>
    <t>Q4572271</t>
  </si>
  <si>
    <t>[MPGP002A1/MERCK]_10Dx12Dx150L_0~10bar_FOR WATER PURIFICATOR IQ 7000</t>
  </si>
  <si>
    <t>MPGP002A1</t>
  </si>
  <si>
    <t>MERCK</t>
  </si>
  <si>
    <t>FOR WATER PURIFICATOR IQ 7000</t>
  </si>
  <si>
    <t>https://www.merckmillipore.com/MX/es/product/Millipak-0.22-m-Filter,MM_NF-MPGP002A1</t>
  </si>
  <si>
    <t>MPGP002A1[189774-ALL]_20220906225220118.jpg</t>
  </si>
  <si>
    <t>Ruiz Narváez Miguel Ernesto</t>
  </si>
  <si>
    <t>SEC. DE ANÁLISIS Y PRUEBAS</t>
  </si>
  <si>
    <t>miguel.ruiz@posco.net</t>
  </si>
  <si>
    <t>2022-09-13 08:09:35</t>
  </si>
  <si>
    <t>Q4572661</t>
  </si>
  <si>
    <t>[CF600/KCC]_RC(PT)3/4",VACUUM FILTER</t>
  </si>
  <si>
    <t>CF600</t>
  </si>
  <si>
    <t>RC(PT)3/4",VACUUM FILTER</t>
  </si>
  <si>
    <t>진공필터 사양_20220915082522792.JPG</t>
  </si>
  <si>
    <t>https://www.kccpr.com/bbs/board.php?bo_table=Vacuum&amp;wr_id=21&amp;sca=%EC%95%85%EC%84%B8%EC%82%AC%EB%A6%AC</t>
  </si>
  <si>
    <t>CF600_20220915082522813.JPG</t>
  </si>
  <si>
    <t>2022-09-15 11:09:39</t>
  </si>
  <si>
    <t>Q4572878</t>
  </si>
  <si>
    <t>[VLF32-100S32F-C/MASUDA]_STS304_FOR 4CGL EXIT HYDRAULIC PUMP SUCTION FILTER ASS'Y,OR EQUIVALENT</t>
  </si>
  <si>
    <t>VLF32-100S32F-C</t>
  </si>
  <si>
    <t>FOR 4CGL EXIT HYDRAULIC PUMP SUCTION FILTER ASS'Y</t>
  </si>
  <si>
    <t>http://www.e-masuda.co.jp/cover/guide/vlf/vlf.html</t>
  </si>
  <si>
    <t>Hydraulic Filter_20220915082254295.jpg</t>
  </si>
  <si>
    <t>박봉규</t>
  </si>
  <si>
    <t>최동철</t>
  </si>
  <si>
    <t>cdc1521@posco.co.kr</t>
  </si>
  <si>
    <t>2022-09-19 08:09:03</t>
  </si>
  <si>
    <t>Q4573335</t>
  </si>
  <si>
    <t>[P-FDT-1300-40A/FUJI FILTER],OMS-100-95,USE FOR FDT-1300-40A AIR BREATHER</t>
  </si>
  <si>
    <t>P-FDT-1300-40A</t>
  </si>
  <si>
    <t>FUJI FILTER</t>
  </si>
  <si>
    <t>OMS-100-95</t>
  </si>
  <si>
    <t>USE FOR FDT-1300-40A AIR BREATHER</t>
  </si>
  <si>
    <t>Air Breather_20220920112305076.pdf</t>
  </si>
  <si>
    <t>https://www.fujifilter.co.jp/en/wp-content/uploads/2021/03/OilMist-Separator_en.pdf</t>
  </si>
  <si>
    <t>P-FDT-1300-40A_20220920114204278.PNG</t>
  </si>
  <si>
    <t>2022-09-22 09:09:56</t>
  </si>
  <si>
    <t>Q4573514</t>
  </si>
  <si>
    <t>[AF420/PARKER],PNEUMATIC FILTER,FOR PMSPL CAL CIRCULATION MAGNETIC FILTER AIR LINE</t>
  </si>
  <si>
    <t>AF420</t>
  </si>
  <si>
    <t>PNEUMATIC FILTER</t>
  </si>
  <si>
    <t>FOR PMSPL CAL CIRCULATION MAGNETIC FILTER AIR LINE</t>
  </si>
  <si>
    <t>AF420 Series (Eng) MAGNETIC FILTER_20220919200734039.pdf</t>
  </si>
  <si>
    <t>https://www.parker.com/Literature/Automation%20Korea%20Division/AF%20Series%20(Eng).pdf</t>
  </si>
  <si>
    <t>AF420_20220919201048999.JPG</t>
  </si>
  <si>
    <t>Vijaykumar B H</t>
  </si>
  <si>
    <t>vijaykumar@posco.net</t>
  </si>
  <si>
    <t>2022-09-26 07:09:20</t>
  </si>
  <si>
    <t>Q4573814</t>
  </si>
  <si>
    <t>AIR,[N/P:628476/JENBACHER],AIR FILTER FOR JENBACHER ENGINES</t>
  </si>
  <si>
    <t>N/P:628476</t>
  </si>
  <si>
    <t>JENBACHER</t>
  </si>
  <si>
    <t>AIR FILTER FOR JENBACHER ENGINES</t>
  </si>
  <si>
    <t>Data Sheet Spare Part 628476 Jenbacher_20220922223438308.pdf</t>
  </si>
  <si>
    <t>https://www.weyeahmotor.com/Jenbacher-Spare-Parts-pl3224632.html?gclid=EAIaIQobChMIkeXCv8Ko-gIVEY3CCh3R0ASeEAAYASAAEgL3yPD_BwE</t>
  </si>
  <si>
    <t>IMAGE 628476_20220922224600698.JPG</t>
  </si>
  <si>
    <t>Barraza Del Angel Francisco Javier</t>
  </si>
  <si>
    <t>Sec. de Power Plant</t>
  </si>
  <si>
    <t>francisco.barraza@posco.net</t>
  </si>
  <si>
    <t>Rivera Pacheco Juan Carlos</t>
  </si>
  <si>
    <t>juan.rivera@posco.net</t>
  </si>
  <si>
    <t>2022-09-28 07:09:37</t>
  </si>
  <si>
    <t>Q4573815</t>
  </si>
  <si>
    <t>AIR,[N/P:628477/JENBACHER],AIR FILTER ELEMENT FOR JENBACHER ENGINES</t>
  </si>
  <si>
    <t>N/P:628477</t>
  </si>
  <si>
    <t>AIR FILTER ELEMENT FOR JENBACHER ENGINES</t>
  </si>
  <si>
    <t>Data Sheet Spare Part 628477 Jenbacher_20220922230844425.pdf</t>
  </si>
  <si>
    <t>https://www.weyeahmotor.com/Jenbacher-Spare-Parts-pl3224632.html?gclid=EAIaIQobChMIwKLL0smo-gIViVVgCh1y4w0BEAAYASAAEgITF_D_BwE</t>
  </si>
  <si>
    <t>IMAGE 628477_20220922231149506.JPG</t>
  </si>
  <si>
    <t>2022-09-28 07:09:22</t>
  </si>
  <si>
    <t>Q4573818</t>
  </si>
  <si>
    <t>HYDRAULIC,[N/P:9037052/JENBACHER],FILTER OIL MIST FOR JENBACHER ENGINES</t>
  </si>
  <si>
    <t>N/P:9037052</t>
  </si>
  <si>
    <t>FILTER OIL MIST FOR JENBACHER ENGINES</t>
  </si>
  <si>
    <t>Data Sheet 9037052 Spare Part Jenbacher_20220922232515163.pdf</t>
  </si>
  <si>
    <t>IMAGE 9037052_20220922232748860.JPG</t>
  </si>
  <si>
    <t>2022-09-28 07:09:30</t>
  </si>
  <si>
    <t>Q4573819</t>
  </si>
  <si>
    <t>[3HAC027641-001/ABB]x20Lx453W,100micron,FOR DUST</t>
  </si>
  <si>
    <t>3HAC027641-001</t>
  </si>
  <si>
    <t xml:space="preserve"> FOR DUST</t>
  </si>
  <si>
    <t>3HAC027641-001 Datasheet_20220927223119622.pdf</t>
  </si>
  <si>
    <t>3HAC027641-001 Datasheet_20220927223239496.pdf</t>
  </si>
  <si>
    <t>https://new.abb.com/products/es/3HAC027641-001/3hac027641-001</t>
  </si>
  <si>
    <t>3HAC027641-001_20220927223552119.png</t>
  </si>
  <si>
    <t>Roberto Eduardo Martinez Bermudez</t>
  </si>
  <si>
    <t>SEC DE EQ ESPECIALES Y PLAN</t>
  </si>
  <si>
    <t>roberto.martinez@posco.net</t>
  </si>
  <si>
    <t>2022-09-28 07:09:57</t>
  </si>
  <si>
    <t>Q4574406</t>
  </si>
  <si>
    <t>[3HAC027697-001/ABB]x20Lx184W,100micron,FOR DUST</t>
  </si>
  <si>
    <t>3HAC027697-001</t>
  </si>
  <si>
    <t>3HAC027697-001 Datasheet_20220928235141627.pdf</t>
  </si>
  <si>
    <t>3HAC027697-001 Datasheet_20220928235559476.pdf</t>
  </si>
  <si>
    <t>https://new.abb.com/products/es/3HAC027697-001/3hac027697-001</t>
  </si>
  <si>
    <t>3HAC027697-001 Filtro _20220929000229434.png</t>
  </si>
  <si>
    <t>2022-10-05 09:10:00</t>
  </si>
  <si>
    <t>Q4575180</t>
  </si>
  <si>
    <t>[WYF-S-06T1-A/WOONYOUNG],AC 1PHASE,250VV,6A</t>
  </si>
  <si>
    <t>WYF-S-06T1-A</t>
  </si>
  <si>
    <t>https://www.yuyiplc.com/index.php?unit=products&amp;lang=en&amp;act=view&amp;parent=353&amp;id=44782</t>
  </si>
  <si>
    <t>NOISE FILTER_20221122184250667.jpg</t>
  </si>
  <si>
    <t>Nandkumar Patil</t>
  </si>
  <si>
    <t>CGL Elect. Maint.</t>
  </si>
  <si>
    <t>2022-11-24 07:11:51</t>
  </si>
  <si>
    <t>Q4576129</t>
  </si>
  <si>
    <t>NYLON,[NY-47L-5/JOMESA]x47D_MEMBRANE,5MICRON_FILAMENT DIAMETER 40+-10UM</t>
  </si>
  <si>
    <t>NY-47L-5</t>
  </si>
  <si>
    <t>JOMESA</t>
  </si>
  <si>
    <t>FILAMENT DIAMETER 40+-10UM</t>
  </si>
  <si>
    <t>JOMESA_fabric_specification_Vs_2_2_20221014141551647_20221017083000364.pdf</t>
  </si>
  <si>
    <t>Filter_20221014141522979_20221017083000303.PNG</t>
  </si>
  <si>
    <t>이진현</t>
  </si>
  <si>
    <t>품질서비스그룹 공정품질(포항)섹션</t>
  </si>
  <si>
    <t>kiss07000@poscomobility.com</t>
  </si>
  <si>
    <t>김문선</t>
  </si>
  <si>
    <t>kimms@poscomobility.com</t>
  </si>
  <si>
    <t>2022-10-19 13:10:00</t>
  </si>
  <si>
    <t>Q4576140</t>
  </si>
  <si>
    <t>NYLON,[NY-47L-15/JOMESA]x47D_MEMBRANE,15MICRON_PORE SIZE:SQUARE 15UMX15UM +-5UM</t>
  </si>
  <si>
    <t>NY-47L-15</t>
  </si>
  <si>
    <t>PORE SIZE:SQUARE 15UMX15UM +-5UM</t>
  </si>
  <si>
    <t>JOMESA_fabric_specification_Vs_2_2_20221014140445614_20221017083000697.pdf</t>
  </si>
  <si>
    <t>Filter_20221014140355419_20221017083000640.PNG</t>
  </si>
  <si>
    <t>2022-10-19 14:10:59</t>
  </si>
  <si>
    <t>Q4576996</t>
  </si>
  <si>
    <t>ELECTRONIC[WYFS20T1A/WOONYOUNG],AC 1PHASE,250VV,20A</t>
  </si>
  <si>
    <t>WYFS20T1A</t>
  </si>
  <si>
    <t>WYFS20T1A_20221024151746059.PNG</t>
  </si>
  <si>
    <t>http://woonyoung.com/page/s0201_view.php?ocatecode=1337920582&amp;idx=144&amp;gcname=&amp;gnsub=&amp;gcatecode=1338276053&amp;ogcname=%EB%85%B8%EC%9D%B4%EC%A6%88%ED%95%84%ED%84%B0-Noise%20Filter</t>
  </si>
  <si>
    <t>노이즈필터_20220526133059959_20220530094001627.JPG</t>
  </si>
  <si>
    <t>2022-10-27 08:10:53</t>
  </si>
  <si>
    <t>Q4577104</t>
  </si>
  <si>
    <t>[FHOSC12-2"-GF/GM-L/FLUXA]_50.8Dx50.8Dx1055L_0~8bar_FOR #8 ROLL GRINDER</t>
  </si>
  <si>
    <t>FHOSC12-2"-GF/GM-L</t>
  </si>
  <si>
    <t>FLUXA</t>
  </si>
  <si>
    <t xml:space="preserve">FOR #8 ROLL GRINDER </t>
  </si>
  <si>
    <t>http://www.fluxafiltri.com/Prodotti/F-01_Filtri_a_Cestello.pdf</t>
  </si>
  <si>
    <t>tải xuống_20221026112746270.jpg</t>
  </si>
  <si>
    <t>NGUYỄN NGỌC TUẤN</t>
  </si>
  <si>
    <t>Mechanic</t>
  </si>
  <si>
    <t>nguyen.ngoctuan@posco.net</t>
  </si>
  <si>
    <t>MAI NGỌC BÌNH</t>
  </si>
  <si>
    <t>mn.binh@posco.net</t>
  </si>
  <si>
    <t>2022-10-27 15:10:47</t>
  </si>
  <si>
    <t>Q4577182</t>
  </si>
  <si>
    <t>HF 68 OIL,HYDRAULIC,[SHF26-6AB/SOLGE]x95Wx650L,6micron,160bar,FOR #1EF FILTER MACHINE</t>
  </si>
  <si>
    <t>SHF26-6AB</t>
  </si>
  <si>
    <t>SOLGE</t>
  </si>
  <si>
    <t>FOR #1EF FILTER MACHINE</t>
  </si>
  <si>
    <t>SHF26-6AB_20221027091413413.png</t>
  </si>
  <si>
    <t>http://solge.com/html/sub02_1.html?cate=5&amp;handler=view&amp;i_key=93</t>
  </si>
  <si>
    <t>filter_20221027091413467.JPG</t>
  </si>
  <si>
    <t>김유경</t>
  </si>
  <si>
    <t>설비기술그룹</t>
  </si>
  <si>
    <t>gimyk1010_1@snnc.co.kr</t>
  </si>
  <si>
    <t>장화경</t>
  </si>
  <si>
    <t>정비섹션</t>
  </si>
  <si>
    <t>dkagh3@snnc.co.kr</t>
  </si>
  <si>
    <t>2022-10-28 09:10:46</t>
  </si>
  <si>
    <t>Q4577703</t>
  </si>
  <si>
    <t>[CFX-D100D/SAMSUNG],FOR BLUE SKY 5000</t>
  </si>
  <si>
    <t>CFX-D100D</t>
  </si>
  <si>
    <t>SAMSUNG</t>
  </si>
  <si>
    <t>FOR BLUE SKY 5000</t>
  </si>
  <si>
    <t>https://www.samsung.com/sec/living-accessories/cfx-d100d-D2C2/CFX-D100D/</t>
  </si>
  <si>
    <t>에어필터_20221101225129333.PNG</t>
  </si>
  <si>
    <t>강성진</t>
  </si>
  <si>
    <t>설비기술그룹 금형보수섹션</t>
  </si>
  <si>
    <t>tjd8065@poscomobility.com</t>
  </si>
  <si>
    <t>2022-11-02 11:11:47</t>
  </si>
  <si>
    <t>금형보수작업장에 있는 설비로 승인처리 합니다.</t>
  </si>
  <si>
    <t>Q4577903</t>
  </si>
  <si>
    <t>PLASTIC,[FR60X60/JOMESA KOREA],60WX60L,FILTER MOUNT,20EA/SET</t>
  </si>
  <si>
    <t>FR60X60</t>
  </si>
  <si>
    <t>JOMESA KOREA</t>
  </si>
  <si>
    <t>FILTER MOUNT,20EA/SET</t>
  </si>
  <si>
    <t>JOMESA 필터마운트_20221102163145248.pdf</t>
  </si>
  <si>
    <t>필터마운트_20221102163145300.PNG</t>
  </si>
  <si>
    <t>2022-11-03 14:11:45</t>
  </si>
  <si>
    <t>Q4579098</t>
  </si>
  <si>
    <t>[PI 2005-015/MAHLE]_ALUMINIUM ALLOY,63bar_-10+120 DEGREE RESISTANT FILTER ELEMENT_FOR BAL HYDRAULIC UNIT/BAL HIDROLIK UNITE FILITRE</t>
  </si>
  <si>
    <t>PI 2005-015</t>
  </si>
  <si>
    <t>-10+120 DEGREE RESISTANT FILTER ELEMENT</t>
  </si>
  <si>
    <t>FOR BAL HYDRAULIC UNIT/BAL HIDROLIK UNITE FILITRE</t>
  </si>
  <si>
    <t>https://www.kc-co.com/spare-part/mahle-filtration-group/pi-2005-015/</t>
  </si>
  <si>
    <t>MAHLE PI 2005-015._20221110194750397.png</t>
  </si>
  <si>
    <t>MAHLE PI 2005-015_20221110194821119.png</t>
  </si>
  <si>
    <t>2022-11-14 10:11:04</t>
  </si>
  <si>
    <t>Q4579337</t>
  </si>
  <si>
    <t>HYDRAULIC,[SJ-17-EL-125A-100W/SHC],100mesh,SUS,FOR 7CGL ENTRY &amp; EXIT HYDRAULIC SUCTION FILTER,OR EQUIVALENT</t>
  </si>
  <si>
    <t>SJ-17-EL-125A-100W</t>
  </si>
  <si>
    <t>FOR 7CGL ENTRY &amp; EXIT HYDRAULIC SUCTION FILTER</t>
  </si>
  <si>
    <t>shc_20221114161344927.jpg</t>
  </si>
  <si>
    <t>필터_20221125132153732.jpg</t>
  </si>
  <si>
    <t>박선호</t>
  </si>
  <si>
    <t>2022-11-28 14:11:37</t>
  </si>
  <si>
    <t>Q4579540</t>
  </si>
  <si>
    <t>[HMA25/COREA FLOW]_ID80xOD116x220W_FOR FILTER,OR EQUIVALENT</t>
  </si>
  <si>
    <t>HMA25</t>
  </si>
  <si>
    <t>COREA FLOW</t>
  </si>
  <si>
    <t>FOR FILTER</t>
  </si>
  <si>
    <t>카탈로그(유량감시계)_20221115111624255.pdf</t>
  </si>
  <si>
    <t>http://www.coreaflow.com/corea2/shop/list.php?ca_id=g0</t>
  </si>
  <si>
    <t>배관_필터__lcustmoc_20220726_112448_20221026151416635_20221027164000254.jpg</t>
  </si>
  <si>
    <t>(광양)제강설비부 크레인정비섹션</t>
  </si>
  <si>
    <t>이정묵</t>
  </si>
  <si>
    <t>lcustmoc@posco.co.kr</t>
  </si>
  <si>
    <t>2022-11-16 08:11:03</t>
  </si>
  <si>
    <t>Q4579708</t>
  </si>
  <si>
    <t>[C11100/MANN FILTER],ID64xOD115x253L,PAPER,AIR(DUST)</t>
  </si>
  <si>
    <t>C11100</t>
  </si>
  <si>
    <t>MANN FILTER</t>
  </si>
  <si>
    <t>https://catalog.mann-filter.com/EU/kor/catalog/MANN-FILTER%20Katalog%20Europa/%EA%B3%B5%EA%B8%B0%20%ED%95%84%ED%84%B0/C%2011%20100</t>
  </si>
  <si>
    <t>001_20221110103808545.jpg</t>
  </si>
  <si>
    <t>심경희</t>
  </si>
  <si>
    <t>ha2136@posco.co.kr</t>
  </si>
  <si>
    <t>2022-11-17 08:11:58</t>
  </si>
  <si>
    <t>Q4580295</t>
  </si>
  <si>
    <t>ELECTRONIC[WYFT30T1AD/WOONYOUNG],AC 3PHASE,250V,30A,145 (135) X 63.7(50) X 50,OR EQUIVALENT</t>
  </si>
  <si>
    <t>WYFT30T1AD</t>
  </si>
  <si>
    <t>145 (135) X 63.7(50) X 50</t>
  </si>
  <si>
    <t>[물품분류]NoiseFilter3상5A사양_20221111151005617_20221116085000331.png</t>
  </si>
  <si>
    <t>http://www.woonyoung.com/page/s0201_view.php?ocatecode=1337920582&amp;idx=148&amp;gcname=&amp;gnsub=&amp;gcatecode=1338276099&amp;ogcname=%EB%85%B8%EC%9D%B4%EC%A6%88%ED%95%84%ED%84%B0-Noise%20Filter</t>
  </si>
  <si>
    <t>[물품분류]NoiseFilter3상30A_20221111150944170_20221116085000225.png</t>
  </si>
  <si>
    <t>2022-11-22 10:11:49</t>
  </si>
  <si>
    <t>Q4580297</t>
  </si>
  <si>
    <t>ELECTRONIC[WYFS20T1MD/WOONYOUNG],AC 1PHASE,250V,20A,99(89)X60(52)X34.6</t>
  </si>
  <si>
    <t>WYFS20T1MD</t>
  </si>
  <si>
    <t>99(89)X60(52)X34.6</t>
  </si>
  <si>
    <t>[물품분류]noiseFileter20A_20221111144833723_20221116085001893.png</t>
  </si>
  <si>
    <t>http://www.woonyoung.com/page/s0201_view.php?ocatecode=1337920582&amp;idx=123&amp;gcname=&amp;gnsub=&amp;gcatecode=1338274239&amp;ogcname=%EB%85%B8%EC%9D%B4%EC%A6%88%ED%95%84%ED%84%B0-Noise%20Filter</t>
  </si>
  <si>
    <t>[물품분류]noiseFileter20A실물_20221111144815496_20221116085001844.png</t>
  </si>
  <si>
    <t>2022-11-22 10:11:17</t>
  </si>
  <si>
    <t>Q4580559</t>
  </si>
  <si>
    <t>SUS304,HYDRAULIC,[932674Q/PARKER],ID41xOD95x236L,2micron,FOR PZSS CRM1 3#4#ZRM</t>
  </si>
  <si>
    <t>932674Q</t>
  </si>
  <si>
    <t>FOR PZSS CRM1 3#4#ZRM</t>
  </si>
  <si>
    <t>932674Q_20221024092024533.PNG</t>
  </si>
  <si>
    <t>https://ph.parker.com/cn/zh/replacement-elements-high-pressure-inline-filter-series/932674q</t>
  </si>
  <si>
    <t>mmexport1661664789960_20221024092024591.jpg</t>
  </si>
  <si>
    <t>宋元元</t>
  </si>
  <si>
    <t>冷轧整备1科</t>
  </si>
  <si>
    <t>songyy@posco.net</t>
  </si>
  <si>
    <t>袁泉</t>
  </si>
  <si>
    <t>yuanq@posco.net</t>
  </si>
  <si>
    <t>2022-11-23 15:11:59</t>
  </si>
  <si>
    <t>Q4580655</t>
  </si>
  <si>
    <t>POSCO-MKPC</t>
  </si>
  <si>
    <t>FILTER ELEMENT,AIR,[DD85/ATLAS COPCO],PARTICULATE AIR FILTER,FOR AIR COMPRESSOR</t>
  </si>
  <si>
    <t>DD85</t>
  </si>
  <si>
    <t>ATLAS COPCO</t>
  </si>
  <si>
    <t>FOR AIR COMPRESSOR</t>
  </si>
  <si>
    <t>Compressor Line Filter Catalouge_20221123162037081.pdf</t>
  </si>
  <si>
    <t>https://www.atlascopco.com/content/dam/atlas-copco/compressor-technique/industrial-air/documents/brochures/Compressed%20air%20filters%20leaflet.pdf</t>
  </si>
  <si>
    <t>Filter Element DD85_20221123162037120.jpg</t>
  </si>
  <si>
    <t>Wong Yoke Kean</t>
  </si>
  <si>
    <t>yk.wong@posco.net</t>
  </si>
  <si>
    <t>2022-11-24 08:11:23</t>
  </si>
  <si>
    <t>Q4580656</t>
  </si>
  <si>
    <t>FILTER ELEMENT,AIR,[PD85/ATLAS COPCO],COALESCING,FOR AIR COMPRESSOR</t>
  </si>
  <si>
    <t>PD85</t>
  </si>
  <si>
    <t>Compressor Line Filter Catalouge_20221123162205146.pdf</t>
  </si>
  <si>
    <t>Filter Element PD85_20221123162205196.jpg</t>
  </si>
  <si>
    <t>2022-11-24 08:11:25</t>
  </si>
  <si>
    <t>Q4580717</t>
  </si>
  <si>
    <t>INVERTER[WFU-22/ABB],AC 3PHASE,500V,93A,OR EQUIVALENT</t>
  </si>
  <si>
    <t>WFU-22</t>
  </si>
  <si>
    <t>https://new.abb.com/products/TEMP.FIDRI3AUA0000049812</t>
  </si>
  <si>
    <t>9IBA236861_720x540_20221121100511735.jpg</t>
  </si>
  <si>
    <t>이동희</t>
  </si>
  <si>
    <t>lee3275@posco.co.kr</t>
  </si>
  <si>
    <t>2022-11-24 11:11:24</t>
  </si>
  <si>
    <t>Q4581003</t>
  </si>
  <si>
    <t>PRE FILTER,AIR/GAS/DUST,[NPK-OC-100-FP/NIRECO PROCESS KOREA]x400Lx450Wx20T,10micron_POLYESTER/GLASS/CARBON/MAT,FOR P 2CC MARKING MACHINE DUST COLLECTOR,OR EQUIVALENT</t>
  </si>
  <si>
    <t>NPK-OC-100-FP</t>
  </si>
  <si>
    <t>NIRECO PROCESS KOREA</t>
  </si>
  <si>
    <t xml:space="preserve"> FOR P 2CC MARKING MACHINE DUST COLLECTOR</t>
  </si>
  <si>
    <t>구조 및 사양_20221122093653190.pdf</t>
  </si>
  <si>
    <t>http://www.nirecopk.com/?act=shop.goods_view&amp;GS=53&amp;GC=GD00</t>
  </si>
  <si>
    <t>필터팩키지_20221122093653154.png</t>
  </si>
  <si>
    <t>손영일</t>
  </si>
  <si>
    <t>(포항)제강부 2연주공장</t>
  </si>
  <si>
    <t>2022-11-28 10:11:34</t>
  </si>
  <si>
    <t xml:space="preserve">   Package 상품명 : NPK-OC-100-FP으로 승인처리 합니다.</t>
  </si>
  <si>
    <t>Q4581090</t>
  </si>
  <si>
    <t>[SF-PE-355/HDMICRO]x34.8L,355mesh_POLYESTER_MESH OPENING 38,ROUND FORM,100EA/BOX,NOMINAL THREAD DIAMETER:31UM</t>
  </si>
  <si>
    <t>SF-PE-355</t>
  </si>
  <si>
    <t>HDMICRO</t>
  </si>
  <si>
    <t>MESH OPENING 38,ROUND FORM,100EA/BOX,NOMINAL THREAD DIAMETER:31UM</t>
  </si>
  <si>
    <t>모노메시필터제품사진04_20221124132138513_20221125091002574.jpg</t>
  </si>
  <si>
    <t>http://hdmicro.co.kr/ko/?c=140&amp;s=&amp;gp=1&amp;gbn=viewok&amp;ix=568</t>
  </si>
  <si>
    <t>모노메시필터 38um_20230314145226138.jpg</t>
  </si>
  <si>
    <t>2023-03-22 07:03:47</t>
  </si>
  <si>
    <t>Q4581487</t>
  </si>
  <si>
    <t>[D/N:PC-221122-002/SHINHEUNG],105.5X76MM</t>
  </si>
  <si>
    <t>D/N:PC-221122-002</t>
  </si>
  <si>
    <t>SHINHEUNG</t>
  </si>
  <si>
    <t>PC-221122-002_20221129083921494.png</t>
  </si>
  <si>
    <t>필터링 키트 조립부품 SET 도면도_20221129083921518.JPG</t>
  </si>
  <si>
    <t>2022-11-30 09:11:59</t>
  </si>
  <si>
    <t>Q4581488</t>
  </si>
  <si>
    <t>[D/N:PC-221122-001/SHINHEUNG],60X65.2MM</t>
  </si>
  <si>
    <t>D/N:PC-221122-001</t>
  </si>
  <si>
    <t>PC-221122-001_20221129083946907.png</t>
  </si>
  <si>
    <t>필터링 키트 도면_20221129083946930.JPG</t>
  </si>
  <si>
    <t>2022-11-30 10:11:07</t>
  </si>
  <si>
    <t>Q4581650</t>
  </si>
  <si>
    <t>GAS,[SSP-2K150/SAEHAN HITECH]x150L,2micron,CERAMIC</t>
  </si>
  <si>
    <t>SSP-2K150</t>
  </si>
  <si>
    <t>SAEHAN HITECH</t>
  </si>
  <si>
    <t>8. Sample Probe Filter (SSP-2K150)_20221130113810513.pdf</t>
  </si>
  <si>
    <t>http://www.saehanhitech.co.kr/</t>
  </si>
  <si>
    <t>sample probe 1st filter(ssp-2k150)_20221130113810542.jpg</t>
  </si>
  <si>
    <t>배혜진</t>
  </si>
  <si>
    <t>환경기술그룹</t>
  </si>
  <si>
    <t>bigstar1177@snnc.co.kr</t>
  </si>
  <si>
    <t>박연재</t>
  </si>
  <si>
    <t>yeonjae2302@snnc.co.kr</t>
  </si>
  <si>
    <t>2022-12-01 08:12:05</t>
  </si>
  <si>
    <t>Q4581651</t>
  </si>
  <si>
    <t>[SH-33G-1/4/SAEHAN HITECH],65DX120L,SS316</t>
  </si>
  <si>
    <t>SH-33G-1/4</t>
  </si>
  <si>
    <t>5. Filter Housing (SH-33)_20221130114017231.pdf</t>
  </si>
  <si>
    <t>33G Filter Housing_20221130114017247.jpg</t>
  </si>
  <si>
    <t>2022-12-01 08:12:59</t>
  </si>
  <si>
    <t>Q4581863</t>
  </si>
  <si>
    <t>WATER,[HMC-14AC/HUMAN CORPORATION],5micron,ACTIVATED CARBON</t>
  </si>
  <si>
    <t>HMC-14AC</t>
  </si>
  <si>
    <t>HUMAN CORPORATION</t>
  </si>
  <si>
    <t>221122_환경기술그룹_수질 TMS 필터 소모품 물품소개 카탈로그_20221129082016183.pdf</t>
  </si>
  <si>
    <t>HMC-14AC_20221129082016211.jpg</t>
  </si>
  <si>
    <t>2022-12-02 13:12:05</t>
  </si>
  <si>
    <t>Q4581864</t>
  </si>
  <si>
    <t>WATER,[HMC-HRP-1/HUMAN CORPORATION],0.001micron,POLYAMIDE</t>
  </si>
  <si>
    <t>HMC-HRP-1</t>
  </si>
  <si>
    <t>221122_환경기술그룹_수질 TMS 필터 소모품 물품소개 카탈로그_20221129082303755.pdf</t>
  </si>
  <si>
    <t>HMC-HRP-1_20221129082303784.jpg</t>
  </si>
  <si>
    <t>2022-12-02 13:12:25</t>
  </si>
  <si>
    <t>Q4582143</t>
  </si>
  <si>
    <t>[LF BN/HC 160 1E10B1/HYDAC]xOD95x236L_10micron_HC,100bar,160L/min_THREAD SIZE:1 1/4"_FOR CHROME SHOP NC MACHINE SPINDLE UNIT</t>
  </si>
  <si>
    <t>LF BN/HC 160 1E10B1</t>
  </si>
  <si>
    <t>THREAD SIZE:1 1/4"</t>
  </si>
  <si>
    <t>FOR CHROME SHOP NC MACHINE SPINDLE UNIT</t>
  </si>
  <si>
    <t>HYDAC LF BN HC_20221202191257733.pdf</t>
  </si>
  <si>
    <t>https://www.hydac.com/it-it/prodotti/filtrazione-e-manutenzione/filtri/filtri-assemblati/filtri-a-pressione-inline-filters/lf/show/Download/index.html</t>
  </si>
  <si>
    <t>HYDAC LF BN HC 160_20221202191857407.PNG</t>
  </si>
  <si>
    <t>2022-12-06 08:12:13</t>
  </si>
  <si>
    <t>Q4582230</t>
  </si>
  <si>
    <t>[P/N:2901-0325-00,FOR GA37/ATLAS COPCO],FILTER KIT,FOR AIR COMPRESSOR</t>
  </si>
  <si>
    <t>P/N:2901-0325-00,FOR GA37</t>
  </si>
  <si>
    <t>FILTER KIT</t>
  </si>
  <si>
    <t>Atlas Copco Filter Kit 2901-0325-00_20221206121621201.JPG</t>
  </si>
  <si>
    <t>2022-12-06 16:12:58</t>
  </si>
  <si>
    <t>Q4582231</t>
  </si>
  <si>
    <t>[P/N:2901-0775-00,FOR GA55/ATLAS COPCO],FILTER KIT,FOR AIR COMPRESSOR</t>
  </si>
  <si>
    <t>P/N:2901-0775-00,FOR GA55</t>
  </si>
  <si>
    <t>Atlas Copco Filter Kit 2901-0775-00_20221206122111741.JPG</t>
  </si>
  <si>
    <t>2022-12-06 16:12:45</t>
  </si>
  <si>
    <t>Q4582233</t>
  </si>
  <si>
    <t>[P/N:2901-0213-00/ATLAS COPCO],OIL SEPERATOR KIT,FOR AIR COMPRESSOR</t>
  </si>
  <si>
    <t>P/N:2901-0213-00</t>
  </si>
  <si>
    <t>OIL SEPERATOR KIT,FOR AIR COMPRESSOR</t>
  </si>
  <si>
    <t>https://www.atlascopco.com/en-in/compressors/service/parts/filters</t>
  </si>
  <si>
    <t>Atlas Copco oil seperator kit 2901-0213-00_20221206120430031.jpg</t>
  </si>
  <si>
    <t>2022-12-06 16:12:55</t>
  </si>
  <si>
    <t>Q4582234</t>
  </si>
  <si>
    <t>[P/N:2901-0858-00/ATLAS COPCO],OIL SEPERATOR KIT,FOR AIR COMPRESSOR</t>
  </si>
  <si>
    <t>P/N:2901-0858-00</t>
  </si>
  <si>
    <t>Atlas Copco oil seperator kit 2901-0858-00_20221206120805461.jpg</t>
  </si>
  <si>
    <t>2022-12-06 17:12:17</t>
  </si>
  <si>
    <t>Q4582465</t>
  </si>
  <si>
    <t>[B10-KAU301-03-S223/KCC],1.2MPa,RC3/8</t>
  </si>
  <si>
    <t>B10-KAU301-03-S223</t>
  </si>
  <si>
    <t>RC3/8</t>
  </si>
  <si>
    <t>B10-KAU301-03-S223_221125-Model_20221202125055531.pdf</t>
  </si>
  <si>
    <t>https://www.kccpr.com/bbs/search.php?url=https%3A%2F%2Fwww.kccpr.com%2Fbbs%2Fsearch.php&amp;stx=KAU</t>
  </si>
  <si>
    <t>kcc제품_20221202125055551.JPG</t>
  </si>
  <si>
    <t>용승현</t>
  </si>
  <si>
    <t>양극재정비섹션</t>
  </si>
  <si>
    <t>seunghyeonyong@poscofuturem.com</t>
  </si>
  <si>
    <t>2022-12-08 09:12:14</t>
  </si>
  <si>
    <t>Q4582543</t>
  </si>
  <si>
    <t>FILTER ELEMENT,AIR,[DD150/ATLAS COPCO],COALESCING,FOR AIR COMPRESSOR</t>
  </si>
  <si>
    <t>DD150</t>
  </si>
  <si>
    <t>Filter Element DD150_20221208122246740.jpg</t>
  </si>
  <si>
    <t>2022-12-08 16:12:33</t>
  </si>
  <si>
    <t>계획한 대로 복수화 추진하십시오.</t>
  </si>
  <si>
    <t>Q4582545</t>
  </si>
  <si>
    <t>FILTER ELEMENT,AIR,[PD150/ATLAS COPCO],COALESCING,FOR AIR COMPRESSOR</t>
  </si>
  <si>
    <t>PD150</t>
  </si>
  <si>
    <t>Filter Element PD150_20221208122648966.jpg</t>
  </si>
  <si>
    <t>2022-12-08 16:12:57</t>
  </si>
  <si>
    <t>복수화 일정에 맞춰 추진하십시오</t>
  </si>
  <si>
    <t>Q4582685</t>
  </si>
  <si>
    <t>[AC20-02-D/SMC]</t>
  </si>
  <si>
    <t>AC20-02-D</t>
  </si>
  <si>
    <t>AC2002A_20221128114954244_20241128180813974.jpg</t>
  </si>
  <si>
    <t>(광양)압연설비부 열연정비1섹션</t>
  </si>
  <si>
    <t>이승호</t>
  </si>
  <si>
    <t>ika707@posco.co.kr</t>
  </si>
  <si>
    <t>2024-12-03 10:12:54</t>
  </si>
  <si>
    <t>Q4583082</t>
  </si>
  <si>
    <t>OIL FILTER,[P/N:3001160212,FOR GA45/ATLAS COPCO],0.01mesh,DUPLEX OIL FILTER ELEMENT,OIL FILTER KIT RXD FOODGRADE,FOR COMPRESSOR</t>
  </si>
  <si>
    <t>P/N:3001160212,FOR GA45</t>
  </si>
  <si>
    <t>OIL FILTER KIT RXD FOODGRADE,FOR COMPRESSOR</t>
  </si>
  <si>
    <t>oil filter kit RXD GA45_20221213163814079.jpg</t>
  </si>
  <si>
    <t>oil filter_20221213163814092.jpg</t>
  </si>
  <si>
    <t>Siti Radziah</t>
  </si>
  <si>
    <t>sitiradziah.s@posco.net</t>
  </si>
  <si>
    <t>2022-12-14 09:12:18</t>
  </si>
  <si>
    <t>Q4583366</t>
  </si>
  <si>
    <t>[F74G-6GN-AD2/NORGREN],25micron,6~7bar,PORT SIZE:3/4",FOR DISPENSER D#3 - AIR INSTRUMENT LINE</t>
  </si>
  <si>
    <t>F74G-6GN-AD2</t>
  </si>
  <si>
    <t>NORGREN</t>
  </si>
  <si>
    <t>PORT SIZE:3/4",FOR DISPENSER D#3 - AIR INSTRUMENT LINE</t>
  </si>
  <si>
    <t>F74G_20221215131256331.pdf</t>
  </si>
  <si>
    <t>f74g-6gn-ad2 Norgren_20221215131039164.jpg</t>
  </si>
  <si>
    <t>2022-12-15 16:12:51</t>
  </si>
  <si>
    <t>Q4583367</t>
  </si>
  <si>
    <t>[4338-05/NORGREN],40micron,7kg/cm2,FOR DISPENSER D#2-INSTRUMENT AIR LINE</t>
  </si>
  <si>
    <t>4338-05</t>
  </si>
  <si>
    <t>FOR DISPENSER D#2-INSTRUMENT AIR LINE</t>
  </si>
  <si>
    <t>F74G_20221215133735862.pdf</t>
  </si>
  <si>
    <t>Capture_20221215132620193.GIF</t>
  </si>
  <si>
    <t>2022-12-15 16:12:34</t>
  </si>
  <si>
    <t>Q4583369</t>
  </si>
  <si>
    <t>[4338-07/NORGREN],25micron,7kg/cm2,FOR DISPENSER D#2-INSTRUMENT AIR LINE</t>
  </si>
  <si>
    <t>4338-07</t>
  </si>
  <si>
    <t>F74G (4338-07)_20221215134056192.pdf</t>
  </si>
  <si>
    <t>Capture_20221215134206396.GIF</t>
  </si>
  <si>
    <t>2022-12-15 16:12:33</t>
  </si>
  <si>
    <t>Q4583433</t>
  </si>
  <si>
    <t>[AF911-N20-127-R/SMC]xOD170x200L,40micron,10kg/cm2,ALUMINUM CASTED,180cc/min,PORT SIZE:2",FOR DISPENSER D#1-INSTRUMENT AIR LINE</t>
  </si>
  <si>
    <t>AF911-N20-127-R</t>
  </si>
  <si>
    <t>PORT SIZE:2"</t>
  </si>
  <si>
    <t>FOR DISPENSER D#1-INSTRUMENT AIR LINE</t>
  </si>
  <si>
    <t>Series AF800-900_20221215155739252.pdf</t>
  </si>
  <si>
    <t>AF911-N20 SMC_20221215155616637.jpg</t>
  </si>
  <si>
    <t>2022-12-16 09:12:30</t>
  </si>
  <si>
    <t>Q4583436</t>
  </si>
  <si>
    <t>[11352-5S/SMC],40micron,STAINLESS STEEL,10kg/cm2,FOR DISPENSER D#1-INSTRUMENT AIR LINE</t>
  </si>
  <si>
    <t>11352-5S</t>
  </si>
  <si>
    <t>Series AF800-900_20221215161421265.pdf</t>
  </si>
  <si>
    <t>Element_20221215162126636.GIF</t>
  </si>
  <si>
    <t>2022-12-16 09:12:02</t>
  </si>
  <si>
    <t>특정사 전용부품으로 타사 부품 사용 불가</t>
  </si>
  <si>
    <t>Q4583463</t>
  </si>
  <si>
    <t>AIR,[1126-ELEMENT/CKD],5micron,POLYPROPYLENE FIBER,10kg/cm2,FOR DISPENSER D#2-INSTRUMENT AIR LINE</t>
  </si>
  <si>
    <t>1126-ELEMENT</t>
  </si>
  <si>
    <t>CKD Series 1126 _20221216105242789.pdf</t>
  </si>
  <si>
    <t>Element 1126_20221216110359219.GIF</t>
  </si>
  <si>
    <t>2022-12-16 13:12:56</t>
  </si>
  <si>
    <t>Q4584015</t>
  </si>
  <si>
    <t>[MAKER DWG NO:CF-F-221212-02/CLEAN FILTER]xOD145x2200L_PE/ANTISTATIC MEMBRANE(SPRAY ANTISTATIC)_SEWING THREAD-PE/SNAP RING=SS 0.4TX25W</t>
  </si>
  <si>
    <t>MAKER DWG NO:CF-F-221212-02</t>
  </si>
  <si>
    <t>CLEAN FILTER</t>
  </si>
  <si>
    <t>SEWING THREAD-PE/SNAP RING=SS 0.4TX25W</t>
  </si>
  <si>
    <t>캡처_20221220132359479.JPG</t>
  </si>
  <si>
    <t>www.filtermro.com</t>
  </si>
  <si>
    <t>백필터사진_20221212170248519_20221220132359529.jpg</t>
  </si>
  <si>
    <t>김준연</t>
  </si>
  <si>
    <t>222461@poscofuturem.com</t>
  </si>
  <si>
    <t>2022-12-22 08:12:26</t>
  </si>
  <si>
    <t>향후도면화</t>
  </si>
  <si>
    <t>Q4584078</t>
  </si>
  <si>
    <t>POSCO-MPPC</t>
  </si>
  <si>
    <t>MXN</t>
  </si>
  <si>
    <t>OIL FILTER,[B236/BALDWIN]xOD76.2x203.2L,FOR FORKLIFTS ENGINE</t>
  </si>
  <si>
    <t>B236</t>
  </si>
  <si>
    <t>BALDWIN</t>
  </si>
  <si>
    <t>FOR FORKLIFTS ENGINE</t>
  </si>
  <si>
    <t>FILTRO DE ACEITE PARA MONTACARGAS_20221220010649674.docx</t>
  </si>
  <si>
    <t>http://www.conauto.com.ec/index.php/baldwin-filtro-b236/</t>
  </si>
  <si>
    <t>FILTRO DE ACEITE_20221217071420976.png</t>
  </si>
  <si>
    <t>SOTERO ABSALON RICO HERNANDEZ</t>
  </si>
  <si>
    <t>CEL MRO</t>
  </si>
  <si>
    <t>sotero.rico@poscomppc.com</t>
  </si>
  <si>
    <t>2022-12-22 10:12:41</t>
  </si>
  <si>
    <t>Q4584081</t>
  </si>
  <si>
    <t>PAPER FILTER,[FILP-ASPI-16X/TRUPER]+CODE:19299x800Lx600W,15 GALLONS_PAPER,FOR VACUUM CLEANER(ASPI-16X)</t>
  </si>
  <si>
    <t>FILP-ASPI-16X</t>
  </si>
  <si>
    <t>TRUPER</t>
  </si>
  <si>
    <t>CODE:19299</t>
  </si>
  <si>
    <t>FOR VACUUM CLEANER(ASPI-16X)</t>
  </si>
  <si>
    <t>FILTRO DE PAPEL_20221217063434194.docx</t>
  </si>
  <si>
    <t>https://www.truper.com/ficha_tecnica/Filtro-de-papel-para-aspiradora-ASPI-16X-100.html</t>
  </si>
  <si>
    <t>FILTRO DE PAPEL_20221217061450817.png</t>
  </si>
  <si>
    <t>2022-12-22 10:12:26</t>
  </si>
  <si>
    <t>Q4584092</t>
  </si>
  <si>
    <t>[72947/RIDGID]x185Wx220L,CARDBOARD,VACUUM FILTER,FOR VACUUM CLEANER(RIDGID MODEL:61748, 61673)</t>
  </si>
  <si>
    <t>72947</t>
  </si>
  <si>
    <t>RIDGID</t>
  </si>
  <si>
    <t>FOR VACUUM CLEANER(RIDGID MODEL:61748, 61673)</t>
  </si>
  <si>
    <t>FILTRO ASPIRADORA RIGID_20221220003657278.docx</t>
  </si>
  <si>
    <t>https://www.casamyers.com.mx/item/10400140</t>
  </si>
  <si>
    <t>FILTRO RIGID_20221220002431959.png</t>
  </si>
  <si>
    <t>2022-12-22 11:12:39</t>
  </si>
  <si>
    <t>Q4584793</t>
  </si>
  <si>
    <t>[MEDIUM FILTER/TURBOWIN]x470Wx300Lx47T,PAPER,PAPER/NON-WOVEN FABRIC,FOR TURBO BLOWER</t>
  </si>
  <si>
    <t>TURBOWIN</t>
  </si>
  <si>
    <t>FOR TURBO BLOWER</t>
  </si>
  <si>
    <t>터보블로워 카탈로그(TURBOWIN) _20211203100551898.pdf</t>
  </si>
  <si>
    <t>http://www.turbowin.co.kr</t>
  </si>
  <si>
    <t>터보블로워 Medium Filter_Turbowin .JPG</t>
  </si>
  <si>
    <t>신정호</t>
  </si>
  <si>
    <t>shin0166@snnc.co.kr</t>
  </si>
  <si>
    <t>정동일</t>
  </si>
  <si>
    <t>dongil0856@snnc.co.kr</t>
  </si>
  <si>
    <t>2022-12-29 08:12:29</t>
  </si>
  <si>
    <t>Q4584969</t>
  </si>
  <si>
    <t>GLASS FIBER,[200990-2/HARIM ENGINEERING]x31000Lx30Wx0.16T,0.2micron,17.6kPa_BASIS WEIGHT:50G/M2, TENSILE STRENGTH:14.2N,FOR BAM-1020,OR EQUIVALENT</t>
  </si>
  <si>
    <t>200990-2</t>
  </si>
  <si>
    <t>HARIM ENGINEERING</t>
  </si>
  <si>
    <t>BASIS WEIGHT:50G/M2, TENSILE STRENGTH:14.2N</t>
  </si>
  <si>
    <t>FOR BAM-1020</t>
  </si>
  <si>
    <t>200990-2 catalog_20220809165014620.pdf</t>
  </si>
  <si>
    <t>200990-2(1)_20220809165045469.jpg</t>
  </si>
  <si>
    <t>나윤주</t>
  </si>
  <si>
    <t>nayunju9490@posco.co.kr</t>
  </si>
  <si>
    <t>2022-12-30 07:12:28</t>
  </si>
  <si>
    <t>Q4585311</t>
  </si>
  <si>
    <t>[P/N:ETC0010183/BUSCH KOREA],ID121xOD200x361L,5micron,POLYESTER,AIR(DUST)</t>
  </si>
  <si>
    <t>P/N:ETC0010183</t>
  </si>
  <si>
    <t>BUSCH KOREA</t>
  </si>
  <si>
    <t>ETC0010183_20221128144509411.pdf</t>
  </si>
  <si>
    <t>KakaoTalk_20221128_115517598_20221128130229291.jpg</t>
  </si>
  <si>
    <t>권상훈</t>
  </si>
  <si>
    <t>마그네시아공장</t>
  </si>
  <si>
    <t>sanghoon92@poscofuturem.com</t>
  </si>
  <si>
    <t>2023-01-03 09:01:18</t>
  </si>
  <si>
    <t>사용부서 검토 의견:특정사 전용부품으로 타사 부품 사용 불가</t>
  </si>
  <si>
    <t>Q4585313</t>
  </si>
  <si>
    <t>[P/N:0532000007K/BUSCH KOREA],ID191xOD300x449L,3micron,PAPER,AIR(DUST)</t>
  </si>
  <si>
    <t>P/N:0532000007K</t>
  </si>
  <si>
    <t>Air filter(1000-1600) 도면_20221103162545459.pdf</t>
  </si>
  <si>
    <t>KakaoTalk_20221021_154057895_03_20221021171442928.jpg</t>
  </si>
  <si>
    <t>2023-01-03 09:01:57</t>
  </si>
  <si>
    <t>사용부거 검토 의견:특정사 전용부품으로 타사 부품 사용 불가</t>
  </si>
  <si>
    <t>Q4585316</t>
  </si>
  <si>
    <t>[P/N:ETC0010180/BUSCH KOREA],ID356xOD499x546L,1micron,POLYESTER,AIR(DUST)</t>
  </si>
  <si>
    <t>P/N:ETC0010180</t>
  </si>
  <si>
    <t>ETC0010180_20221128144541615.pdf</t>
  </si>
  <si>
    <t>KakaoTalk_20221021_154057895_00_20221021171722208.jpg</t>
  </si>
  <si>
    <t>2023-01-03 09:01:30</t>
  </si>
  <si>
    <t>Q4585317</t>
  </si>
  <si>
    <t>[V532140160/BUSCH]xOD72x510L,10micron,PE,FOR VACCUM PUMP RA 1000 B</t>
  </si>
  <si>
    <t>V532140160</t>
  </si>
  <si>
    <t>FOR VACCUM PUMP RA 1000 B</t>
  </si>
  <si>
    <t>V532140160(Exhaust Filter 500mm)_20220317082258314.pdf</t>
  </si>
  <si>
    <t>https://www.buschvacuum.com/kr/ko/products/spare-parts-and-accessories/spare-parts/exhaust-filters/</t>
  </si>
  <si>
    <t>2023-01-03 09:01:50</t>
  </si>
  <si>
    <t>Q4585318</t>
  </si>
  <si>
    <t>OIL,HYDRAULIC,[P/N:0531000005/BUSCH KOREA],ID23xOD93x215L,PAPER</t>
  </si>
  <si>
    <t>P/N:0531000005</t>
  </si>
  <si>
    <t>0531000005(Oil Filter)_20221104143552610.pdf</t>
  </si>
  <si>
    <t>KakaoTalk_20221021_154057895_07_20221021170240761.jpg</t>
  </si>
  <si>
    <t>2023-01-03 09:01:53</t>
  </si>
  <si>
    <t xml:space="preserve">사용부서 검토 의견:특정사 전용부품으로 타사 부품 사용 불가_x000D_
</t>
  </si>
  <si>
    <t>Q4585792</t>
  </si>
  <si>
    <t>INVERTER[FOCH0320-50/ABB],AC 3PHASE,500VV,445A,IP00</t>
  </si>
  <si>
    <t>FOCH0320-50</t>
  </si>
  <si>
    <t>IP00</t>
  </si>
  <si>
    <t>https://library.e.abb.com/public/84d9e1baf3134e3581788947203cfca7/FOCH_revF_screen_A4.pdf</t>
  </si>
  <si>
    <t>noise filter foch0320-50_20230104154117625.jpg</t>
  </si>
  <si>
    <t>MUHAMMAD RUDINI</t>
  </si>
  <si>
    <t>m.rudini@krakatauposco.co.id</t>
  </si>
  <si>
    <t>2023-01-06 08:01:42</t>
  </si>
  <si>
    <t>Q4585972</t>
  </si>
  <si>
    <t>INVERTER[FOCH0260-70/ABB],AC 3PHASE,690V,289A,IP00</t>
  </si>
  <si>
    <t>FOCH0260-70</t>
  </si>
  <si>
    <t>FOCHO-0260-70_20230105093737515.pdf</t>
  </si>
  <si>
    <t>noise filter foch260-70_20230105094048336.jpg</t>
  </si>
  <si>
    <t>2023-01-09 11:01:14</t>
  </si>
  <si>
    <t>Q4586389</t>
  </si>
  <si>
    <t>[TEF-120-10VG-16SP-UG5-O-/EATON]x287.02L,232psi_FILTER FOR PUNCHING MACHINE</t>
  </si>
  <si>
    <t>TEF-120-10VG-16SP-UG5-O-</t>
  </si>
  <si>
    <t>EATON</t>
  </si>
  <si>
    <t>FILTER FOR PUNCHING MACHINE</t>
  </si>
  <si>
    <t>return filter -_20230110200712709.pdf</t>
  </si>
  <si>
    <t>filter_20230110201453827.PNG</t>
  </si>
  <si>
    <t>Chetan Deshmukh</t>
  </si>
  <si>
    <t>Instrumentation</t>
  </si>
  <si>
    <t>chetan.deshmukh@posco.net</t>
  </si>
  <si>
    <t>2023-01-12 08:01:58</t>
  </si>
  <si>
    <t>Q4586469</t>
  </si>
  <si>
    <t>[FMND BN/HC 160 LDE 10 D 1.X/-L24/HYDAC]x282Wx303.5L,OR EQUIVALENT</t>
  </si>
  <si>
    <t>FMND BN/HC 160 LDE 10 D 1.X/-L24</t>
  </si>
  <si>
    <t>https://www.hydac.com/shop/media/catalog/crossbase/PRD_DOC_PRO/PRD_DOC_PRO_7564-00001__SEN__AIN__V5.pdf</t>
  </si>
  <si>
    <t>FMND_20221223143825788_20230109140000316.jpg</t>
  </si>
  <si>
    <t>(포항)제선설비부 원료정비섹션</t>
  </si>
  <si>
    <t>권영진</t>
  </si>
  <si>
    <t>hghearb@posco.co.kr</t>
  </si>
  <si>
    <t>2023-01-12 16:01:48</t>
  </si>
  <si>
    <t>Q4586669</t>
  </si>
  <si>
    <t>HYDRAULIC,[SFG-32/SHC]xOD168x200L,150mesh,AL/STS,FOR K2C K1ZRM AUX HYDRAULIC STSTEM TANK SUCTION FILTER,OR EQUIVALENT</t>
  </si>
  <si>
    <t>SFG-32</t>
  </si>
  <si>
    <t>FOR K2C K1ZRM AUX HYDRAULIC STSTEM TANK SUCTION FILTER</t>
  </si>
  <si>
    <t>FilterElement_SFG사양_20230104165709198_20230109155002238.jpg</t>
  </si>
  <si>
    <t>FilterElement_SFG_20230104165653414_20230109155002204.jpg</t>
  </si>
  <si>
    <t>김중근</t>
  </si>
  <si>
    <t>2023-01-16 09:01:13</t>
  </si>
  <si>
    <t>Q4586685</t>
  </si>
  <si>
    <t>HYDRAULIC,[SFG-16/SHC]xOD123x130L,150mesh,AL/STS,FOR K2C K1ZRM MILL HYDRAULIC STSTEM TANK SUCTION FILTER,OR EQUIVALENT</t>
  </si>
  <si>
    <t>SFG-16</t>
  </si>
  <si>
    <t xml:space="preserve">FOR K2C K1ZRM MILL HYDRAULIC STSTEM TANK SUCTION FILTER </t>
  </si>
  <si>
    <t>FilterElement_SFG사양_20230104164626050_20230109155000694.jpg</t>
  </si>
  <si>
    <t>FilterElement_SFG_20230104164611883_20230109155000662.jpg</t>
  </si>
  <si>
    <t>2023-01-16 10:01:56</t>
  </si>
  <si>
    <t>Q4587214</t>
  </si>
  <si>
    <t>[25A-AF60-10B-A/SMC],RC1,WITH BRACKET</t>
  </si>
  <si>
    <t>25A-AF60-10B-A</t>
  </si>
  <si>
    <t>RC1,WITH BRACKET</t>
  </si>
  <si>
    <t>25A-AF60-10B-A_20230110103823620_20230111101000330.JPG</t>
  </si>
  <si>
    <t>25A-AF60-10B-A_20230110103754430_20230111101000292.JPG</t>
  </si>
  <si>
    <t>2023-01-19 10:01:48</t>
  </si>
  <si>
    <t>사용부서 검토의견:특정사 전용부품으로 타사 부품 사용 불가</t>
  </si>
  <si>
    <t>Q4587226</t>
  </si>
  <si>
    <t>[BN-2701/NIHONSEIKI],FOR K2H RM RL-1 AIR FILTER,OR EQUIVALENT</t>
  </si>
  <si>
    <t>BN-2701</t>
  </si>
  <si>
    <t>NIHONSEIKI</t>
  </si>
  <si>
    <t>FOR K2H RM RL-1 AIR FILTER</t>
  </si>
  <si>
    <t>https://www.nihonseiki.com/en/</t>
  </si>
  <si>
    <t>AirFilter_20230103142616279_20230111165000557.png</t>
  </si>
  <si>
    <t>(광양)압연설비1부 열연정비1섹션</t>
  </si>
  <si>
    <t>신진하</t>
  </si>
  <si>
    <t>jh94win@posco.co.kr</t>
  </si>
  <si>
    <t>2023-01-19 11:01:32</t>
  </si>
  <si>
    <t>Q4587873</t>
  </si>
  <si>
    <t>[TURBO BLOWER TBSERIES/KTURBO],OR EQUIVALENT</t>
  </si>
  <si>
    <t>TURBO BLOWER TBSERIES</t>
  </si>
  <si>
    <t>KTURBO</t>
  </si>
  <si>
    <t>filter 사양서-TB_20230125140653146.pdf</t>
  </si>
  <si>
    <t>filter_20230125140653161.jpg</t>
  </si>
  <si>
    <t>이철호</t>
  </si>
  <si>
    <t>my2003go@posco.co.kr</t>
  </si>
  <si>
    <t>2023-01-27 08:01:18</t>
  </si>
  <si>
    <t>Q4588182</t>
  </si>
  <si>
    <t>FILTER ELEMENT,[FC7101.Q20.BT/PARKER],NITRILE,OR EQUIVALENT</t>
  </si>
  <si>
    <t>FC7101.Q20.BT</t>
  </si>
  <si>
    <t>Filter 사양서_20230130094231754.pdf</t>
  </si>
  <si>
    <t>ParkerFilter_1_20230116105110497_20230125162000389.png</t>
  </si>
  <si>
    <t>김현성</t>
  </si>
  <si>
    <t>henrry@posco.co.kr</t>
  </si>
  <si>
    <t>2023-01-31 11:01:25</t>
  </si>
  <si>
    <t>Q4588184</t>
  </si>
  <si>
    <t>FILTER ELEMENT,[FC703.20Q.B.HP/PARKER],NITRILE,OR EQUIVALENT</t>
  </si>
  <si>
    <t>FC703.20Q.B.HP</t>
  </si>
  <si>
    <t>Filter 사양서_20230130100305731.pdf</t>
  </si>
  <si>
    <t>ParkerFilter_1_20230118093235696_20230125163000971.png</t>
  </si>
  <si>
    <t>2023-01-31 11:01:18</t>
  </si>
  <si>
    <t>Q4588312</t>
  </si>
  <si>
    <t>[TEF-426-10VG-16SPRS-0/HYSYS]_RETURN FILTER FOR FLAKING MACHINE</t>
  </si>
  <si>
    <t>TEF-426-10VG-16SPRS-0</t>
  </si>
  <si>
    <t>HYSYS</t>
  </si>
  <si>
    <t>RETURN FILTER FOR FLAKING MACHINE</t>
  </si>
  <si>
    <t>Hysys Filter_20230130181611677.pdf</t>
  </si>
  <si>
    <t>TEF_20230130181948946.PNG</t>
  </si>
  <si>
    <t>2023-02-01 09:02:37</t>
  </si>
  <si>
    <t>Q4588315</t>
  </si>
  <si>
    <t>HYDRAULIC,[HP171-10VG-30EP/HYSYS],435psi,PRESS FILTER ELEMENT FOR FLAKING MACHINE</t>
  </si>
  <si>
    <t>HP171-10VG-30EP</t>
  </si>
  <si>
    <t>PRESS FILTER ELEMENT FOR FLAKING MACHINE</t>
  </si>
  <si>
    <t>Hysys Filter_20230130182251115.pdf</t>
  </si>
  <si>
    <t>HP171_20230130182543320.PNG</t>
  </si>
  <si>
    <t>2023-02-01 09:02:15</t>
  </si>
  <si>
    <t xml:space="preserve">사용부서 검토 의견:특정사 전용부품으로 타사 부품 사용 불가_x000D_
 </t>
  </si>
  <si>
    <t>Q4588432</t>
  </si>
  <si>
    <t>[HFSD-8304-39-3M-4S-JS12/CTC HYDRAUILC]_3micron,20bar_FOR 3PL ON C/L HYD' RETURN FILTER,OR EQUIVALENT</t>
  </si>
  <si>
    <t>HFSD-8304-39-3M-4S-JS12</t>
  </si>
  <si>
    <t>CTC HYDRAUILC</t>
  </si>
  <si>
    <t>FOR 3PL ON C/L HYD' RETURN FILTER</t>
  </si>
  <si>
    <t>HFSD Series_20230201154522808.pdf</t>
  </si>
  <si>
    <t>http://ctchydraulic.com/board_gAWp26/754</t>
  </si>
  <si>
    <t>캡처1_20230201154522902.PNG</t>
  </si>
  <si>
    <t>송재은</t>
  </si>
  <si>
    <t>sjywawa8210@posco.co.kr</t>
  </si>
  <si>
    <t>2023-02-02 08:02:04</t>
  </si>
  <si>
    <t>Q4588433</t>
  </si>
  <si>
    <t>[HFSD-8304-39-3M-2S-JS10/CTC HYDRAUILC]_3micron,20bar_FOR 3PL ON C/L HYD CIR' FILTER,OR EQUIVALENT</t>
  </si>
  <si>
    <t>HFSD-8304-39-3M-2S-JS10</t>
  </si>
  <si>
    <t>FOR 3PL ON C/L HYD CIR' FILTER</t>
  </si>
  <si>
    <t>HFSD Series_20230201154642561.pdf</t>
  </si>
  <si>
    <t>캡처1_20230201154642628.PNG</t>
  </si>
  <si>
    <t>2023-02-02 08:02:02</t>
  </si>
  <si>
    <t>Q4588441</t>
  </si>
  <si>
    <t>[FLN BN/HC 160 D E 10 D 1.X/-L24-A2-B3/HYDAC],ALUMINUM,OR EQUIVALENT</t>
  </si>
  <si>
    <t>FLN BN/HC 160 D E 10 D 1.X/-L24-A2-B3</t>
  </si>
  <si>
    <t>FLN_Filter_Hydac_20230120155924729_20230125163002251.pdf</t>
  </si>
  <si>
    <t>https://www.hydac.com/shop/media/catalog/crossbase/PRD_DOC_PRO/PRD_DOC_PRO_70000-00001__SEN__AIN__V3.pdf</t>
  </si>
  <si>
    <t>FLN_20230120155912093_20230125163002078.jpg</t>
  </si>
  <si>
    <t>Q4588442</t>
  </si>
  <si>
    <t>[FLN BN/HC 250 D K 10 D 1.X/-L24-A2-B3/HYDAC],ALUMINUM,OR EQUIVALENT</t>
  </si>
  <si>
    <t>FLN BN/HC 250 D K 10 D 1.X/-L24-A2-B3</t>
  </si>
  <si>
    <t>FLN_Filter_Hydac_20230120154325412_20230125163001612.pdf</t>
  </si>
  <si>
    <t>FLN_20230120153917762_20230125163001493.jpg</t>
  </si>
  <si>
    <t>2023-02-02 08:02:10</t>
  </si>
  <si>
    <t>Q4588453</t>
  </si>
  <si>
    <t>1060Wx1890H,[ETV700/ENTEC],OR EQUIVALENT</t>
  </si>
  <si>
    <t>ETV700</t>
  </si>
  <si>
    <t>2제강 LPG Tank 기화기 사진_20230104090053450.pptx</t>
  </si>
  <si>
    <t>http://www.entec22.com/</t>
  </si>
  <si>
    <t>기화기사진_20221212115750287_20230104090053515.png</t>
  </si>
  <si>
    <t>이채대</t>
  </si>
  <si>
    <t>(광양)제강부 조업안전섹션</t>
  </si>
  <si>
    <t>김성훈</t>
  </si>
  <si>
    <t>(광양)제강부 2제강공장</t>
  </si>
  <si>
    <t>wgp1234@posco.co.kr</t>
  </si>
  <si>
    <t>2023-02-02 09:02:20</t>
  </si>
  <si>
    <t>Q4589062</t>
  </si>
  <si>
    <t>ELECTRONIC[WYF-S10B/WYES],AC 1PHASE,250V,10A</t>
  </si>
  <si>
    <t>WYF-S10B</t>
  </si>
  <si>
    <t>WYES</t>
  </si>
  <si>
    <t>WYF-S10B_20230202235811008.pdf</t>
  </si>
  <si>
    <t>https://electronicspanga.com/shop/wyes-wyf-s10b-250v-10a-50-60hz-noise-filter-f06/</t>
  </si>
  <si>
    <t>QX000247_20230202235811060.jpg</t>
  </si>
  <si>
    <t>VALERIA MEJÍA SAMPERIO</t>
  </si>
  <si>
    <t>PUE 생산</t>
  </si>
  <si>
    <t>valeria.mejia@poscomppc.com</t>
  </si>
  <si>
    <t>FLORES MARTINEZ SAMUEL BENJAMIN</t>
  </si>
  <si>
    <t>PUE MRO</t>
  </si>
  <si>
    <t>samuel.flores@poscomppc.com</t>
  </si>
  <si>
    <t>2023-02-08 09:02:43</t>
  </si>
  <si>
    <t>Q4589776</t>
  </si>
  <si>
    <t>[FS1710W-SD/SUNDRIVE SYSTEM]x498Wx498Lx50T,AIR FILTER FOR YASKAWA HIGH VOLTAGE INVERTER MV1000(1BOX=6EA),OR EQUIVALENT</t>
  </si>
  <si>
    <t>FS1710W-SD</t>
  </si>
  <si>
    <t>SUNDRIVE SYSTEM</t>
  </si>
  <si>
    <t>AIR FILTER FOR YASKAWA HIGH VOLTAGE INVERTER MV1000(1BOX=6EA)</t>
  </si>
  <si>
    <t>YASKAWA_MV1000_고압인버터용_Air_Filter_20230208143457958.pdf</t>
  </si>
  <si>
    <t>http://yetech.co.kr/board/bbs/board.php?bo_table=data_kor&amp;wr_id=166</t>
  </si>
  <si>
    <t>Air Filter (FS1710W-SD) (1)_maker_20230210110539726.jpg</t>
  </si>
  <si>
    <t>권성근</t>
  </si>
  <si>
    <t>gaeko@posco.co.kr</t>
  </si>
  <si>
    <t>2023-02-14 10:02:51</t>
  </si>
  <si>
    <t>Q4589781</t>
  </si>
  <si>
    <t>[P/N:N0775220/PERKINELMER]x3.7Wx11Lx0.8T,1micron,IRON,ATOMIC ABSORPTION,FOR RF GENERATOR INLET</t>
  </si>
  <si>
    <t>P/N:N0775220</t>
  </si>
  <si>
    <t>PERKINELMER</t>
  </si>
  <si>
    <t>ATOMIC ABSORPTION</t>
  </si>
  <si>
    <t>FOR RF GENERATOR INLET</t>
  </si>
  <si>
    <t>https://www.perkinelmer.com/product/repl-air-filter-for-optima-2000-4000-n0775220</t>
  </si>
  <si>
    <t>N0775220_2_20230202112410366_20230210083001232.JPG</t>
  </si>
  <si>
    <t>황정윤</t>
  </si>
  <si>
    <t>hjy1221@poscofuturem.com</t>
  </si>
  <si>
    <t>2023-02-14 10:02:49</t>
  </si>
  <si>
    <t>Purchase Category 참고하십시오_x000D_
*도면품( Filter(Made to Order),일반품,특정사양품(Filter(Ready Made)</t>
  </si>
  <si>
    <t>Q4589916</t>
  </si>
  <si>
    <t>HYDRAULIC,[SHA014/030T/STAUFF]x85Wx120L,CAST IRON</t>
  </si>
  <si>
    <t>SHA014/030T</t>
  </si>
  <si>
    <t>SHA014-030T_20221209233711878.pdf</t>
  </si>
  <si>
    <t>https://cdn-assets.stauff.com/pdfcatalogs/en/STAUFF-Catalogue-9-STAUFF-Filtration-Technology-English.pdf</t>
  </si>
  <si>
    <t>QX000111_20221209235048095.jpg</t>
  </si>
  <si>
    <t>2023-02-15 09:02:47</t>
  </si>
  <si>
    <t>Q4590143</t>
  </si>
  <si>
    <t>[AFF22C-06D/SMC],10MPa,AIR,FOR 3RCL AIR LINE FILTER,OR EQUIVALENT</t>
  </si>
  <si>
    <t>AFF22C-06D</t>
  </si>
  <si>
    <t>FOR 3RCL AIR LINE FILTER</t>
  </si>
  <si>
    <t>https://www.smckorea.co.kr/ppis/data/catalog/AFF.pdf</t>
  </si>
  <si>
    <t>[이미지] 3RCL 고압압축배관 Air Filter 사진_ AFF22C-06D, SMC_20230215104124745.png</t>
  </si>
  <si>
    <t>2023-02-16 14:02:16</t>
  </si>
  <si>
    <t>Q4590367</t>
  </si>
  <si>
    <t>[BASF-80A/GSA],ID75xOD85x150Wx252L,80A,FOR 1CGL DELIVERY AIR DRYER BLOWER FILTER</t>
  </si>
  <si>
    <t>BASF-80A</t>
  </si>
  <si>
    <t>GSA</t>
  </si>
  <si>
    <t>80A</t>
  </si>
  <si>
    <t>FOR 1CGL DELIVERY AIR DRYER BLOWER FILTER</t>
  </si>
  <si>
    <t>GSA AIR DRYER BLOWER FILTER_20230208083842621.pdf</t>
  </si>
  <si>
    <t>BASF-80A_20230220091705278.png</t>
  </si>
  <si>
    <t>https://www.gsadryer.com</t>
  </si>
  <si>
    <t>download55_20230208082911100.jpg</t>
  </si>
  <si>
    <t>Lopez Ibarra Ivan Osiris</t>
  </si>
  <si>
    <t>osiris.lopez@posco.net</t>
  </si>
  <si>
    <t>2023-02-20 09:02:21</t>
  </si>
  <si>
    <t>Q4590669</t>
  </si>
  <si>
    <t>[D140182/DOOSAN]_FOR CONTROL OIL</t>
  </si>
  <si>
    <t xml:space="preserve"> D140182</t>
  </si>
  <si>
    <t>DOOSAN</t>
  </si>
  <si>
    <t>FOR CONTROL OIL</t>
  </si>
  <si>
    <t>https://www.doosanlift.com/</t>
  </si>
  <si>
    <t>FILTRO DE TRANSMISION NR 0750 131061_20230216062601194.png</t>
  </si>
  <si>
    <t>MARTIN CRISTALES LOPEZ</t>
  </si>
  <si>
    <t>SLP MRO</t>
  </si>
  <si>
    <t>martincristales@poscomppc.com</t>
  </si>
  <si>
    <t>2023-02-22 07:02:08</t>
  </si>
  <si>
    <t>Q4590689</t>
  </si>
  <si>
    <t>[937399Q/PARKER]xOD94_10micron_MICROGLASS,200psi,10gal/min_FOR MINERAL AND PETROLEUM BASED FLUID</t>
  </si>
  <si>
    <t>937399Q</t>
  </si>
  <si>
    <t>FOR MINERAL AND PETROLEUM BASED FLUID</t>
  </si>
  <si>
    <t>3480_20221214053914538.pdf</t>
  </si>
  <si>
    <t>https://ph.parker.com/us/es/replacement-elements-low-pressure-filter-moduflow-plus-series/937399q</t>
  </si>
  <si>
    <t>QX003480_20221214054503284.jpg</t>
  </si>
  <si>
    <t>2023-02-22 08:02:07</t>
  </si>
  <si>
    <t>Q4590690</t>
  </si>
  <si>
    <t>[940802/PARKER]xOD94_40micron_GLASS REINFORCED NYLON,200psi,10gal/min_MAIN FILTER REMOVES CONTAMINANTS</t>
  </si>
  <si>
    <t>940802</t>
  </si>
  <si>
    <t>MAIN FILTER REMOVES CONTAMINANTS</t>
  </si>
  <si>
    <t>940802_20221214060442224.pdf</t>
  </si>
  <si>
    <t>https://www.grainger.com.mx/producto/PARKER-Elemento-de-Filtro-Hidr%C3%A1ulico,-Medio-Filtrante-Sint%C3%A9tico,-Clasificaci%C3%B3n-de-Micr%C3%B3n-40,-Presi%C3%B3n-M%C3%A1x-200-psi,-Filtro-Principal-Remueve-Contaminantes/p/1XPX5</t>
  </si>
  <si>
    <t>QX003904_20221214060810939.jpg</t>
  </si>
  <si>
    <t>2023-02-22 08:02:31</t>
  </si>
  <si>
    <t>Q4590691</t>
  </si>
  <si>
    <t>[543146/HANSHIN]xOD96x210L_10micron_PAPER,25bar,OIL</t>
  </si>
  <si>
    <t>543146</t>
  </si>
  <si>
    <t xml:space="preserve">HANSHIN </t>
  </si>
  <si>
    <t>https://killerfilter.com/filters/HANSHIN/543146_HANSHIN-filter.html</t>
  </si>
  <si>
    <t>QX000889_20221217010124691.jpg</t>
  </si>
  <si>
    <t>2023-02-22 08:02:27</t>
  </si>
  <si>
    <t>Q4590709</t>
  </si>
  <si>
    <t>[K051229/DONALDSON]xOD40x314L_1/4 BSP/G</t>
  </si>
  <si>
    <t>K051229</t>
  </si>
  <si>
    <t>DONALDSON</t>
  </si>
  <si>
    <t>1/4 BSP/G</t>
  </si>
  <si>
    <t>K051_20221217013412512.pdf</t>
  </si>
  <si>
    <t>https://shop.donaldson.com/store/es-mx/product/K051229/13763?_requestid=4238231#</t>
  </si>
  <si>
    <t>QX000629_20221217013451252.jpg</t>
  </si>
  <si>
    <t>2023-02-22 09:02:15</t>
  </si>
  <si>
    <t>Q4590715</t>
  </si>
  <si>
    <t>[HC-76110/SAKURA]x93Wx145.5L_ACTIVATED CARBON_HYDRAULIC SPIN-ON.,FUEL_1-12 UNF-2B</t>
  </si>
  <si>
    <t>HC-76110</t>
  </si>
  <si>
    <t>SAKURA</t>
  </si>
  <si>
    <t>1-12 UNF-2B</t>
  </si>
  <si>
    <t>HC-76110_20221220050859423.pdf</t>
  </si>
  <si>
    <t>http://sakurafilter.com/products/sak001-hc-76110</t>
  </si>
  <si>
    <t>QX001164_20221220051407956.jpg</t>
  </si>
  <si>
    <t>2023-02-22 09:02:56</t>
  </si>
  <si>
    <t>Q4590718</t>
  </si>
  <si>
    <t>[SFC-5705/SAKURA]x93Wx174L_HYDRAULIC SPIN-ON.,FUEL/WATER SEPARATOR</t>
  </si>
  <si>
    <t>SFC-5705</t>
  </si>
  <si>
    <t>SFC-5705_20221220064549482.pdf</t>
  </si>
  <si>
    <t>http://sakurafilter.com/products/sak001-sfc-5705</t>
  </si>
  <si>
    <t>QX001165_20221220064524666.jpg</t>
  </si>
  <si>
    <t>2023-02-22 09:02:20</t>
  </si>
  <si>
    <t>Q4590865</t>
  </si>
  <si>
    <t>[BASF 125A/GSA]xOD230x252L,10kg/cm2,CONECTION PT 125A,FOR 1 CGL SPM AIR DYER</t>
  </si>
  <si>
    <t>BASF 125A</t>
  </si>
  <si>
    <t>CONECTION PT 125A</t>
  </si>
  <si>
    <t>FOR 1 CGL SPM AIR DYER</t>
  </si>
  <si>
    <t>Ficha_20230221074955413.pdf</t>
  </si>
  <si>
    <t>BASF 125A_20230223101025703.pdf</t>
  </si>
  <si>
    <t>https://www.bing.com/images/search?q=gsa+air+dryer&amp;id=D3F14FAE34464FEA26F598CEBB3C1984B69632D6&amp;form=IQFRBA&amp;first=1&amp;disoverlay=1</t>
  </si>
  <si>
    <t>Slide1_20230221074955448.PNG</t>
  </si>
  <si>
    <t>2023-02-23 10:02:18</t>
  </si>
  <si>
    <t>향후 일정에 맞춰 복수화 추진하십시오</t>
  </si>
  <si>
    <t>Q4590869</t>
  </si>
  <si>
    <t>[BASF 50A/GSA]x115Wx162L,10kg/cm2,0.2bar,CONECTION PT 50A,FOR 1CGL AIR DYER</t>
  </si>
  <si>
    <t>BASF 50A</t>
  </si>
  <si>
    <t>CONECTION PT 50A</t>
  </si>
  <si>
    <t>FOR 1CGL AIR DYER</t>
  </si>
  <si>
    <t>Ficha_20230215050631972.pdf</t>
  </si>
  <si>
    <t>BASF 50A_20230223101522326.png</t>
  </si>
  <si>
    <t>https://gsadryer.com/compressed-air-technique/desiccant-air-dryer/zehb-zehc-series/</t>
  </si>
  <si>
    <t>Slide1_20230215051309495.JPG</t>
  </si>
  <si>
    <t>2023-02-23 10:02:13</t>
  </si>
  <si>
    <t>Q4591557</t>
  </si>
  <si>
    <t>[HPQ210393125W/HY-PRO]_125micron_WIRE MESH_FOR HYDRAULIC MAIN FILTER</t>
  </si>
  <si>
    <t>HPQ210393125W</t>
  </si>
  <si>
    <t>HY-PRO</t>
  </si>
  <si>
    <t>FOR HYDRAULIC MAIN FILTER</t>
  </si>
  <si>
    <t>FILTER 647_20230113033636854.pdf</t>
  </si>
  <si>
    <t>QX000647_20230113033857306.jpg</t>
  </si>
  <si>
    <t>2023-03-02 09:03:50</t>
  </si>
  <si>
    <t>Q4591558</t>
  </si>
  <si>
    <t>[BAB-1163-40/BESKO]xOD80x50Wx132L_40micron,720L/min_FOR HYDRAULIC FILTER,CARBON STEEL</t>
  </si>
  <si>
    <t>BAB-1163-40</t>
  </si>
  <si>
    <t>BESKO</t>
  </si>
  <si>
    <t>FOR HYDRAULIC FILTER,CARBON STEEL</t>
  </si>
  <si>
    <t>bab_1_20230113052645429.pdf</t>
  </si>
  <si>
    <t>QX000866_20230113052825634.jpg</t>
  </si>
  <si>
    <t>2023-03-02 09:03:39</t>
  </si>
  <si>
    <t>Q4592426</t>
  </si>
  <si>
    <t>[069.455.16/LECHLER],STAINLESS STEEL,FOR HSM RM DESCALER FILTER</t>
  </si>
  <si>
    <t>069.455.16</t>
  </si>
  <si>
    <t>LECHLER</t>
  </si>
  <si>
    <t>FOR HSM RM DESCALER FILTER</t>
  </si>
  <si>
    <t>lechler_brochure_scalemaster_en_20230308160511530.pdf</t>
  </si>
  <si>
    <t>Capture_20230308160511661.PNG</t>
  </si>
  <si>
    <t>RIDWAN SETIAWAN</t>
  </si>
  <si>
    <t>Hot Rolling Operation Management Team</t>
  </si>
  <si>
    <t>2023-03-08 16:03:53</t>
  </si>
  <si>
    <t>Q4592527</t>
  </si>
  <si>
    <t>WATER,[R30-478/PENTEK]x67Wx124L,100% POLYPROPILENE,30 MICRON,FOR CHILLER SIMULTIX 15</t>
  </si>
  <si>
    <t>R30-478</t>
  </si>
  <si>
    <t>PENTEK</t>
  </si>
  <si>
    <t>FOR CHILLER SIMULTIX 15</t>
  </si>
  <si>
    <t>F.T. Pentek R-Series R30-478_20230308030227268.pdf</t>
  </si>
  <si>
    <t>Pentek_R30-478_20230308031055660.JPG</t>
  </si>
  <si>
    <t>2023-03-09 10:03:10</t>
  </si>
  <si>
    <t>Q4592528</t>
  </si>
  <si>
    <t>WATER,[PCF1-10MB/PENTEK]x68Wx248L,MIXED BED DI RESINS,FOR CHILLER SIMULTIX 15</t>
  </si>
  <si>
    <t>PCF1-10MB</t>
  </si>
  <si>
    <t>F.T. Pentek PCF Series_20230308050400190.pdf</t>
  </si>
  <si>
    <t>Pentek_PCF1-10MB_20230308051225666.JPG</t>
  </si>
  <si>
    <t>2023-03-09 10:03:04</t>
  </si>
  <si>
    <t>Q4592542</t>
  </si>
  <si>
    <t>ELECTRONIC[RNS-2006-DIN/ORIENT ELECTRONICS],AC 1PHASE,250V,6A</t>
  </si>
  <si>
    <t>RNS-2006-DIN</t>
  </si>
  <si>
    <t>ORIENT ELECTRONICS</t>
  </si>
  <si>
    <t>RNS-2006-DIN_20230307110617458.pdf</t>
  </si>
  <si>
    <t>RNS-2006캡처_20230228022253795_20230302150000368.PNG</t>
  </si>
  <si>
    <t>이도협</t>
  </si>
  <si>
    <t>포항설비정비부</t>
  </si>
  <si>
    <t>dohyeop0225@poscofuturem.com</t>
  </si>
  <si>
    <t>2023-03-09 11:03:45</t>
  </si>
  <si>
    <t>Q4592846</t>
  </si>
  <si>
    <t>WATER,[P5-478/PENTEK]x60Wx124L,5micron,POLYPROPYLENE FIBERS,FOR CHILLER SIMULTIX 15</t>
  </si>
  <si>
    <t>P5-478</t>
  </si>
  <si>
    <t>F.T. Pentek P-Series P5-478_20230310092252247.pdf</t>
  </si>
  <si>
    <t>Pentek_P5-478_20230310092252302.JPG</t>
  </si>
  <si>
    <t>2023-03-13 09:03:47</t>
  </si>
  <si>
    <t>Q4593253</t>
  </si>
  <si>
    <t>ELECTRONIC[EB3AK-4060/OKY],AC 1PHASE,450V,60A</t>
  </si>
  <si>
    <t>EB3AK-4060</t>
  </si>
  <si>
    <t>OKY</t>
  </si>
  <si>
    <t>http://www.oky.co.kr/s2/s2_1.php</t>
  </si>
  <si>
    <t>EB3AK-4060_20230302123703631_20230309160001429.JPG</t>
  </si>
  <si>
    <t>2023-03-15 11:03:17</t>
  </si>
  <si>
    <t>Q4593254</t>
  </si>
  <si>
    <t>ELECTRONIC[FT3AK-4150/OKY],AC 3PHASE,450V,150A</t>
  </si>
  <si>
    <t>FT3AK-4150</t>
  </si>
  <si>
    <t>EB3AK-4060_20230302124038959_20230309160001934.JPG</t>
  </si>
  <si>
    <t>2023-03-15 11:03:31</t>
  </si>
  <si>
    <t>Q4594153</t>
  </si>
  <si>
    <t>INVERTER[WYFS15TD/WOONYOUNG],AC 1PHASE,250V,15A</t>
  </si>
  <si>
    <t>WYFS15TD</t>
  </si>
  <si>
    <t>WYF-Noise_Filter_210712_20230308103806258_20230309134005593.pdf</t>
  </si>
  <si>
    <t>https://woonyoung.com/page/s0201_view.php?idx=143&amp;ocatecode=1337920582&amp;gcatecode=1338276032&amp;gnsub=+250V&amp;ogcname=%EB%85%B8%EC%9D%B4%EC%A6%88+%ED%95%84%ED%84%B0</t>
  </si>
  <si>
    <t>WYFS캡처_20230308103751601_20230309134005466.PNG</t>
  </si>
  <si>
    <t>2023-03-22 09:03:37</t>
  </si>
  <si>
    <t>Q4594190</t>
  </si>
  <si>
    <t>PE/PTFE,[MAKER DWG NO:GW-23-0003/AERIX]_ID163xOD169x3000L_PE/PTFE/ETC_BAG FILTER</t>
  </si>
  <si>
    <t>MAKER DWG NO:GW-23-0003</t>
  </si>
  <si>
    <t>BAG FILTER</t>
  </si>
  <si>
    <t>포스코케미칼_1단계400,500CMM필터백도면(163X3000)_20230313140410418_20230317150000803.pdf</t>
  </si>
  <si>
    <t>https://www.aerix.co.kr/</t>
  </si>
  <si>
    <t>백필터_20230313140301772_20230317150000764.JPG</t>
  </si>
  <si>
    <t>김건</t>
  </si>
  <si>
    <t>광양양극재1공장</t>
  </si>
  <si>
    <t>kg7651@poscofuturem.com</t>
  </si>
  <si>
    <t>2023-03-22 11:03:39</t>
  </si>
  <si>
    <t>Q4594194</t>
  </si>
  <si>
    <t>[SF-PE-305/HDMICRO]x34.8L,305mesh_POLYESTER_MESH OPENING:45UM,ROUND FORM,100EA/BOX,NOMINAL THREA DIAMETER:34UM</t>
  </si>
  <si>
    <t>SF-PE-305</t>
  </si>
  <si>
    <t>MESH OPENING:45UM,ROUND FORM,100EA/BOX,NOMINAL THREA DIAMETER:34UM</t>
  </si>
  <si>
    <t>모노메시필터45um_20230314150055928_20230317150002833.jpg</t>
  </si>
  <si>
    <t>모노메시필터45um_20230314150045213_20230317150002649.jpg</t>
  </si>
  <si>
    <t>2023-03-22 12:03:52</t>
  </si>
  <si>
    <t xml:space="preserve">도면품 제작 불가/경제성 부족 </t>
  </si>
  <si>
    <t>Q4594342</t>
  </si>
  <si>
    <t>[ULPA FILTER/DUCLEAN]x550Wx600Lx150T,0.1micron,GLASS FIBER,1bar,NOT MORE THAN 3% ZINC,FOR DUST COLLECTOR</t>
  </si>
  <si>
    <t>ULPA FILTER</t>
  </si>
  <si>
    <t>NOT MORE THAN 3% ZINC</t>
  </si>
  <si>
    <t>FOR DUST COLLECTOR</t>
  </si>
  <si>
    <t>ULPA2_20230309083126560_20230317150000356.JPG</t>
  </si>
  <si>
    <t>ULPAFILTER_20230310101836378_20251002133818758.JPG</t>
  </si>
  <si>
    <t>정윤상</t>
  </si>
  <si>
    <t>ysjeong@poscofuturem.com</t>
  </si>
  <si>
    <t>2025-10-15 09:10:08</t>
  </si>
  <si>
    <t>Q4594343</t>
  </si>
  <si>
    <t>[HEPA FILTER/DUCLEAN]x500Wx470Lx150T,0.3micron,GLASS FIBER,ALUMINUM FRAME &amp; BOX TYPE,NOT MORE THAN 3% ZINC,FOR DUST COLLECTOR</t>
  </si>
  <si>
    <t>HEPA FILTER</t>
  </si>
  <si>
    <t>ALUMINUM FRAME &amp; BOX TYPE,NOT MORE THAN 3% ZINC</t>
  </si>
  <si>
    <t>HEPA1_20230309083001061_20230317150002361.JPG</t>
  </si>
  <si>
    <t>HEPAFILTER_20230310101735412_20251002135045495.JPG</t>
  </si>
  <si>
    <t>2025-10-15 09:10:05</t>
  </si>
  <si>
    <t>Q4594681</t>
  </si>
  <si>
    <t>[MC1230DIN/LAMBDA],AC250VV,30A,MOUNTING:DIN RAIL,HIGH PULSE ATTENUATION</t>
  </si>
  <si>
    <t>MC1230DIN</t>
  </si>
  <si>
    <t>LAMBDA</t>
  </si>
  <si>
    <t>MOUNTING:DIN RAIL,HIGH PULSE ATTENUATION</t>
  </si>
  <si>
    <t>MC1230DIN_20230325042301469.pdf</t>
  </si>
  <si>
    <t>MC1230DIN_20230325042822333.png</t>
  </si>
  <si>
    <t>Morales Flores Kristal</t>
  </si>
  <si>
    <t>kristal.morales@posco.net</t>
  </si>
  <si>
    <t>2023-03-27 09:03:38</t>
  </si>
  <si>
    <t>Q4594707</t>
  </si>
  <si>
    <t>[D/N:FILTER-1(145)/DUCLEAN]xOD145x145Wx500L,MEMBRANE,D145,2KG/EA</t>
  </si>
  <si>
    <t>D/N:FILTER-1(145)</t>
  </si>
  <si>
    <t>D145,2KG/EA</t>
  </si>
  <si>
    <t>멤브레인 필터 결재1_20230324081543810.JPG</t>
  </si>
  <si>
    <t>[23]0228_POSCO_FILTER(D145x500L)_20230324081543749.pdf</t>
  </si>
  <si>
    <t>멤브레인필터_20230310101241118_20230324081543827.JPG</t>
  </si>
  <si>
    <t>2023-03-27 10:03:22</t>
  </si>
  <si>
    <t>Q4594712</t>
  </si>
  <si>
    <t>[ULPA FILTER/DUCLEAN]x550Wx550Lx150T,0.1micron,GLASS FIBER,NOT MORE THAN 3% ZINC,FOR DUST COLLECTOR</t>
  </si>
  <si>
    <t>ULPA FILTER(550X550X150T)_20230324082108850.pdf</t>
  </si>
  <si>
    <t>ULPAFILTER_20230310101805684_20251002134831241.JPG</t>
  </si>
  <si>
    <t>2025-10-15 09:10:00</t>
  </si>
  <si>
    <t>Q4594907</t>
  </si>
  <si>
    <t>PE/PTFE MEMBRANE/STS301,[MAKER DWG NO:GW-23-0002/AERIX]_ID156xOD162x3050Lx6T</t>
  </si>
  <si>
    <t>MAKER DWG NO:GW-23-0002</t>
  </si>
  <si>
    <t>포스코케미칼_2단계2100CMM필터백도면(156X3050)_20230322081112243_20230323171001481.pdf</t>
  </si>
  <si>
    <t>1563050캡처_20230322081323084_20230323171001400.JPG</t>
  </si>
  <si>
    <t>2023-03-28 08:03:38</t>
  </si>
  <si>
    <t>Q4595618</t>
  </si>
  <si>
    <t>HYDRAULIC,[GFZ-30/DREAMFLUID]xOD300x300L,FOR PZSS CRM2 5#6#ZRM</t>
  </si>
  <si>
    <t>GFZ-30</t>
  </si>
  <si>
    <t>DREAMFLUID</t>
  </si>
  <si>
    <t xml:space="preserve">FOR PZSS CRM2 5#6#ZRM </t>
  </si>
  <si>
    <t>0329_2_20230329091846903.jpg</t>
  </si>
  <si>
    <t>https://www.dreamfluid.cn/product/66.html</t>
  </si>
  <si>
    <t>untitled_20230329091846961.png</t>
  </si>
  <si>
    <t>毛锋</t>
  </si>
  <si>
    <t>压延科</t>
  </si>
  <si>
    <t>maof@posco.net</t>
  </si>
  <si>
    <t>姚俊</t>
  </si>
  <si>
    <t>冷轧二工厂</t>
  </si>
  <si>
    <t>yaoj@posco.net</t>
  </si>
  <si>
    <t>2023-03-31 16:03:24</t>
  </si>
  <si>
    <t>Q4595773</t>
  </si>
  <si>
    <t>[DF ON 60 Q E 3 B1.X/HYDAC]x110Wx217L_3micron,315bar_FOR PZSS HSM FM VALVE STAND</t>
  </si>
  <si>
    <t>DF ON 60 Q E 3 B1.X</t>
  </si>
  <si>
    <t>FOR PZSS HSM FM VALVE STAND</t>
  </si>
  <si>
    <t>DF ON 60 Q E 3 B1.X_20230329155146334.PDF</t>
  </si>
  <si>
    <t>https://www.hydac.com/cn-zh/products/filtration-and-fluid-conditioning/hydraulic-and-lubrication-filter/filter-assemblies/inline-filters/df/show/Overview/index.html</t>
  </si>
  <si>
    <t>未标题-1_20230329155437121.jpg</t>
  </si>
  <si>
    <t>王昊</t>
  </si>
  <si>
    <t>zpwangh@posco.net</t>
  </si>
  <si>
    <t>李祖荣</t>
  </si>
  <si>
    <t>lizr@posco.net</t>
  </si>
  <si>
    <t>2023-04-03 16:04:44</t>
  </si>
  <si>
    <t>Q4595915</t>
  </si>
  <si>
    <t>INVERTER[IT-MSF480-005S3/INTECH-FA],AC 3PHASE,0~480V,5A,OR EQUIVALENT</t>
  </si>
  <si>
    <t>IT-MSF480-005S3</t>
  </si>
  <si>
    <t>INTECH-FA</t>
  </si>
  <si>
    <t>INTECH-FA_MicroSurgeFilter_Catalog_20230327095832688_20230328092002374.png</t>
  </si>
  <si>
    <t>http://www.intech-fa.co.kr/kr/business/view.php?sub_num=02&amp;idx=23</t>
  </si>
  <si>
    <t>INTECH-FA_MicroSurgeFilter_JPG_20230327095819067_20230328092002273.jpg</t>
  </si>
  <si>
    <t>민수환</t>
  </si>
  <si>
    <t>minbjin86@posco.co.kr</t>
  </si>
  <si>
    <t>2023-04-05 08:04:41</t>
  </si>
  <si>
    <t>Q4595995</t>
  </si>
  <si>
    <t>[D/N:YG-PC230309-100/YOUGONG ENG],STS304,ETFE COATING,FOR RETURN LINE</t>
  </si>
  <si>
    <t>D/N:YG-PC230309-100</t>
  </si>
  <si>
    <t>YOUGONG ENG</t>
  </si>
  <si>
    <t>ETFE COATING</t>
  </si>
  <si>
    <t>FOR RETURN LINE</t>
  </si>
  <si>
    <t>YG-PC230309-100-Model_20230330112602270.pdf</t>
  </si>
  <si>
    <t>https://blog.yeogie.com/yougongeng/product/G128554?</t>
  </si>
  <si>
    <t>캡처_20230330112602307.PNG</t>
  </si>
  <si>
    <t>박준혁</t>
  </si>
  <si>
    <t>92pjh@poscofuturem.com</t>
  </si>
  <si>
    <t>2023-04-05 15:04:46</t>
  </si>
  <si>
    <t>Q4596172</t>
  </si>
  <si>
    <t>HYDRAULIC,[FS16-100SW/MASUDA]x120Wx202L,6micron,PAPER,210kg/cm2,FOR PL WELDER HYD SYSTEM</t>
  </si>
  <si>
    <t>FS16-100SW</t>
  </si>
  <si>
    <t>FOR PL WELDER HYD SYSTEM</t>
  </si>
  <si>
    <t>FS16-MASUDA_20230406105012105.jpg</t>
  </si>
  <si>
    <t>20230403_105057_20230406105012114.jpg</t>
  </si>
  <si>
    <t>2023-04-07 08:04:43</t>
  </si>
  <si>
    <t>Q4596173</t>
  </si>
  <si>
    <t>[OMS-100-145/FUJI FILTER],USE FOR FDT-2000-50A AIR BREATHER</t>
  </si>
  <si>
    <t>OMS-100-145</t>
  </si>
  <si>
    <t>USE FOR FDT-2000-50A AIR BREATHER</t>
  </si>
  <si>
    <t>OilMist-Separator_en_20230405173030442.pdf</t>
  </si>
  <si>
    <t>IMG_20230328_144906_20230405173030528.jpg</t>
  </si>
  <si>
    <t>2023-04-07 08:04:26</t>
  </si>
  <si>
    <t>Q4596208</t>
  </si>
  <si>
    <t>[RFLD ON 5200 CAV20 LE1.X/HYDAC]_20micron,16bar_FOR PZSS HSM DC AUX HYDRAULIC SYSTEM</t>
  </si>
  <si>
    <t>RFLD ON 5200 CAV20 LE1.X</t>
  </si>
  <si>
    <t>FOR PZSS HSM DC AUX HYDRAULIC SYSTEM</t>
  </si>
  <si>
    <t>RFLD ON 5200 CAV20 LE1.X_20230323173521158.pdf</t>
  </si>
  <si>
    <t>https://www.hydac.com/cn-zh/products/filtration-and-fluid-conditioning/hydraulic-and-lubrication-filter/filter-assemblies/inline-filters/rfld-welded-version.html</t>
  </si>
  <si>
    <t>DC AUX_20230329145229048.jpg</t>
  </si>
  <si>
    <t>朱勇</t>
  </si>
  <si>
    <t>zhuy@posco.net</t>
  </si>
  <si>
    <t>2023-04-07 10:04:27</t>
  </si>
  <si>
    <t>Q4596209</t>
  </si>
  <si>
    <t>[RFLD ON 4000 CAV20 LE1.X/HYDAC]_20micron,16bar_FOR PZSS HSM DC SERVO HYDRAULIC SYSTEM</t>
  </si>
  <si>
    <t>RFLD ON 4000 CAV20 LE1.X</t>
  </si>
  <si>
    <t>FOR PZSS HSM DC SERVO HYDRAULIC SYSTEM</t>
  </si>
  <si>
    <t>RFLD ON 4000 CAV20 LE1.X_20230329150032872.pdf</t>
  </si>
  <si>
    <t>DC SER_20230329145709245.jpg</t>
  </si>
  <si>
    <t>2023-04-07 10:04:02</t>
  </si>
  <si>
    <t>Q4596210</t>
  </si>
  <si>
    <t>[RFLD ON 2500 CAV20 LE1.X/HYDAC]_20micron,16bar_FOR PZSS HSM FM AUX HYDRAULIC SYSTEM</t>
  </si>
  <si>
    <t>RFLD ON 2500 CAV20 LE1.X</t>
  </si>
  <si>
    <t>FOR PZSS HSM FM AUX HYDRAULIC SYSTEM</t>
  </si>
  <si>
    <t>RFLD ON 2500 CAV20 LE1.X_20230329151118616.pdf</t>
  </si>
  <si>
    <t>FM AUX_20230329150839559.jpg</t>
  </si>
  <si>
    <t>2023-04-07 10:04:34</t>
  </si>
  <si>
    <t>Q4596212</t>
  </si>
  <si>
    <t>[RFLD ON 2520 CAV20 LE1.X/HYDAC]_20micron,16bar_FOR PZSS HSM FM SERVO HYDRAULIC SYSTEM</t>
  </si>
  <si>
    <t>RFLD ON 2520 CAV20 LE1.X</t>
  </si>
  <si>
    <t>FOR PZSS HSM FM SERVO HYDRAULIC SYSTEM</t>
  </si>
  <si>
    <t>RFLD ON 2520 CAV20 LE1.X_20230329153840872.pdf</t>
  </si>
  <si>
    <t>FM SER_20230329153434534.jpg</t>
  </si>
  <si>
    <t>Q4596505</t>
  </si>
  <si>
    <t>PE/PTFE MEMBRANE/STS301,[MAKER DWG NO:GW-23-0001/AERIX]_ID158xOD164x3070Lx6T</t>
  </si>
  <si>
    <t>MAKER DWG NO:GW-23-0001</t>
  </si>
  <si>
    <t>포스코케미칼_3,4단계2200CMM필터백도면(158X3050)_20230406154317820_20230407090001874.pdf</t>
  </si>
  <si>
    <t>멤브레인백필터_20230406154251350_20230407090001822.PNG</t>
  </si>
  <si>
    <t>2023-04-11 13:04:58</t>
  </si>
  <si>
    <t>현저한 작업(운전/정비) 효율 저하</t>
  </si>
  <si>
    <t>Q4596768</t>
  </si>
  <si>
    <t>[57412/WIX]xOD93x164.5L_6micron,ALL-METAL BODY_ROTARY HYDRAULIC FILTER</t>
  </si>
  <si>
    <t>57412</t>
  </si>
  <si>
    <t>WIX</t>
  </si>
  <si>
    <t>ROTARY HYDRAULIC FILTER</t>
  </si>
  <si>
    <t>57412_20230118234353300.pdf</t>
  </si>
  <si>
    <t>https://www.fleetfilter.com/filter/57412.html</t>
  </si>
  <si>
    <t>QX001213_20230118235542549.jpg</t>
  </si>
  <si>
    <t>2023-04-13 08:04:23</t>
  </si>
  <si>
    <t>Q4596769</t>
  </si>
  <si>
    <t>[D512992/DOOSAN]_ID30.9xOD70x126.5L_FILTER FOR ELECTRIC FORKLIFT</t>
  </si>
  <si>
    <t>D512992</t>
  </si>
  <si>
    <t>FILTER FOR ELECTRIC FORKLIFT</t>
  </si>
  <si>
    <t>FILTRO 1211_20230118071933704.pdf</t>
  </si>
  <si>
    <t>https://www.sourcefy.com/d512992-hydraulic-filter-for-doosan/</t>
  </si>
  <si>
    <t>QX001211_20230118071850016.jpg</t>
  </si>
  <si>
    <t>2023-04-13 08:04:30</t>
  </si>
  <si>
    <t>Q4597396</t>
  </si>
  <si>
    <t>[M5R-FLHP/XIAOMI]x363Wx562Lx189T,0.3micron,FOR AIR PURIFIER</t>
  </si>
  <si>
    <t>M5R-FLHP</t>
  </si>
  <si>
    <t>XIAOMI</t>
  </si>
  <si>
    <t>FOR AIR PURIFIER</t>
  </si>
  <si>
    <t>https://www.mi.com/shop/buy/detail?product_id=10462&amp;cfrom=search</t>
  </si>
  <si>
    <t>111_20230415104421847.jpg</t>
  </si>
  <si>
    <t>王小君</t>
  </si>
  <si>
    <t>原料管理科</t>
  </si>
  <si>
    <t>wangxiaojun@posco.net</t>
  </si>
  <si>
    <t>杨健</t>
  </si>
  <si>
    <t>制钢工厂</t>
  </si>
  <si>
    <t>zpyj@posco.net</t>
  </si>
  <si>
    <t>2023-04-18 13:04:05</t>
  </si>
  <si>
    <t>Q4597464</t>
  </si>
  <si>
    <t>[PRE FILTER/SPXFLOW]+MAKER DWG NO:JI_22_1050_201109_7.5x594Wx594Lx25T,OR EQUIVALENT</t>
  </si>
  <si>
    <t>PRE FILTER</t>
  </si>
  <si>
    <t>SPXFLOW</t>
  </si>
  <si>
    <t>MAKER DWG NO:JI_22_1050_201109_7.5</t>
  </si>
  <si>
    <t>블로워 도면_20220422170419583.pdf</t>
  </si>
  <si>
    <t>http://spxflowkorea.com/news-center/news/news-notice/?uid=153&amp;mod=document&amp;pageid=1</t>
  </si>
  <si>
    <t>블로워 필터사진_20220422170337746.png</t>
  </si>
  <si>
    <t>정태훈</t>
  </si>
  <si>
    <t>sirimaroo@posco.co.kr</t>
  </si>
  <si>
    <t>2023-04-19 08:04:30</t>
  </si>
  <si>
    <t>Q4597689</t>
  </si>
  <si>
    <t>RECEIVER TRANSCEIVER,[YMT-WAS-V1/YEOMYEONGTECH],AC110-220V,8CH DIGIT I/O,WIRELESS 2.4GHZ,62.5X120X100MM,OR EQUIVALENT</t>
  </si>
  <si>
    <t>YMT-WAS-V1</t>
  </si>
  <si>
    <t>YEOMYEONGTECH</t>
  </si>
  <si>
    <t>8CH DIGIT I/O,WIRELESS 2.4GHZ,62.5X120X100MM</t>
  </si>
  <si>
    <t>230322_YMT-WAS-V1_20230420075737630.pdf</t>
  </si>
  <si>
    <t>http://www.ymt.or.kr/home/goods/YMT-WAS-V1.pdf</t>
  </si>
  <si>
    <t>230310_YMT-WAS-V1_20230420075737694.JPG</t>
  </si>
  <si>
    <t>2023-04-21 08:04:29</t>
  </si>
  <si>
    <t>Q4597779</t>
  </si>
  <si>
    <t>AIR,[KZ10/SCHROEDER INDUSTRIES],ID41.2x231L</t>
  </si>
  <si>
    <t>KZ10</t>
  </si>
  <si>
    <t>SCHROEDER INDUSTRIES</t>
  </si>
  <si>
    <t>kz10_20230414235550418.pdf</t>
  </si>
  <si>
    <t>https://catalog.schroederindustries.com/item/elements/k-hydraulic-cartridge-filter-element/7627464</t>
  </si>
  <si>
    <t>QX000868_20230414235550464.jpg</t>
  </si>
  <si>
    <t>2023-04-24 08:04:51</t>
  </si>
  <si>
    <t>Q4597790</t>
  </si>
  <si>
    <t>[51649/WIX]_ID110xOD118x205L_PAPER_FOR FORK LIFT OIL FILTER</t>
  </si>
  <si>
    <t>51649</t>
  </si>
  <si>
    <t>FOR FORK LIFT OIL FILTER</t>
  </si>
  <si>
    <t>51649_20230117033253834.pdf</t>
  </si>
  <si>
    <t>QX001168_20230117032732470.jpg</t>
  </si>
  <si>
    <t>2023-04-24 08:04:10</t>
  </si>
  <si>
    <t>Q4597791</t>
  </si>
  <si>
    <t>[A131768/DAEWOO],ID111xOD224x388L,PAPER CORE,FOR FORK LIFT AIR FILTER</t>
  </si>
  <si>
    <t>A131768</t>
  </si>
  <si>
    <t xml:space="preserve"> DAEWOO</t>
  </si>
  <si>
    <t>PAPER CORE</t>
  </si>
  <si>
    <t>FOR FORK LIFT AIR FILTER</t>
  </si>
  <si>
    <t>fil_20230117030106419.pdf</t>
  </si>
  <si>
    <t>QX001167_20230117030156833.jpg</t>
  </si>
  <si>
    <t>2023-04-24 09:04:08</t>
  </si>
  <si>
    <t>There is a code registered in PTKP OU, Q4234425 [P/N:A131768/DOOSAN], but it is approved because it is for J code.</t>
  </si>
  <si>
    <t>Q4597792</t>
  </si>
  <si>
    <t>[A-5639/SAKURA],ID136xOD263.5x454.7L,AIR FILTER,PRIMARY, METAL END CAP,FOR FORK LIFT</t>
  </si>
  <si>
    <t>A-5639</t>
  </si>
  <si>
    <t>AIR FILTER,PRIMARY, METAL END CAP</t>
  </si>
  <si>
    <t xml:space="preserve">FOR FORK LIFT </t>
  </si>
  <si>
    <t>filter a56_20230117053012367.pdf</t>
  </si>
  <si>
    <t>http://sakurafilter.com/products/sak001-a-5639</t>
  </si>
  <si>
    <t>QX001170_20230117053455227.jpg</t>
  </si>
  <si>
    <t>2023-04-24 09:04:20</t>
  </si>
  <si>
    <t>Q4597793</t>
  </si>
  <si>
    <t>[A-5635/SAKURA],ID105xOD133.5x414.75L,AIR FILTER,SECONDARY, METAL END CAP,FOR FORK LIFT</t>
  </si>
  <si>
    <t>A-5635</t>
  </si>
  <si>
    <t>AIR FILTER,SECONDARY, METAL END CAP</t>
  </si>
  <si>
    <t>5635_20230117055115254.pdf</t>
  </si>
  <si>
    <t>http://www.sakuracatalogue.com/products/sak001-a-5635</t>
  </si>
  <si>
    <t>QX001171_20230117055022267.jpg</t>
  </si>
  <si>
    <t>2023-04-24 09:04:05</t>
  </si>
  <si>
    <t>Q4597892</t>
  </si>
  <si>
    <t>[WF 3080/1/WEISHAUPT]+FLANGED DN80/PN16,5bar,FOR NATURAL GAS FILTER</t>
  </si>
  <si>
    <t>WF 3080/1</t>
  </si>
  <si>
    <t>WEISHAUPT</t>
  </si>
  <si>
    <t>FLANGED DN80/PN16</t>
  </si>
  <si>
    <t>FOR NATURAL GAS FILTER</t>
  </si>
  <si>
    <t>Weishaupt-Accessory-Parts-Accessories-year-2013_20230424135737626.pdf</t>
  </si>
  <si>
    <t>https://www.kc-co.com/spare-part/max-weishaupt/dn80-wf-30801/</t>
  </si>
  <si>
    <t>WEISHAUPT WF 3080-1_20230424135737709.png</t>
  </si>
  <si>
    <t>2023-04-24 14:04:51</t>
  </si>
  <si>
    <t>Q4598024</t>
  </si>
  <si>
    <t>WATER,[FD-300FZ/GTI]x350Lx96W_ALUMINUM_1~16bar</t>
  </si>
  <si>
    <t>FD-300FZ</t>
  </si>
  <si>
    <t>GTI</t>
  </si>
  <si>
    <t>KA300FZ카탈로그_20230323083015707_20230323171000474.pdf</t>
  </si>
  <si>
    <t>http://www.kingair.co.kr/ko/product01-9.html?PHPSESSID=b907ffe27c4eabebb54646cd0563a841</t>
  </si>
  <si>
    <t>KA300FZ_20230323082807333_20230818091558951.PNG</t>
  </si>
  <si>
    <t>김광민</t>
  </si>
  <si>
    <t>als8655@poscofuturem.com</t>
  </si>
  <si>
    <t>박동수</t>
  </si>
  <si>
    <t>dongsu3153@poscofuturem.com</t>
  </si>
  <si>
    <t>2023-08-23 08:08:56</t>
  </si>
  <si>
    <t>Q4598377</t>
  </si>
  <si>
    <t>DUCT/CAST IRON,[AQUABOLL 6.18.3 DN400/BOLL FILTER]_400Dx400Dx2504Lx965W_STAINLESS STEEL_5bar_FOR  K4C 2CAL FURNACE RCS COOLING WATER LINE,OR EQUIVALENT</t>
  </si>
  <si>
    <t>AQUABOLL 6.18.3 DN400</t>
  </si>
  <si>
    <t>BOLL FILTER</t>
  </si>
  <si>
    <t>FOR  K4C 2CAL FURNACE RCS COOLING WATER LINE</t>
  </si>
  <si>
    <t>Z154933 aquaBoll_20230126122606353.pdf</t>
  </si>
  <si>
    <t>https://www.bollfilter.com/filters/detail/aquabollr-automatic-self-cleaning-water-filter-backwashable-strainer-with-adaptive-filter-elements</t>
  </si>
  <si>
    <t>boll대표_20230126122537646.jpg</t>
  </si>
  <si>
    <t>유철환</t>
  </si>
  <si>
    <t>yu0423@posco.co.kr</t>
  </si>
  <si>
    <t>2023-04-28 13:04:47</t>
  </si>
  <si>
    <t>Q4598567</t>
  </si>
  <si>
    <t>[DM-28/WOOJIN SCIENCE]x280Lx280Wx10T,0.2mesh_POLYPROPLENE,FOR WATER SEPARATION FILTER,OR EQUIVALENT</t>
  </si>
  <si>
    <t>DM-28</t>
  </si>
  <si>
    <t>WOOJIN SCIENCE</t>
  </si>
  <si>
    <t>FOR WATER SEPARATION FILTER</t>
  </si>
  <si>
    <t>http://www.wjsc.co.kr/bbs/board.php?bo_table=b301&amp;wr_id=47&amp;sca=%EA%B8%B0%ED%83%80</t>
  </si>
  <si>
    <t>DM-28_20230503100050408.jpg</t>
  </si>
  <si>
    <t>이강륜</t>
  </si>
  <si>
    <t>(포항)품질기술부 공정시험섹션</t>
  </si>
  <si>
    <t>lizguy@posco.co.kr</t>
  </si>
  <si>
    <t>윤준성</t>
  </si>
  <si>
    <t>yjs434@posco.co.kr</t>
  </si>
  <si>
    <t>2023-05-03 13:05:19</t>
  </si>
  <si>
    <t>Q4598719</t>
  </si>
  <si>
    <t>[DMFC-0530-P/DAEWON INDUSTRIAL],750mesh,PP MICROFIBER,OR EQUIVALENT</t>
  </si>
  <si>
    <t>DMFC-0530-P</t>
  </si>
  <si>
    <t xml:space="preserve">DAEWON INDUSTRIAL </t>
  </si>
  <si>
    <t>제출 DMFC 카다로그_20230420152320488.pdf</t>
  </si>
  <si>
    <t>http://www.filter316.com/</t>
  </si>
  <si>
    <t>Filter-1_1_20230414154607087.gif</t>
  </si>
  <si>
    <t>이덕용</t>
  </si>
  <si>
    <t>(광양)고순도니켈사업추진반</t>
  </si>
  <si>
    <t>한춘식</t>
  </si>
  <si>
    <t>2023-05-04 13:05:06</t>
  </si>
  <si>
    <t>일반화는 어렵고 복수화 또는 도면화 추진하십시오</t>
  </si>
  <si>
    <t>Q4599001</t>
  </si>
  <si>
    <t>[DUF-XFLOW55/DAOERDUNMOJISHU(SHENZHEN)YOUXIANGONGSI]_42.6Dx219Dx1538L_800micron_RES,27.5M3/H_300kPa_FOR PZSS HAPL RWR UF SYSTEM</t>
  </si>
  <si>
    <t>DUF-XFLOW55</t>
  </si>
  <si>
    <t>DAOERDUNMOJISHU(SHENZHEN)YOUXIANGONGSI</t>
  </si>
  <si>
    <t>FOR PZSS HAPL RWR UF SYSTEM</t>
  </si>
  <si>
    <t>http://www.amembrane.com/product/dufxf908.html</t>
  </si>
  <si>
    <t>捕获 UF膜_20241105100238653.JPG</t>
  </si>
  <si>
    <t>陶桢宏</t>
  </si>
  <si>
    <t>精整辅助科</t>
  </si>
  <si>
    <t>taozh@posco.net</t>
  </si>
  <si>
    <t>2024-11-05 14:11:51</t>
  </si>
  <si>
    <t>Q4173754 : 现有品规格相异品(跟现有品不可通用) → 申请删除（DPR）</t>
  </si>
  <si>
    <t>Q4599655</t>
  </si>
  <si>
    <t>[FFR68-801/NORGREN]+WITH 18-001-979,R68G-NNK-RFN AND SHUT OFF VALVE,ALUMINIUM,4bar,AIR,PORT SIZE 1",FOR SHAPE METER OF TCM</t>
  </si>
  <si>
    <t>FFR68-801</t>
  </si>
  <si>
    <t>WITH 18-001-979,R68G-NNK-RFN AND SHUT OFF VALVE</t>
  </si>
  <si>
    <t>PORT SIZE 1"</t>
  </si>
  <si>
    <t>FOR SHAPE METER OF TCM</t>
  </si>
  <si>
    <t>https://pneumatyka-norgren.pl/fileadmin/user_upload/OLYMPIAN_PLUS.pdf</t>
  </si>
  <si>
    <t>FFR68_20230508161714135.PNG</t>
  </si>
  <si>
    <t>2023-05-15 14:05:22</t>
  </si>
  <si>
    <t>일반화는 불가하다고 판단되면 복수화 추진하십시오</t>
  </si>
  <si>
    <t>Q4600540</t>
  </si>
  <si>
    <t>[C-5704/SAKURA]xOD93x172L_ALL-METAL BODY_ROTARY HYDRAULIC FILTER_OIL FILTER</t>
  </si>
  <si>
    <t>C-5704</t>
  </si>
  <si>
    <t>OIL FILTER</t>
  </si>
  <si>
    <t>C-5704_20230520031630556.pptx</t>
  </si>
  <si>
    <t>http://sakurafilter.com/products/sak001-c-5704</t>
  </si>
  <si>
    <t>QX001163_20230520031630641.jpg</t>
  </si>
  <si>
    <t>2023-05-23 08:05:03</t>
  </si>
  <si>
    <t>Q4600541</t>
  </si>
  <si>
    <t>[7239/NAPAGOLD]xOD118x206L_TYPE:FULL FLOW_FOR OIL FILTER</t>
  </si>
  <si>
    <t>7239</t>
  </si>
  <si>
    <t>NAPAGOLD</t>
  </si>
  <si>
    <t>TYPE:FULL FLOW</t>
  </si>
  <si>
    <t>FOR OIL FILTER</t>
  </si>
  <si>
    <t>1158_20230520055314827.pptx</t>
  </si>
  <si>
    <t>https://www.fleetfilter.com/filter/57239.html</t>
  </si>
  <si>
    <t>QX001158_20230520055314898.jpg</t>
  </si>
  <si>
    <t>2023-05-23 08:05:34</t>
  </si>
  <si>
    <t>Q4600543</t>
  </si>
  <si>
    <t>[80 CN/PARKER]x80L,74micron,STAINLESS STEEL,1000psi,FOR HYDRAULIC FILTER ELEMENT</t>
  </si>
  <si>
    <t>80 CN</t>
  </si>
  <si>
    <t>FOR HYDRAULIC FILTER ELEMENT</t>
  </si>
  <si>
    <t>filtro 80MM_20230520062914063.pptx</t>
  </si>
  <si>
    <t>https://pahusa.com/products/931886-593270000-filtro-hidraulico</t>
  </si>
  <si>
    <t>QX000625_20230520062914151.jpg</t>
  </si>
  <si>
    <t>2023-05-23 09:05:21</t>
  </si>
  <si>
    <t>Q4600767</t>
  </si>
  <si>
    <t>POLYESTER/FILAMENT,[BAG FILTER/ISAAC ENC]x1650L_350X90D</t>
  </si>
  <si>
    <t>ISAAC ENC</t>
  </si>
  <si>
    <t>350X90D</t>
  </si>
  <si>
    <t>4inchJetmillSparepartsspec_20221226160615110_20230109140000900.pdf</t>
  </si>
  <si>
    <t>http://www.isaacenc.co.kr/sub/sub02.php</t>
  </si>
  <si>
    <t>bagfilter_20221226110222980_20230109140000662.jpg</t>
  </si>
  <si>
    <t>남혜민</t>
  </si>
  <si>
    <t>alsdl4909@poscofuturem.com</t>
  </si>
  <si>
    <t>2023-05-24 13:05:55</t>
  </si>
  <si>
    <t>Q4601034</t>
  </si>
  <si>
    <t>HYDRAULIC,[CS-100-M60-A/MP FILTRI],60micron,ALUMINIUM,FOR SLITTER MACHINE</t>
  </si>
  <si>
    <t>CS-100-M60-A</t>
  </si>
  <si>
    <t>FOR SLITTER MACHINE</t>
  </si>
  <si>
    <t>https://www.mpfiltri.com/FilesProdotti/qjHvit_MPSEN.pdf</t>
  </si>
  <si>
    <t>Hydraulic oil filter CS-100-M60-A_20230525164259699.JPG</t>
  </si>
  <si>
    <t>2023-05-26 10:05:14</t>
  </si>
  <si>
    <t>계획한 대로 복수화 추진하십시오</t>
  </si>
  <si>
    <t>Q4601538</t>
  </si>
  <si>
    <t>[SFT-12-200W/TAISEI KOGYO]xOD124x97.5L_200mesh_FOR 2ACL POR/TR CPC/EPC STRAINER,OR EQUIVALENT</t>
  </si>
  <si>
    <t>SFT-12-200W</t>
  </si>
  <si>
    <t>FOR 2ACL POR/TR CPC/EPC STRAINER</t>
  </si>
  <si>
    <t>http://www.taiseikogyo.co.jp/en/product/filter/suction_strainer/sft.html</t>
  </si>
  <si>
    <t>item_s-strainer_sft_20230522150740323_20230526145000799.jpg</t>
  </si>
  <si>
    <t>나세영</t>
  </si>
  <si>
    <t>ns1994@posco.co.kr</t>
  </si>
  <si>
    <t>2023-06-01 11:06:11</t>
  </si>
  <si>
    <t>Q4601636</t>
  </si>
  <si>
    <t>CELLULOSE,HYDRAULIC,[MIXED CELLULOSE ESTERS MEMBRANE RAWG02500/MILLIPORE]xOD25,1.2micron,100FILTERS/1BOX</t>
  </si>
  <si>
    <t>MIXED CELLULOSE ESTERS MEMBRANE RAWG02500</t>
  </si>
  <si>
    <t>MILLIPORE</t>
  </si>
  <si>
    <t>100FILTERS/1BOX</t>
  </si>
  <si>
    <t>INFORMACION TECNICA MILLIPORE RAWG02500_20230531081126159.pdf</t>
  </si>
  <si>
    <t>INFORMACION TECNICA MILLIPORE RAWG02500_20230531081126083.pdf</t>
  </si>
  <si>
    <t>https://www.merckmillipore.com/MX/es/product/MF-Millipore-Membrane-Filter-1.2m-pore-size-gridded,MM_NF-RAWG02500#anchor_PDP_OverviewTab_Product_Physico_Chemical_Info_Tama%C3%B1o%20de%20poro</t>
  </si>
  <si>
    <t>Donaldson_P567869_20230531081126180.jpg</t>
  </si>
  <si>
    <t>Pérez Díaz Ricardo</t>
  </si>
  <si>
    <t>SEC INSPECCION</t>
  </si>
  <si>
    <t>ricardo.perez@posco.net</t>
  </si>
  <si>
    <t>2023-06-02 09:06:44</t>
  </si>
  <si>
    <t>Q4602608</t>
  </si>
  <si>
    <t>[R412007599/AVENTICS]x286.5Wx125L,POLY CARBONATE,16bar,OR EQUIVALENT</t>
  </si>
  <si>
    <t>R412007599</t>
  </si>
  <si>
    <t>AVENTICS</t>
  </si>
  <si>
    <t>https://emersoncatalog.z1.web.core.windows.net/pdf/R412007599_eng_GBR.PDF</t>
  </si>
  <si>
    <t>HumidifierFilter_20230602135448028_20230605160000452.png</t>
  </si>
  <si>
    <t>2023-06-12 11:06:32</t>
  </si>
  <si>
    <t>Q4602744</t>
  </si>
  <si>
    <t>ELECTRONIC[WYFS06TD/WOONYOUNG],AC 1PHASE,AC250V,6A</t>
  </si>
  <si>
    <t>WYFS06TD</t>
  </si>
  <si>
    <t>WYFS06TD-Noise_Filter_210712_20230531145604503_20230601105000609.pdf</t>
  </si>
  <si>
    <t>https://woonyoung.com/page/s0201_view.php?ocatecode=1337920582&amp;idx=143&amp;gcname=%EC%88%98%EB%B0%B0%EC%A0%84%EB%B0%98+%EC%A0%84%EB%A0%A5%EA%B8%B0%EA%B8%B0+Solution&amp;gnsub=+250V&amp;gcatecode=1338276032&amp;ogcname=%EB%85%B8%EC%9D%B4%EC%A6%88+%ED%95%84%ED%84%B0</t>
  </si>
  <si>
    <t>wyfs06TD_20230531145140273_20230601105000570.JPG</t>
  </si>
  <si>
    <t>2023-06-13 10:06:59</t>
  </si>
  <si>
    <t>Q4602839</t>
  </si>
  <si>
    <t>[FB-250A/FANZIC],345WX342HX345L,WITH 3-KINDS FILTER(VINYL CHLORIDE, FREE, CARBON),OR EQUIVALENT</t>
  </si>
  <si>
    <t>FB-250A</t>
  </si>
  <si>
    <t>FANZIC</t>
  </si>
  <si>
    <t>WITH 3-KINDS FILTER(VINYL CHLORIDE, FREE, CARBON)</t>
  </si>
  <si>
    <t>http://fanzic.com/sub.asp?maincode=465&amp;sub_sequence=476&amp;sub_sub_sequence=&amp;mskin=&amp;exec=view&amp;strBoardID=kui_476&amp;intPage=1&amp;intCategory=6&amp;strSearchCategory=|s_name|s_subject|&amp;strSearchWord=&amp;intSeq=70</t>
  </si>
  <si>
    <t>FB-250A_20230530161428709_20230605160001353.jpg</t>
  </si>
  <si>
    <t>강호근</t>
  </si>
  <si>
    <t>2023-06-13 16:06:53</t>
  </si>
  <si>
    <t>Q4436819  모델명(FB-250A)은 동일하나, 사이즈가 달라 승인처리 합니다.</t>
  </si>
  <si>
    <t>Q4603043</t>
  </si>
  <si>
    <t>ELECTRONIC[WYFT30T1A/WOONYOUNG],AC 3PHASE,250V,30A,SCREW MOUNTING TYPE</t>
  </si>
  <si>
    <t>WYFT30T1A</t>
  </si>
  <si>
    <t>SCREW MOUNTING TYPE</t>
  </si>
  <si>
    <t>WYFT30T1A_Catalog_20230613104550414.pdf</t>
  </si>
  <si>
    <t>https://woonyoung.com/page/s0201_view.php?idx=148&amp;ocatecode=1337920582&amp;gcatecode=1338276099&amp;gnsub=250V%2C+500V&amp;ogcname=%EB%85%B8%EC%9D%B4%EC%A6%88+%ED%95%84%ED%84%B0</t>
  </si>
  <si>
    <t>WYFT30T1A_20230613104550455.png</t>
  </si>
  <si>
    <t>2023-06-15 08:06:01</t>
  </si>
  <si>
    <t>Q4603639</t>
  </si>
  <si>
    <t>HYDRAULIC,[R928006916/REXROTH],FOG 3FINEX OFF GAS HYD',OR EQUIVALENT</t>
  </si>
  <si>
    <t>R928006916</t>
  </si>
  <si>
    <t>FOG 3FINEX OFF GAS HYD'</t>
  </si>
  <si>
    <t>https://boschrexroth-ind.com/product/bosch-rexroth-hydraulics-r928006916-2-0400-h6xl-a00-0-m-r928006916/</t>
  </si>
  <si>
    <t>유압filter_20230620131927175.jpg</t>
  </si>
  <si>
    <t>(포항)제선설비부 3FINEX정비섹션</t>
  </si>
  <si>
    <t>김두환</t>
  </si>
  <si>
    <t>pokcard@posco.co.kr</t>
  </si>
  <si>
    <t>2023-06-20 14:06:10</t>
  </si>
  <si>
    <t>Q4603898</t>
  </si>
  <si>
    <t>[P/N:3116672/PIAB],10micron,PA/PE/PP,VACUUM FILTER G1</t>
  </si>
  <si>
    <t>P/N:3116672</t>
  </si>
  <si>
    <t>PIAB</t>
  </si>
  <si>
    <t>VACUUM FILTER G1</t>
  </si>
  <si>
    <t>3116672 사양_20230620131350280.JPG</t>
  </si>
  <si>
    <t>https://www.piab.com/ko-kr/inriverassociations-de2f4c80/3116672/#specifications</t>
  </si>
  <si>
    <t>piab 3116672 사진1_20230620151832956.jpg</t>
  </si>
  <si>
    <t>윤대동</t>
  </si>
  <si>
    <t>내화물정비그룹</t>
  </si>
  <si>
    <t>222087@poscofuturem.com</t>
  </si>
  <si>
    <t>2023-06-22 09:06:18</t>
  </si>
  <si>
    <t>Q4604028</t>
  </si>
  <si>
    <t>[6.2724.010/METROHM]xOD44x53L_DUST FILTER,FOR RANCIMATS AND KARL FISCHER OVENS</t>
  </si>
  <si>
    <t>6.2724.010</t>
  </si>
  <si>
    <t>METROHM</t>
  </si>
  <si>
    <t>DUST FILTER</t>
  </si>
  <si>
    <t>FOR RANCIMATS AND KARL FISCHER OVENS</t>
  </si>
  <si>
    <t>https://www.metrohm.com/en/products/6/2724/62724010.html</t>
  </si>
  <si>
    <t>[METROHM] 더스트 필터_20230622180228145.JPG</t>
  </si>
  <si>
    <t>2023-06-23 08:06:37</t>
  </si>
  <si>
    <t>Q4604106</t>
  </si>
  <si>
    <t>[SF2 500 A F1 S M90 P01/MP FILTRI]x182Wx322L_90mesh_WIRE MESH,250kg/cm2_WITH FILTER ELEMENTS_FOR 2PL PRESS LEVELLER,OR EQUIVALENT</t>
  </si>
  <si>
    <t>SF2 500 A F1 S M90 P01</t>
  </si>
  <si>
    <t>WITH FILTER ELEMENTS</t>
  </si>
  <si>
    <t>FOR 2PL PRESS LEVELLER</t>
  </si>
  <si>
    <t>SF2500EN_20230622104019122.pdf</t>
  </si>
  <si>
    <t>Press Suction Filter_20230622104019163.jpg</t>
  </si>
  <si>
    <t>2023-06-23 14:06:07</t>
  </si>
  <si>
    <t>Q4604203</t>
  </si>
  <si>
    <t>PE,[P/N:3116675/PIAB]_ID57x98L</t>
  </si>
  <si>
    <t>P/N:3116675</t>
  </si>
  <si>
    <t>piab 3116675 사양_20230623080358397.JPG</t>
  </si>
  <si>
    <t>piab 3116675 사진1_20230623080358416.jpg</t>
  </si>
  <si>
    <t>2023-06-26 09:06:55</t>
  </si>
  <si>
    <t>Q4604280</t>
  </si>
  <si>
    <t>[P/N:9930684/PIAB]</t>
  </si>
  <si>
    <t>P/N:9930684</t>
  </si>
  <si>
    <t>piab 9930684 사양_20230623080224600.JPG</t>
  </si>
  <si>
    <t>http://greentechvn.com/en/piab-vietnam-num-hut-chan-khong-piab-bom-chan-khong-piab-num-hut-piab-da-78504u.html</t>
  </si>
  <si>
    <t>piab 9930684 사진1_20230623080224628.jpg</t>
  </si>
  <si>
    <t>2023-06-26 14:06:42</t>
  </si>
  <si>
    <t>Q4604636</t>
  </si>
  <si>
    <t>[LF ON 240 IE5 C1.0 - / B3/HYDAC]_5mesh_ALUMINIUM,100bar,OIL_FOR 3EG ROLL GRINDER WHEEL SPINDLE HYD' FILTER,OR EQUIVALENT</t>
  </si>
  <si>
    <t>LF ON 240 IE5 C1.0 - / B3</t>
  </si>
  <si>
    <t>FOR 3EG ROLL GRINDER WHEEL SPINDLE HYD' FILTER</t>
  </si>
  <si>
    <t>[카달로그] _3전기강판 Roll Grinder Wheel Spindle Hydraulic Filter _ [ LF ON 240 IE5 C1.0 - B3 ] 공작기계기계파트_20230621093922833.pdf</t>
  </si>
  <si>
    <t>https://www.hydac.com/shop/ko-kr/1270900</t>
  </si>
  <si>
    <t>진혁재</t>
  </si>
  <si>
    <t>gurwo2049@posco.co.kr</t>
  </si>
  <si>
    <t>2023-06-28 16:06:34</t>
  </si>
  <si>
    <t>Q4604821</t>
  </si>
  <si>
    <t>[160LD0013H10XLC0000B7.0R0P00/EPE],160bar,OR EQUIVALENT</t>
  </si>
  <si>
    <t>160LD0013H10XLC0000B7.0R0P00</t>
  </si>
  <si>
    <t>EPE</t>
  </si>
  <si>
    <t>Low-Pressure-Duplex-LD_05.001_R1 (2APL POR CPC FILTER)_0900bf4ba3f3b38d_usr0000bf4b95a77444_20230626163743687.pdf</t>
  </si>
  <si>
    <t>Filter.160LD0013_20230626163743782.jpg</t>
  </si>
  <si>
    <t>2023-07-03 11:07:34</t>
  </si>
  <si>
    <t>Q4604970</t>
  </si>
  <si>
    <t>[HSV-EL-2024-150W2/SHC]_150mesh_FOR RECLAIMER 203,204,OR EQUIVALENT</t>
  </si>
  <si>
    <t>HSV-EL-2024-150W2</t>
  </si>
  <si>
    <t>FOR RECLAIMER 203,204</t>
  </si>
  <si>
    <t>http://www.se-jin.co.kr/P-LINE%20FILTER/P-LINE%20FILTER-HSV.htm</t>
  </si>
  <si>
    <t>Reclaimer유압Filter_20230325081054553_20230407090000498.png</t>
  </si>
  <si>
    <t>허명훈</t>
  </si>
  <si>
    <t>김병조</t>
  </si>
  <si>
    <t>2023-07-04 09:07:11</t>
  </si>
  <si>
    <t>Q4605200</t>
  </si>
  <si>
    <t>PVDC,AIR,[HJM-SAFIL-400/HANJIN MACHINE WORKS]x1000Wx4000Lx25T,1360micron,SARAN,OR EQUIVALENT</t>
  </si>
  <si>
    <t>HJM-SAFIL-400</t>
  </si>
  <si>
    <t xml:space="preserve">HANJIN MACHINE WORKS </t>
  </si>
  <si>
    <t>SARAN FILTER 카다로그(HJM-SAFIL-100)_20230622120522993.pdf</t>
  </si>
  <si>
    <t>http://www.hanjin21.net/index.php?cate=003010&amp;type=view&amp;num=227&amp;currentPage=2</t>
  </si>
  <si>
    <t>사진_20230622120503387.png</t>
  </si>
  <si>
    <t>김현민</t>
  </si>
  <si>
    <t>zass45@posco.co.kr</t>
  </si>
  <si>
    <t>2023-07-05 15:07:54</t>
  </si>
  <si>
    <t>Q4605555</t>
  </si>
  <si>
    <t>ALUMINUM,[IA03/TESLON]_84.75Dx117.5Dx207Lx84.5W_POLY CARBONATE_3~9.9bar</t>
  </si>
  <si>
    <t>IA03</t>
  </si>
  <si>
    <t>TESLON</t>
  </si>
  <si>
    <t>테슬론 제품 카탈로그_20230623144131357.pdf</t>
  </si>
  <si>
    <t>http://www.tesllon.kr/theme/basic/product/product01.php</t>
  </si>
  <si>
    <t>iA03-1_20230623143645357.jpg</t>
  </si>
  <si>
    <t>오갑성</t>
  </si>
  <si>
    <t>2023-07-10 13:07:57</t>
  </si>
  <si>
    <t>Q4605556</t>
  </si>
  <si>
    <t>ALUMINUM,[AF02/TESLLON]_60Dx62Dx107L_ABS_3~9.9bar</t>
  </si>
  <si>
    <t>AF02</t>
  </si>
  <si>
    <t>TESLLON</t>
  </si>
  <si>
    <t>AF02 사양서 (2023)_20230516155251032.pdf</t>
  </si>
  <si>
    <t>http://www.tesllon.kr/</t>
  </si>
  <si>
    <t>AIRFINN1_20230512163910637.jpg</t>
  </si>
  <si>
    <t>2023-07-10 13:07:54</t>
  </si>
  <si>
    <t>Q4605893</t>
  </si>
  <si>
    <t>[CWPF-331/CHEONGWOO C&amp;T]x330Wx330Lx10T,FABRIC,FELT,WITH INSTALLATION,FOR HAZARDOUS GAS PURIFIER[CWCNT/CAFU-02]</t>
  </si>
  <si>
    <t>CWPF-331</t>
  </si>
  <si>
    <t>WITH INSTALLATION</t>
  </si>
  <si>
    <t>FOR HAZARDOUS GAS PURIFIER[CWCNT/CAFU-02]</t>
  </si>
  <si>
    <t>향균프리필터 사양_20230707080757947.PNG</t>
  </si>
  <si>
    <t>https://m.cwcnt.com/product/detail.html?product_no=37</t>
  </si>
  <si>
    <t>향균프리필터 사진_20230707080758119.PNG</t>
  </si>
  <si>
    <t>2023-07-13 13:07:33</t>
  </si>
  <si>
    <t>Q4606427</t>
  </si>
  <si>
    <t>HYDRAULIC,[01.NL 630.10APL.30.E.P.VA/FLUEN],MICROGLASS</t>
  </si>
  <si>
    <t>01.NL 630.10APL.30.E.P.VA</t>
  </si>
  <si>
    <t>FLUEN</t>
  </si>
  <si>
    <t>402JA Lube oil Filter Element NO2 2ea_20230710084011886.pdf</t>
  </si>
  <si>
    <t>http://www.fluen.com/bbs/board.php?bo_table=PRODUCT_DOWNLOAD_H&amp;wr_id=20</t>
  </si>
  <si>
    <t>LUBE OIL FILTER_20230710084011912.JPG</t>
  </si>
  <si>
    <t>터미널공장</t>
  </si>
  <si>
    <t>ehgud4865@poscointl.com</t>
  </si>
  <si>
    <t>2023-07-18 11:07:50</t>
  </si>
  <si>
    <t>Q4606458</t>
  </si>
  <si>
    <t>[TIE-08-A25/HP HYDROLINE]_25micron_ELEMENT FILTER, OR EQUIVALENT_FOR LEVELLER MACHINE</t>
  </si>
  <si>
    <t>TIE-08-A25</t>
  </si>
  <si>
    <t>HP HYDROLINE</t>
  </si>
  <si>
    <t>ELEMENT FILTER, OR EQUIVALENT</t>
  </si>
  <si>
    <t>FOR LEVELLER MACHINE</t>
  </si>
  <si>
    <t>HP Hydroline Element filter TIE-08-A25 catalouge_20230714172917792.pdf</t>
  </si>
  <si>
    <t>HP Hydroline Element filter TIE-08-A25 (1)_20230714172917861.JPG</t>
  </si>
  <si>
    <t>2023-07-18 14:07:16</t>
  </si>
  <si>
    <t>Q4606536</t>
  </si>
  <si>
    <t>WATER,[RF3-42S-A2-NMJE1-N5-1-0-4/KS100/HYDAC]_610Dx780Dx2338L_100micron_SUS316,810-1700 M3/HR_10bar_FOR  RM DESCALING SYSTEM</t>
  </si>
  <si>
    <t>RF3-42S-A2-NMJE1-N5-1-0-4/KS100</t>
  </si>
  <si>
    <t>FOR  RM DESCALING SYSTEM</t>
  </si>
  <si>
    <t>RF3_20230712100501414.pdf</t>
  </si>
  <si>
    <t>https://www.hydac.com/shop/en/filtration-technology/process-filter-automatic-back-flushing-filter/autofiltr-rf3</t>
  </si>
  <si>
    <t>图片1_20230712102356573.jpg</t>
  </si>
  <si>
    <t>游爱春</t>
  </si>
  <si>
    <t>youac@posco.net</t>
  </si>
  <si>
    <t>2023-07-19 09:07:22</t>
  </si>
  <si>
    <t>Q4606862</t>
  </si>
  <si>
    <t>[DLF-20/DHC]x165Dx480L_100mesh_7kg/cm2,OR EQUIVALENT</t>
  </si>
  <si>
    <t>DLF-20</t>
  </si>
  <si>
    <t>DHC</t>
  </si>
  <si>
    <t>DLF-20 사양_20230704163058770.jpg</t>
  </si>
  <si>
    <t>DLF-20_20230704163058796.jpg</t>
  </si>
  <si>
    <t>2023-07-21 08:07:35</t>
  </si>
  <si>
    <t>Q4606922</t>
  </si>
  <si>
    <t>POSCO-IDPC</t>
  </si>
  <si>
    <t>AIR,[P/N:1624 2293 00(FOR GA37)/ATLAS COPCO]+FILTER DRYER OEM SUPPLIER,REF.3130 FOR AIR COMPRESSOR</t>
  </si>
  <si>
    <t>P/N:1624 2293 00(FOR GA37)</t>
  </si>
  <si>
    <t>FILTER DRYER OEM SUPPLIER</t>
  </si>
  <si>
    <t xml:space="preserve">REF.3130 FOR AIR COMPRESSOR </t>
  </si>
  <si>
    <t>Dryer Unit_20230719191406863.pdf</t>
  </si>
  <si>
    <t>https://www.atlascopco.com/en-in/compressors/products/air-compressor/oil-free-air-compressors</t>
  </si>
  <si>
    <t>filter dryer_20230719191407007.png</t>
  </si>
  <si>
    <t>CHATTAR PAL</t>
  </si>
  <si>
    <t>Purchase</t>
  </si>
  <si>
    <t>Chattarpal@posco.net</t>
  </si>
  <si>
    <t>Anant Kumar Vashisth</t>
  </si>
  <si>
    <t>2023-07-21 15:07:48</t>
  </si>
  <si>
    <t>Q4607051</t>
  </si>
  <si>
    <t>[US.20.10WVG.10.B.V.-.P01.W03.AOR/EATON]_WITH ON/OFF SWITCH &amp; CABLE,OR EQUIVALENT</t>
  </si>
  <si>
    <t>US.20.10WVG.10.B.V.-.P01.W03.AOR</t>
  </si>
  <si>
    <t>WITH ON/OFF SWITCH &amp; CABLE</t>
  </si>
  <si>
    <t>Eaton-US-20-TechnicalDataSheet-4008.1-US_20230628112036190.pdf</t>
  </si>
  <si>
    <t>https://www.eaton.com/us/en-us/site-search.html.searchTerm$US%20filter.tabs$all.html</t>
  </si>
  <si>
    <t>Filter Unit_20230628112036226.jpg</t>
  </si>
  <si>
    <t>2023-07-24 11:07:39</t>
  </si>
  <si>
    <t>Q4607309</t>
  </si>
  <si>
    <t>[S-1000 (FOR 2500C2)/KYUNGSEO GLOTECH]</t>
  </si>
  <si>
    <t>S-1000 (FOR 2500C2)</t>
  </si>
  <si>
    <t>KYUNGSEO GLOTECH</t>
  </si>
  <si>
    <t>https://www.cleaner21.co.kr/eng/main/index.php</t>
  </si>
  <si>
    <t>S-1000미세분진 필터(2500C2용)_20230725084648532.JPG</t>
  </si>
  <si>
    <t>S-1000미세분진 필터(2500C2용도)_20230725144620485.jpg</t>
  </si>
  <si>
    <t>박철훈</t>
  </si>
  <si>
    <t>포항인조흑연인증조업TF팀</t>
  </si>
  <si>
    <t>hoonipark@poscofuturem.com</t>
  </si>
  <si>
    <t>2023-07-26 11:07:38</t>
  </si>
  <si>
    <t>Q4607776</t>
  </si>
  <si>
    <t>[TIE-08-025/HYDROLINE],FOR PMSPL CAL CPL ID RING MACHINE HDRAULIC FILTER ELEMENT</t>
  </si>
  <si>
    <t>TIE-08-025</t>
  </si>
  <si>
    <t>FOR PMSPL CAL CPL ID RING MACHINE HDRAULIC FILTER ELEMENT</t>
  </si>
  <si>
    <t>F doc_20230728184252522.pdf</t>
  </si>
  <si>
    <t>https://www.industrykart.com/hydroline-1-25-micron-filter-element-tie-08-025.html</t>
  </si>
  <si>
    <t>filter_20230728185001102.PNG</t>
  </si>
  <si>
    <t>Samadhan Pawar</t>
  </si>
  <si>
    <t>samadhan.s2@posco.net</t>
  </si>
  <si>
    <t>2023-08-01 10:08:43</t>
  </si>
  <si>
    <t>Q4608104</t>
  </si>
  <si>
    <t>[ELFP52G3/HYDAC],3micron,PAPER,REPLACEMENT FILTER ELEMENT,FOR PMSPL CAL CPL, COIL TRANSFER &amp; COIL LIFTER HYDRAULIC SYSTEM</t>
  </si>
  <si>
    <t>ELFP52G3</t>
  </si>
  <si>
    <t>FOR PMSPL CAL CPL, COIL TRANSFER &amp; COIL LIFTER HYDRAULIC SYSTEM</t>
  </si>
  <si>
    <t>ELFP52G3W 2.0 Master file HYDAC_20230725153130917.pdf</t>
  </si>
  <si>
    <t>https://img48.chem17.com/1/20180706/636664688040867833740.pdf</t>
  </si>
  <si>
    <t>air-breather-filter_20230725152759016.jpg</t>
  </si>
  <si>
    <t>2023-08-03 09:08:32</t>
  </si>
  <si>
    <t>Q4608107</t>
  </si>
  <si>
    <t>[ELFP7F3/HYDAC],3micron,IMPREGNATED PAPER,REPLACEMENT FILTER ELEMENT,FOR PMSPL CAL SPM ROLL CHANGE DEVICE</t>
  </si>
  <si>
    <t>ELFP7F3</t>
  </si>
  <si>
    <t>FOR PMSPL CAL SPM ROLL CHANGE DEVICE</t>
  </si>
  <si>
    <t>Filter element ELF 7_20230725150341968.pdf</t>
  </si>
  <si>
    <t>air-breather-filter_20230725150554219.jpg</t>
  </si>
  <si>
    <t>2023-08-03 09:08:31</t>
  </si>
  <si>
    <t>Q4608110</t>
  </si>
  <si>
    <t>[ELFP7F10/HYDAC],10micron,IMPREGNATED PAPER,REPLACEMENT FILTER ELEMENT,FOR PMSPL CAL ENTRY &amp; EXIT HYDRAULIC UNIT</t>
  </si>
  <si>
    <t>ELFP7F10</t>
  </si>
  <si>
    <t>FOR PMSPL CAL ENTRY &amp; EXIT HYDRAULIC UNIT</t>
  </si>
  <si>
    <t>ELF P7 F10 MASTER FILE HYDAC_20230725144107760.pdf</t>
  </si>
  <si>
    <t>air-breather-filter_20230725143837965.jpg</t>
  </si>
  <si>
    <t>2023-08-03 09:08:49</t>
  </si>
  <si>
    <t>Q4608666</t>
  </si>
  <si>
    <t>[MOLCOT10/MOLECULAR],5micron,PP MELT BLOWN MATERIAL,10INCH,FOR MANUFACTURING ULTRAPURE WATER</t>
  </si>
  <si>
    <t>MOLCOT10</t>
  </si>
  <si>
    <t>MOLECULAR</t>
  </si>
  <si>
    <t>10INCH</t>
  </si>
  <si>
    <t>FOR MANUFACTURING ULTRAPURE WATER</t>
  </si>
  <si>
    <t>耗材技术规格_20230802110934572.pdf</t>
  </si>
  <si>
    <t>10_20230802110934678.GIF</t>
  </si>
  <si>
    <t>2023-08-09 09:08:37</t>
  </si>
  <si>
    <t>Q4608668</t>
  </si>
  <si>
    <t>[MOLGAC10/MOLECULAR],ACTIVATED CARBON MATERIAL,CHEMISORPTION,ORGANIC ADSORPTION,FOR MANUFACTURING ULTRAPURE WATER</t>
  </si>
  <si>
    <t>MOLGAC10</t>
  </si>
  <si>
    <t>CHEMISORPTION,ORGANIC ADSORPTION</t>
  </si>
  <si>
    <t>耗材技术规格_20230802111017651.pdf</t>
  </si>
  <si>
    <t>gac10_20230802111017772.GIF</t>
  </si>
  <si>
    <t>2023-08-09 09:08:07</t>
  </si>
  <si>
    <t>Q4608669</t>
  </si>
  <si>
    <t>WATER,[MOLPP10/MOLECULAR],1micron,PP MELT BLOWN MATERIAL,10INCH,FOR MANUFACTURING ULTRAPURE WATER</t>
  </si>
  <si>
    <t>MOLPP10</t>
  </si>
  <si>
    <t>耗材技术规格_20230802111101530.pdf</t>
  </si>
  <si>
    <t>molpp10_20230802111101708.GIF</t>
  </si>
  <si>
    <t>2023-08-09 09:08:24</t>
  </si>
  <si>
    <t>Q4608670</t>
  </si>
  <si>
    <t>WATER,[MOLROFILM75/MOLECULAR],0.0001micron,FOR MANUFACTURING ULTRAPURE WATER</t>
  </si>
  <si>
    <t>MOLROFILM75</t>
  </si>
  <si>
    <t>耗材技术规格_20230802111210564.pdf</t>
  </si>
  <si>
    <t>Molrofilm75_20230802111210690.GIF</t>
  </si>
  <si>
    <t>2023-08-09 09:08:52</t>
  </si>
  <si>
    <t>Q4608672</t>
  </si>
  <si>
    <t>WATER,[MOLP MP2/MOLECULAR],ION EXCHANGE RESIN,FOR MANUFACTURING ULTRAPURE WATER</t>
  </si>
  <si>
    <t>MOLP MP2</t>
  </si>
  <si>
    <t>耗材技术规格_20230802111634101.pdf</t>
  </si>
  <si>
    <t>mp2_20230802111634210.GIF</t>
  </si>
  <si>
    <t>2023-08-09 09:08:20</t>
  </si>
  <si>
    <t>Q4609713</t>
  </si>
  <si>
    <t>[P/N:598000000003/THERMO FISHER SCIENTIFIC],100micron,NYLON</t>
  </si>
  <si>
    <t>P/N:598000000003</t>
  </si>
  <si>
    <t>https://www.thermofisher.com/order/catalog/product/598000000003?SID=srch-srp-598000000003</t>
  </si>
  <si>
    <t>093777_20230816143825357.jpg</t>
  </si>
  <si>
    <t>김동수</t>
  </si>
  <si>
    <t>tn8125@posco.co.kr</t>
  </si>
  <si>
    <t>2023-08-18 14:08:26</t>
  </si>
  <si>
    <t>Q4610693</t>
  </si>
  <si>
    <t>AL/SUS,[JMSF-5822/JM FILTER]_988Dx1028Dx982Lx1008Wx20T_FOR 4CGL,OR EQUIVALENT</t>
  </si>
  <si>
    <t>JMSF-5822</t>
  </si>
  <si>
    <t>JM FILTER</t>
  </si>
  <si>
    <t>FOR 4CGL</t>
  </si>
  <si>
    <t>http://www.jmfilter21.com/e0409e47349b4e9284a7281ab97b822c#</t>
  </si>
  <si>
    <t>JMSF-5822_20230828085424662.png</t>
  </si>
  <si>
    <t>김경일</t>
  </si>
  <si>
    <t>hl5nna2002@posco.co.kr</t>
  </si>
  <si>
    <t>최문환</t>
  </si>
  <si>
    <t>cyberpia@posco.co.kr</t>
  </si>
  <si>
    <t>2023-08-28 08:08:04</t>
  </si>
  <si>
    <t>Q4610718</t>
  </si>
  <si>
    <t>ELECTRONIC[BBA-5300-MSH/BUMHAN],AC500VV,300A</t>
  </si>
  <si>
    <t>BBA-5300-MSH</t>
  </si>
  <si>
    <t>BUMHAN</t>
  </si>
  <si>
    <t>BBA-MSH-150-600A_20230809230305163_20230811105000484.pdf</t>
  </si>
  <si>
    <t>http://bh21.co.kr/n/pro01_emifilter_BBA-MSH-150-600A.php</t>
  </si>
  <si>
    <t>bba-5300_20230809230247237_20230811105000438.JPG</t>
  </si>
  <si>
    <t>2023-08-28 10:08:57</t>
  </si>
  <si>
    <t>Q4610883</t>
  </si>
  <si>
    <t>[KWSA1-300-85-260-293/KOREA ENVI-TECH],300micron,AISI316L/SS316L/P.E,OR EQUIVALENT</t>
  </si>
  <si>
    <t>KWSA1-300-85-260-293</t>
  </si>
  <si>
    <t>1연주 스크린_20230704171848665.jpg</t>
  </si>
  <si>
    <t>http://webdaara.co.kr/attach/board/envitech/20230510085030.pdf</t>
  </si>
  <si>
    <t>screen_20230704171251036.jpg</t>
  </si>
  <si>
    <t>조황규</t>
  </si>
  <si>
    <t>이재남</t>
  </si>
  <si>
    <t>leejaenam@posco.co.kr</t>
  </si>
  <si>
    <t>2023-08-29 10:08:53</t>
  </si>
  <si>
    <t>Q4610897</t>
  </si>
  <si>
    <t>ELECTRONIC[BTH-5150-SD/BUMHAN],AC 1PHASE,AC500VV,150A,50/60HZ</t>
  </si>
  <si>
    <t>BTH-5150-SD</t>
  </si>
  <si>
    <t>50/60HZ</t>
  </si>
  <si>
    <t>BEMF_31_20230809224533283_20230828150240428.pdf</t>
  </si>
  <si>
    <t>http://www.bh21.co.kr/n/pro01_emifilter_500_BTH-SD.php</t>
  </si>
  <si>
    <t>범한노이즈필터_20230809224447559_20230828150240482.JPG</t>
  </si>
  <si>
    <t>2023-08-29 11:08:18</t>
  </si>
  <si>
    <t>Q4610898</t>
  </si>
  <si>
    <t>ELECTRONIC[BTH-5250-SD/BUMHAN],AC 1PHASE,AC500VV,250A</t>
  </si>
  <si>
    <t>BTH-5250-SD</t>
  </si>
  <si>
    <t>BTH5250-SD-500_20230809230946213_20230828150221147.pdf</t>
  </si>
  <si>
    <t>http://bh21.co.kr/n/pro01_emifilter_500_BTH-SD-250-300.php</t>
  </si>
  <si>
    <t>BTH5250_20230809230935257_20230828150221200.JPG</t>
  </si>
  <si>
    <t>2023-08-29 11:08:40</t>
  </si>
  <si>
    <t>Q4611038</t>
  </si>
  <si>
    <t>ELECTRONIC[3HAC056289/ABB],AC 3PHASE,AC300-520V,25A</t>
  </si>
  <si>
    <t>3HAC056289</t>
  </si>
  <si>
    <t>https://new.abb.com/products/es/3HAC056289-001/3hac056289-001</t>
  </si>
  <si>
    <t>3HAC056289-001_20230829232846438.png</t>
  </si>
  <si>
    <t>Adriana Cruz Mendoza</t>
  </si>
  <si>
    <t>adriana.cruz@posco.net</t>
  </si>
  <si>
    <t>2023-08-30 08:08:51</t>
  </si>
  <si>
    <t>Q4611123</t>
  </si>
  <si>
    <t>HYDRAULIC,[SYTF-A300/SAMYOUNG FIL-TECH]xOD113x542L,2micron,SYNTHETIC FIBER,OR EQUIVALENT</t>
  </si>
  <si>
    <t>SYTF-A300</t>
  </si>
  <si>
    <t>SAMYOUNG FIL-TECH</t>
  </si>
  <si>
    <t>http://cleanoil.co.kr/consumables/</t>
  </si>
  <si>
    <t>20251121_2715888892045666766.jpg</t>
  </si>
  <si>
    <t>정현효</t>
  </si>
  <si>
    <t>(광양)제선설비부 에너지정비섹션</t>
  </si>
  <si>
    <t>dolmery5@posco.co.kr</t>
  </si>
  <si>
    <t>채의현</t>
  </si>
  <si>
    <t>codmlgus@posco.co.kr</t>
  </si>
  <si>
    <t>2023-08-30 13:08:12</t>
  </si>
  <si>
    <t>Q4611125</t>
  </si>
  <si>
    <t>HYDRAULIC,[SYTF-A400/SAMYOUNG FIL-TECH]xOD113x542L,5micron,SYNTHETIC FIBER,OR EQUIVALENT</t>
  </si>
  <si>
    <t>SYTF-A400</t>
  </si>
  <si>
    <t>라인필터(SYTF-A---)_20230822142646927.jpg</t>
  </si>
  <si>
    <t>2023-08-30 13:08:02</t>
  </si>
  <si>
    <t>Q4611128</t>
  </si>
  <si>
    <t>FILTER PIPE ASSEMBLY,[P/N:B5185/HAKKO],FOR FR-701</t>
  </si>
  <si>
    <t>P/N:B5185</t>
  </si>
  <si>
    <t>HAKKO</t>
  </si>
  <si>
    <t>FOR FR-701</t>
  </si>
  <si>
    <t>https://www.hakko.com/english/products/hakko_fr701_parts.html#parts</t>
  </si>
  <si>
    <t>pipe assembly picture_20230828181039628.jpg</t>
  </si>
  <si>
    <t>MUHAMMAD ARIF PROKLAMASI</t>
  </si>
  <si>
    <t>arif.pr@krakatauposco.co.id</t>
  </si>
  <si>
    <t>2023-08-30 13:08:55</t>
  </si>
  <si>
    <t>Q4611245</t>
  </si>
  <si>
    <t>[DWG NO:TSE20230824-POCAM001/TSE]x6000Lx4521W</t>
  </si>
  <si>
    <t>DWG NO:TSE20230824-POCAM001</t>
  </si>
  <si>
    <t>TSE</t>
  </si>
  <si>
    <t>filter press_0900bf4ba45bdc7e_usr1100bf4b8018a7d5-모형_20230830112934712.pdf</t>
  </si>
  <si>
    <t>http://stec.barunweb.co.kr/</t>
  </si>
  <si>
    <t>FILTERPRESS_20230828112659628_20230830112934756.JPG</t>
  </si>
  <si>
    <t>김창훈</t>
  </si>
  <si>
    <t>kch986@poscofuturem.com</t>
  </si>
  <si>
    <t>2023-08-31 10:08:36</t>
  </si>
  <si>
    <t>Q4611262</t>
  </si>
  <si>
    <t>필바라리튬솔루션</t>
  </si>
  <si>
    <t>POLYPROPYLENE,WATER,[HB1-620-010-01-01/HANYANG F&amp;E],ID97xOD152x550L,1micron,POLYPROPYLENE,FOR WATER FILTERING</t>
  </si>
  <si>
    <t>HB1-620-010-01-01</t>
  </si>
  <si>
    <t xml:space="preserve">HANYANG F&amp;E </t>
  </si>
  <si>
    <t>FOR WATER FILTERING</t>
  </si>
  <si>
    <t>Big Capacity Filter Element_Catalogue_Hanyang F &amp; E_20230829134421212.pdf</t>
  </si>
  <si>
    <t>http://www.hyfilter.com/product/product_2_1.asp?ch=2&amp;sub=1</t>
  </si>
  <si>
    <t>필터 엘레멘트 외형_20230829134305411.jpg</t>
  </si>
  <si>
    <t>백성일</t>
  </si>
  <si>
    <t>조업 공통</t>
  </si>
  <si>
    <t>gaddongy12@poscolithium.com</t>
  </si>
  <si>
    <t>2023-08-31 11:08:48</t>
  </si>
  <si>
    <t>Q4611397</t>
  </si>
  <si>
    <t>HYDRAULIC,[CPC-6005/SAMYOUNG FIL-TECH]x410Wx309L,0.1micron,SYNTHETIC FIBER,OR EQUIVALENT</t>
  </si>
  <si>
    <t>CPC-6005</t>
  </si>
  <si>
    <t>유전체(CPC-6005)_20230822141904668.jpg</t>
  </si>
  <si>
    <t>2023-09-01 09:09:24</t>
  </si>
  <si>
    <t>Q4611697</t>
  </si>
  <si>
    <t>[DE-144 STYLE/HANKOOK FILTER]xOD2500x200Wx2500L,PP,GRID TYPE</t>
  </si>
  <si>
    <t>DE-144 STYLE</t>
  </si>
  <si>
    <t>HANKOOK FILTER</t>
  </si>
  <si>
    <t>GRID TYPE</t>
  </si>
  <si>
    <t>데미스터3_1-1_20230824175205866.jpg</t>
  </si>
  <si>
    <t>https://hfi114.tistory.com/</t>
  </si>
  <si>
    <t>데미스터_20230824175205831.jpg</t>
  </si>
  <si>
    <t>2023-09-05 08:09:21</t>
  </si>
  <si>
    <t>Q4611863</t>
  </si>
  <si>
    <t>[AF50-10D-D/SMC],FOR K1APL STRIP COOLING DEVICE</t>
  </si>
  <si>
    <t>AF50-10D-D</t>
  </si>
  <si>
    <t>FOR K1APL STRIP COOLING DEVICE</t>
  </si>
  <si>
    <t>AF50-10D-A 카다로그_20230829145806133.pdf</t>
  </si>
  <si>
    <t>http://www.smckorea.co.kr/ppis/data/catalog/AC-A.pdf</t>
  </si>
  <si>
    <t>Filter_20230824105626929_20250508154840165.jpg</t>
  </si>
  <si>
    <t>2025-05-13 13:05:35</t>
  </si>
  <si>
    <t>Q4611934</t>
  </si>
  <si>
    <t>POLYESTER,[P162/156X5500L/JOIL ENTERPRISE]x5500Lx156W,4micron_PE(ANTISTATIC+WATERPROOF)</t>
  </si>
  <si>
    <t>P162/156X5500L</t>
  </si>
  <si>
    <t>JOIL ENTERPRISE</t>
  </si>
  <si>
    <t>PE(ANTISTATIC+WATERPROOF)</t>
  </si>
  <si>
    <t>조일기업필터백_20230906084410129.pdf</t>
  </si>
  <si>
    <t>http://www.joil.co.kr/html/04/0402.php?mode=view&amp;idx=420</t>
  </si>
  <si>
    <t>Filter Bag Image_20230821112808299.png</t>
  </si>
  <si>
    <t>2023-09-06 13:09:49</t>
  </si>
  <si>
    <t>Q4611936</t>
  </si>
  <si>
    <t>POLYESTER,[P162/156X600L/JOIL ENTERPRISE]x600Lx156W,4micron_PE(ANTISTATIC+WATERPROOF)</t>
  </si>
  <si>
    <t>P162/156X600L</t>
  </si>
  <si>
    <t>조일기업필터백_20230906082926514.pdf</t>
  </si>
  <si>
    <t>http://www.joil.co.kr/html/04/0402.php?mode=view&amp;idx=419</t>
  </si>
  <si>
    <t>Filter Bag Image_20230821111814936.png</t>
  </si>
  <si>
    <t>2023-09-06 13:09:31</t>
  </si>
  <si>
    <t>Q4612156</t>
  </si>
  <si>
    <t>[SEALPLATE/CHANGZHOUSHI FUNITER GFRP],8",ABS,FOR:PRESSURE VESSEL</t>
  </si>
  <si>
    <t>SEALPLATE</t>
  </si>
  <si>
    <t>CHANGZHOUSHI FUNITER GFRP</t>
  </si>
  <si>
    <t>FOR:PRESSURE VESSEL</t>
  </si>
  <si>
    <t>0829_1_20230829104329772.jpg</t>
  </si>
  <si>
    <t>http://www.czfnt.com/honor.asp</t>
  </si>
  <si>
    <t>0426_1_20230829104329816.jpg</t>
  </si>
  <si>
    <t>0426_2_20230829104342818.jpg</t>
  </si>
  <si>
    <t>鞠冬超</t>
  </si>
  <si>
    <t>judc@posco.net</t>
  </si>
  <si>
    <t>2023-09-07 10:09:55</t>
  </si>
  <si>
    <t>Q4612236</t>
  </si>
  <si>
    <t>AL,[YHB_EP_SET/YHB ECO]x470Wx470Lx20T,RPE+IONIZER+COLLECTOR,FOR 4CGL GRINDER FILTER SET,OR EQUIVALENT</t>
  </si>
  <si>
    <t>YHB_EP_SET</t>
  </si>
  <si>
    <t>FOR 4CGL GRINDER FILTER SET</t>
  </si>
  <si>
    <t>https://yhb.kr/blog/portfolio-item/ep_collector/</t>
  </si>
  <si>
    <t>특정사양품(4CGLGrinderFilter)_20230905133025040_20230906093000445.jpg</t>
  </si>
  <si>
    <t>2023-09-07 15:09:09</t>
  </si>
  <si>
    <t>Q4612704</t>
  </si>
  <si>
    <t>[SYV 05-75/SYNOPEX]_ID30xOD65x750Lx35T,5micron,4kg/cm2_POLYPROPYLENE,FOR SAFETY FILTER IN RO SYSTEM</t>
  </si>
  <si>
    <t>SYV 05-75</t>
  </si>
  <si>
    <t>SYNOPEX</t>
  </si>
  <si>
    <t>FOR SAFETY FILTER IN RO SYSTEM</t>
  </si>
  <si>
    <t>Catalog SYV Filter Vietnam_20230908172439129.pdf</t>
  </si>
  <si>
    <t>Filter Synopex_20230908172439234.jpg</t>
  </si>
  <si>
    <t>AFRIZAL MAULANA</t>
  </si>
  <si>
    <t>Utility Supply Team</t>
  </si>
  <si>
    <t>afrizal.m@krakatauposco.co.id</t>
  </si>
  <si>
    <t>2023-09-11 17:09:04</t>
  </si>
  <si>
    <t xml:space="preserve">In the future, please attach the specific URL (so that the application product is displayed immediately if possible). Thank you._x000D_
향후 신청 시에는 특정사 URL(가능하면 신청제품이 곧바로 표시되도록)를 연결하시길 바랍니다. 감사합니다.(2023.9.11)_x000D_
</t>
  </si>
  <si>
    <t>Q4612967</t>
  </si>
  <si>
    <t>[P/N:1113205/DROPSA],300micron,FILTER CARTRIDGE,FOR EAF/LF AUTO GREASE PUMP</t>
  </si>
  <si>
    <t>P/N:1113205</t>
  </si>
  <si>
    <t>DROPSA</t>
  </si>
  <si>
    <t xml:space="preserve">FILTER CARTRIDGE </t>
  </si>
  <si>
    <t>FOR EAF/LF AUTO GREASE PUMP</t>
  </si>
  <si>
    <t>Dropsa 1113205_20230912174150962.pdf</t>
  </si>
  <si>
    <t>https://www.dropsa.com/flex/cm/pages/ServeBLOB.php/L/EN/IDPagina/992</t>
  </si>
  <si>
    <t>Dropsa 1113205_20230912174151009.png</t>
  </si>
  <si>
    <t>2023-09-13 10:09:19</t>
  </si>
  <si>
    <t>Q4612968</t>
  </si>
  <si>
    <t>[P/N:0295009/DROPSA],400micron,GREASE CHARGING/LOADING FILTER,FOR EAF/LF AUTO GREASE PUMP</t>
  </si>
  <si>
    <t>P/N:0295009</t>
  </si>
  <si>
    <t>GREASE CHARGING/LOADING FILTER</t>
  </si>
  <si>
    <t>Dropsa PART NO_0295009_20230912175556111.pdf</t>
  </si>
  <si>
    <t>https://dropsa.com.ua/files/downloads/C2116PE.pdf</t>
  </si>
  <si>
    <t>Dropsa 0295009_20230912175556190.png</t>
  </si>
  <si>
    <t>2023-09-13 10:09:53</t>
  </si>
  <si>
    <t>Q4613047</t>
  </si>
  <si>
    <t>[P/N:1113220/DROPSA]x65L,300micron,500bar_FEMALE THREAD -G1/2 ISO 7/1,FOR EAF/LF AUTO GREASE PUMP</t>
  </si>
  <si>
    <t>P/N:1113220</t>
  </si>
  <si>
    <t>FEMALE THREAD -G1/2 ISO 7/1</t>
  </si>
  <si>
    <t>Dropsa Filter 1113220_20230912174302911.pdf</t>
  </si>
  <si>
    <t>Dropsa 1113220_20230912174302977.png</t>
  </si>
  <si>
    <t>2023-09-13 15:09:21</t>
  </si>
  <si>
    <t>Q4613049</t>
  </si>
  <si>
    <t>[AW20-02BCG/SMC],POLYCARBONATE,0.05~0.85MPa,1/4,FOR AIR FILTER</t>
  </si>
  <si>
    <t>AW20-02BCG</t>
  </si>
  <si>
    <t>1/4</t>
  </si>
  <si>
    <t>FOR AIR FILTER</t>
  </si>
  <si>
    <t>FRL For CNC Machine_20230913124953563.pdf</t>
  </si>
  <si>
    <t>IMG-20230908-WA0006_20230913124953607.jpg</t>
  </si>
  <si>
    <t>Akshay Katare</t>
  </si>
  <si>
    <t>akshay.k5@posco.net</t>
  </si>
  <si>
    <t>2023-09-13 15:09:48</t>
  </si>
  <si>
    <t xml:space="preserve">In the future, please attach the specific URL (so that the application product is displayed immediately if possible). Thank you._x000D_
향후 신청 시에는 특정사 URL(가능하면 신청제품이 곧바로 표시되도록)를 연결하시길 바랍니다. 감사합니다.(2023.9.13)_x000D_
</t>
  </si>
  <si>
    <t>Q4613218</t>
  </si>
  <si>
    <t>AIR,[LE 48 007/MANN FILTER],ID300xOD355x500L,11kg/cm2,FOR COMPRESSOR SPM</t>
  </si>
  <si>
    <t>LE 48 007</t>
  </si>
  <si>
    <t>FOR COMPRESSOR SPM</t>
  </si>
  <si>
    <t>Catalog Compressor_20230908115911513.pdf</t>
  </si>
  <si>
    <t>https://catalog.mann-filter.com/EU/eng/catalog/MANN-FILTER%20Katalog%20Europa/Compressed%20air-oil%20separation/LE%2048%20007%20x</t>
  </si>
  <si>
    <t>filter separator compressor_20230908114416851.jpg</t>
  </si>
  <si>
    <t>HARI SUSANTO</t>
  </si>
  <si>
    <t>Hot Rolling Maintenance Team</t>
  </si>
  <si>
    <t>hari.susanto@krakatauposco.co.id</t>
  </si>
  <si>
    <t>2023-09-14 15:09:56</t>
  </si>
  <si>
    <t>Q4613313</t>
  </si>
  <si>
    <t>[PALL RING 2/HANKOOK FILTER]xOD50x50Wx50L</t>
  </si>
  <si>
    <t>PALL RING 2</t>
  </si>
  <si>
    <t>한국필터15_20230824175627740.jpg</t>
  </si>
  <si>
    <t>폴링_20230824175627699.jpg</t>
  </si>
  <si>
    <t>2023-09-15 15:09:39</t>
  </si>
  <si>
    <t>Q4613315</t>
  </si>
  <si>
    <t>[DBCF145500/DONGBO CNF],ID78xOD145x500L,PE</t>
  </si>
  <si>
    <t>DBCF145500</t>
  </si>
  <si>
    <t>DONGBO CNF</t>
  </si>
  <si>
    <t>CATRIDGE FILTER 145X500L-Model_20230824163820912.png</t>
  </si>
  <si>
    <t>https://www.dongbocnf.com/%EC%A0%9C%ED%92%88%EC%A0%95%EB%B3%B4/view/4101469@14535324</t>
  </si>
  <si>
    <t>CARTRIDGE FILTER_20230824163820819.png</t>
  </si>
  <si>
    <t>2023-09-15 15:09:24</t>
  </si>
  <si>
    <t>Q4613316</t>
  </si>
  <si>
    <t>[DBBFGW1563000-3/DONGBO CNF]xOD156x3000L,GLASS WOOL</t>
  </si>
  <si>
    <t>DBBFGW1563000-3</t>
  </si>
  <si>
    <t>BAG FILTER 10-2150F02 156￠X 3000H-Model-(g3)_20230824170159918.png</t>
  </si>
  <si>
    <t>GLASS BAG FILTER_20230824170135589.png</t>
  </si>
  <si>
    <t>2023-09-15 15:09:00</t>
  </si>
  <si>
    <t>Q4613317</t>
  </si>
  <si>
    <t>[DBBFPE1563000-2/DONGBO CNF]xOD156x3000L,PE</t>
  </si>
  <si>
    <t>DBBFPE1563000-2</t>
  </si>
  <si>
    <t>BAG FILTER 9-2140F01 156￠X 3000H-Model-(p2)_20230824165904729.png</t>
  </si>
  <si>
    <t>BAG FILTER_20230824165835651.png</t>
  </si>
  <si>
    <t>2023-09-15 15:09:26</t>
  </si>
  <si>
    <t>Q4613318</t>
  </si>
  <si>
    <t>[DBBFPE1563000-1/DONGBO CNF]xOD156x3000L,PE</t>
  </si>
  <si>
    <t>DBBFPE1563000-1</t>
  </si>
  <si>
    <t>BAG FILTER 8-2130F08 156￠X 3000H-Model-(p1)_20230824164127521.png</t>
  </si>
  <si>
    <t>백필터_20230821142712838.png</t>
  </si>
  <si>
    <t>Q4613319</t>
  </si>
  <si>
    <t>[DBBFPE1565000/DONGBO CNF]xOD156x5000L,PE</t>
  </si>
  <si>
    <t>DBBFPE1565000</t>
  </si>
  <si>
    <t>BAG FILTER 1-2130F07 156￠X 5000H-Model_20230824163635164.png</t>
  </si>
  <si>
    <t>백필터_20230821143103411.png</t>
  </si>
  <si>
    <t>Q4613320</t>
  </si>
  <si>
    <t>[DBBFPE1564200/DONGBO CNF]xOD156x4200L,PE</t>
  </si>
  <si>
    <t>DBBFPE1564200</t>
  </si>
  <si>
    <t>BAG FILTER 7-2130F05 156￠X 4200H-Model_20230824164340499.png</t>
  </si>
  <si>
    <t>백필터_20230821142401799.png</t>
  </si>
  <si>
    <t>Q4613321</t>
  </si>
  <si>
    <t>[DBBFPE1563500/DONGBO CNF]xOD156x3500L,PE</t>
  </si>
  <si>
    <t>DBBFPE1563500</t>
  </si>
  <si>
    <t>BAG FILTER 5-2130F01 156￠X 3500H-Model_20230824164500916.png</t>
  </si>
  <si>
    <t>백필터_20230821142158024.png</t>
  </si>
  <si>
    <t>2023-09-15 15:09:27</t>
  </si>
  <si>
    <t>Q4613322</t>
  </si>
  <si>
    <t>[DBBFGW1563000-2/DONGBO CNF]xOD156x3000L,GLASS WOOL</t>
  </si>
  <si>
    <t>DBBFGW1563000-2</t>
  </si>
  <si>
    <t>BAG FILTER 6-2130F02 156￠X 3000H-Model-(g2)_20230824164725819.png</t>
  </si>
  <si>
    <t>GLASS 필터_20230821141221562.png</t>
  </si>
  <si>
    <t>Q4613323</t>
  </si>
  <si>
    <t>[DBBFGW1563800/DONGBO CNF]xOD156x3800L,GLASS WOOL</t>
  </si>
  <si>
    <t>DBBFGW1563800</t>
  </si>
  <si>
    <t>BAG FILTER 4-2120F10 156￠X 3800H-Model_20230824165007998.png</t>
  </si>
  <si>
    <t>GLASS 필터_20230821134617315.png</t>
  </si>
  <si>
    <t>Q4613324</t>
  </si>
  <si>
    <t>[DBBFGW1563000-1/DONGBO CNF]xOD156x3000L,GLASS WOOL</t>
  </si>
  <si>
    <t>DBBFGW1563000-1</t>
  </si>
  <si>
    <t>BAG FILTER 2-2120F04 156￠X 3000H-Model-(g1)_20230824165244243.png</t>
  </si>
  <si>
    <t>GLASS 필터_20230821133359833.png</t>
  </si>
  <si>
    <t>Q4613325</t>
  </si>
  <si>
    <t>[DBBFGW1565400/DONGBO CNF]xOD156x5400L,GLASS WOOL</t>
  </si>
  <si>
    <t>DBBFGW1565400</t>
  </si>
  <si>
    <t>BAG FILTER 3-2120F05 156￠X 5400H-Model_20230824165129024.png</t>
  </si>
  <si>
    <t>GLASS 필터_20230821134029534.png</t>
  </si>
  <si>
    <t>Q4613755</t>
  </si>
  <si>
    <t>[PF-300/WATERWEL]x67Dx152Lx67W_125MPa</t>
  </si>
  <si>
    <t>PF-300</t>
  </si>
  <si>
    <t>WATERWEL</t>
  </si>
  <si>
    <t>https://www.waterwel.com/default/product/product1.php?com_board_basic=read_form&amp;com_board_idx=2&amp;&amp;com_board_search_code=&amp;com_board_search_value1=&amp;com_board_search_value2=&amp;com_board_page=&amp;&amp;com_board_id=4&amp;&amp;com_board_id=4</t>
  </si>
  <si>
    <t>[waterwel]PF300_20230908093200251_20230912164001274.JPG</t>
  </si>
  <si>
    <t>2023-09-19 17:09:16</t>
  </si>
  <si>
    <t>Q4613756</t>
  </si>
  <si>
    <t>[JICF-2510/JOIL ENTERPRISE]x250Wx1000L,10micron,POLYESTER</t>
  </si>
  <si>
    <t>JICF-2510</t>
  </si>
  <si>
    <t>http://www.joil.co.kr/html/04/0402.php?mode=view&amp;idx=422</t>
  </si>
  <si>
    <t>Cartridge filter image_20230913134535236.png</t>
  </si>
  <si>
    <t>2023-09-19 17:09:51</t>
  </si>
  <si>
    <t>Q4614090</t>
  </si>
  <si>
    <t>HYDRAULIC,[HC8900FRN39Z/PALL],7micron,INERT INORGANIC FIBRES,10bar,FOR 2POL HYDRAULIC SYSTEM RETURN FILTER,OR EQUIVALENT</t>
  </si>
  <si>
    <t>HC8900FRN39Z</t>
  </si>
  <si>
    <t>FOR 2POL HYDRAULIC SYSTEM RETURN FILTER</t>
  </si>
  <si>
    <t>HC8900FRN39ZSUPRALONEN(한글)_20230902103854643_20230904173000818.pdf</t>
  </si>
  <si>
    <t>필터사진_20230902103407118_20230904173000710.jpg</t>
  </si>
  <si>
    <t>온유</t>
  </si>
  <si>
    <t>onyou@posco.co.kr</t>
  </si>
  <si>
    <t>2023-09-21 16:09:53</t>
  </si>
  <si>
    <t>Q4614463</t>
  </si>
  <si>
    <t>PP5UU,[RZ-35-54-25/IHI ROTATING MACHINERY ENGINEERING]</t>
  </si>
  <si>
    <t>RZ-35-54-25</t>
  </si>
  <si>
    <t>IHI ROTATING MACHINERY ENGINEERING</t>
  </si>
  <si>
    <t>RZ35-54-25 카탈로그_20230918100641154.pdf</t>
  </si>
  <si>
    <t>https://www.ihi.co.jp/separator/kr/</t>
  </si>
  <si>
    <t>FILTER CLOTH 1_20230908100611035.jpg</t>
  </si>
  <si>
    <t>2023-09-25 15:09:22</t>
  </si>
  <si>
    <t>Q4614464</t>
  </si>
  <si>
    <t>PP20UU,[RZ171-264-25/IHI ROTATING MACHINERY ENGINEERING CO., LTD]</t>
  </si>
  <si>
    <t>RZ171-264-25</t>
  </si>
  <si>
    <t>IHI ROTATING MACHINERY ENGINEERING CO., LTD</t>
  </si>
  <si>
    <t>RZ171-264-25 카달로그_20230918100729378.pdf</t>
  </si>
  <si>
    <t>FILTER CLOTH 2_20230908102618917.jpg</t>
  </si>
  <si>
    <t>2023-09-25 15:09:07</t>
  </si>
  <si>
    <t>Q4614466</t>
  </si>
  <si>
    <t>AIR,[P/N:226692/JENBACHER],FILTERING FROM A PARTICLE SIZE</t>
  </si>
  <si>
    <t>P/N:226692</t>
  </si>
  <si>
    <t>FILTERING FROM A PARTICLE SIZE</t>
  </si>
  <si>
    <t>Data Sheet 226692 Filter cartridge_20230922013027784.pdf</t>
  </si>
  <si>
    <t>https://www.gepower.com/gas/reciprocating-engines/jenbacher/type-6</t>
  </si>
  <si>
    <t>226692_20230922013409383.JPG</t>
  </si>
  <si>
    <t>2023-09-25 15:09:12</t>
  </si>
  <si>
    <t>Q4614468</t>
  </si>
  <si>
    <t>HYDRAULIC,[P/N:1202881/JENBACHER],OIL FILTER IN TRANSMISSION GEAR</t>
  </si>
  <si>
    <t>P/N:1202881</t>
  </si>
  <si>
    <t>OIL FILTER IN TRANSMISSION GEAR</t>
  </si>
  <si>
    <t>Data Sheet 1202881 Filter cartidge_20230922041810533.pdf</t>
  </si>
  <si>
    <t>1202881_20230922042505090.JPG</t>
  </si>
  <si>
    <t>2023-09-25 15:09:54</t>
  </si>
  <si>
    <t>Q4614570</t>
  </si>
  <si>
    <t>ELECTRONIC[WYFTH400T2A/WOONYOUNG],AC 3PHASE,500V,400A</t>
  </si>
  <si>
    <t>WYFTH400T2A</t>
  </si>
  <si>
    <t>노이즈400-2_20230920170107278_20230921084001642.JPG</t>
  </si>
  <si>
    <t>https://woonyoung.com/</t>
  </si>
  <si>
    <t>노이즈400_20230920170058194_20230921084001608.JPG</t>
  </si>
  <si>
    <t>2023-09-26 10:09:00</t>
  </si>
  <si>
    <t>Q4614572</t>
  </si>
  <si>
    <t>ELECTRONIC[WYFTH150T2A/WOONYOUNG],AC 3PHASE,500V,150A</t>
  </si>
  <si>
    <t>WYFTH150T2A</t>
  </si>
  <si>
    <t>노이즈_20230925103832230.JPG</t>
  </si>
  <si>
    <t>https://www.woonyoung.com</t>
  </si>
  <si>
    <t>WYFTH150T2A_20241024131902106.png</t>
  </si>
  <si>
    <t>2024-10-31 16:10:32</t>
  </si>
  <si>
    <t>Q4614730</t>
  </si>
  <si>
    <t>WATER,[V76/DK LOK],60micron,SS316</t>
  </si>
  <si>
    <t>V76</t>
  </si>
  <si>
    <t>DK LOK</t>
  </si>
  <si>
    <t>V73-V76_20230922155018094.pdf</t>
  </si>
  <si>
    <t>https://dklok.com/kr/%ec%a0%9c%ed%92%88%ec%86%8c%ea%b0%9c/instrumentation/valves/filters/v76/</t>
  </si>
  <si>
    <t>V76_20230919135422421.jpg</t>
  </si>
  <si>
    <t>2023-09-26 17:09:19</t>
  </si>
  <si>
    <t>Q4614899</t>
  </si>
  <si>
    <t>AIR,[HYE-0.1-50AS/GSA],1mesh,BOROSILICATE,14MPa,FOR AIR DRYER</t>
  </si>
  <si>
    <t>HYE-0.1-50AS</t>
  </si>
  <si>
    <t>엘리먼트0.1_20230919095418162_20230922003002715.jpg</t>
  </si>
  <si>
    <t>https://www.gsadryer.com/ko/compressed-air-technique/other-equipment/compressed-air-filter/</t>
  </si>
  <si>
    <t>GASElement외형_20230919095711588_20230922003002656.JPG</t>
  </si>
  <si>
    <t>황길훈</t>
  </si>
  <si>
    <t>milkkingzz@poscofuturem.com</t>
  </si>
  <si>
    <t>고영훈</t>
  </si>
  <si>
    <t>ars711@poscofuturem.com</t>
  </si>
  <si>
    <t>2023-09-27 17:09:37</t>
  </si>
  <si>
    <t>Q4614900</t>
  </si>
  <si>
    <t>AIR,[HYE-0.01-50AS/GSA],1mesh,BOROSILICATE,14MPa,FOR AIR DRYER</t>
  </si>
  <si>
    <t>HYE-0.01-50AS</t>
  </si>
  <si>
    <t>GSAHYF-AN_0628_CompressPdf_20230919093401799_20230921140000890.pdf</t>
  </si>
  <si>
    <t>GASElement외형_20230919095940129_20230921140000789.JPG</t>
  </si>
  <si>
    <t>2023-09-27 17:09:02</t>
  </si>
  <si>
    <t>Q4614901</t>
  </si>
  <si>
    <t>AIR,[HYE-1-50AS/GSA],1mesh,BOROSILICATE,14MPa,FOR AIR DRYER</t>
  </si>
  <si>
    <t>HYE-1-50AS</t>
  </si>
  <si>
    <t>GSAHYF-AN_0628_CompressPdf_20230919095753586_20230921143001696.pdf</t>
  </si>
  <si>
    <t>GASElement외형_20230919095819305_20230921143001643.JPG</t>
  </si>
  <si>
    <t>2023-09-27 17:09:28</t>
  </si>
  <si>
    <t>Q4615121</t>
  </si>
  <si>
    <t>[C5H00C6210/ROSS],FOR AIR SERVICE UNIT DC AREA</t>
  </si>
  <si>
    <t>C5H00C6210</t>
  </si>
  <si>
    <t>ROSS</t>
  </si>
  <si>
    <t>FOR AIR SERVICE UNIT DC AREA</t>
  </si>
  <si>
    <t>ROSS C5H00C6210_20230925122056200.pdf</t>
  </si>
  <si>
    <t>https://www.rosscontrols.com/series_variants/14983-c5h00c6210</t>
  </si>
  <si>
    <t>ROSS C5022B6005_20230918131706018.jpg</t>
  </si>
  <si>
    <t>ROSS1 C5022B6005 _20230918131723495.jpg</t>
  </si>
  <si>
    <t>SETYANTO CAHYO BASKORO</t>
  </si>
  <si>
    <t>setyanto.cahyobaskoro@krakatauposco.co.id</t>
  </si>
  <si>
    <t>2023-10-04 16:10:24</t>
  </si>
  <si>
    <t>Q4615130</t>
  </si>
  <si>
    <t>[BAPC213050375/BRANDO]+PULSEJET VALVE MAINTENANCE KIT,STAINLESS STEEL</t>
  </si>
  <si>
    <t>BAPC213050375</t>
  </si>
  <si>
    <t>BRANDO</t>
  </si>
  <si>
    <t>PULSEJET VALVE MAINTENANCE KIT</t>
  </si>
  <si>
    <t>Datasheet_20230926180642257.pdf</t>
  </si>
  <si>
    <t>https://www.brandopneumatic.com/solenoid-armature-tube-od-13mm/58253029.html</t>
  </si>
  <si>
    <t>Pic._20230926181220426.JPG</t>
  </si>
  <si>
    <t>JADED PROSUMPUNSING</t>
  </si>
  <si>
    <t>Automation &amp; Instrument Team</t>
  </si>
  <si>
    <t>jaded@poscothainox.com</t>
  </si>
  <si>
    <t>2023-10-04 16:10:04</t>
  </si>
  <si>
    <t>Q4615564</t>
  </si>
  <si>
    <t>AIR,[DC-4/DES-CASE],FOR CAL SYSTEM HYDRAULIC TANK</t>
  </si>
  <si>
    <t>DC-4</t>
  </si>
  <si>
    <t>DES-CASE</t>
  </si>
  <si>
    <t>FOR CAL SYSTEM HYDRAULIC TANK</t>
  </si>
  <si>
    <t>filter 1_20231005173407844.PNG</t>
  </si>
  <si>
    <t>filter_20231005172128155.PNG</t>
  </si>
  <si>
    <t>BÙI THANH QUỐC</t>
  </si>
  <si>
    <t>thanh.quoc@posco.net</t>
  </si>
  <si>
    <t>2023-10-10 13:10:54</t>
  </si>
  <si>
    <t>첨부된 결재문서를 확인하여 대체품을 구할 수 없는 특정사양품 단수임을 확인합니다.</t>
  </si>
  <si>
    <t>Q4615566</t>
  </si>
  <si>
    <t>WATER,[KWSB1-500-164-350-400/KOREA ENVI-TECH]xOD164x350L,FOR POSMC MANUAL STRAINER,OR EQUIVALENT</t>
  </si>
  <si>
    <t>KWSB1-500-164-350-400</t>
  </si>
  <si>
    <t>FOR POSMC MANUAL STRAINER</t>
  </si>
  <si>
    <t>BucketStrainerFilter_20230927141001731_20231005154001676.pdf</t>
  </si>
  <si>
    <t>http://www.ket1999.com/product/detail037.html?product_no=25&amp;cate_no=26&amp;display_group=1#</t>
  </si>
  <si>
    <t>ManualStrainerFilter_20230927140752302_20231005154001569.png</t>
  </si>
  <si>
    <t>허병구</t>
  </si>
  <si>
    <t>her0669@posco.co.kr</t>
  </si>
  <si>
    <t>2023-10-10 13:10:03</t>
  </si>
  <si>
    <t>메이커고유부품으로 타메이커 설치환경이 맞지않음을 결재내용으로 확인합니다.</t>
  </si>
  <si>
    <t>Q4615600</t>
  </si>
  <si>
    <t>[KF31KZ5VPMS13DC/SCHROEDER]x159Wx333L_5micron_DIE CAST ALUMINUM/STEEL_CELLULOSE/SYNTHETIC,20bar,HYDRAULIC OIL,380L/min_FOR RETURN LINE FILTER ZRM02</t>
  </si>
  <si>
    <t>KF31KZ5VPMS13DC</t>
  </si>
  <si>
    <t>SCHROEDER</t>
  </si>
  <si>
    <t>FOR RETURN LINE FILTER ZRM02</t>
  </si>
  <si>
    <t>https://schroederindustries.com/wp-content/uploads/KF3_catalogPgs.pdf</t>
  </si>
  <si>
    <t>Filter_20231009123303014.jpg</t>
  </si>
  <si>
    <t>Me-Rolling</t>
  </si>
  <si>
    <t>NGUYỄN HỮU TUẤN</t>
  </si>
  <si>
    <t>nh.tuan@posco.net</t>
  </si>
  <si>
    <t>2023-10-10 14:10:11</t>
  </si>
  <si>
    <t>첨부된 결재문서를 확인하여 특정사양품임을 확인하였습니다.</t>
  </si>
  <si>
    <t>Q4615611</t>
  </si>
  <si>
    <t>PP,[P500D/HONGKYUNG]x400Lx400W_PP_MULTIFILAMENT YARN, 0.5CC/CM2/SEC</t>
  </si>
  <si>
    <t>P500D</t>
  </si>
  <si>
    <t>HONGKYUNG</t>
  </si>
  <si>
    <t>MULTIFILAMENT YARN, 0.5CC/CM2/SEC</t>
  </si>
  <si>
    <t>홍경산업(주)-FILTERCLOTHCATALOGUE(P500D)-ca47end_20231004171152819_20231005154000571.pdf</t>
  </si>
  <si>
    <t>http://www.hongkyung.co.kr/Product/sub02_01.php</t>
  </si>
  <si>
    <t>[홍경산업]필터포_20231004172033664_20231005154000477.JPG</t>
  </si>
  <si>
    <t>2023-10-10 15:10:27</t>
  </si>
  <si>
    <t>Q4615824</t>
  </si>
  <si>
    <t>[NOCH0070-60/ABB],500V,60A,OR EQUIVALENT</t>
  </si>
  <si>
    <t>NOCH0070-60</t>
  </si>
  <si>
    <t>https://new.abb.com/products/58983501/58983501</t>
  </si>
  <si>
    <t>BDM_AUX_jk1985_20230920_135929_20230921133421901_20230922144000989.jpg</t>
  </si>
  <si>
    <t>박진국</t>
  </si>
  <si>
    <t>jk1985@posco.co.kr</t>
  </si>
  <si>
    <t>2023-10-12 08:10:08</t>
  </si>
  <si>
    <t>Q4615825</t>
  </si>
  <si>
    <t>[NOCH0120-6/ABB],500V,106A</t>
  </si>
  <si>
    <t>NOCH0120-6</t>
  </si>
  <si>
    <t>https://new.abb.com/products/10030366/10030366</t>
  </si>
  <si>
    <t>BMD_AUX_jk1985_20230920_135530_20230922095722891_20230922105000478.jpg</t>
  </si>
  <si>
    <t>2023-10-12 08:10:29</t>
  </si>
  <si>
    <t>Q4615991</t>
  </si>
  <si>
    <t>OIL MIST,[V532140157/BUSCH KOREA]xOD72x250L,GLASS FIBER</t>
  </si>
  <si>
    <t>V532140157</t>
  </si>
  <si>
    <t>Exhaust filter(250mm) 도면_20231013084442517.pdf</t>
  </si>
  <si>
    <t>V532140157 사진1_20230921095416537.jpg</t>
  </si>
  <si>
    <t>필터2_20230921095416544.jpg</t>
  </si>
  <si>
    <t>이준엽</t>
  </si>
  <si>
    <t>223036@poscofuturem.com</t>
  </si>
  <si>
    <t>2023-10-13 10:10:39</t>
  </si>
  <si>
    <t>첨부된 결재내용를 확인하여 특정사양품임을 확인하였습니다.</t>
  </si>
  <si>
    <t>Q4616061</t>
  </si>
  <si>
    <t>[RA 0100 F AIR FILTER/BUSCH KOREA],ID66xOD126x123.5L,3micron,AIR(DUST),DWG NO:0530000003KA</t>
  </si>
  <si>
    <t>RA 0100 F AIR FILTER</t>
  </si>
  <si>
    <t>DWG NO:0530000003KA</t>
  </si>
  <si>
    <t>Air filter(063-100) 도면 수정_20231013083220118.pdf</t>
  </si>
  <si>
    <t>https://www.buschvacuum.com/kr/ko/products/spare-parts-and-accessories/spare-parts/service-kits/</t>
  </si>
  <si>
    <t>0530000003KA 사진1_20231013083220226.jpg</t>
  </si>
  <si>
    <t>필터1_20231013083220262.jpg</t>
  </si>
  <si>
    <t>2023-10-13 14:10:22</t>
  </si>
  <si>
    <t>Q4616431</t>
  </si>
  <si>
    <t>[TIF-SS-G4.0/KFNGS],ID390.6xOD406.4x800Wx1079Lx7.9T,KS D 3631(SPPG210)</t>
  </si>
  <si>
    <t>TIF-SS-G4.0</t>
  </si>
  <si>
    <t>KFNGS</t>
  </si>
  <si>
    <t>정압기용필터 한국가스공사검필증_20231012155021756.pdf</t>
  </si>
  <si>
    <t>http://www.kfngs.com/img/pdf/gasfilter01.pdf</t>
  </si>
  <si>
    <t>IMG_20230705_090022_20230823131915000.jpg</t>
  </si>
  <si>
    <t>2023-10-18 08:10:21</t>
  </si>
  <si>
    <t>Q4616638</t>
  </si>
  <si>
    <t>POLYESTER,AIR,[KF-200 H&amp;V NANO FILTER/HOLLINGSWORTH &amp; VOSE]xOD475x500W,0.3micron,FIBER</t>
  </si>
  <si>
    <t>KF-200 H&amp;V NANO FILTER</t>
  </si>
  <si>
    <t xml:space="preserve">HOLLINGSWORTH &amp; VOSE </t>
  </si>
  <si>
    <t>필터 성적서_20230831162019780.JPG</t>
  </si>
  <si>
    <t>filter___20230831161942148.JPG</t>
  </si>
  <si>
    <t>박치언</t>
  </si>
  <si>
    <t>parkce@poscofuturem.com</t>
  </si>
  <si>
    <t>황승욱</t>
  </si>
  <si>
    <t>불소성 혼련(B-4,5)</t>
  </si>
  <si>
    <t>hsu1126@poscofuturem.com</t>
  </si>
  <si>
    <t>2023-10-19 09:10:57</t>
  </si>
  <si>
    <t>Q4617366</t>
  </si>
  <si>
    <t>[AF02/TESLLON]xOD6x61Wx107Lx62T,ALUMINUM,1~9.9bar,AIR</t>
  </si>
  <si>
    <t>airfinn_제품 자료_20231019165741260.pdf</t>
  </si>
  <si>
    <t>https://tesllon.com/theme/basic/product/product04.php</t>
  </si>
  <si>
    <t>AF02_20231019165807019.png</t>
  </si>
  <si>
    <t>이홍</t>
  </si>
  <si>
    <t>엔지니어링정비그룹</t>
  </si>
  <si>
    <t>hjb3@poscomtech.com</t>
  </si>
  <si>
    <t>조승현</t>
  </si>
  <si>
    <t>killer@poscomtech.com</t>
  </si>
  <si>
    <t>2023-10-25 10:10:13</t>
  </si>
  <si>
    <t>Q4617398</t>
  </si>
  <si>
    <t>WATER,[HNABC-005-NE/LEBE],ID30xOD64x750L,5micron,-ACTIVATED CARBON</t>
  </si>
  <si>
    <t>HNABC-005-NE</t>
  </si>
  <si>
    <t>LEBE</t>
  </si>
  <si>
    <t>레베산업 압축카본_20231019131440596.pdf</t>
  </si>
  <si>
    <t>http://www.lebeind.co.kr</t>
  </si>
  <si>
    <t>대표이미지_CARBON FILTER_20230925142221572.jpg</t>
  </si>
  <si>
    <t>2023-10-25 13:10:15</t>
  </si>
  <si>
    <t>Q4617400</t>
  </si>
  <si>
    <t>WATER,[HNC-500-100/LEBE],ID30xOD63x500L,100micron,POLYPROPYLENE</t>
  </si>
  <si>
    <t>HNC-500-100</t>
  </si>
  <si>
    <t>레베산업 Clean filter_20231019145616075.pdf</t>
  </si>
  <si>
    <t>http://www.lebeind.co.kr/</t>
  </si>
  <si>
    <t>대표이미지_20231019145551666.jpg</t>
  </si>
  <si>
    <t>2023-10-25 13:10:45</t>
  </si>
  <si>
    <t>Q4617401</t>
  </si>
  <si>
    <t>WATER,[HNMBH-005/LEBE],ID30xOD63x750L,5micron,POLY PROPYLENE</t>
  </si>
  <si>
    <t>HNMBH-005</t>
  </si>
  <si>
    <t>MB-홈가공필터_20230925143400441.jpg</t>
  </si>
  <si>
    <t>대표이미지_MB홈필터_20230925143326514.jpg</t>
  </si>
  <si>
    <t>2023-10-25 13:10:09</t>
  </si>
  <si>
    <t>Q4617865</t>
  </si>
  <si>
    <t>[FLND W/HC 63 FDD 25 1.2/-LED/HYDAC]_FOR AIROIL TANK CCP PTK</t>
  </si>
  <si>
    <t>FLND W/HC 63 FDD 25 1.2/-LED</t>
  </si>
  <si>
    <t>FOR AIROIL TANK CCP PTK</t>
  </si>
  <si>
    <t>Housing Filter AirOil Tank_20231027132427498.pdf</t>
  </si>
  <si>
    <t>Capture_20231027151720510.JPG</t>
  </si>
  <si>
    <t>AGUS ARISMAN</t>
  </si>
  <si>
    <t>agus.arisman@krakatauposco.co.id</t>
  </si>
  <si>
    <t>RIZCKI RAMADHAN</t>
  </si>
  <si>
    <t>rizcki.ramadhan@krakatauposco.co.id</t>
  </si>
  <si>
    <t>2023-10-30 14:10:28</t>
  </si>
  <si>
    <t>Q4618056</t>
  </si>
  <si>
    <t>OIL,[HM505008NS/PALL]_ID15.24xOD21.59x2.54Lx3.81Wx0.76T,105micron_AISI304_FOR ZRM ROLLSHOP,OIL FILTER</t>
  </si>
  <si>
    <t>HM505008NS</t>
  </si>
  <si>
    <t>FOR ZRM ROLLSHOP</t>
  </si>
  <si>
    <t>HM5050 Last Chance Filter drawing_20231031142154146.pdf</t>
  </si>
  <si>
    <t>HM505008 NS PALL_20231031142154261.png</t>
  </si>
  <si>
    <t>2023-11-01 08:11:24</t>
  </si>
  <si>
    <t>Q4618375</t>
  </si>
  <si>
    <t>[AV ROLL 70/AIR VISION]x7000Lx700W,OR EQUIVALENT</t>
  </si>
  <si>
    <t>AV ROLL 70</t>
  </si>
  <si>
    <t>AIR VISION</t>
  </si>
  <si>
    <t>http://www.airvision.co.kr/goods/goods_view.php?goodsNo=1000000005&amp;mtn=1%5E%7C%5EBEST+PRODUCT%5E%7C%5En</t>
  </si>
  <si>
    <t>air filter_20231101112519597.jpg</t>
  </si>
  <si>
    <t>원대한</t>
  </si>
  <si>
    <t>newwon2001@posco.co.kr</t>
  </si>
  <si>
    <t>2023-11-06 09:11:55</t>
  </si>
  <si>
    <t>Q4618379</t>
  </si>
  <si>
    <t>[AIR ROLL 50/AIR VISION]x7000Lx500W,OR EQUIVALENT</t>
  </si>
  <si>
    <t>AIR ROLL 50</t>
  </si>
  <si>
    <t>air filter_20231101112641634.jpg</t>
  </si>
  <si>
    <t>2023-11-06 09:11:01</t>
  </si>
  <si>
    <t>Q4618382</t>
  </si>
  <si>
    <t>[AV ROLL 60/AIR VISION]x7000Lx600W,OR EQUIVALENT</t>
  </si>
  <si>
    <t>AV ROLL 60</t>
  </si>
  <si>
    <t xml:space="preserve">http://www.airvision.co.kr/goods/goods_view.php?goodsNo=1000000005&amp;mtn=1%5E%7C%5EBEST+PRODUCT%5E%7C%5En         </t>
  </si>
  <si>
    <t>air filter_20231101112604132.jpg</t>
  </si>
  <si>
    <t>2023-11-06 09:11:23</t>
  </si>
  <si>
    <t>Q4618412</t>
  </si>
  <si>
    <t>AIR,[HYE-1-50A/GSA],1micron,POLYPROPYLENE,7kg/cm2,MD:HYF-1-65AS</t>
  </si>
  <si>
    <t>HYE-1-50A</t>
  </si>
  <si>
    <t>MD:HYF-1-65AS</t>
  </si>
  <si>
    <t>filter_structure_20231031135222088.jpg</t>
  </si>
  <si>
    <t>주상완</t>
  </si>
  <si>
    <t>포항인조흑연정비섹션</t>
  </si>
  <si>
    <t>jusang0705@poscofuturem.com</t>
  </si>
  <si>
    <t>2023-11-06 11:11:04</t>
  </si>
  <si>
    <t>Q4618471</t>
  </si>
  <si>
    <t>[BL73-415G/IMI NORGREN]</t>
  </si>
  <si>
    <t>BL73-415G</t>
  </si>
  <si>
    <t>IMI NORGREN</t>
  </si>
  <si>
    <t>IMI NORGREN BL73-415G_20231102121300886.pdf</t>
  </si>
  <si>
    <t>https://cdn.norgren.com/pdf/en_8_180_805_BL73.pdf</t>
  </si>
  <si>
    <t>IMI NORGREN_20231102122139590.jpg</t>
  </si>
  <si>
    <t>ANDRIYANA SETIADI</t>
  </si>
  <si>
    <t>andriyana.setiadi@krakatauposco.co.id</t>
  </si>
  <si>
    <t>HANDIKA RISANG HARIAWAN</t>
  </si>
  <si>
    <t>handika.risanghariawan@krakatauposco.co.id</t>
  </si>
  <si>
    <t>2023-11-06 14:11:45</t>
  </si>
  <si>
    <t>Q4618488</t>
  </si>
  <si>
    <t>[HFA/4(G4)/PIETRO FIORENTINI],FOR HOUSING HFA4</t>
  </si>
  <si>
    <t>HFA/4(G4)</t>
  </si>
  <si>
    <t>PIETRO FIORENTINI</t>
  </si>
  <si>
    <t>FOR HOUSING HFA4</t>
  </si>
  <si>
    <t>hfahfbfilters_brochure_ENG_20231102173307729.pdf</t>
  </si>
  <si>
    <t>G4 PIETRO FIORENTINI_20231102174121499.PNG</t>
  </si>
  <si>
    <t>ULUL AZMI</t>
  </si>
  <si>
    <t>ulul.azmi@krakatauposco.co.id</t>
  </si>
  <si>
    <t>MATAM HERMAWAN</t>
  </si>
  <si>
    <t>Hot Rolling Plant</t>
  </si>
  <si>
    <t>matam.hermawan@krakatauposco.co.id</t>
  </si>
  <si>
    <t>2023-11-06 15:11:05</t>
  </si>
  <si>
    <t>Q4618565</t>
  </si>
  <si>
    <t>AIR,[P/N:485Z/SOLBERG],ID356xOD498x546L,1micron,POLYESTER,ETC0010255</t>
  </si>
  <si>
    <t xml:space="preserve">P/N:485Z </t>
  </si>
  <si>
    <t>SOLBERG</t>
  </si>
  <si>
    <t>ETC0010255</t>
  </si>
  <si>
    <t>도면_20230901103116356.JPG</t>
  </si>
  <si>
    <t>https://www.solbergmfg.com/en/replacement-elements/polyester-elements/485z</t>
  </si>
  <si>
    <t>진공펌프필터_20230901103116471.jpg</t>
  </si>
  <si>
    <t>이시윤</t>
  </si>
  <si>
    <t>내화물생산기술그룹</t>
  </si>
  <si>
    <t>execute6@poscofuturem.com</t>
  </si>
  <si>
    <t>2023-11-07 09:11:25</t>
  </si>
  <si>
    <t>Q4618583</t>
  </si>
  <si>
    <t>AIR,[MCY1001A200J/PALL],20micron,SILICONE OR ETHYLENE PROPYLENE(EPDM),OR EQUIVALENT</t>
  </si>
  <si>
    <t>MCY1001A200J</t>
  </si>
  <si>
    <t>USD1373b_Profile Star_SS (MCY1001A200J) (2)_20220524125200777.pdf</t>
  </si>
  <si>
    <t>https://shop.pall.com/us/en/microelectronics/graphic-arts/ink-formulation-filtration/zidgri78l7t?CategoryName=ink-formulation-filtration&amp;CatalogID=microelectronics&amp;tracking=searchterm:mcy100</t>
  </si>
  <si>
    <t>대표이미지_20220524125121448.jpg</t>
  </si>
  <si>
    <t>이찬수</t>
  </si>
  <si>
    <t>chansulee@posco.co.kr</t>
  </si>
  <si>
    <t>2023-11-07 10:11:21</t>
  </si>
  <si>
    <t>Q4618617</t>
  </si>
  <si>
    <t>Common items</t>
  </si>
  <si>
    <t>[FTSS-FNS4-7/FITOK],SS316,414BAR,(-28C~38C).FT SERIES TEE-TYPE FILTER,1/4 FEMALE NPT,SILVER-PLATED NOMINAL PORE SIZES 7MICRON</t>
  </si>
  <si>
    <t>FTSS-FNS4-7</t>
  </si>
  <si>
    <t>FITOK</t>
  </si>
  <si>
    <t xml:space="preserve">414BAR,(-28C~38C).FT SERIES TEE-TYPE FILTER,1/4 FEMALE NPT,SILVER-PLATED NOMINAL PORE SIZES 7MICRON </t>
  </si>
  <si>
    <t>Fitok Filters_EN_20231030124813926.pdf</t>
  </si>
  <si>
    <t>Fitok_20231030125438820.JPG</t>
  </si>
  <si>
    <t>2023-11-07 15:11:23</t>
  </si>
  <si>
    <t>Q4618761</t>
  </si>
  <si>
    <t>DUST,SLUDGE ETC,[FILTER NET - 2210F02 / 2260F02 VACUUM BELT FILTER/SEFAR LTD.,]x2415Lx588Wx0.87T,12micron_POLYPROPYLENE_AIRPERMEABILITY: 3.2CM3/CM2/SEC,FOR VACUUM BELT FILTER MEDIA</t>
  </si>
  <si>
    <t>FILTER NET - 2210F02 / 2260F02 VACUUM BELT FILTER</t>
  </si>
  <si>
    <t>SEFAR LTD.,</t>
  </si>
  <si>
    <t>AIRPERMEABILITY: 3.2CM3/CM2/SEC</t>
  </si>
  <si>
    <t>FOR VACUUM BELT FILTER MEDIA</t>
  </si>
  <si>
    <t>05-8000-C 012 265cm(1)_20231107095727919.pdf</t>
  </si>
  <si>
    <t>https://www.sefar.com/en/</t>
  </si>
  <si>
    <t>vbf_20231107095728200.jpg</t>
  </si>
  <si>
    <t>2023-11-09 09:11:48</t>
  </si>
  <si>
    <t>Q4618762</t>
  </si>
  <si>
    <t>DUST,SLUDGE ETC,[FILTER NET - 2510Q02 VACUUM BELT FILTER_2/SEFAR LTD.,]x1473Lx441Wx0.87T,12micron_POLYPROPYLENE_AIRPERMEABILITY: 3.2CM3/CM2/SEC,FOR VACUUM BELT FILTER MEDIA</t>
  </si>
  <si>
    <t>FILTER NET - 2510Q02 VACUUM BELT FILTER_2</t>
  </si>
  <si>
    <t>Filter Net - 2510Q02 Vacuum Belt Filter_2_page-0001_20231107114446627.jpg</t>
  </si>
  <si>
    <t>http://www.filtration.co.kr/</t>
  </si>
  <si>
    <t>vbf_20231107114446838.jpg</t>
  </si>
  <si>
    <t>2023-11-09 09:11:34</t>
  </si>
  <si>
    <t>Q4618763</t>
  </si>
  <si>
    <t>DUST,SLUDGE ETC,[FILTER NET - 2510Q02 VACUUM BELT FILTER/SEFAR LTD.,]x14420Lx1500Wx0.87T,12micron_POLYPROPYLENE_AIRPERMEABILITY: 3.2CM3/CM2/SEC,FOR VACUUM BELT FILTER MEDIA</t>
  </si>
  <si>
    <t>FILTER NET - 2510Q02 VACUUM BELT FILTER</t>
  </si>
  <si>
    <t>vbf_20231107112301455.jpg</t>
  </si>
  <si>
    <t>2023-11-09 09:11:16</t>
  </si>
  <si>
    <t>Q4618764</t>
  </si>
  <si>
    <t>DUST,SLUDGE ETC,[FILTER NET - 2210F02 / 2260F02 VACUUM BELT FILTER/SEFAR LTD.,]x2415Lx970Wx0.87T,12micron_POLYPROPYLENE_AIRPERMEABILITY: 3.2CM3/CM2/SEC,FOR VACUUM BELT FILTER MEDIA</t>
  </si>
  <si>
    <t>vbf_20231107110741632.jpg</t>
  </si>
  <si>
    <t>2023-11-09 09:11:53</t>
  </si>
  <si>
    <t>Q4618765</t>
  </si>
  <si>
    <t>DUST,SLUDGE ETC,[FILTER NET - 2510Q02 AUTO FILTER/SEFAR LTD.,]x1945Lx655Wx0.87T,12micron_POLYPROPYLENE_AIRPERMEABILITY: 3.2CM3/CM2/SEC,FOR VACUUM BELT FILTER MEDIA</t>
  </si>
  <si>
    <t>FILTER NET - 2510Q02 AUTO FILTER</t>
  </si>
  <si>
    <t>05-8000-C 012 265cm(1)_20231107105653395.pdf</t>
  </si>
  <si>
    <t>vbf_20231107105653649.jpg</t>
  </si>
  <si>
    <t>2023-11-09 09:11:32</t>
  </si>
  <si>
    <t>Q4618766</t>
  </si>
  <si>
    <t>DUST,SLUDGE ETC,[FILTER NET - 2210F01 / 2260F01 VACUUM BELT FILTER/SEFAR LTD.,]x63113Lx3060Wx0.87T,12micron_POLYPROPYLENE_AIRPERMEABILITY: 3.2CM3/CM2/SEC,FOR VACUUM BELT FILTER MEDIA</t>
  </si>
  <si>
    <t>FILTER NET - 2210F01 / 2260F01 VACUUM BELT FILTER</t>
  </si>
  <si>
    <t>Filter Net - 2210F01&amp;2260F01 Vacuum Belt Filter_20231107100105020.pdf</t>
  </si>
  <si>
    <t>vbf_20231107100105233.jpg</t>
  </si>
  <si>
    <t>Q4618771</t>
  </si>
  <si>
    <t>[GDFE-50-32/GENEQ]x72Lx670W_DRYER FILTER,25NM3/MIN</t>
  </si>
  <si>
    <t>GDFE-50-32</t>
  </si>
  <si>
    <t>GENEQ</t>
  </si>
  <si>
    <t>DRYER FILTER,25NM3/MIN</t>
  </si>
  <si>
    <t>DRYER_20231108135407078.JPG</t>
  </si>
  <si>
    <t>http://www.geneq.co.kr/</t>
  </si>
  <si>
    <t>DRYER_20231108135407117.JPG</t>
  </si>
  <si>
    <t>정기훈</t>
  </si>
  <si>
    <t>ghjeong2@poscofuturem.com</t>
  </si>
  <si>
    <t>Q4618776</t>
  </si>
  <si>
    <t>AIR,[DLF-31-9S/DINNO TECH ENC],MICROFIBER MATERIAL</t>
  </si>
  <si>
    <t>DLF-31-9S</t>
  </si>
  <si>
    <t>DINNO TECH ENC</t>
  </si>
  <si>
    <t>DAF-310-100A-ST Filter 명판_20231107145224243.jpg</t>
  </si>
  <si>
    <t>http://www.dinnotech.co.kr/</t>
  </si>
  <si>
    <t>엘레멘트 사진_20231107145224476.jpg</t>
  </si>
  <si>
    <t>2023-11-09 10:11:01</t>
  </si>
  <si>
    <t>Q4618777</t>
  </si>
  <si>
    <t>AIR,[MALE NPT X20 0375020/DINNO TECH ENC],CONN SIZEA:2</t>
  </si>
  <si>
    <t>MALE NPT X20 0375020</t>
  </si>
  <si>
    <t>CONN SIZEA:2</t>
  </si>
  <si>
    <t>MUFFLER 카다록_20231108135109432.pdf</t>
  </si>
  <si>
    <t>Muffler 사진_20231108135109498.JPG</t>
  </si>
  <si>
    <t>2023-11-09 10:11:03</t>
  </si>
  <si>
    <t>Q4618778</t>
  </si>
  <si>
    <t>[GDFE-50-31/GENEQ]x72Lx670W_DRYER FILTER,22NM3/MIN,72X670(MM)</t>
  </si>
  <si>
    <t>GDFE-50-31</t>
  </si>
  <si>
    <t>DRYER FILTER,22NM3/MIN,72X670(MM)</t>
  </si>
  <si>
    <t>DRYER_20231108135557122.JPG</t>
  </si>
  <si>
    <t>DRYER1_20231108135557183.JPG</t>
  </si>
  <si>
    <t>2023-11-09 10:11:12</t>
  </si>
  <si>
    <t>Q4618784</t>
  </si>
  <si>
    <t>AIR,[HYE-0.01-50AS/GSA],BOROSILICATE</t>
  </si>
  <si>
    <t>HYE-0.01-50AS_20231108140201567.jpg</t>
  </si>
  <si>
    <t>GSA Filter element 사진_20231108140201699.JPG</t>
  </si>
  <si>
    <t>Q4618786</t>
  </si>
  <si>
    <t>AIR,[DCF13-9S/DINNO TECH ENC],GLASS FIBER</t>
  </si>
  <si>
    <t>DCF13-9S</t>
  </si>
  <si>
    <t>03_DCF13-9_50A Model (1)_20231107145730885.pdf</t>
  </si>
  <si>
    <t>엘레멘트 사진_20231107145731128.jpg</t>
  </si>
  <si>
    <t>2023-11-09 10:11:46</t>
  </si>
  <si>
    <t>Q4618787</t>
  </si>
  <si>
    <t>AIR,[DPF32-9S/DINNO TECH ENC],5micron</t>
  </si>
  <si>
    <t>DPF32-9S</t>
  </si>
  <si>
    <t>01_DPF32-10_50A Model (1)_20231108141613119.pdf</t>
  </si>
  <si>
    <t>2023-11-09 10:11:04</t>
  </si>
  <si>
    <t>Q4618788</t>
  </si>
  <si>
    <t>[440349/HANSHIN]_MD:AL2-150AH</t>
  </si>
  <si>
    <t>440349</t>
  </si>
  <si>
    <t>HANSHIN</t>
  </si>
  <si>
    <t>MD:AL2-150AH</t>
  </si>
  <si>
    <t>AL2-150AH 컴프레셔 명판_20231108135237844.JPG</t>
  </si>
  <si>
    <t>Oil Filter 사진_20231108135237894.jpg</t>
  </si>
  <si>
    <t>2023-11-09 10:11:58</t>
  </si>
  <si>
    <t>Q4618796</t>
  </si>
  <si>
    <t>AIR,[HYE-5-50AS/GSA],POLYETHYLENE,MD:HYF-5-65AS</t>
  </si>
  <si>
    <t>HYE-5-50AS</t>
  </si>
  <si>
    <t>MD:HYF-5-65AS</t>
  </si>
  <si>
    <t>HYF-5-50AS_20231108135751286.jpg</t>
  </si>
  <si>
    <t>GSA Filter element 사진_20260105144727705.JPG</t>
  </si>
  <si>
    <t>2026-01-06 10:01:39</t>
  </si>
  <si>
    <t>Q4618951</t>
  </si>
  <si>
    <t>SUS,[AQUA BOLL 6.18.3.600 DN300/BOLLFILTER]_698Dx944Dx1855L_100micron_SUS_5-10bar</t>
  </si>
  <si>
    <t>AQUA BOLL 6.18.3.600 DN300</t>
  </si>
  <si>
    <t>automatic-filter-type-aquaBoll-en-BOLLFILTER_20230915090223943.pdf</t>
  </si>
  <si>
    <t>https://www.bollfilter.com/filters/detail/aquabollr-self-cleaning-water-filter-backwashable-strainer-with-adaptive-filter-elements</t>
  </si>
  <si>
    <t>Aquaboll_20230915090033363.jpg</t>
  </si>
  <si>
    <t>이정모</t>
  </si>
  <si>
    <t>광)화성공장</t>
  </si>
  <si>
    <t>superjm316@poscofuturem.com</t>
  </si>
  <si>
    <t>정지훈</t>
  </si>
  <si>
    <t>광)2화성공장</t>
  </si>
  <si>
    <t>spanboy@poscofuturem.com</t>
  </si>
  <si>
    <t>2023-11-10 13:11:37</t>
  </si>
  <si>
    <t>Q4619288</t>
  </si>
  <si>
    <t>[HDP10D10D4/PALL]_FOR 2PL DEOILER INLET MOTOR,OR EQUIVALENT</t>
  </si>
  <si>
    <t>HDP10D10D4</t>
  </si>
  <si>
    <t>FOR 2PL DEOILER INLET MOTOR</t>
  </si>
  <si>
    <t>PALL Purifier Q4555681 [HDP10W4ZCPEN-PALL] Catalog (25Lpm~40Lpm)_20231113152211701.pdf</t>
  </si>
  <si>
    <t>HDP10 외형 이미지_20231113152211838.jpg</t>
  </si>
  <si>
    <t>2023-11-14 13:11:35</t>
  </si>
  <si>
    <t>Q4619291</t>
  </si>
  <si>
    <t>[HDP10D10D7/PALL]_FOR 2PL DEOILER OUTLET MOTOR,OR EQUIVALENT</t>
  </si>
  <si>
    <t>HDP10D10D7</t>
  </si>
  <si>
    <t>FOR 2PL DEOILER OUTLET MOTOR</t>
  </si>
  <si>
    <t>PALL Purifier Q4555681 [HDP10W4ZCPEN-PALL] Catalog (25Lpm~40Lpm)_20231113152351266.pdf</t>
  </si>
  <si>
    <t>HDP10 외형 이미지_20231113152351365.jpg</t>
  </si>
  <si>
    <t>2023-11-14 14:11:27</t>
  </si>
  <si>
    <t>Q4619292</t>
  </si>
  <si>
    <t>[HDP10D9/PALL]_FOR 2PL DEOILER IN/OUT LET PUMP,OR EQUIVALENT</t>
  </si>
  <si>
    <t>HDP10D9</t>
  </si>
  <si>
    <t>FOR 2PL DEOILER IN/OUT LET PUMP</t>
  </si>
  <si>
    <t>PALL Purifier Q4555681 [HDP10W4ZCPEN-PALL] Catalog (25Lpm~40Lpm)_20231113152458739.pdf</t>
  </si>
  <si>
    <t>HDP10 외형 이미지_20231113152458829.jpg</t>
  </si>
  <si>
    <t>2023-11-14 14:11:00</t>
  </si>
  <si>
    <t>Q4619453</t>
  </si>
  <si>
    <t>FILTER MOUNT,[PT60X60/JOMESA],60X60MM,PLASTIC/GLASS</t>
  </si>
  <si>
    <t>PT60X60</t>
  </si>
  <si>
    <t>https://www.jomesa.com/korean/filter_archiving/filter_archiving_accessories.html</t>
  </si>
  <si>
    <t>[jomesa] 16 particle traps_20231115094345228.jpg</t>
  </si>
  <si>
    <t>2023-11-15 15:11:19</t>
  </si>
  <si>
    <t xml:space="preserve">유사품 검색 및 사양 검증용 자료 확인후 승인._x000D_
</t>
  </si>
  <si>
    <t>Q4620164</t>
  </si>
  <si>
    <t>[PI 8415 DRG 60/FILTRATION GROUP(MAHLE)]_ID47.5xOD84.0_DRG60,20bar,DRG 60_150L/MIN,1575CM2,ORDER NO:77681034_FOR 3DL BOILER OIL UNIT FILTER,OR EQUIVALENT</t>
  </si>
  <si>
    <t>PI 8415 DRG 60</t>
  </si>
  <si>
    <t>150L/MIN,1575CM2,ORDER NO:77681034</t>
  </si>
  <si>
    <t>FOR 3DL BOILER OIL UNIT FILTER</t>
  </si>
  <si>
    <t>Filter_elements_en_20231116084900341.pdf</t>
  </si>
  <si>
    <t>https://shopindustrial.filtrationgroup.com/en/77681034.html</t>
  </si>
  <si>
    <t>박지홍</t>
  </si>
  <si>
    <t>2023-11-21 16:11:46</t>
  </si>
  <si>
    <t>Q4620274</t>
  </si>
  <si>
    <t>[SH-MX-1555-102(WITH OUT)/SHC]_ID44xOD98x176.5Lx98W,25micron,5bar,OR EQUIVALENT</t>
  </si>
  <si>
    <t>SH-MX-1555-102(WITH OUT)</t>
  </si>
  <si>
    <t>http://www.se-jin.co.kr/P-MAXIFLOW%20FILTER/P-MAXIFLOW-SH-MX-1555.htm</t>
  </si>
  <si>
    <t>캡_20231108140909110.png</t>
  </si>
  <si>
    <t>김원봉</t>
  </si>
  <si>
    <t>윤종환</t>
  </si>
  <si>
    <t>(포항)선재부 3선재공장</t>
  </si>
  <si>
    <t>2023-11-23 08:11:29</t>
  </si>
  <si>
    <t>Q4620315</t>
  </si>
  <si>
    <t>AIR,[FILTER162X1500L/AERIX]xOD162x1500L,PE(MEMBRANE COATING)</t>
  </si>
  <si>
    <t>FILTER162X1500L</t>
  </si>
  <si>
    <t>1621500주름필터_20231103101617576_20231116090000906.JPG</t>
  </si>
  <si>
    <t>특정사양품실사_20231103101740732_20231116090000159.jpg</t>
  </si>
  <si>
    <t>주름백필터 이미지_20231123142149379.jpg</t>
  </si>
  <si>
    <t>2023-11-23 14:11:30</t>
  </si>
  <si>
    <t>Q4620491</t>
  </si>
  <si>
    <t>TITANIUM TUBE,[P/N:P4003/SIRCAL],FOR MP-2000 RARE GAS PURIFIER</t>
  </si>
  <si>
    <t>P/N:P4003</t>
  </si>
  <si>
    <t>SIRCAL</t>
  </si>
  <si>
    <t>FOR MP-2000 RARE GAS PURIFIER</t>
  </si>
  <si>
    <t>Sircal-MP-2000-Brochure_20231122184501028.pdf</t>
  </si>
  <si>
    <t>https://sircal.co.uk/rare-gas-purifier-model-mp-2000/</t>
  </si>
  <si>
    <t>PN 4003-4005_20231122184501108.PNG</t>
  </si>
  <si>
    <t>Dam Thi Truc Phuong</t>
  </si>
  <si>
    <t>Quality Technology Dept</t>
  </si>
  <si>
    <t>trucphuong@posco-ssvina.com</t>
  </si>
  <si>
    <t>2023-11-27 08:11:09</t>
  </si>
  <si>
    <t>유사품 검색 및 사양 검증용 자료 확인후 승인합니다.</t>
  </si>
  <si>
    <t>Q4620492</t>
  </si>
  <si>
    <t>COPPER OXIDE TUBE,[P/N:P4004/SIRCAL],FOR MP-2000 RARE GAS PURIFIER</t>
  </si>
  <si>
    <t>P/N:P4004</t>
  </si>
  <si>
    <t>Sircal-MP-2000-Brochure_20231122184614266.pdf</t>
  </si>
  <si>
    <t>PN 4003-4005_20231122184614350.PNG</t>
  </si>
  <si>
    <t>2023-11-27 08:11:20</t>
  </si>
  <si>
    <t>Q4620493</t>
  </si>
  <si>
    <t>MOLECULAR SIEVE TUBE,[P/N:P4005/SIRCAL],FOR MP-2000 RARE GAS PURIFIER</t>
  </si>
  <si>
    <t>P/N:P4005</t>
  </si>
  <si>
    <t>Sircal-MP-2000-Brochure_20231122184714894.pdf</t>
  </si>
  <si>
    <t>PN 4003-4005_20231122184714967.PNG</t>
  </si>
  <si>
    <t>2023-11-27 08:11:51</t>
  </si>
  <si>
    <t>Q4620545</t>
  </si>
  <si>
    <t>[PI 9705 DRG VST 300/MAHLE]+O/N:77740939,FILTER GREASE FOR GFS DC,FM,RM</t>
  </si>
  <si>
    <t>PI 9705 DRG VST 300</t>
  </si>
  <si>
    <t>O/N:77740939</t>
  </si>
  <si>
    <t>FILTER GREASE FOR GFS DC,FM,RM</t>
  </si>
  <si>
    <t>Filter elemen grease MAHLE Pi 9705 DRG VST 300 _20231122120100452.pdf</t>
  </si>
  <si>
    <t>https://www.bibus.ba/fileadmin/editors/countries/bizag/Katalozi/Hidraulika/Mahle/Dokumenti/Filter_elements_for_liquid_filters_en.pdf</t>
  </si>
  <si>
    <t>WhatsApp Image 2023-11-09 at 08.12.48_20231122120640433.jpg</t>
  </si>
  <si>
    <t>WhatsApp Image 2023-11-20 at 09.57.33_20231122120656721.jpg</t>
  </si>
  <si>
    <t>2023-11-27 11:11:27</t>
  </si>
  <si>
    <t>Q4620680</t>
  </si>
  <si>
    <t>HYDRAULIC,[2.0630PWR6-A00-0-M/HENGST],6micron,STAINLEES STEEL,FOR 1WRM BTJ GRINDER MACHINE,OR EQUIVALENT</t>
  </si>
  <si>
    <t>2.0630PWR6-A00-0-M</t>
  </si>
  <si>
    <t>FOR 1WRM BTJ GRINDER MACHINE</t>
  </si>
  <si>
    <t>RK_51417_2010-12_20231116092101769.pdf</t>
  </si>
  <si>
    <t>https://www.hengst.com/Produkte/Produktgruppen/Hydraulik/Datenbl%C3%A4tter/neu/EN/RE51517_2023-02_web.pdf</t>
  </si>
  <si>
    <t>HENGST 필터 사진_20240103112310574.png</t>
  </si>
  <si>
    <t>2024-01-11 09:01:51</t>
  </si>
  <si>
    <t>Q4620821</t>
  </si>
  <si>
    <t>[AS-200-6P PLUS/PERMA PURE],FOR SASS-3000 PLUS SYSTEM</t>
  </si>
  <si>
    <t>AS-200-6P PLUS</t>
  </si>
  <si>
    <t>PERMA PURE</t>
  </si>
  <si>
    <t>FOR SASS-3000 PLUS SYSTEM</t>
  </si>
  <si>
    <t>SASS-3000  Plus_20231114154224471.pdf</t>
  </si>
  <si>
    <t>除氨柱-1_20231114154831973.jpg</t>
  </si>
  <si>
    <t>钱新国</t>
  </si>
  <si>
    <t>设备技术科</t>
  </si>
  <si>
    <t>qianxg@posco.net</t>
  </si>
  <si>
    <t>张炯杰</t>
  </si>
  <si>
    <t>zpzhangjj@posco.net</t>
  </si>
  <si>
    <t>2023-11-29 09:11:06</t>
  </si>
  <si>
    <t>Q4620868</t>
  </si>
  <si>
    <t>ELECTRONIC[WYFS10T1B/WOONYOUNG],AC 1PHASE,250V,10A,50/60HZ</t>
  </si>
  <si>
    <t>WYFS10T1B</t>
  </si>
  <si>
    <t>http://www.woonyoung.com/page/s0201_view.php?ocatecode=1337920582&amp;idx=136&amp;gcname=&amp;gnsub=&amp;gcatecode=1338275836&amp;ogcname=%EB%85%B8%EC%9D%B4%EC%A6%88%ED%95%84%ED%84%B0-Noise%20Filter</t>
  </si>
  <si>
    <t>WYFS10T1B_20231128172221442.JPG</t>
  </si>
  <si>
    <t>이시우</t>
  </si>
  <si>
    <t>leegun0224@poscofuturem.com</t>
  </si>
  <si>
    <t>2023-11-29 13:11:33</t>
  </si>
  <si>
    <t>Q4620964</t>
  </si>
  <si>
    <t>HYDRAULIC,[HC9601FDP8H/PALL],ID43xOD80x209L,8micron,200bar,FOR SCREWDOWN TANK AT #2 ZRM</t>
  </si>
  <si>
    <t>HC9601FDP8H</t>
  </si>
  <si>
    <t>FOR SCREWDOWN TANK AT #2 ZRM</t>
  </si>
  <si>
    <t>https://www.interempresas.net/FeriaVirtual/Catalogos_y_documentos/4618/PRODUC_1.PDF</t>
  </si>
  <si>
    <t>Capture_20231123162623693.PNG</t>
  </si>
  <si>
    <t>2023-11-30 09:11:40</t>
  </si>
  <si>
    <t>Q4621186</t>
  </si>
  <si>
    <t>HYDRAULIC,[P/N:7016759(FOR K13000)/KAMAT],350micron,1500bar,DWG NO:8048734,FOR 5COKE HIGH PRESSURE WATER PUMP FILTER,OR EQUIVALENT</t>
  </si>
  <si>
    <t>P/N:7016759(FOR K13000)</t>
  </si>
  <si>
    <t>KAMAT</t>
  </si>
  <si>
    <t>DWG NO:8048734</t>
  </si>
  <si>
    <t>FOR 5COKE HIGH PRESSURE WATER PUMP FILTER</t>
  </si>
  <si>
    <t>KAMAT Filter_20231121150013988.pptx</t>
  </si>
  <si>
    <t>www.kamat.de</t>
  </si>
  <si>
    <t>고압수_펌프_Filter_20231121150014044.jpg</t>
  </si>
  <si>
    <t>haesang@posco.co.kr</t>
  </si>
  <si>
    <t>이진석</t>
  </si>
  <si>
    <t>2023-12-01 17:12:17</t>
  </si>
  <si>
    <t>Q4621445</t>
  </si>
  <si>
    <t>STAINLESS STEEL,[HMC-MW5000L/HUMAN CORPORATION]x210L_STS_MW5000UF FILTER_FOR AIROSO UP-900,OR EQUIVALENT</t>
  </si>
  <si>
    <t>HMC-MW5000L</t>
  </si>
  <si>
    <t>MW5000UF FILTER</t>
  </si>
  <si>
    <t>FOR AIROSO UP-900</t>
  </si>
  <si>
    <t>MW5000 상세 규격서 (1)_20231204095404089.pdf</t>
  </si>
  <si>
    <t>http://humancorp.co.kr/html_new/board/pds/index.php?checkPage=view&amp;no=139</t>
  </si>
  <si>
    <t>MW5000UF FILTER_20231204095404143.jpg</t>
  </si>
  <si>
    <t>유영란</t>
  </si>
  <si>
    <t>(광양)품질기술부 공정시험섹션</t>
  </si>
  <si>
    <t>yrkdhng73@posco.co.kr</t>
  </si>
  <si>
    <t>전성자</t>
  </si>
  <si>
    <t>jun1212@posco.co.kr</t>
  </si>
  <si>
    <t>2023-12-05 13:12:43</t>
  </si>
  <si>
    <t>Q4621822</t>
  </si>
  <si>
    <t>[HMC-AUP-I/HUMAN]x304.8L_MIXED BED ION RESIN_12INCH_FOR ARIOSO UP 900,OR EQUIVALENT</t>
  </si>
  <si>
    <t>HMC-AUP-I</t>
  </si>
  <si>
    <t>HUMAN</t>
  </si>
  <si>
    <t>12INCH</t>
  </si>
  <si>
    <t>FOR ARIOSO UP 900</t>
  </si>
  <si>
    <t>Filter Spec._ENG_Arioso UP Pack (INT)_20231207081309323.pdf</t>
  </si>
  <si>
    <t>http://humancorp.co.kr/html_new/board/pds/index.php?checkPage=view&amp;no=137</t>
  </si>
  <si>
    <t>HMC-AUP_20231207081309371.jpg</t>
  </si>
  <si>
    <t>2023-12-07 14:12:48</t>
  </si>
  <si>
    <t>Q4622173</t>
  </si>
  <si>
    <t>[P/N:70(L861015)/LAEIS],FOR 1600T FILTER SET</t>
  </si>
  <si>
    <t>P/N:70(L861015)</t>
  </si>
  <si>
    <t>FOR 1600T FILTER SET</t>
  </si>
  <si>
    <t>2_20231208080453430.pdf</t>
  </si>
  <si>
    <t>https://www.laeis.eu/</t>
  </si>
  <si>
    <t>캡처_20231208080453550.PNG</t>
  </si>
  <si>
    <t>2023-12-11 13:12:31</t>
  </si>
  <si>
    <t xml:space="preserve">부품 번호 확인후 승인합니다. _x000D_
</t>
  </si>
  <si>
    <t>Q4622174</t>
  </si>
  <si>
    <t>[P/N:69(L917809)/LAEIS],FOR 1600T RETURN FILTER</t>
  </si>
  <si>
    <t>P/N:69(L917809)</t>
  </si>
  <si>
    <t>FOR 1600T RETURN FILTER</t>
  </si>
  <si>
    <t>1_20231208081206855.pdf</t>
  </si>
  <si>
    <t>캡처_20231208081206912.PNG</t>
  </si>
  <si>
    <t>2023-12-11 13:12:10</t>
  </si>
  <si>
    <t>도면 부품명 및 승인문서 확인후 승인</t>
  </si>
  <si>
    <t>Q4622315</t>
  </si>
  <si>
    <t>[SAF 900-20BDN-PCS/SKP]x180Wx457L,5micron,POROUS PLASTICS,10bar,AIR</t>
  </si>
  <si>
    <t>SAF 900-20BDN-PCS</t>
  </si>
  <si>
    <t>SKP</t>
  </si>
  <si>
    <t>SAF800_900_KR_20231207161249684.pdf</t>
  </si>
  <si>
    <t>http://pneumatic.co.kr/</t>
  </si>
  <si>
    <t>1_20231207161249773.JPG</t>
  </si>
  <si>
    <t>김경수</t>
  </si>
  <si>
    <t>kks9065@poscofuturem.com</t>
  </si>
  <si>
    <t>지영복</t>
  </si>
  <si>
    <t>소성 공통</t>
  </si>
  <si>
    <t>jee1951@poscofuturem.com</t>
  </si>
  <si>
    <t>2023-12-12 09:12:26</t>
  </si>
  <si>
    <t xml:space="preserve">MRO e-Caltalog시스템 경유건으로 대체 Maker 미 발굴건, 기 설치된 필터의 호환성을 위해 특정 사양으로 등록건 확인 후 승인_x000D_
</t>
  </si>
  <si>
    <t>Q4622420</t>
  </si>
  <si>
    <t>GAS,[KMGF42/KYUNGHAN SYSTEM],ID22.95xOD30x95L,20micron,STS316,MEDIA TYPE: 5LAYER SINTERED METAL FOR COG, FOG, BFG MIX GAS</t>
  </si>
  <si>
    <t>KMGF42</t>
  </si>
  <si>
    <t>KYUNGHAN SYSTEM</t>
  </si>
  <si>
    <t>MEDIA TYPE: 5LAYER SINTERED METAL FOR COG, FOG, BFG MIX GAS</t>
  </si>
  <si>
    <t>cat-gas filter Model (1)_20231124145732433.pdf</t>
  </si>
  <si>
    <t>http://www.khsystem.co.kr/Web/board/read.php?bid=4&amp;pid=32</t>
  </si>
  <si>
    <t>filter 그림_20231124145654979.jpg</t>
  </si>
  <si>
    <t>(포항)제선설비부 에너지정비섹션</t>
  </si>
  <si>
    <t>김성오</t>
  </si>
  <si>
    <t>nakso86@posco.co.kr</t>
  </si>
  <si>
    <t>2023-12-12 14:12:12</t>
  </si>
  <si>
    <t xml:space="preserve">_x000D_
(11) 특허등록 번호 (특허품이 아닌 경우 '해당없음'으로 기입)부탁드립니다. 향후 미 기입시 Rework처리 될 수 있습니다. 감사합니다. _x000D_
</t>
  </si>
  <si>
    <t>Q4622464</t>
  </si>
  <si>
    <t>HYDRAULIC,[1.0063H10XL-A00-0-M/REXROTH],10micron,GLASS FIBER,R928005855,FOR HYDRAULIC CSM</t>
  </si>
  <si>
    <t>1.0063H10XL-A00-0-M</t>
  </si>
  <si>
    <t>R928005855</t>
  </si>
  <si>
    <t xml:space="preserve">FOR HYDRAULIC CSM </t>
  </si>
  <si>
    <t>Filter Hyd CSM_20231211183111195.pdf</t>
  </si>
  <si>
    <t>https://boschrexroth-ind.com/product/bosch-rexroth-hydraulics-r928005855-1-0063-h10xl-a00-0-m-r928005855/</t>
  </si>
  <si>
    <t>filter rexroth_20231212123556226.jpg</t>
  </si>
  <si>
    <t>2023-12-12 16:12:36</t>
  </si>
  <si>
    <t>유사품 검색 및 사양 검증용 자료 확인후 승인.</t>
  </si>
  <si>
    <t>Q4622520</t>
  </si>
  <si>
    <t>[DWG NO:CFK-MF-20231129-05/CLEAN FILTER]x610Wx610Lx45T,GLASS+SYNTHETIC,FRAME:STS,SAFETY FILTER CGS71-M5</t>
  </si>
  <si>
    <t>DWG NO:CFK-MF-20231129-05</t>
  </si>
  <si>
    <t>SAFETY FILTER CGS71-M5</t>
  </si>
  <si>
    <t>CFK-MF-45 (5)_20231212084245167.pdf</t>
  </si>
  <si>
    <t>https://www.filtermro.com/</t>
  </si>
  <si>
    <t>1701403642306_20231212084245241.jpg</t>
  </si>
  <si>
    <t>2023-12-13 09:12:17</t>
  </si>
  <si>
    <t xml:space="preserve">추후에는 승인문서 내 모델명을 정확히 기재 부탁드립니다. _x000D_
정확하게 기재하지 않을시 회송될 수 있습니다. </t>
  </si>
  <si>
    <t>Q4622592</t>
  </si>
  <si>
    <t>[MAKER DWG NO:NTHQ-PB-1182-1/KC AIR FILTER TECH]_ID156x3500Lx156W_PATENT:10-1951465(2038-11-23), MAKER DWG NO:NTHQ-PB-1182-1,FOR 1503 BAG FILTER</t>
  </si>
  <si>
    <t>MAKER DWG NO:NTHQ-PB-1182-1</t>
  </si>
  <si>
    <t>KC AIR FILTER TECH</t>
  </si>
  <si>
    <t>PATENT:10-1951465(2038-11-23), MAKER DWG NO:NTHQ-PB-1182-1</t>
  </si>
  <si>
    <t>FOR 1503 BAG FILTER</t>
  </si>
  <si>
    <t>1503 KC PLEATED Filter BAG_20231208080230395.pdf</t>
  </si>
  <si>
    <t>https://www.kcairfiltertech.com/bbs/content.php?co_id=302</t>
  </si>
  <si>
    <t>주름백 FILTER_20231227071133468.JPG</t>
  </si>
  <si>
    <t>이미형</t>
  </si>
  <si>
    <t>lmh1463@snnc.co.kr</t>
  </si>
  <si>
    <t>2023-12-28 13:12:55</t>
  </si>
  <si>
    <t xml:space="preserve">승인문서, 사양도면 확인후 승인합니다 </t>
  </si>
  <si>
    <t>Q4622595</t>
  </si>
  <si>
    <t>PLEATED BAG CAGES,[MAKER DWG NO:NTHQ-PB-1182-2/KC AIR FILTER TECH],150DX3470L,SS275,PATENT:10-1951465(2019-02-18), MAKER DWG NO:NTHQ-PB-1182-2</t>
  </si>
  <si>
    <t>MAKER DWG NO:NTHQ-PB-1182-2</t>
  </si>
  <si>
    <t>PATENT:10-1951465(2019-02-18), MAKER DWG NO:NTHQ-PB-1182-2</t>
  </si>
  <si>
    <t>1503 KC PLEATED CAG_20231208080406194.pdf_20231208080406194.pdf</t>
  </si>
  <si>
    <t>https://www.kcairfiltertech.com/bbs/content.php?co_id=304_1</t>
  </si>
  <si>
    <t>BAG CAGE_20231227083042476.JPG</t>
  </si>
  <si>
    <t>2023-12-28 13:12:37</t>
  </si>
  <si>
    <t xml:space="preserve">MRO e-Caltalog시스템 경유건으로 대체 Motor미 발굴건, 기 설치된 설비의 호환성을 위해 특정 사양으로 등록건 확인 후 승인,_x000D_
</t>
  </si>
  <si>
    <t>Q4622663</t>
  </si>
  <si>
    <t>[MAKER DWG NO:CFK-MF-20231129-04/CLEAN FILTER]x610Wx610Lx45T,GLASS+SYNTHETIC,FRAME:STS,SAFETY FILTER CGS71-F7, MAKER DWG NO:CFK-MF-20231129-04</t>
  </si>
  <si>
    <t>MAKER DWG NO:CFK-MF-20231129-04</t>
  </si>
  <si>
    <t>SAFETY FILTER CGS71-F7, MAKER DWG NO:CFK-MF-20231129-04</t>
  </si>
  <si>
    <t>CFK-MF-45 (4)_20231214063554481.pdf</t>
  </si>
  <si>
    <t>1701403642253_20231214063554557.jpg</t>
  </si>
  <si>
    <t>2023-12-14 09:12:05</t>
  </si>
  <si>
    <t>Q4622712</t>
  </si>
  <si>
    <t>HYDRAULIC,[SLN-EL-1012-100W/SHC],ID105x150Wx280L,100mesh,STAINLESS STEEL,5kg/cm2,FOR 1EGL LUB' PUMP LINE FILTER,OR EQUIVALENT</t>
  </si>
  <si>
    <t>SLN-EL-1012-100W</t>
  </si>
  <si>
    <t>FOR 1EGL LUB' PUMP LINE FILTER</t>
  </si>
  <si>
    <t>SLN-EL-1012-100W(상세설명)_20231212085132633.jpg</t>
  </si>
  <si>
    <t>SLN-EL-1012-100W_20231212085132705.jpg</t>
  </si>
  <si>
    <t>2023-12-14 11:12:26</t>
  </si>
  <si>
    <t>Q4622902</t>
  </si>
  <si>
    <t>[DWG NO:CFK-MF-20231129-01/CLEAN FILTER]x492Wx492Lx45T,GLASS+SYNTHETIC,FRAME:STS,SAFETY FILTER CGS50-F7</t>
  </si>
  <si>
    <t>DWG NO:CFK-MF-20231129-01</t>
  </si>
  <si>
    <t>SAFETY FILTER CGS50-F7</t>
  </si>
  <si>
    <t>CFK-MF-45 (1)_20231214085025657.pdf</t>
  </si>
  <si>
    <t>1701403642253_20231214085025724.jpg</t>
  </si>
  <si>
    <t>2023-12-15 10:12:58</t>
  </si>
  <si>
    <t>Q4622903</t>
  </si>
  <si>
    <t>[DWG NO:CFK-MF-20231129-02/CLEAN FILTER]x492Wx492Lx45T,GLASS+SYNTHETIC,FRAME:STS,SAFETY FILTER CGS50-M5</t>
  </si>
  <si>
    <t>DWG NO:CFK-MF-20231129-02</t>
  </si>
  <si>
    <t>SAFETY FILTER CGS50-M5</t>
  </si>
  <si>
    <t>CFK-MF-45 (2)_20231214085202994.pdf</t>
  </si>
  <si>
    <t>1701403642306_20231214085203052.jpg</t>
  </si>
  <si>
    <t>2023-12-15 10:12:30</t>
  </si>
  <si>
    <t>Q4622914</t>
  </si>
  <si>
    <t>[DWG NO:CFK-MF-20231129-03/CLEAN FILTER]x492Wx492Lx45T,NONWOVEN,FRAME:STS,SAFETY FILTER CGS50-G3</t>
  </si>
  <si>
    <t>DWG NO:CFK-MF-20231129-03</t>
  </si>
  <si>
    <t>SAFETY FILTER CGS50-G3</t>
  </si>
  <si>
    <t>CFK-MF-45 (3)_20231214085303573.pdf</t>
  </si>
  <si>
    <t>1701403642366_20231214085303635.jpg</t>
  </si>
  <si>
    <t>2023-12-15 11:12:50</t>
  </si>
  <si>
    <t>Q4623081</t>
  </si>
  <si>
    <t>[BAG FILTER,ROUND BAG(200DX2240LX20W)/EPIT]xOD200x2240Lx20W_PE(POLYESTER)_ANTI STATIC,WATER REPELLENT,SNAP RING WITH BOTTOM CUFFS,FOR 3CC SCARFE GRINDER BAG FILTER,OR EQUIVALENT</t>
  </si>
  <si>
    <t>BAG FILTER,ROUND BAG(200DX2240LX20W)</t>
  </si>
  <si>
    <t>EPIT</t>
  </si>
  <si>
    <t>ANTI STATIC,WATER REPELLENT,SNAP RING WITH BOTTOM CUFFS</t>
  </si>
  <si>
    <t>FOR 3CC SCARFE GRINDER BAG FILTER</t>
  </si>
  <si>
    <t>http://www.epit.co.kr/_commonBase/board.php?bo_table=archive&amp;wr_id=13</t>
  </si>
  <si>
    <t>3CC Scarfe Grinder Bag Filter_20231213081719221.png</t>
  </si>
  <si>
    <t>장기주</t>
  </si>
  <si>
    <t>cabinjgj@posco.co.kr</t>
  </si>
  <si>
    <t>2023-12-18 10:12:41</t>
  </si>
  <si>
    <t>Q4623162</t>
  </si>
  <si>
    <t>[DBPW150-1400/DONGBANG PLANTECH]_ID100xOD200x500L_STS304_CARTRIDGE TYPE, MESH FILTER, MAKER DWG NO:DBPW150-1400</t>
  </si>
  <si>
    <t>DBPW150-1400</t>
  </si>
  <si>
    <t>DONGBANG PLANTECH</t>
  </si>
  <si>
    <t>CARTRIDGE TYPE, MESH FILTER, MAKER DWG NO:DBPW150-1400</t>
  </si>
  <si>
    <t>DBVP-150 포스코퓨처엠CARTRIDGE FILTER(23.11.24) Model (1)_20231218084223392.pdf</t>
  </si>
  <si>
    <t>http://dbvacuum.co.kr/06_sub/03_sub.html</t>
  </si>
  <si>
    <t>진공펌프 필터_20231218084223460.jpg</t>
  </si>
  <si>
    <t>2023-12-18 16:12:20</t>
  </si>
  <si>
    <t>Q4623229</t>
  </si>
  <si>
    <t>[DWG NO:CFK-MF-20231129-06/CLEAN FILTER]x610Wx610Lx45T,NONWOVEN,FRAME:STS,SAFETY FILTER CGS71-G3, MAKER DWG NO:CFK-MF-20231129-06</t>
  </si>
  <si>
    <t>DWG NO:CFK-MF-20231129-06</t>
  </si>
  <si>
    <t>SAFETY FILTER CGS71-G3, MAKER DWG NO:CFK-MF-20231129-06</t>
  </si>
  <si>
    <t>CFK-MF-45 (6)_20231218072702106.pdf</t>
  </si>
  <si>
    <t>1701403642366_20231218072702193.jpg</t>
  </si>
  <si>
    <t>2023-12-19 09:12:04</t>
  </si>
  <si>
    <t>Q4623232</t>
  </si>
  <si>
    <t>[R191721200(DWG NO:R191721200, POS.170~310)/EIRICH],DWG NO:R191721200, POS.170~310,FOR B-1,2 MIXER AIR UNIT</t>
  </si>
  <si>
    <t>R191721200(DWG NO:R191721200, POS.170~310)</t>
  </si>
  <si>
    <t>EIRICH</t>
  </si>
  <si>
    <t>DWG NO:R191721200, POS.170~310</t>
  </si>
  <si>
    <t>FOR B-1,2 MIXER AIR UNIT</t>
  </si>
  <si>
    <t>22_20231219093935980.png</t>
  </si>
  <si>
    <t>https://www.eirich.com/en/</t>
  </si>
  <si>
    <t>1_20231215081026543.PNG</t>
  </si>
  <si>
    <t>2023-12-19 09:12:32</t>
  </si>
  <si>
    <t>MRO e-Caltalog시스템 경유건으로 대체품 미 발굴건, 기 설치된 Mixer에 사용되는 Air Unit Set품 의 호환성을 위해 특정 사양으로 등록건 확인 후 승인,</t>
  </si>
  <si>
    <t>Q4623305</t>
  </si>
  <si>
    <t>[DSF 331.10VG.16.E.V.-.FS.7.-.-.AOR.1,5/INTERNORMEN]xOD100x260Wx555L_MICRO GLASS,16bar,OIL_WITH ASSEMBLY_FOR K3CCP AIR COMPRESSOR LUBRICATION FILTER,OR EQUIVALENT</t>
  </si>
  <si>
    <t>DSF 331.10VG.16.E.V.-.FS.7.-.-.AOR.1,5</t>
  </si>
  <si>
    <t>INTERNORMEN</t>
  </si>
  <si>
    <t>WITH ASSEMBLY</t>
  </si>
  <si>
    <t>FOR K3CCP AIR COMPRESSOR LUBRICATION FILTER</t>
  </si>
  <si>
    <t>필터 Assy DSF 331 카달로그_20231219080706140.pdf</t>
  </si>
  <si>
    <t>http://www.hanksystem.co.kr/default/02/inter.php?com_board_basic=read_form&amp;com_board_idx=13&amp;&amp;com_board_search_code=&amp;com_board_search_value1=&amp;com_board_search_value2=&amp;com_board_page=&amp;&amp;com_board_id=20&amp;&amp;com_board_id=20</t>
  </si>
  <si>
    <t>DSF 331 완_20240108134347092.jpg</t>
  </si>
  <si>
    <t>김완</t>
  </si>
  <si>
    <t>singreen1004@posco.co.kr</t>
  </si>
  <si>
    <t>2024-01-11 09:01:34</t>
  </si>
  <si>
    <t>결재 및 사양검증자료 확인후 승인합니다.</t>
  </si>
  <si>
    <t>Q4624094</t>
  </si>
  <si>
    <t>[25A-AMD650-10B/SMC],RC 1</t>
  </si>
  <si>
    <t>25A-AMD650-10B</t>
  </si>
  <si>
    <t>RC 1</t>
  </si>
  <si>
    <t>25A-AMD650-10B 카탈로그_20231215081300860.JPG</t>
  </si>
  <si>
    <t>25A-AMD650-10B 이미지_20231215081300919.JPG</t>
  </si>
  <si>
    <t>2023-12-27 09:12:03</t>
  </si>
  <si>
    <t xml:space="preserve">MRO e-Caltalog시스템 경유건으로 대체 Maker미 발굴건, 기 설치된 부품의 호환성을 위해 특정 사양으로 등록건 확인 후 승인,_x000D_
</t>
  </si>
  <si>
    <t>Q4624095</t>
  </si>
  <si>
    <t>[25A-AFF22C-10B/SMC],RC 1</t>
  </si>
  <si>
    <t>25A-AFF22C-10B</t>
  </si>
  <si>
    <t>25A-AF22C-10B 카탈로그_20231215081957683.JPG</t>
  </si>
  <si>
    <t>25A-AF22C-10B 이미지_20231215081957740.JPG</t>
  </si>
  <si>
    <t>2023-12-27 09:12:30</t>
  </si>
  <si>
    <t>Q4624097</t>
  </si>
  <si>
    <t>[25A-AM850-20B/SMC],RC 2</t>
  </si>
  <si>
    <t>25A-AM850-20B</t>
  </si>
  <si>
    <t>RC 2</t>
  </si>
  <si>
    <t>25A-AM850-20B 카탈로그_20231215081151953.JPG</t>
  </si>
  <si>
    <t>25A-AM850-20B 이미지_20231215081152014.JPG</t>
  </si>
  <si>
    <t>2023-12-27 09:12:01</t>
  </si>
  <si>
    <t>Q4624098</t>
  </si>
  <si>
    <t>[25A-AM650-10B/SMC],RC 1</t>
  </si>
  <si>
    <t>25A-AM650-10B</t>
  </si>
  <si>
    <t>25A-AM650-10B 카탈로그_20231215081403304.JPG</t>
  </si>
  <si>
    <t>25A-AM650-10B 이미지_20231215081403364.JPG</t>
  </si>
  <si>
    <t>2023-12-27 09:12:27</t>
  </si>
  <si>
    <t>Q4624099</t>
  </si>
  <si>
    <t>[25A-AMD850-20B/SMC],RC 2</t>
  </si>
  <si>
    <t>25A-AMD850-20B</t>
  </si>
  <si>
    <t>25A-AMD850-20B 카탈로그_20231215081707310.JPG</t>
  </si>
  <si>
    <t>25A-AMD850-20B 이미지_20231215081707367.JPG</t>
  </si>
  <si>
    <t>2023-12-27 09:12:46</t>
  </si>
  <si>
    <t>Q4624101</t>
  </si>
  <si>
    <t>WATER,[MF-PA-010-03-1PE/MICROFILTER]_28Dx69Dx762L_1micron_POLYPROPYLENE_4.2bar</t>
  </si>
  <si>
    <t>MF-PA-010-03-1PE</t>
  </si>
  <si>
    <t>MICROFILTER</t>
  </si>
  <si>
    <t>MF-PA-010-03-1PE_2D_20231219084845858.pdf</t>
  </si>
  <si>
    <t>http://fluux.co.kr/70</t>
  </si>
  <si>
    <t>MF 필터 이미지_20231219084845899.JPG</t>
  </si>
  <si>
    <t>2023-12-27 09:12:43</t>
  </si>
  <si>
    <t>Q4624102</t>
  </si>
  <si>
    <t>[25A-AFF75B-20B/SMC],RC 2</t>
  </si>
  <si>
    <t>25A-AFF75B-20B</t>
  </si>
  <si>
    <t>25A-AFF75B-20B 카탈로그_20231215081242651.JPG</t>
  </si>
  <si>
    <t>25A-AFF75B-20B 이미지_20231215081242712.JPG</t>
  </si>
  <si>
    <t>2023-12-27 09:12:16</t>
  </si>
  <si>
    <t>Q4624103</t>
  </si>
  <si>
    <t>WATER,[MF-PA-030-03-1PE/MICROFILTER]_28Dx69Dx762L_3micron_POLYPROPYLENE_4.2bar</t>
  </si>
  <si>
    <t>MF-PA-030-03-1PE</t>
  </si>
  <si>
    <t>마이크로필터 메일 답변_20231219084936912.pdf</t>
  </si>
  <si>
    <t>MF 필터 이미지_20231219084937050.JPG</t>
  </si>
  <si>
    <t>2023-12-27 09:12:35</t>
  </si>
  <si>
    <t xml:space="preserve">MRO e-Caltalog시스템 경유건으로 대체 Maker미 발굴건, 기 설치된 필터의 호환성을 위해 특정 사양으로 등록건 확인 후 승인,_x000D_
</t>
  </si>
  <si>
    <t>Q4624104</t>
  </si>
  <si>
    <t>WATER,[MF-DN-100-03-1/MICROFILTER]_30Dx63Dx750L_10micron_POLYPROPYLENE_1.2bar</t>
  </si>
  <si>
    <t>MF-DN-100-03-1</t>
  </si>
  <si>
    <t>MF-DN-100-03-1_2D_20231219084542777.pdf</t>
  </si>
  <si>
    <t>MFDN필터_20231219084542821.JPG</t>
  </si>
  <si>
    <t>2023-12-27 09:12:06</t>
  </si>
  <si>
    <t>Q4624442</t>
  </si>
  <si>
    <t>[FS03/HYDRO-TEK]_ID20xOD62x157L_100mesh_STAINLESS STEEL MESH,STAINLESS STEEL MESH_1.2.3.4COKE   COAL BIN  PUMP SUCTION FILTE,OR EQUIVALENT</t>
  </si>
  <si>
    <t>FS03</t>
  </si>
  <si>
    <t>HYDRO-TEK</t>
  </si>
  <si>
    <t xml:space="preserve"> 1.2.3.4COKE   COAL BIN  PUMP SUCTION FILTE</t>
  </si>
  <si>
    <t>FS3_20231221094351778.PNG</t>
  </si>
  <si>
    <t>https://kr.hydro-tek.com/HydraulicUnit/?q=YToxOntzOjEyOiJrZXl3b3JkX3R5cGUiO3M6MzoiYWxsIjt9&amp;bmode=view&amp;idx=14123400&amp;t=board</t>
  </si>
  <si>
    <t>FS-03_20231219161122038.PNG</t>
  </si>
  <si>
    <t>김종규</t>
  </si>
  <si>
    <t>kjg7165@posco.co.kr</t>
  </si>
  <si>
    <t>2024-01-02 09:01:55</t>
  </si>
  <si>
    <t xml:space="preserve">MRO e-Caltalog시스템 경유건으로 대체 Maker 미 발굴건, 기 설치된 필터의 호환성을 위해 특정 사양으로 등록건 확인 후 승인, _x000D_
추후 신청시 결재내용의 "(11)특허등록 번호(해당시):" 해당없음으로 표기 부탁드립니다. 감사합니다. _x000D_
</t>
  </si>
  <si>
    <t>Q4624739</t>
  </si>
  <si>
    <t>HYDRAULIC,[PSH-10-B-F10-R/ATOS],12micron,INORGANIC MICROFIBRE,21bar</t>
  </si>
  <si>
    <t>PSH-10-B-F10-R</t>
  </si>
  <si>
    <t>ATOS</t>
  </si>
  <si>
    <t>PTK 유압 푸셔 필터 Line Filter Element(PSH 10 B F10 R)_20231228082747552.pdf</t>
  </si>
  <si>
    <t>https://www.atos.com/en-it/</t>
  </si>
  <si>
    <t>PSH 10 B F10 02 R W10_20231226110501763.JPG</t>
  </si>
  <si>
    <t>육태건</t>
  </si>
  <si>
    <t>xorjs112@poscofuturem.com</t>
  </si>
  <si>
    <t>김봉수</t>
  </si>
  <si>
    <t>kbs1113@poscofuturem.com</t>
  </si>
  <si>
    <t>2024-01-04 08:01:36</t>
  </si>
  <si>
    <t>Q4624740</t>
  </si>
  <si>
    <t>HYDRAULIC,[PRS-20-B-F25/ATOS],27micron,INORGANIC MICROFIBRE</t>
  </si>
  <si>
    <t>PRS-20-B-F25</t>
  </si>
  <si>
    <t>PTK 유압 푸셔 필터 Return Filter Element(PRS 20 B F25)_20240102080511300.pdf</t>
  </si>
  <si>
    <t>PRS 20 B F25_20240102080511434.JPG</t>
  </si>
  <si>
    <t>2024-01-04 08:01:54</t>
  </si>
  <si>
    <t xml:space="preserve">MRO e-Caltalog시스템 경유건으로 대체 Maker 미 발굴건, 기 설치된 필터의 호환성을 위해 특정 사양으로 등록건 확인 후 승인, </t>
  </si>
  <si>
    <t>Q4624839</t>
  </si>
  <si>
    <t>PE,[PE-47L-10/JOMESA]_0Dx47Dx0Lx0Wx0.3T_10micron_1bar</t>
  </si>
  <si>
    <t>PE-47L-10</t>
  </si>
  <si>
    <t>jomesa_20240104080553702.pdf</t>
  </si>
  <si>
    <t>https://www.jomesa.com/korean/jomesa_products.html</t>
  </si>
  <si>
    <t>jomesa_20240104080553818.JPG</t>
  </si>
  <si>
    <t>박경현</t>
  </si>
  <si>
    <t>hancock@poscomobility.com</t>
  </si>
  <si>
    <t>2024-01-04 16:01:13</t>
  </si>
  <si>
    <t xml:space="preserve">MRO e-Caltalog시스템 경유건으로 대체 Maker 미 발굴건, 기 설치된 Filter의 호환성을 위해 특정 사양으로 등록건 확인 후 승인, </t>
  </si>
  <si>
    <t>Q4625161</t>
  </si>
  <si>
    <t>GAS,[3220(P/N:014.0095.001)/GIULIANI ANELLO]+FILTER'S COVER GASKET OF FILTER MODEL:70631F/6B,5micron,6bar,FOR LF PREHEATING-GAS STATION STAND,NG</t>
  </si>
  <si>
    <t>3220(P/N:014.0095.001)</t>
  </si>
  <si>
    <t xml:space="preserve">GIULIANI ANELLO </t>
  </si>
  <si>
    <t>FILTER'S COVER GASKET OF FILTER MODEL:70631F/6B</t>
  </si>
  <si>
    <t>FOR LF PREHEATING-GAS STATION STAND</t>
  </si>
  <si>
    <t>NG</t>
  </si>
  <si>
    <t>Filter Element_70600F 6B DN50_20240105160158568.pdf</t>
  </si>
  <si>
    <t>70631F6B_20240108165800830.jpg</t>
  </si>
  <si>
    <t>2024-01-08 16:01:42</t>
  </si>
  <si>
    <t xml:space="preserve">사양검증자료 확인 후 승인합니다. 향후에는 이미지 파일은 물품의 이미지를 붙임해주시기 바랍니다. </t>
  </si>
  <si>
    <t>Q4625186</t>
  </si>
  <si>
    <t>ALUMINIUM,[70631F/6B(P/N:007.0051.100)/GIULIANI ANELLO]+DN50 PN16 ,TEMP.(-20~+80)DEG.Cx230Lx165W,50 MICRON,5micron_FOR LF LADLE PREHEATER-GAS STATION STAND,GAS</t>
  </si>
  <si>
    <t>70631F/6B(P/N:007.0051.100)</t>
  </si>
  <si>
    <t>GIULIANI ANELLO</t>
  </si>
  <si>
    <t>DN50 PN16 ,TEMP.(-20~+80)DEG.C</t>
  </si>
  <si>
    <t>FOR LF LADLE PREHEATER-GAS STATION STAND</t>
  </si>
  <si>
    <t>GAS</t>
  </si>
  <si>
    <t>70600F 6B DN50_20240105154015778.pdf</t>
  </si>
  <si>
    <t>IMG_20210507_102558_20240105155629900.jpg</t>
  </si>
  <si>
    <t>2024-01-09 08:01:18</t>
  </si>
  <si>
    <t>Q4625257</t>
  </si>
  <si>
    <t>[DUPLEX-7208 32A/SHC]_ID32xOD32x380Wx490Lx195T_FOR K2SMP ROOF BAG FILTER FAN BEARING FILTERING</t>
  </si>
  <si>
    <t>DUPLEX-7208 32A</t>
  </si>
  <si>
    <t>FOR K2SMP ROOF BAG FILTER FAN BEARING FILTERING</t>
  </si>
  <si>
    <t>캡처_20240109080016351.png</t>
  </si>
  <si>
    <t>황정환</t>
  </si>
  <si>
    <t>hgj1477@posco.co.kr</t>
  </si>
  <si>
    <t>2024-01-09 14:01:07</t>
  </si>
  <si>
    <t>Q4625347</t>
  </si>
  <si>
    <t>[RF3-33S-A9-NME1-N5-1-0-3/KS100-3/HYDAC]_670Dx1020Dx2198L_100micron_STAINLESS STEEL_16bar,OR EQUIVALENT</t>
  </si>
  <si>
    <t>RF3-33S-A9-NME1-N5-1-0-3/KS100-3</t>
  </si>
  <si>
    <t>AUTO FILTER_RF3_신형카탈로그_20230906163746905.pdf</t>
  </si>
  <si>
    <t>https://www.hydac.com/shop/ko-kr/catalogsearch/result?q=RF3</t>
  </si>
  <si>
    <t>123_20230906163713729.png</t>
  </si>
  <si>
    <t>김량균</t>
  </si>
  <si>
    <t>이민환</t>
  </si>
  <si>
    <t>lmh3496@posco.co.kr</t>
  </si>
  <si>
    <t>2024-01-10 08:01:50</t>
  </si>
  <si>
    <t xml:space="preserve">MRO e-Caltalog시스템 경유건으로 대체 Maker 미 발굴건, 기 설치된 냉각수 filter의 호환성을 위해 특정 사양으로 등록건 확인 후 승인, </t>
  </si>
  <si>
    <t>Q4625578</t>
  </si>
  <si>
    <t>[HH8370F48XBPHMYC07/PALL]x821Wx2365L,28bar_RETURN FILTER,OR EQUIVALENT</t>
  </si>
  <si>
    <t>HH8370F48XBPHMYC07</t>
  </si>
  <si>
    <t>HH8370F48XBPHMYC07_20240102151038107.pdf</t>
  </si>
  <si>
    <t>HH8370F48XBPHMYC07-1_20240102150940887.jpg</t>
  </si>
  <si>
    <t>이재홍</t>
  </si>
  <si>
    <t>houg119@posco.co.kr</t>
  </si>
  <si>
    <t>2024-01-11 09:01:41</t>
  </si>
  <si>
    <t xml:space="preserve">MRO e-Caltalog시스템 경유건으로 대체 Maker 미 발굴건, 기 설치된 Hydraulic Filter의 호환성을 위해 특정 사양으로 등록건 확인 후 승인, _x000D_
</t>
  </si>
  <si>
    <t>Q4626200</t>
  </si>
  <si>
    <t>FILTER PRESS ACCESSORY,[DWG NO:TSE20230824-POCAM001(I/N:8)/TSE],CASTING,FILTERATE NOZZLE, DWG NO:TSE20230824-POCAM001</t>
  </si>
  <si>
    <t>DWG NO:TSE20230824-POCAM001(I/N:8)</t>
  </si>
  <si>
    <t>FILTERATE NOZZLE, DWG NO:TSE20230824-POCAM001</t>
  </si>
  <si>
    <t>filterpress-여과판_0900bf4ba4dff313_usr1100bf4b8018a7d5-모형_20240110173638969_20240116152002267.pdf</t>
  </si>
  <si>
    <t>여과판_20240110173627684_20240116152002049.JPG</t>
  </si>
  <si>
    <t>2024-01-17 11:01:11</t>
  </si>
  <si>
    <t>Q4626203</t>
  </si>
  <si>
    <t>Machining(General)</t>
  </si>
  <si>
    <t>FILTER PRESS ACCESSORY,[DWG NO:TSE20230824-POCAM001(I/N:9)/TSE],1.5S LONG,STS304,PRESSING WATER NOZZLE, DWG NO:TSE20230824-POCAM001</t>
  </si>
  <si>
    <t>DWG NO:TSE20230824-POCAM001(I/N:9)</t>
  </si>
  <si>
    <t>PRESSING WATER NOZZLE, DWG NO:TSE20230824-POCAM001</t>
  </si>
  <si>
    <t>filterpress-여과판_0900bf4ba4dff313_usr1100bf4b8018a7d5-모형_20240110173500344_20240116152000861.pdf</t>
  </si>
  <si>
    <t>여과판_20240110173449663_20240116152000676.JPG</t>
  </si>
  <si>
    <t>2024-01-17 11:01:36</t>
  </si>
  <si>
    <t>Q4626204</t>
  </si>
  <si>
    <t>FILTER PRESS ACCESSORY,[DWG NO:TSE20230824-POCAM001(I/N:14)/TSE],STS304+BLADE P.P,FILTER CLOTH SCRAPPER, DWG NO:TSE20230824-POCAM001</t>
  </si>
  <si>
    <t>DWG NO:TSE20230824-POCAM001(I/N:14)</t>
  </si>
  <si>
    <t>FILTER CLOTH SCRAPPER, DWG NO:TSE20230824-POCAM001</t>
  </si>
  <si>
    <t>filterpress-여과판_0900bf4ba4dff313_usr1100bf4b8018a7d5-모형_20240110173237941_20240116152001705.pdf</t>
  </si>
  <si>
    <t>여과판_20240110173215813_20240116152001548.JPG</t>
  </si>
  <si>
    <t>2024-01-17 11:01:08</t>
  </si>
  <si>
    <t>Q4626223</t>
  </si>
  <si>
    <t>FILTER PRESS ACCESSORY,[DWG NO:TSE20230824-POCAM001(I/N:29)/TSE],STS304,LINK PLATE, DWG NO:TSE20230824-POCAM001</t>
  </si>
  <si>
    <t>DWG NO:TSE20230824-POCAM001(I/N:29)</t>
  </si>
  <si>
    <t>LINK PLATE, DWG NO:TSE20230824-POCAM001</t>
  </si>
  <si>
    <t>linkplateandwasher1_20240111082346467_20240116153001773.pdf</t>
  </si>
  <si>
    <t>plateandwasher_20240111082418241_20240116153001648.JPG</t>
  </si>
  <si>
    <t>2024-01-17 14:01:45</t>
  </si>
  <si>
    <t>Q4626224</t>
  </si>
  <si>
    <t>FILTER PRESS ACCESSORY,[DWG NO:TSE20230824-POCAM001(I/N:6)/TSE],CASTING,INSERT NOZZLE, DWG NO:TSE20230824-POCAM001</t>
  </si>
  <si>
    <t>DWG NO:TSE20230824-POCAM001(I/N:6)</t>
  </si>
  <si>
    <t>INSERT NOZZLE, DWG NO:TSE20230824-POCAM001</t>
  </si>
  <si>
    <t>filterpress-여과판_0900bf4ba4dff313_usr1100bf4b8018a7d5-모형_20240110172442596_20240116152002684.pdf</t>
  </si>
  <si>
    <t>여과판_20240110172410458_20240116152002540.JPG</t>
  </si>
  <si>
    <t>2024-01-17 14:01:16</t>
  </si>
  <si>
    <t>Q4626225</t>
  </si>
  <si>
    <t>FILTER PRESS ACCESSORY,[DWG NO:TSE20230824-POCAM001(I/N:20)/TSE],150PI X1809L,STS304+PVC,AUXILIARY DRIVE ROLLER, DWG NO:TSE20230824-POCAM001</t>
  </si>
  <si>
    <t>DWG NO:TSE20230824-POCAM001(I/N:20)</t>
  </si>
  <si>
    <t>AUXILIARY DRIVE ROLLER, DWG NO:TSE20230824-POCAM001</t>
  </si>
  <si>
    <t>filterpress-여과판_0900bf4ba4dff313_usr1100bf4b8018a7d5-모형_20240110173046621_20240116152001289.pdf</t>
  </si>
  <si>
    <t>여과판_20240110173034021_20240116152001130.JPG</t>
  </si>
  <si>
    <t>2024-01-17 14:01:43</t>
  </si>
  <si>
    <t>Q4626226</t>
  </si>
  <si>
    <t>FILTER PRESS ACCESSORY,P.P/P.E/SBR/STS304,[DWG NO:TSE20230824-POCAM001(I/N:1,2,3,4,5)/TSE],DWG NO:TSE20230824-POCAM001</t>
  </si>
  <si>
    <t>DWG NO:TSE20230824-POCAM001(I/N:1,2,3,4,5)</t>
  </si>
  <si>
    <t>filterpress-여과판_0900bf4ba4dff313_usr1100bf4b8018a7d5-모형_20240110171548942_20240116152000404.pdf</t>
  </si>
  <si>
    <t>여과판_20240110171409430_20240116152000180.JPG</t>
  </si>
  <si>
    <t>2024-01-17 14:01:41</t>
  </si>
  <si>
    <t>Q4626227</t>
  </si>
  <si>
    <t>FILTER PRESS ACCESSORY,[DWG NO:TSE20230824-POCAM001(I/N:7)/TSE],CASTING,SLURRY NOZZLE, DWG NO:TSE20230824-POCAM001</t>
  </si>
  <si>
    <t>DWG NO:TSE20230824-POCAM001(I/N:7)</t>
  </si>
  <si>
    <t>SLURRY NOZZLE, DWG NO:TSE20230824-POCAM001</t>
  </si>
  <si>
    <t>filterpress-여과판_0900bf4ba4dff313_usr1100bf4b8018a7d5-모형_20240110173720516_20240116153002340.pdf</t>
  </si>
  <si>
    <t>여과판_20240110173709901_20240116153002204.JPG</t>
  </si>
  <si>
    <t>2024-01-17 14:01:04</t>
  </si>
  <si>
    <t>Q4626645</t>
  </si>
  <si>
    <t>HYDRAULIC,[HP0503A10ANP01/MP FILTRI],10micron,INORGANIC MICIROFIBRE,FOR CPC VALVE STAND SPM</t>
  </si>
  <si>
    <t>HP0503A10ANP01</t>
  </si>
  <si>
    <t>FOR CPC VALVE STAND SPM</t>
  </si>
  <si>
    <t>filter CPC_20240105115619983.pdf</t>
  </si>
  <si>
    <t>SH93133_20240105120039887.jpg</t>
  </si>
  <si>
    <t>2024-01-22 08:01:25</t>
  </si>
  <si>
    <t>Q4626713</t>
  </si>
  <si>
    <t>ELECTRONIC[NAP-10-472-D/COSEL],AC 1PHASE,VAC250V,10A,FOR 3ZRM SPEEDMETER,OR EQUIVALENT</t>
  </si>
  <si>
    <t>NAP-10-472-D</t>
  </si>
  <si>
    <t>COSEL</t>
  </si>
  <si>
    <t>FOR 3ZRM SPEEDMETER</t>
  </si>
  <si>
    <t>https://www.cosel.co.jp/ko2018/products/sub06-3.html</t>
  </si>
  <si>
    <t>NAP-10-472-D_20240118095455037_20240118135000157.png</t>
  </si>
  <si>
    <t>강병주</t>
  </si>
  <si>
    <t>vink3237@posco.co.kr</t>
  </si>
  <si>
    <t>2024-01-22 13:01:39</t>
  </si>
  <si>
    <t>Q4627342</t>
  </si>
  <si>
    <t>AIR,[CARTRIDGE FILTER(162X2000L PE)/AERIX]xOD162x2000L,PE</t>
  </si>
  <si>
    <t>CARTRIDGE FILTER(162X2000L PE)</t>
  </si>
  <si>
    <t>1622000PECA1_20240116181109568_20240117102001767.JPG</t>
  </si>
  <si>
    <t>특정사양품실사_20240116181016603_20240117102000174.jpg</t>
  </si>
  <si>
    <t>특정사양품실사_20240116181016603_20240126092042060.jpg</t>
  </si>
  <si>
    <t>2024-01-26 14:01:40</t>
  </si>
  <si>
    <t xml:space="preserve">안녕하세요? 특정 사양품(단수) 등록관련 결재문서 첨부가 필수입니다. * 현재 11번 특허사항 누락_x000D_
방법 : POS-Appia Main화면 &gt; Help &gt; 공지사항 &gt; #308번 [필독] 특정사양품(단수) 부서장 승인서 양식 &gt; Attch 신규신청 사유 양식 참조하셔서 추후 반영 부탁드립니다. (양식과 다를시 정도 경영실 지적 사항입니다.) _x000D_
</t>
  </si>
  <si>
    <t>Q4627344</t>
  </si>
  <si>
    <t>AIR,[CARTRIDGE FILTER(162X2000L PE M)/AERIX]xOD162x2000L,PE(MEMBRANE COATING)</t>
  </si>
  <si>
    <t>CARTRIDGE FILTER(162X2000L PE M)</t>
  </si>
  <si>
    <t>1622000PEMCA1_20240116131501227_20240116153003770.JPG</t>
  </si>
  <si>
    <t>특정사양품실사_20240116113544323_20240116153003094.jpg</t>
  </si>
  <si>
    <t>특정사양품실사_20240116181016603_20240126092542033.jpg</t>
  </si>
  <si>
    <t>2024-01-26 14:01:44</t>
  </si>
  <si>
    <t>Q4627345</t>
  </si>
  <si>
    <t>AIR,[CARTRIDGE FILTER(PI162X1000L PE M)/AERIX]xOD162x1000L,PE(MEMBARNE COATING)</t>
  </si>
  <si>
    <t>CARTRIDGE FILTER(PI162X1000L PE M)</t>
  </si>
  <si>
    <t>1621000MCA1_20240115162229719_20240116153001308.JPG</t>
  </si>
  <si>
    <t>특정사양품실사_20240115160409641_20240116153000694.jpg</t>
  </si>
  <si>
    <t>특정사양품실사_20240116181016603_20240126093434595.jpg</t>
  </si>
  <si>
    <t>2024-01-26 14:01:18</t>
  </si>
  <si>
    <t>Q4627346</t>
  </si>
  <si>
    <t>AIR,[CARTRIDGE FILTER(165X800L PE M)/AERIX]xOD165x800L,PE(MEMBRANE COATING)</t>
  </si>
  <si>
    <t>CARTRIDGE FILTER(165X800L PE M)</t>
  </si>
  <si>
    <t>165800PEMCA2_20240116182717473_20240117102003291.JPG</t>
  </si>
  <si>
    <t>특정사양품실사_20240116182657335_20240117102002157.jpg</t>
  </si>
  <si>
    <t>특정사양품실사_20240116181016603_20240126093649160.jpg</t>
  </si>
  <si>
    <t>2024-01-26 14:01:32</t>
  </si>
  <si>
    <t>Q4627368</t>
  </si>
  <si>
    <t>[SA145G1L10AP01/MPFILTRI]_ID65xOD145x140L,1850 L/MIN,10micron_RESIN IMPRENATE PAPER_METAL AIR BREATHER FILTER-SA SERIES FOR OIL SUMP,AIR</t>
  </si>
  <si>
    <t>SA145G1L10AP01</t>
  </si>
  <si>
    <t>METAL AIR BREATHER FILTER-SA SERIES FOR OIL SUMP</t>
  </si>
  <si>
    <t>MP Filtri _Air Breather Filter_20240125154713455.pdf</t>
  </si>
  <si>
    <t>https://www.mpfiltri.com/</t>
  </si>
  <si>
    <t>Untitled_20240125160851280.png</t>
  </si>
  <si>
    <t>2024-01-26 15:01:43</t>
  </si>
  <si>
    <t>Q4561320등 유사품 검색 후 없음 확인후 승인</t>
  </si>
  <si>
    <t>Q4627514</t>
  </si>
  <si>
    <t>AIR,[A10L10P01/MPFILTRI],ID65xOD106x77L,10micron,RESIN IMPREGNATE PAPER,1850L/MIN,COVER:STEEL, CONNECT:GALVANIZED STEEL  FOR METAL AIR BREATHER FILTER SERIES SA</t>
  </si>
  <si>
    <t>A10L10P01</t>
  </si>
  <si>
    <t>COVER:STEEL, CONNECT:GALVANIZED STEEL  FOR METAL AIR BREATHER FILTER SERIES SA</t>
  </si>
  <si>
    <t>MP Filtri _Filter Element A10L10P01_20240125134113631.pdf</t>
  </si>
  <si>
    <t>SA 145 G1 L10 A-_20240125135648131.jpg</t>
  </si>
  <si>
    <t>2024-01-29 10:01:35</t>
  </si>
  <si>
    <t>유사사양 확인후 승인합니다.</t>
  </si>
  <si>
    <t>Q4627722</t>
  </si>
  <si>
    <t>HYDRAULIC,[EMA32NME/UFI]+INCLUDE OF NBR SEAL KIT P/N:521.0089.2,ID65.5xOD140x205L,60micron,STAINLESS WIRE MESH,7bar,600L/MIN.,FOR FTP MAIN FAN-OIL SUMP FEED/SUCTION FILTER</t>
  </si>
  <si>
    <t>EMA32NME</t>
  </si>
  <si>
    <t>UFI</t>
  </si>
  <si>
    <t>INCLUDE OF NBR SEAL KIT P/N:521.0089.2</t>
  </si>
  <si>
    <t>FOR FTP MAIN FAN-OIL SUMP FEED/SUCTION FILTER</t>
  </si>
  <si>
    <t>FMA_Ufi_Hyd_20240129180104484.pdf</t>
  </si>
  <si>
    <t>https://www.ufihyd.com/catalogue/</t>
  </si>
  <si>
    <t>200L (60 Micron)_20240129180216638.jpg</t>
  </si>
  <si>
    <t>UFI Filter Element 0622 (EMA32 NME)_20240129180310800.jpg</t>
  </si>
  <si>
    <t>2024-01-30 13:01:00</t>
  </si>
  <si>
    <t>유사 호환품 없음 확인 후 승인</t>
  </si>
  <si>
    <t>Q4627825</t>
  </si>
  <si>
    <t>[AP-01S-DE-29/KAIZER]_ID30xOD68x750L,0.1micron_POLYPROPYLENE/EPDM</t>
  </si>
  <si>
    <t>AP-01S-DE-29</t>
  </si>
  <si>
    <t>KAIZER</t>
  </si>
  <si>
    <t>FILTER_20240124164850949_20240129173000292.JPG</t>
  </si>
  <si>
    <t>https://www.kajikaintech.com/main/main.html</t>
  </si>
  <si>
    <t>FILTER_20240124164826559_20240129173000176.JPG</t>
  </si>
  <si>
    <t>2024-01-31 09:01:25</t>
  </si>
  <si>
    <t>MRO e-Caltalog시스템 경유건으로 대체 Maker 미 발굴건, 기 설치된 Cylinder의 호환성을 위해 특정 사양으로 등록건 확인,_x000D_
Q4068405등  유사사양 확인 후 일부 사이즈 상이로 승인</t>
  </si>
  <si>
    <t>Q4627864</t>
  </si>
  <si>
    <t>[VL-S-YS-G-800-12/AF HYDRO]_18Dx80L_SS316_800psi_Y-STRAINERS,BSPP, WEIGHT:0.38KG</t>
  </si>
  <si>
    <t>VL-S-YS-G-800-12</t>
  </si>
  <si>
    <t>AF HYDRO</t>
  </si>
  <si>
    <t>Y-STRAINERS,BSPP, WEIGHT:0.38KG</t>
  </si>
  <si>
    <t>Filter_AF Hydro_20240131105009881.pdf</t>
  </si>
  <si>
    <t>https://www.afhydro.com/</t>
  </si>
  <si>
    <t>Filter AF_20240131105504261.PNG</t>
  </si>
  <si>
    <t>2024-01-31 13:01:24</t>
  </si>
  <si>
    <t>Q4628197</t>
  </si>
  <si>
    <t>[DNE-50A-320SS(3UM)/DASAN],ID57.2xOD84x650L,3micron,STAINLESS STEEL,MAKER DWG NO:GA-Q2101-DNE50A-EL-01</t>
  </si>
  <si>
    <t>DNE-50A-320SS(3UM)</t>
  </si>
  <si>
    <t>DASAN</t>
  </si>
  <si>
    <t>MAKER DWG NO:GA-Q2101-DNE50A-EL-01</t>
  </si>
  <si>
    <t>㈜다산_DNE 50A-320SS GA_240118_20240129073738046.pdf</t>
  </si>
  <si>
    <t>http://dhy.co.kr/bizdemo69367/mp2/mp2_sub22.php?sub=22#menu3_de35</t>
  </si>
  <si>
    <t>필터 이미지_20240129073738132.JPG</t>
  </si>
  <si>
    <t>2024-02-05 10:02:56</t>
  </si>
  <si>
    <t>Q4628198</t>
  </si>
  <si>
    <t>[DNE-50A-310SS(1UM)/DASAN],ID57.2xOD84x650L,1micron,STAINLESS STEEL,MAKER DWG NO:GA-Q2101-DNE50A-EL-01</t>
  </si>
  <si>
    <t>DNE-50A-310SS(1UM)</t>
  </si>
  <si>
    <t>㈜다산_DNE 50A-310SS GA_240118_20240129073716193.pdf</t>
  </si>
  <si>
    <t>필터 이미지_20240129073716296.JPG</t>
  </si>
  <si>
    <t>2024-02-05 10:02:49</t>
  </si>
  <si>
    <t xml:space="preserve">MRO e-Caltalog시스템 경유건으로 대체 Maker 미 발굴건, 기 설치된 Air Filter의 호환성을 위해 특정 사양으로 등록건 확인,  _x000D_
유사사양 확인 후 승인_x000D_
</t>
  </si>
  <si>
    <t>Q4628383</t>
  </si>
  <si>
    <t>INVERTER[SIN-0390-6-0-P/DANFOSS]+SINE-FILT,AC 3PHASE,690V,390A,IP00</t>
  </si>
  <si>
    <t>SIN-0390-6-0-P</t>
  </si>
  <si>
    <t>DANFOSS</t>
  </si>
  <si>
    <t>SINE-FILT</t>
  </si>
  <si>
    <t>Danfos NXI Filter_20240131170816192.pdf</t>
  </si>
  <si>
    <t xml:space="preserve">https://store.danfoss.com/us/en_US/Drives/Filters-and-Braking-Options/VACON%C2%AE-Sine-Wave-Filter/SIN-0390-6-0-P%2CSINE-filt-390A-690V-IP00/p/141F1368 </t>
  </si>
  <si>
    <t>Capture_20240131171815035.PNG</t>
  </si>
  <si>
    <t>MUHAMAD ANDRI ARIFIN</t>
  </si>
  <si>
    <t>m.andriarifin@krakatauposco.co.id</t>
  </si>
  <si>
    <t>2024-02-06 08:02:20</t>
  </si>
  <si>
    <t>Q4585972등 유사사양 검토 확인후 승인</t>
  </si>
  <si>
    <t>Q4629231</t>
  </si>
  <si>
    <t>[A619-043/AIRMATIC],POLYCARBONATE,9kg/cm2</t>
  </si>
  <si>
    <t>A619-043</t>
  </si>
  <si>
    <t>AIRMATIC</t>
  </si>
  <si>
    <t>STD FILTER-REGULATOR_20240212182138806.pdf</t>
  </si>
  <si>
    <t>http://www.shah-pneumatics.com/Products/Airmatic/Filters%20Regulators%20Lubricators/Filters-Regulators%20Combination/STD%20FILTER-REGULATOR.pdf</t>
  </si>
  <si>
    <t>IMG20240212111654_20240212182216266.jpg</t>
  </si>
  <si>
    <t>2024-02-14 11:02:10</t>
  </si>
  <si>
    <t xml:space="preserve">Q2094475 등 유사물품 확인후 승인합니다. _x000D_
</t>
  </si>
  <si>
    <t>Q4629237</t>
  </si>
  <si>
    <t>[SB07/SHAVO],ZINC ALLOY DIE-CAST,0-7bar,ZINC ALLOY DIE-CAST</t>
  </si>
  <si>
    <t>SB07</t>
  </si>
  <si>
    <t>SHAVO</t>
  </si>
  <si>
    <t>ZINC ALLOY DIE-CAST</t>
  </si>
  <si>
    <t>SB07_20240212174352448.pdf</t>
  </si>
  <si>
    <t>https://www.shavoindia.com/pdfs/SB07.pdf</t>
  </si>
  <si>
    <t>IMG20240212111619_20240213132002899.jpg</t>
  </si>
  <si>
    <t>2024-02-14 11:02:23</t>
  </si>
  <si>
    <t>Q4629382</t>
  </si>
  <si>
    <t>AIR,[ARAMID BAGFILTER(M)/TAEYANG TEXTILE],ID133xOD138x4000L,ARAMID(MEMBARANE COATING)</t>
  </si>
  <si>
    <t>ARAMID BAGFILTER(M)</t>
  </si>
  <si>
    <t>TAEYANG TEXTILE</t>
  </si>
  <si>
    <t>TAE CA1_20240214102501552.JPG</t>
  </si>
  <si>
    <t>https://tytexx.com/dust_filter/</t>
  </si>
  <si>
    <t>아라미드 실사_20240214102501622.JPG</t>
  </si>
  <si>
    <t>아라미드 실사_20240214102501638.JPG</t>
  </si>
  <si>
    <t>2024-02-15 09:02:18</t>
  </si>
  <si>
    <t>Q4629699</t>
  </si>
  <si>
    <t>[WYFS10TD/WOONYOUNG],AC 1PHASE,250V,10A,FOR 3ZRM OSR PANEL</t>
  </si>
  <si>
    <t>WYFS10TD</t>
  </si>
  <si>
    <t>FOR 3ZRM OSR PANEL</t>
  </si>
  <si>
    <t>WYF-Noise_Filter_210712_20230308103611379_20230309134000937.pdf</t>
  </si>
  <si>
    <t>WYFS캡처_20230308103600588_20230309134000724.PNG</t>
  </si>
  <si>
    <t>2024-02-19 15:02:39</t>
  </si>
  <si>
    <t>Q4620868등 유사품 있으나, 형번이 달라 다른 물품으로 승인함</t>
  </si>
  <si>
    <t>Q4629796</t>
  </si>
  <si>
    <t>[VL-S-YS-G-800-16/AF HYDRO]_22Dx84L_SS316_800psi_Y-STRAINERS,BSPP, WEIGHT:0.55KG</t>
  </si>
  <si>
    <t>VL-S-YS-G-800-16</t>
  </si>
  <si>
    <t>Y-STRAINERS,BSPP, WEIGHT:0.55KG</t>
  </si>
  <si>
    <t>afhydro_threaded_end_ss316_y-strainers_20240220101018709.pdf</t>
  </si>
  <si>
    <t>AFhydro_20240220100312963.JPG</t>
  </si>
  <si>
    <t>2024-02-20 10:02:44</t>
  </si>
  <si>
    <t>Q4629849</t>
  </si>
  <si>
    <t>HYDRAULIC,[NIK-EJ103-001/NIRECO]xOD25x37L,10micron,MAKER DWG NO:AD6807.0-43P,OR EQUIVALENT</t>
  </si>
  <si>
    <t>NIK-EJ103-001</t>
  </si>
  <si>
    <t>NIRECO</t>
  </si>
  <si>
    <t>MAKER DWG NO:AD6807.0-43P</t>
  </si>
  <si>
    <t>C25X37 micro filter_20240123095820739.pdf</t>
  </si>
  <si>
    <t>http://www.nirecopk.com/?act=board&amp;bbs_code=plan&amp;bbs_mode=view&amp;bbs_seq=39</t>
  </si>
  <si>
    <t>Filter element_20240119175018266.png</t>
  </si>
  <si>
    <t>박성언</t>
  </si>
  <si>
    <t>separk20@posco.co.kr</t>
  </si>
  <si>
    <t>2024-02-20 16:02:43</t>
  </si>
  <si>
    <t>Q4629937</t>
  </si>
  <si>
    <t>[71417300 EXHAUST FILTER SV65B/LEYBOLD]_FOR SV 65B PUMP,OR EQUIVALENT</t>
  </si>
  <si>
    <t>71417300 EXHAUST FILTER SV65B</t>
  </si>
  <si>
    <t>LEYBOLD</t>
  </si>
  <si>
    <t>FOR SV 65B PUMP</t>
  </si>
  <si>
    <t>조립도 1 _20240111084005003.jpg</t>
  </si>
  <si>
    <t>https://www.vacuumpumpsupply.com/leybold-71417300-exhaust-filter-sv65b-sv100b/</t>
  </si>
  <si>
    <t>123123_20240111084005100.jpg</t>
  </si>
  <si>
    <t>박영진</t>
  </si>
  <si>
    <t>dreaming0120@posco.co.kr</t>
  </si>
  <si>
    <t>2024-02-21 15:02:12</t>
  </si>
  <si>
    <t>Q4630238</t>
  </si>
  <si>
    <t>Compressor acc</t>
  </si>
  <si>
    <t>[1619PB2034/BOSCH],FOR AIR VACUUM,OR EQUIVALENT</t>
  </si>
  <si>
    <t>1619PB2034</t>
  </si>
  <si>
    <t>BOSCH</t>
  </si>
  <si>
    <t xml:space="preserve">FOR AIR VACUUM </t>
  </si>
  <si>
    <t>https://www.boschtoolservice.com/kr/ko/bosch-pt/spareparts/-gas-18v-1-3601JC62B0</t>
  </si>
  <si>
    <t>Bosch_20240223080811636.jpg</t>
  </si>
  <si>
    <t>전병철</t>
  </si>
  <si>
    <t>(포항)STS압연부 조업안전섹션</t>
  </si>
  <si>
    <t>jbc1001@posco.co.kr</t>
  </si>
  <si>
    <t>(포항)STS압연부 1냉연공장</t>
  </si>
  <si>
    <t>dlghdud@posco.co.kr</t>
  </si>
  <si>
    <t>2024-02-26 08:02:36</t>
  </si>
  <si>
    <t xml:space="preserve">부품 번호 검색하여 확인하고, 중복사양 없어 승인합니다. </t>
  </si>
  <si>
    <t>Q4630534</t>
  </si>
  <si>
    <t>AIR,[B10-KAU601-10-S222/KCC],UNIT FILTER ELEMENT(1INCH)</t>
  </si>
  <si>
    <t>B10-KAU601-10-S222</t>
  </si>
  <si>
    <t>UNIT FILTER ELEMENT(1INCH)</t>
  </si>
  <si>
    <t>3단필터Element1Inch_20240207162121558_20240223153000847.JPG</t>
  </si>
  <si>
    <t>B10-KAFU401-04S_20230530102334553_20240227105026840.PNG</t>
  </si>
  <si>
    <t>2024-02-27 10:02:59</t>
  </si>
  <si>
    <t>** 추후 이미지 등록에는 실제 필터의 이미지를 등록 부탁드립니다. (도면 등록시 Rework사유임)</t>
  </si>
  <si>
    <t>Q4630536</t>
  </si>
  <si>
    <t>[UR310F4013ZA/PALL]x152.4Wx586.7L,41bar_1WRM BINDING M/C HYD ROOM,OR EQUIVALENT</t>
  </si>
  <si>
    <t>UR310F4013ZA</t>
  </si>
  <si>
    <t>1WRM BINDING M/C HYD ROOM</t>
  </si>
  <si>
    <t>MEUR310EN_20240215113702409.pdf</t>
  </si>
  <si>
    <t>https://shop.pall.com/us/en/industrial-manufacturing/general-industrial/medium-light-lubrication-2/zidijnbseuq?CategoryName=medium-light-lubrication-2&amp;CatalogID=industrial-manufacturing&amp;tracking=searchterm:ur310</t>
  </si>
  <si>
    <t>UR310-1_20240215114107439.jpg</t>
  </si>
  <si>
    <t>정휘준</t>
  </si>
  <si>
    <t>2024-02-27 10:02:02</t>
  </si>
  <si>
    <t>Q4630583</t>
  </si>
  <si>
    <t>ELECTRONIC[FN2010A-6-06/SCHAFFNER]+50HZ,AC 1PHASE,250VACV,6A,FOR STL SEPERATOR</t>
  </si>
  <si>
    <t>FN2010A-6-06</t>
  </si>
  <si>
    <t>SCHAFFNER</t>
  </si>
  <si>
    <t>50HZ</t>
  </si>
  <si>
    <t>FOR STL SEPERATOR</t>
  </si>
  <si>
    <t>Schaffner_datasheet_FN2010_20240223211739956.pdf</t>
  </si>
  <si>
    <t>https://www.digikey.com/en/products/detail/schaffner-emc-inc/FN2010A-6-06/1996919</t>
  </si>
  <si>
    <t>SCHAFFNER_20240223212720001.png</t>
  </si>
  <si>
    <t>2024-02-27 15:02:58</t>
  </si>
  <si>
    <t>Q4630655</t>
  </si>
  <si>
    <t>AIR,[B10-KAU301-03-S223/KCC]+UNIT FILTER ELEMENT (3/8INCH),5micron,MESH SIZE:1ST 5 MICRONS, 2ND 0.3 MICONS, 3RD ODRDE 0.01 MICRONS</t>
  </si>
  <si>
    <t xml:space="preserve">B10-KAU301-03-S223 </t>
  </si>
  <si>
    <t>UNIT FILTER ELEMENT (3/8INCH)</t>
  </si>
  <si>
    <t>MESH SIZE:1ST 5 MICRONS, 2ND 0.3 MICONS, 3RD ODRDE 0.01 MICRONS</t>
  </si>
  <si>
    <t>Filter Element B10-KAU301-03-S223 도면_20240227154104859.JPG</t>
  </si>
  <si>
    <t>https://www.kccpr.com/bbs/search.php?url=https://www.kccpr.com/bbs/search.php&amp;stx=KAU</t>
  </si>
  <si>
    <t>KAF4000_20240228092955220.JPG</t>
  </si>
  <si>
    <t>KAF_20240228092955239.JPG</t>
  </si>
  <si>
    <t>김민석</t>
  </si>
  <si>
    <t>alstjr0828@poscofuturem.com</t>
  </si>
  <si>
    <t>2024-02-28 09:02:46</t>
  </si>
  <si>
    <t>Q4630534등 유사품 검색후 사양이 달라 승인</t>
  </si>
  <si>
    <t>Q4630656</t>
  </si>
  <si>
    <t>HYDRAULIC,[HP0501A10ANP01/MP FILTRI],10mesh,INORGANIC MICIROFIBER</t>
  </si>
  <si>
    <t>HP0501A10ANP01</t>
  </si>
  <si>
    <t>FILTER_20240222161805465_20240227212000944.JPG</t>
  </si>
  <si>
    <t>FILTER_20240222161713419_20240227212000810.JPG</t>
  </si>
  <si>
    <t>2024-02-28 09:02:36</t>
  </si>
  <si>
    <t>Q4626645등 유사품 검색후 모델 상이하여 승인함.</t>
  </si>
  <si>
    <t>Q4630814</t>
  </si>
  <si>
    <t>POLYESTER,AIR,[NB-20 BAG FILTER/NANOS]x600Wx420L,1SET- 7P</t>
  </si>
  <si>
    <t>NB-20 BAG FILTER</t>
  </si>
  <si>
    <t>NANOS</t>
  </si>
  <si>
    <t>1SET- 7P</t>
  </si>
  <si>
    <t>시험성적서_20240215145639792_20240220081000261.JPG</t>
  </si>
  <si>
    <t>http://i-nanos.co.kr/Product/product_view.php?pdcate1=50&amp;pdcate2=510&amp;pdcate3=&amp;pdix=78</t>
  </si>
  <si>
    <t>BAGFILTER_20240215145302371_20240220081000167.JPG</t>
  </si>
  <si>
    <t>2024-02-29 11:02:12</t>
  </si>
  <si>
    <t xml:space="preserve">MRO e-Caltalog시스템 경유건으로 대체 Maker 미 발굴건, 기 설치된 Filter Element의 호환성을 위해 특정 사양으로 등록건 확인,_x000D_
유사사양 확인 후 승인_x000D_
</t>
  </si>
  <si>
    <t>Q4630815</t>
  </si>
  <si>
    <t>[47840041/SPECTRO/EUROSCIENCE]x140Lx158Wx15T_MAKER MO.LMM01, FILTERMATTE G3/140X158X15MM [2STK],FOR 2WRM METAL ANALYZERS FILTER,OR EQUIVALENT</t>
  </si>
  <si>
    <t>47840041/SPECTRO</t>
  </si>
  <si>
    <t>EUROSCIENCE</t>
  </si>
  <si>
    <t>MAKER MO.LMM01, FILTERMATTE G3/140X158X15MM [2STK]</t>
  </si>
  <si>
    <t>FOR 2WRM METAL ANALYZERS FILTER</t>
  </si>
  <si>
    <t>LMM01_INT_20240229080703035.pdf</t>
  </si>
  <si>
    <t>https://www.spectro.com/products/analytical-instruments-overview</t>
  </si>
  <si>
    <t>47840041 iamge_20240229080703102.png</t>
  </si>
  <si>
    <t>강영환</t>
  </si>
  <si>
    <t>(포항)선재부 2선재공장</t>
  </si>
  <si>
    <t>posforce@posco.co.kr</t>
  </si>
  <si>
    <t>2024-02-29 11:02:39</t>
  </si>
  <si>
    <t xml:space="preserve">MRO e-Caltalog시스템 경유건으로 대체 Maker 미 발굴건, 기 설치된 Varied Filter의 호환성을 위해 특정 사양으로 등록건 확인,_x000D_
유사사양 확인 후 승인_x000D_
</t>
  </si>
  <si>
    <t>Q4630816</t>
  </si>
  <si>
    <t>[47840042/SPECTRO/EUROSCIENCE]x120Lx135Wx15T_MAKER NO:LMM01, FILTERMATTE G3/120X135X15MM [2STK],FOR 2WRM METAL ANALYZERS FILTER,OR EQUIVALENT</t>
  </si>
  <si>
    <t>47840042/SPECTRO</t>
  </si>
  <si>
    <t>MAKER NO:LMM01, FILTERMATTE G3/120X135X15MM [2STK]</t>
  </si>
  <si>
    <t>LMM01_INT_20240229081213953.pdf</t>
  </si>
  <si>
    <t>47840042 image_20240229081214002.png</t>
  </si>
  <si>
    <t>2024-02-29 11:02:06</t>
  </si>
  <si>
    <t xml:space="preserve">MRO e-Caltalog시스템 경유건으로 대체 Maker 미 발굴건, 기 설치된 Varied Filter의 호환성을 위해 특정 사양으로 등록건 확인,_x000D_
Q4494421 등 유사사양 확인 후 특이사항 없이 달라 승인_x000D_
</t>
  </si>
  <si>
    <t>Q4630960</t>
  </si>
  <si>
    <t>HYDRAULIC,[7EZX3/SCHROEDER],ID23xOD59x180L,3micron,211kg/cm2,FOR AUXI TANK AT ZRM02</t>
  </si>
  <si>
    <t>7EZX3</t>
  </si>
  <si>
    <t>FOR AUXI TANK AT ZRM02</t>
  </si>
  <si>
    <t>https://catalog.schroederindustries.com/item/elements/7e-hydraulic-cartridge-filter-element/7629339</t>
  </si>
  <si>
    <t>auxi tank_20240220183603175.JPG</t>
  </si>
  <si>
    <t>2024-03-04 10:03:22</t>
  </si>
  <si>
    <t xml:space="preserve">Q4266489등 유사품 없음 확인후 승인합니다. </t>
  </si>
  <si>
    <t>Q4630976</t>
  </si>
  <si>
    <t>[P31FB22EGMN/PARKER],10bar,PORT SIZE:-1/4" POLY BOWL,WITH BOWL GUARD MANUAL DRAIN</t>
  </si>
  <si>
    <t>P31FB22EGMN</t>
  </si>
  <si>
    <t>PORT SIZE:-1/4" POLY BOWL,WITH BOWL GUARD MANUAL DRAIN</t>
  </si>
  <si>
    <t>_Parker_Pneumatic_Global_Air_Preparation_System_PDE2676TCUK_20240229174131038.pdf</t>
  </si>
  <si>
    <t>https://www.parker.com/Literature/Pneumatics%20Division%20Europe/PDE-Documents/Air%20Preparation/Parker_Pneumatic_Global_Air_Preparation_System_PDE2676TCUK.pdf</t>
  </si>
  <si>
    <t>P31 Air regulator_20240229160053542.JPG</t>
  </si>
  <si>
    <t>2024-03-04 10:03:42</t>
  </si>
  <si>
    <t>Q4377897등 유사품 있으나,Maekr내 사양 다르기 때문에 승인합니다.</t>
  </si>
  <si>
    <t>Q4631287</t>
  </si>
  <si>
    <t>[LP-7325/LCYS]+PRE FILTER 798X390X25D, MESH:AL 8X16x798Wx390Lx25T</t>
  </si>
  <si>
    <t>LP-7325</t>
  </si>
  <si>
    <t>LCYS</t>
  </si>
  <si>
    <t>PRE FILTER 798X390X25D, MESH:AL 8X16</t>
  </si>
  <si>
    <t>엘시스코리아(에어필트 제조사) 사업자등록증_20240304111525878.jpg</t>
  </si>
  <si>
    <t>http://www.lcys.co.kr/content.php?catcode=16240000</t>
  </si>
  <si>
    <t>프리필터_20240304111525999.jpg</t>
  </si>
  <si>
    <t>박강현</t>
  </si>
  <si>
    <t>세종천연음극재1공장</t>
  </si>
  <si>
    <t>pkh4912@poscofuturem.com</t>
  </si>
  <si>
    <t>2024-03-05 15:03:13</t>
  </si>
  <si>
    <t>Q4572627등 유사품 검색하였으나, 확인하지 못하여 승인합니다.</t>
  </si>
  <si>
    <t>Q4631604</t>
  </si>
  <si>
    <t>[103-1-17/INSTRON],AC 1PHASE,230V,FOR UTM MACHINE CRM LAB</t>
  </si>
  <si>
    <t>103-1-17</t>
  </si>
  <si>
    <t>INSTRON</t>
  </si>
  <si>
    <t>FOR UTM MACHINE CRM LAB</t>
  </si>
  <si>
    <t>__Spare Part List UTM 5982_20240306173515618.pdf</t>
  </si>
  <si>
    <t>Noise filter_20240306173750401.PNG</t>
  </si>
  <si>
    <t>2024-03-07 14:03:54</t>
  </si>
  <si>
    <t>유사 아이템 검색후 유사품이 없어 확인후 승인합니다.</t>
  </si>
  <si>
    <t>Q4631940</t>
  </si>
  <si>
    <t>AIR,[1045900/TENNANT],ID171xOD282x282Wx340Lx0.0002T,0.3micron,ULTRA-WEB,FOR CLEAN CAR DUST FILTER</t>
  </si>
  <si>
    <t>1045900</t>
  </si>
  <si>
    <t>TENNANT</t>
  </si>
  <si>
    <t>FOR CLEAN CAR DUST FILTER</t>
  </si>
  <si>
    <t>TENDF 정보_20240311075734507.JPG</t>
  </si>
  <si>
    <t>http://www.cleantechco.co.kr/</t>
  </si>
  <si>
    <t>TENDF 실사_20240311075734570.JPG</t>
  </si>
  <si>
    <t>TENDF 실사_20240311113954761.JPG</t>
  </si>
  <si>
    <t>2024-03-11 13:03:06</t>
  </si>
  <si>
    <t>Q4632522</t>
  </si>
  <si>
    <t>[LG BW 400 R/LG CHEM]x200Dx1016L_600psi</t>
  </si>
  <si>
    <t>LG BW 400 R</t>
  </si>
  <si>
    <t>LG CHEM</t>
  </si>
  <si>
    <t>카달로그_LG_SW_440_R_20240315094758851.pdf</t>
  </si>
  <si>
    <t>https://www.lgwatersolutions.com/en/product/seawater-ro</t>
  </si>
  <si>
    <t>LGBW_400-R_20240305170706692.jpg</t>
  </si>
  <si>
    <t>2024-03-18 09:03:46</t>
  </si>
  <si>
    <t>Q4632523</t>
  </si>
  <si>
    <t>[LG BW 400 ES/LG CHEM]x200Dx1016L_600bar</t>
  </si>
  <si>
    <t>LG BW 400 ES</t>
  </si>
  <si>
    <t>카달로그_LG_SW_400_ES_20240315094923654.pdf</t>
  </si>
  <si>
    <t>LGBW_400-ES_20240305173920701.jpg</t>
  </si>
  <si>
    <t>2024-03-18 09:03:15</t>
  </si>
  <si>
    <t>Q4632708</t>
  </si>
  <si>
    <t>[WF-80A/WASINO KIKI]_ID80xOD80x567Wx330L_20mesh_FC200/SUS304/SS400/FCD450/SUS303/S25C/T#1995/COTTON FABRIC INSCRTION RUBBER_SUS316/SUS304,0.69MPa_THE MAIN MATERIAL IS ALSO:NBR/SK5/SWRM3/FCMB/PLASTIC_FOR RM DESCALING PUMP</t>
  </si>
  <si>
    <t>WF-80A</t>
  </si>
  <si>
    <t>WASINO KIKI</t>
  </si>
  <si>
    <t xml:space="preserve">THE MAIN MATERIAL IS ALSO:NBR/SK5/SWRM3/FCMB/PLASTIC  </t>
  </si>
  <si>
    <t>FOR RM DESCALING PUMP</t>
  </si>
  <si>
    <t>IMG_20240306_083917_20240307151709397.jpg</t>
  </si>
  <si>
    <t>https://www.wasinokiki.co.jp/product/pdf/64.pdf</t>
  </si>
  <si>
    <t>0307_1_20240307152339314.jpg</t>
  </si>
  <si>
    <t>2024-03-18 15:03:05</t>
  </si>
  <si>
    <t>Q4632775</t>
  </si>
  <si>
    <t>OIL,HYDRAULIC,[B52555RK201K001/MOOG SERVO VALVES]+FILTER REPLACEMENT KIT,60micron,FKM,FILTER AND O-RINGS,REPAIR KIT FOR MOOG SERVO VALVE G761-CDS6673</t>
  </si>
  <si>
    <t>B52555RK201K001</t>
  </si>
  <si>
    <t>MOOG SERVO VALVES</t>
  </si>
  <si>
    <t>FILTER REPLACEMENT KIT</t>
  </si>
  <si>
    <t>FILTER AND O-RINGS</t>
  </si>
  <si>
    <t>REPAIR KIT FOR MOOG SERVO VALVE G761-CDS6673</t>
  </si>
  <si>
    <t>Moog-ServoValves-G761_761Series-Catalog-en_20240312164327364.pdf</t>
  </si>
  <si>
    <t>MOOG_20240312165247742.png</t>
  </si>
  <si>
    <t>2024-03-19 08:03:47</t>
  </si>
  <si>
    <t>유사품이 없음 확인후 승인합니다.</t>
  </si>
  <si>
    <t>Q4632817</t>
  </si>
  <si>
    <t>HYDRAULIC,[A1151L10P01/MPFILTRI],ID45xOD73,10micron,RESIN IMPREGNATED PAPER,0.063kg/cm2,FOR SAP1151AL10A0AP01 AIR BREATHER</t>
  </si>
  <si>
    <t>A1151L10P01</t>
  </si>
  <si>
    <t>FOR SAP1151AL10A0AP01 AIR BREATHER</t>
  </si>
  <si>
    <t>SAP1151AL10A0AP01_20240318073608209.pdf</t>
  </si>
  <si>
    <t>https://www.mpfiltri.com/products/accessories-for-hydraulic-systems-and-tanks-5/air-breather-and-filler-plugs-20/tap115-and-sap115.html#1</t>
  </si>
  <si>
    <t>SAP1151AL10A0AP01 사진2_20240318073608297.jpg</t>
  </si>
  <si>
    <t>허성훈</t>
  </si>
  <si>
    <t>heosunghun1@poscofuturem.com</t>
  </si>
  <si>
    <t>2024-03-19 10:03:30</t>
  </si>
  <si>
    <t>Q4463950등 유사item 검색했으나 유사품 없음 확인후 승인합니다.</t>
  </si>
  <si>
    <t>Q4633210</t>
  </si>
  <si>
    <t>[DFR8400PRO/DAOERDUNMOJISHU(SHENZHEN)YOUXIANGONGSI]_29Dx201Dx1016L_AROMATIC POLYAMIDA,WATER 42M3/D_1.55MPa_DESALINIZATION RATO 99.4%,FILTER DURFACE 37.2M2_FOR HAPL RWR RO SYSTEM</t>
  </si>
  <si>
    <t>DFR8400PRO</t>
  </si>
  <si>
    <t>DESALINIZATION RATO 99.4%,FILTER DURFACE 37.2M2</t>
  </si>
  <si>
    <t>FOR HAPL RWR RO SYSTEM</t>
  </si>
  <si>
    <t>RO膜产品介绍_20240318113515314.JPG</t>
  </si>
  <si>
    <t>https://www.amembrane.com/Products2/52.html</t>
  </si>
  <si>
    <t>捕获 图片_20241025112741952.JPG</t>
  </si>
  <si>
    <t>2024-11-01 13:11:09</t>
  </si>
  <si>
    <t>Q4633461</t>
  </si>
  <si>
    <t>[AW20-02BCG-1-A/SMC]xOD20,5micron,POLYCARBONATE,0.02~0.2MPa,FOR AIR FILTER</t>
  </si>
  <si>
    <t>AW20-02BCG-1-A</t>
  </si>
  <si>
    <t>F.T. AW Filter Regulator_20240316055259911.pdf</t>
  </si>
  <si>
    <t>https://www.smcpneumatics.com/AW20-02BCG-1-A.html</t>
  </si>
  <si>
    <t>AW20-02BCG-1-A_20240316061719842.JPG</t>
  </si>
  <si>
    <t>Sección de Pruebas Físicas y Químicas</t>
  </si>
  <si>
    <t>2024-03-25 08:03:30</t>
  </si>
  <si>
    <t>첨부파일의 P.59형번체계 확인함.</t>
  </si>
  <si>
    <t>Q4633504</t>
  </si>
  <si>
    <t>INVERTER[WYFTH40T2C/WOONYOUNG],AC 3PHASE,AC 500V,40A,50/60HZ</t>
  </si>
  <si>
    <t>WYFTH40T2C</t>
  </si>
  <si>
    <t>NOISE FILTER_20240320092614689.JPG</t>
  </si>
  <si>
    <t>https://www.woonyoung.com/page/s0201_view.php?idx=470&amp;ocatecode=1337920582&amp;gcatecode=1460348246&amp;gnsub=250V%2C+500V&amp;ogcname=%EB%85%B8%EC%9D%B4%EC%A6%88+%ED%95%84%ED%84%B0</t>
  </si>
  <si>
    <t>NOISE FILTER_20240320092614745.JPG</t>
  </si>
  <si>
    <t>2024-03-25 10:03:21</t>
  </si>
  <si>
    <t xml:space="preserve">Q4473617등 유사item 검색하였으나 동일 maker에 다른 형번의 모델이 등록되어있고, , 동일품 없어 승인합니다. _x000D_
</t>
  </si>
  <si>
    <t>Q4633581</t>
  </si>
  <si>
    <t>[FPS-10-B-F10-02-R-W 20/ATOS]_ID70xOD90_CAST IRON_MICROFIBRE FILTER,420bar,HYDRAULIC OIL_FOR PNCF1 PRE-CALCINATION HYDRAULIC UNIT</t>
  </si>
  <si>
    <t>FPS-10-B-F10-02-R-W 20</t>
  </si>
  <si>
    <t>FOR PNCF1 PRE-CALCINATION HYDRAULIC UNIT</t>
  </si>
  <si>
    <t>FPS-10-B-F10-02-R-W 20실물 명판사진_20240320092632668.JPG</t>
  </si>
  <si>
    <t>https://www.atos.com/en-it/Products/Industrial/Filters/In-line-filters/FPS-series-20/p/FPS</t>
  </si>
  <si>
    <t>FPS-10-B-F10-02-R-W 20_20240320092632850.JPG</t>
  </si>
  <si>
    <t>2024-03-25 14:03:44</t>
  </si>
  <si>
    <t>Q4633582</t>
  </si>
  <si>
    <t>[FRS-20-B-F25-02-R-W 11/ATOS]_ID88.5xOD115_27micron_ALUMINIUM ALLOY_MICROFIBRE FILTER,8bar,HYDRAULIC OIL_FOR PNCF1 PRE-CALCINATION HYDRAULIC UNIT</t>
  </si>
  <si>
    <t>FRS-20-B-F25-02-R-W 11</t>
  </si>
  <si>
    <t>FRS-20-B-F25-02-R-W 11_20240319073030456.pdf</t>
  </si>
  <si>
    <t>https://www.atos.com/en-it/Products/Industrial/Filters/Return-line-filters/FRS/p/FRS</t>
  </si>
  <si>
    <t>FRS-20-B-F25-02-R-W 11 실물사진_20240319073030577.jpg</t>
  </si>
  <si>
    <t>2024-03-25 14:03:30</t>
  </si>
  <si>
    <t xml:space="preserve">유사item 검색후 없음을 확인후 승인합니다. </t>
  </si>
  <si>
    <t>Q4633850</t>
  </si>
  <si>
    <t>[EMPAK-200/O2EM]x594Wx594Lx75T,SYNTHETIC FIBER COLOR PINK,OR EQUIVALENT</t>
  </si>
  <si>
    <t>EMPAK-200</t>
  </si>
  <si>
    <t>O2EM</t>
  </si>
  <si>
    <t>EMPak-200(사양)_20240326084429002.jpg</t>
  </si>
  <si>
    <t>http://www.o2em.com/sub02.html</t>
  </si>
  <si>
    <t>EMPak-200(1)_20240326084429057.jpg</t>
  </si>
  <si>
    <t>전민석</t>
  </si>
  <si>
    <t>(포항)제선부 조업안전섹션</t>
  </si>
  <si>
    <t>ferous@posco.co.kr</t>
  </si>
  <si>
    <t>김호경</t>
  </si>
  <si>
    <t>besttop@posco.co.kr</t>
  </si>
  <si>
    <t>2024-03-27 09:03:46</t>
  </si>
  <si>
    <t xml:space="preserve">** 추후 신청하실때 결재문서의 모델명은 직접 타자로 기입 하여 주시기 바랍니다. </t>
  </si>
  <si>
    <t>Q4634359</t>
  </si>
  <si>
    <t>INVERTER[WYFTH400T2C/WOONYOUNG],AC 3PHASE,AC 500V,400A,50/60HZ</t>
  </si>
  <si>
    <t>WYFTH400T2C</t>
  </si>
  <si>
    <t>노이즈필터 카달로그_20240325081430094.JPG</t>
  </si>
  <si>
    <t>https://www.woonyoung.com/page/search_list.php?sercatecode1=&amp;sercatecode2=&amp;itemsearchStr=WYFTH400T2C&amp;searchitem=itemname&amp;note5=&amp;catetopcode=&amp;ocatecode=&amp;gnsub=&amp;ogcname=&amp;gcate2code=&amp;stype=&amp;note2=&amp;note3=&amp;note4=</t>
  </si>
  <si>
    <t>노이즈필터_20240325081430137.JPG</t>
  </si>
  <si>
    <t>2024-04-02 11:04:03</t>
  </si>
  <si>
    <t>Q4634711</t>
  </si>
  <si>
    <t>[UR310F4020ZA/PALL]xOD114.3x152.4Wx765.9L,41bar_1WRM BINDING M/C RETURN FILTER,OR EQUIVALENT</t>
  </si>
  <si>
    <t>UR310F4020ZA</t>
  </si>
  <si>
    <t>1WRM BINDING M/C RETURN FILTER</t>
  </si>
  <si>
    <t>MEUR310EN_20240403131513134.pdf</t>
  </si>
  <si>
    <t>https://shop.pall.com/us/en/products/zidUR310F4020ZA?CategoryName=products&amp;CategoryDomainName=PALL-products&amp;CatalogID=products</t>
  </si>
  <si>
    <t>UR310F4020ZA - 1_20240403131513273.jpg</t>
  </si>
  <si>
    <t>2024-04-04 10:04:29</t>
  </si>
  <si>
    <t>Q4630536등 유사품 검색하였으나, 길이가 다르고 동일 메이커의 다른 모델로 확인후 승인함.</t>
  </si>
  <si>
    <t>Q4634889</t>
  </si>
  <si>
    <t>[2-GLB/JINGJIN],1250X1250,POLYPROPYLENE,MEMBRANE PLATE,FOR 140-FR-006~007 EQUIPMENT,OR EQUIVALENT</t>
  </si>
  <si>
    <t>2-GLB</t>
  </si>
  <si>
    <t>JINGJIN</t>
  </si>
  <si>
    <t>MEMBRANE PLATE,FOR 140-FR-006~007 EQUIPMENT</t>
  </si>
  <si>
    <t>프레스필터 설비별 여과판 코드 및 사진_240322_20240403152531244.pdf</t>
  </si>
  <si>
    <t>https://www.jingjinequipment.com/</t>
  </si>
  <si>
    <t>2-GLB_20240403152558796.jpg</t>
  </si>
  <si>
    <t>2024-04-05 09:04:55</t>
  </si>
  <si>
    <t>Q4634890</t>
  </si>
  <si>
    <t>[3-GLB/JINGJIN],1250X1250,POLYPROPYLENE,MEMBRANE PLATE,FOR 140-FR-008~009 EQUIPMENT,OR EQUIVALENT</t>
  </si>
  <si>
    <t>3-GLB</t>
  </si>
  <si>
    <t>MEMBRANE PLATE,FOR 140-FR-008~009 EQUIPMENT</t>
  </si>
  <si>
    <t>프레스필터 설비별 여과판 코드 및 사진_240322_20240403152429752.pdf</t>
  </si>
  <si>
    <t>3-GLB_20240403152403973.jpg</t>
  </si>
  <si>
    <t>2024-04-05 09:04:18</t>
  </si>
  <si>
    <t>Q4634891</t>
  </si>
  <si>
    <t>[1-XLB/JINGJIN],1250X1250,POLYPROPYLENE,NORMAL PLATE,FOR 140-FR-001~003 AND 140-FR-006~007 EQUIPMENT,OR EQUIVALENT</t>
  </si>
  <si>
    <t>1-XLB</t>
  </si>
  <si>
    <t>NORMAL PLATE,FOR 140-FR-001~003 AND 140-FR-006~007 EQUIPMENT</t>
  </si>
  <si>
    <t>프레스필터 설비별 여과판 코드 및 사진_240322_20240403152154900.pdf</t>
  </si>
  <si>
    <t>1-XLB_20240403152208106.jpg</t>
  </si>
  <si>
    <t>2024-04-05 09:04:34</t>
  </si>
  <si>
    <t>Q4634898</t>
  </si>
  <si>
    <t>[3-XLB/JINGJIN],1250X1250,POLYPROPYLENE,NORMAL PLATE,FOR 140-FR-008~009 EQUIPMENT,OR EQUIVALENT</t>
  </si>
  <si>
    <t>3-XLB</t>
  </si>
  <si>
    <t>NORMAL PLATE,FOR 140-FR-008~009 EQUIPMENT</t>
  </si>
  <si>
    <t>프레스필터 설비별 여과판 코드 및 사진_240322_20240403152010885.pdf</t>
  </si>
  <si>
    <t>3-XLB_20240403151934945.jpg</t>
  </si>
  <si>
    <t>2024-04-05 09:04:02</t>
  </si>
  <si>
    <t>Q4634899</t>
  </si>
  <si>
    <t>[4-XLB/JINGJIN],1250X1250,POLYPROPYLENE,NORMAL PLATE,FOR 250-FR-001~002 EQUIPMENT,OR EQUIVALENT</t>
  </si>
  <si>
    <t>4-XLB</t>
  </si>
  <si>
    <t>NORMAL PLATE,FOR 250-FR-001~002 EQUIPMENT</t>
  </si>
  <si>
    <t>설비별 여과판 Spec 및 장착 수량_240322_20240403151552359.pdf</t>
  </si>
  <si>
    <t>4-XLB_20240403151502866.jpg</t>
  </si>
  <si>
    <t>2024-04-05 09:04:37</t>
  </si>
  <si>
    <t>Q4634900</t>
  </si>
  <si>
    <t>[1250TF/JINGJIN],1250X1250,POLYPROPYLENE,END PLATE,FOR 1250 SIZE FILTER PRESS EQUIPMENT,OR EQUIVALENT</t>
  </si>
  <si>
    <t>1250TF</t>
  </si>
  <si>
    <t>END PLATE,FOR 1250 SIZE FILTER PRESS EQUIPMENT</t>
  </si>
  <si>
    <t>프레스필터 설비별 여과판 코드 및 사진_240322_20240403150407950.pdf</t>
  </si>
  <si>
    <t>1250TF_20240403150426095.jpg</t>
  </si>
  <si>
    <t>2024-04-05 09:04:04</t>
  </si>
  <si>
    <t>Q4634906</t>
  </si>
  <si>
    <t>[1250JF/JINGJIN],1250X1250,POLYPROPYLENE,HEAD PLATE,FOR 1250 SIZE FILTER PRESS EQUIPMENT,OR EQUIVALENT</t>
  </si>
  <si>
    <t>1250JF</t>
  </si>
  <si>
    <t>HEAD PLATE,FOR 1250 SIZE FILTER PRESS EQUIPMENT</t>
  </si>
  <si>
    <t>프레스필터 설비별 여과판 코드 및 사진_240322_20240403150909695.pdf</t>
  </si>
  <si>
    <t>1250JF_20240403150835841.jpg</t>
  </si>
  <si>
    <t>2024-04-05 09:04:11</t>
  </si>
  <si>
    <t>Q4634907</t>
  </si>
  <si>
    <t>[5-XLB/JINGJIN],800X800,POLYPROPYLENE,NORMAL PLATE,FOR 250-FR-007~008 EQUIPMENT,OR EQUIVALENT</t>
  </si>
  <si>
    <t>5-XLB</t>
  </si>
  <si>
    <t>NORMAL PLATE,FOR 250-FR-007~008 EQUIPMENT</t>
  </si>
  <si>
    <t>프레스필터 설비별 여과판 코드 및 사진_240322_20240403150107118.pdf</t>
  </si>
  <si>
    <t>5-XLB_20240403150024656.jpg</t>
  </si>
  <si>
    <t>2024-04-05 09:04:28</t>
  </si>
  <si>
    <t>Q4634908</t>
  </si>
  <si>
    <t>[7380-2-GLB/JINGJIN],800X800,POLYPROPYLENE,MEMBRANE PLATE,FOR 250-FR-010 EQUIPMENT,OR EQUIVALENT</t>
  </si>
  <si>
    <t>7380-2-GLB</t>
  </si>
  <si>
    <t>MEMBRANE PLATE,FOR 250-FR-010 EQUIPMENT</t>
  </si>
  <si>
    <t>프레스필터 설비별 여과판 코드 및 사진_240322_20240403145805965.pdf</t>
  </si>
  <si>
    <t>7380-2-GLB_20240403145722470.jpg</t>
  </si>
  <si>
    <t>2024-04-05 09:04:47</t>
  </si>
  <si>
    <t>Q4634909</t>
  </si>
  <si>
    <t>[7380-1-XLB/JINGJIN],800X800,POLYPROPYLENE,NORMAL PLATE,FOR 140-FR-010 AND 250-FR-010 EQUIPMENT,OR EQUIVALENT</t>
  </si>
  <si>
    <t>7380-1-XLB</t>
  </si>
  <si>
    <t>NORMAL PLATE,FOR 140-FR-010 AND 250-FR-010 EQUIPMENT</t>
  </si>
  <si>
    <t>프레스필터 설비별 여과판 코드 및 사진_240322_20240403145339895.pdf</t>
  </si>
  <si>
    <t>7380-1-XLB_20240429130210871.jpg</t>
  </si>
  <si>
    <t>2024-05-07 08:05:26</t>
  </si>
  <si>
    <t>Q4634911</t>
  </si>
  <si>
    <t>[800JF/JINGJIN],800X800,POLYPROPYLENE,HEAD PLATE,FOR 800 SIZE FILTER PRESS EQUIPMENT (250-FR-007~008, 140-F-010, 250-FR-010),OR EQUIVALENT</t>
  </si>
  <si>
    <t>800JF</t>
  </si>
  <si>
    <t>HEAD PLATE,FOR 800 SIZE FILTER PRESS EQUIPMENT (250-FR-007~008, 140-F-010, 250-FR-010)</t>
  </si>
  <si>
    <t>프레스필터 설비별 여과판 코드 및 사진_240322_20240403145107613.pdf</t>
  </si>
  <si>
    <t>800JF_20240403145013540.jpg</t>
  </si>
  <si>
    <t>2024-04-05 09:04:19</t>
  </si>
  <si>
    <t>Q4634913</t>
  </si>
  <si>
    <t>[800TF/JINGJIN],800X800,POLYPROPYLENE,END PLATE,FOR 800 SIZE FILTER PRESS EQUIPMENT (250-FR-007~008, 140-F-010, 250-FR-010),OR EQUIVALENT</t>
  </si>
  <si>
    <t>800TF</t>
  </si>
  <si>
    <t>END PLATE,FOR 800 SIZE FILTER PRESS EQUIPMENT (250-FR-007~008, 140-F-010, 250-FR-010)</t>
  </si>
  <si>
    <t>프레스필터 설비별 여과판 코드 및 사진_240322_20240403142308100.pdf</t>
  </si>
  <si>
    <t>800TF_20240403144516619.jpg</t>
  </si>
  <si>
    <t>2024-04-05 09:04:40</t>
  </si>
  <si>
    <t>Q4635334</t>
  </si>
  <si>
    <t>WATER,[30SLS3 CO2/DAEWON SPECIAL KOREA]_556Dx856Dx1140L_SUS304_6kg/cm2</t>
  </si>
  <si>
    <t>30SLS3 CO2</t>
  </si>
  <si>
    <t>DAEWON SPECIAL KOREA</t>
  </si>
  <si>
    <t>Micro filter_20240403073603288.JPG</t>
  </si>
  <si>
    <t>http://www.filterhousing.co.kr/pdf/001.pdf</t>
  </si>
  <si>
    <t>Microfilter_20240403073603324.JPG</t>
  </si>
  <si>
    <t>20240404_112140_20240404130323373.jpg</t>
  </si>
  <si>
    <t>최준영</t>
  </si>
  <si>
    <t>chunun@poscofuturem.com</t>
  </si>
  <si>
    <t>우준석</t>
  </si>
  <si>
    <t>smileman@poscofuturem.com</t>
  </si>
  <si>
    <t>2024-04-11 11:04:26</t>
  </si>
  <si>
    <t>Q4635335</t>
  </si>
  <si>
    <t>[50SLS3 A02/DAEWON SPECIAL KOREA]_658Dx958Dx1140L_STS304_6kg/cm2</t>
  </si>
  <si>
    <t>50SLS3 A02</t>
  </si>
  <si>
    <t>Micro filter_20240403073522348.JPG</t>
  </si>
  <si>
    <t>Microfilter_20240403073522406.JPG</t>
  </si>
  <si>
    <t>20240404_135158_20240404142025726.jpg</t>
  </si>
  <si>
    <t>2024-04-11 11:04:05</t>
  </si>
  <si>
    <t>Q4635336</t>
  </si>
  <si>
    <t>WATER,[MDI-DX5012/GEUMHWA WTS]_470Dx504Dx2100L_STS316_5kg/cm2</t>
  </si>
  <si>
    <t>MDI-DX5012</t>
  </si>
  <si>
    <t>GEUMHWA WTS</t>
  </si>
  <si>
    <t>MDI_20240404083041605.JPG</t>
  </si>
  <si>
    <t>http://mdi-filone.com/product/mdi_view?post_no=166&amp;no=6&amp;total=9&amp;search_key=&amp;search_text=&amp;category=</t>
  </si>
  <si>
    <t>MDI1_20240404083041656.JPG</t>
  </si>
  <si>
    <t>20240404_135256_20240404152431306.jpg</t>
  </si>
  <si>
    <t>2024-04-11 11:04:42</t>
  </si>
  <si>
    <t>Q4635540</t>
  </si>
  <si>
    <t>HYDRAULIC,[1300 R 025 W/HC/HYDAC],ID93xOD143x482L,25micron,WIRE MESH,OR EQUIVALENT</t>
  </si>
  <si>
    <t>1300 R 025 W/HC</t>
  </si>
  <si>
    <t>FILTER ELEMENT(HYDAC) 사양_20240414094426131.jpg</t>
  </si>
  <si>
    <t xml:space="preserve">www.hydac.com/shop/ko-kr/pilteo-gisul/pilteo-ellimeonteu					</t>
  </si>
  <si>
    <t>사진.1_20240409163551509.jpg</t>
  </si>
  <si>
    <t>위성혁</t>
  </si>
  <si>
    <t>wish@posco.co.kr</t>
  </si>
  <si>
    <t>2024-04-15 11:04:14</t>
  </si>
  <si>
    <t xml:space="preserve">Q4059255등 유사item 검색하였으나, Length등 상이하여 확인후 승인합니다. </t>
  </si>
  <si>
    <t>Q4635854</t>
  </si>
  <si>
    <t>NITROGEN(N2),[WSL-843-ELEMENT/WOOSUNG VACUUM],ID60xOD98,2micron,POLYESTER</t>
  </si>
  <si>
    <t>WSL-843-ELEMENT</t>
  </si>
  <si>
    <t>WOOSUNG VACUUM</t>
  </si>
  <si>
    <t>WSL-Series_small  Filter element_20240416073245992.pdf</t>
  </si>
  <si>
    <t>http://www.vacuumkorea.com/sub/product/view.html?idx=28&amp;code=4&amp;curpage=1</t>
  </si>
  <si>
    <t>진공필터_20240416073246064.JPG</t>
  </si>
  <si>
    <t>최영준</t>
  </si>
  <si>
    <t>chz5346@poscofuturem.com</t>
  </si>
  <si>
    <t>2024-04-17 13:04:26</t>
  </si>
  <si>
    <t>유사item 검색결과 유사품 없음 확인후 승인합니다.</t>
  </si>
  <si>
    <t>Q4635855</t>
  </si>
  <si>
    <t>AIR,[CF-600/INTRISE]x225L,40micron,NON-WOVEN FABRIC FILTER</t>
  </si>
  <si>
    <t>CF-600</t>
  </si>
  <si>
    <t>INTRISE</t>
  </si>
  <si>
    <t>인트라이즈 CF-600 대용량분말필터세트_20240417103745570.pdf</t>
  </si>
  <si>
    <t>http://www.intrise.co.kr/index.php</t>
  </si>
  <si>
    <t>인트라이즈 CF-600 필터_20240417095549672.JPG</t>
  </si>
  <si>
    <t>2024-04-17 13:04:24</t>
  </si>
  <si>
    <t xml:space="preserve">**추후에는 결재문서 내에 사진 말고도, 'CF-600'를 직접 모델명 기입 부탁드립니다. _x000D_
Q4296062등 유사item 검색하였으나, 유사품이 없어 확인후 승인합니다. </t>
  </si>
  <si>
    <t>Q4635933</t>
  </si>
  <si>
    <t>AIR,[2901 9904 21/ATLAS COPCO]+AIR/OIL FILTER KIT,FOR ATLAS COPCO COMPRESSOR</t>
  </si>
  <si>
    <t>2901 9904 21</t>
  </si>
  <si>
    <t xml:space="preserve">ATLAS COPCO </t>
  </si>
  <si>
    <t>AIR/OIL FILTER KIT</t>
  </si>
  <si>
    <t>FOR ATLAS COPCO COMPRESSOR</t>
  </si>
  <si>
    <t>Filter Element Atlas Copco air compressor_20240417112609056.pdf</t>
  </si>
  <si>
    <t>https://www.atlascopco.com/</t>
  </si>
  <si>
    <t>IMG_20240414_085930_20240417113223583.jpg</t>
  </si>
  <si>
    <t>NGUYỄN VĂN QUÃNG</t>
  </si>
  <si>
    <t>Utility</t>
  </si>
  <si>
    <t>nguyen.quang@posco.net</t>
  </si>
  <si>
    <t>2024-04-18 11:04:38</t>
  </si>
  <si>
    <t>Q4636006</t>
  </si>
  <si>
    <t>[DCV5011H/DEWALT],0.3micron,FOR DCV501LN VACUUM CLEANER</t>
  </si>
  <si>
    <t>DCV5011H</t>
  </si>
  <si>
    <t>DEWALT</t>
  </si>
  <si>
    <t>FOR DCV501LN VACUUM CLEANER</t>
  </si>
  <si>
    <t>http://www.dewalt.co.kr/sub02/goods_view.html?sid=732&amp;depth2=0704&amp;page=2&amp;depth1=0700&amp;SearchBrush=&amp;SearchLine=&amp;SearchVolt=&amp;SearchAmpere=&amp;SearchValue=</t>
  </si>
  <si>
    <t>240328_A2_포)에너지부_2발전공장 DCV501LN HEPA FILTER_20240418132215196.jpg</t>
  </si>
  <si>
    <t>신준욱</t>
  </si>
  <si>
    <t>(포항)에너지부 2발전공장</t>
  </si>
  <si>
    <t>mtb@posco.co.kr</t>
  </si>
  <si>
    <t>최두환</t>
  </si>
  <si>
    <t>cdh1212@posco.co.kr</t>
  </si>
  <si>
    <t>2024-04-18 15:04:21</t>
  </si>
  <si>
    <t>Q4636413</t>
  </si>
  <si>
    <t>[MAKER DWG NO:YG-PF240304-100/YOUGONG ENG]x5554L_STS304_WITH DIAPHRAGM VALVE, ETFE 0.4T COATING, MAKER DWG NO:YG-PF240304-100,FOR AUGER FILLER</t>
  </si>
  <si>
    <t>MAKER DWG NO:YG-PF240304-100</t>
  </si>
  <si>
    <t>WITH DIAPHRAGM VALVE, ETFE 0.4T COATING, MAKER DWG NO:YG-PF240304-100</t>
  </si>
  <si>
    <t>FOR AUGER FILLER</t>
  </si>
  <si>
    <t>YG-PF240304-100_MCF1 정량충진기 Vent Filter-Model_20240411080543869.pdf</t>
  </si>
  <si>
    <t>http://yugongeng.koweb.co.kr/contents/01_business/sub01.html</t>
  </si>
  <si>
    <t>캡처_20240411080543933.PNG</t>
  </si>
  <si>
    <t>2024-04-23 11:04:35</t>
  </si>
  <si>
    <t xml:space="preserve">Q4584015등 유사item 확인하였으나, 유사품 없은 확인후 승인합니다. </t>
  </si>
  <si>
    <t>Q4636414</t>
  </si>
  <si>
    <t>INVERTER[WYFS06L1/WOONYOUNG],AC 250V,6A,50/60HZ</t>
  </si>
  <si>
    <t>WYFS06L1</t>
  </si>
  <si>
    <t>노이즈필터 명판_20240408073156360.JPG</t>
  </si>
  <si>
    <t>noise filter_20240408073156433.JPG</t>
  </si>
  <si>
    <t>2024-04-23 11:04:07</t>
  </si>
  <si>
    <t xml:space="preserve">Q4602744등 유사item 검색하고 없음 확인하였습니다. </t>
  </si>
  <si>
    <t>Q4636645</t>
  </si>
  <si>
    <t>[20240000/DONGOU-MF]_ID20xOD38x2000L,0.5micron_UHMWPE PA_POLISHING FILTER TUBE SET WITH M26 CONNECTOR,FOR PGR-260L AND 80L OF NICKEL SULFATE REFINERY PLANT,OR EQUIVALENT</t>
  </si>
  <si>
    <t>20240000</t>
  </si>
  <si>
    <t>DONGOU-MF</t>
  </si>
  <si>
    <t>POLISHING FILTER TUBE SET WITH M26 CONNECTOR</t>
  </si>
  <si>
    <t>FOR PGR-260L AND 80L OF NICKEL SULFATE REFINERY PLANT</t>
  </si>
  <si>
    <t>Polish Filter 소모품 코드 정리_240409_20240417142719552.pdf</t>
  </si>
  <si>
    <t>www.chinadongou.com</t>
  </si>
  <si>
    <t>Filter 결합 도식도_20240417142647384.jpg</t>
  </si>
  <si>
    <t>filter tube set_20240422092738700.jpg</t>
  </si>
  <si>
    <t>2024-04-24 17:04:27</t>
  </si>
  <si>
    <t>Q4636646</t>
  </si>
  <si>
    <t>PERFORATED PLATE,[20240002/DONGOU-MF],2560DX40T,STS316L(=S31603),FOR PGR-260L OF NICKEL SULFATE REFINERY PLANT,OR EQUIVALENT</t>
  </si>
  <si>
    <t>20240002</t>
  </si>
  <si>
    <t>FOR PGR-260L OF NICKEL SULFATE REFINERY PLANT</t>
  </si>
  <si>
    <t>Polish Filter 소모품 코드 정리_240409_20240417135522183.pdf</t>
  </si>
  <si>
    <t>Sealing 위치_20240417135452511.jpg</t>
  </si>
  <si>
    <t>perforated plate_20240422093138379.jpg</t>
  </si>
  <si>
    <t>2024-04-24 17:04:57</t>
  </si>
  <si>
    <t>Q4636647</t>
  </si>
  <si>
    <t>TUBE GASKET OF POLISH FILTER,[20240007/DONGOU-MF],48ODX25IDX3.5T,EPDM,FOR PGR-260L AND 80L OF NICKEL SULFATE REFINERY PLANT,OR EQUIVALENT</t>
  </si>
  <si>
    <t>20240007</t>
  </si>
  <si>
    <t>Polish Filter 소모품 코드 정리_240409_20240417133931855.pdf</t>
  </si>
  <si>
    <t>Filter 결합 도식도_20240417140842636.jpg</t>
  </si>
  <si>
    <t>tube gasket_20240422093658814.jpg</t>
  </si>
  <si>
    <t>2024-04-24 17:04:28</t>
  </si>
  <si>
    <t>Q4636648</t>
  </si>
  <si>
    <t>SEAL RING OF POLISH FILTER,[20240005/DONGOU-MF],1560ODX1400IDX10T,EPDM,FOR PGR-80L OF NICKEL SULFATE REFINERY PLANT,OR EQUIVALENT</t>
  </si>
  <si>
    <t>20240005</t>
  </si>
  <si>
    <t>FOR PGR-80L OF NICKEL SULFATE REFINERY PLANT</t>
  </si>
  <si>
    <t>Polish Filter 소모품 코드 정리_240409_20240417134845385.pdf</t>
  </si>
  <si>
    <t>Sealing 위치_20240417134814012.jpg</t>
  </si>
  <si>
    <t>seal ring_20240424163428813.jpg</t>
  </si>
  <si>
    <t>2024-04-24 17:04:54</t>
  </si>
  <si>
    <t>Q4636649</t>
  </si>
  <si>
    <t>M26 CONNECTOR,[20240001/DONGOU-MF],M26X150,POLYPROPYLENE(PP),FOR PGR-260L AND 80L OF NICKEL SULFATE REFINERY PLANT,OR EQUIVALENT</t>
  </si>
  <si>
    <t>20240001</t>
  </si>
  <si>
    <t>Polish Filter 소모품 코드 정리_240409_20240417135841183.pdf</t>
  </si>
  <si>
    <t>Filter 결합 도식도_20240417140101502.jpg</t>
  </si>
  <si>
    <t>filter connector_20240422093839576.jpg</t>
  </si>
  <si>
    <t>2024-04-24 17:04:13</t>
  </si>
  <si>
    <t>Q4636657</t>
  </si>
  <si>
    <t>[B10-KAU201-02-S251/KCC]x127Wx152L,1.2MPa,5UM/0.3UM/0.01UM,WITH BRACKET, MAKER DWG NO:B10-KAU201-02-S251</t>
  </si>
  <si>
    <t>B10-KAU201-02-S251</t>
  </si>
  <si>
    <t>5UM/0.3UM/0.01UM,WITH BRACKET, MAKER DWG NO:B10-KAU201-02-S251</t>
  </si>
  <si>
    <t>B10-KAU201-02-S251_20240422075032501.pdf</t>
  </si>
  <si>
    <t>http://www.kccpr.com/bbs/search.php?srows=10&amp;gr_id=&amp;sfl=wr_subject%7C%7Cwr_content&amp;stx=B10-KA&amp;sop=and</t>
  </si>
  <si>
    <t>3단필터 이미지_20240422075032561.JPG</t>
  </si>
  <si>
    <t>2024-04-25 08:04:21</t>
  </si>
  <si>
    <t>Q4582465등 유사item 검색하였으나, 없음 확인하고 승인합니다.</t>
  </si>
  <si>
    <t>Q4636673</t>
  </si>
  <si>
    <t>[20240008/DONGOU-MF]_ID20xOD38x2000L,0.5micron_UHMWPE PA_POLISHING FILTER TUBE,FOR PGR-260L AND 80L OF NICKEL SULFATE REFINERY PLANT,OR EQUIVALENT</t>
  </si>
  <si>
    <t>20240008</t>
  </si>
  <si>
    <t>POLISHING FILTER TUBE</t>
  </si>
  <si>
    <t>Polish Filter 소모품 코드 정리_240409_20240417142056318.pdf</t>
  </si>
  <si>
    <t>Filter 결합 도식도_20240417141948614.jpg</t>
  </si>
  <si>
    <t>filter tube_20240422092850919.jpg</t>
  </si>
  <si>
    <t>2024-04-25 08:04:38</t>
  </si>
  <si>
    <t>Q4636674</t>
  </si>
  <si>
    <t>SEAL RING OF POLISH FILTER,[20240004/DONGOU-MF],2560ODX2400IDX10T,EPDM,FOR PGR-260L OF NICKEL SULFATE REFINERY PLANT,OR EQUIVALENT</t>
  </si>
  <si>
    <t>20240004</t>
  </si>
  <si>
    <t>Polish Filter 소모품 코드 정리_240409_20240417134425355.pdf</t>
  </si>
  <si>
    <t>Sealing 위치_20240417134348800.jpg</t>
  </si>
  <si>
    <t>seal ring_20240422093328356.jpg</t>
  </si>
  <si>
    <t>2024-04-25 08:04:54</t>
  </si>
  <si>
    <t>Q4636675</t>
  </si>
  <si>
    <t>PERFORATED PLATE,[20240003/DONGOU-MF],1560DX40T,STS316L(=S31603),FOR PGR-80L OF NICKEL SULFATE REFINERY PLANT,OR EQUIVALENT</t>
  </si>
  <si>
    <t>20240003</t>
  </si>
  <si>
    <t>Polish Filter 소모품 코드 정리_240409_20240417135321333.pdf</t>
  </si>
  <si>
    <t>Sealing 위치_20240417135251509.jpg</t>
  </si>
  <si>
    <t>perforated plate_20240422093448955.jpg</t>
  </si>
  <si>
    <t>2024-04-25 08:04:33</t>
  </si>
  <si>
    <t>Q4636677</t>
  </si>
  <si>
    <t>MANHOLE SEAL RING OF POLISH FILTER(LOWER),[20240006-1/DONGOU-MF],539ODX480IDX3T,EPDM,FOR PGR-260L AND 80L OF NICKEL SULFATE REFINERY PLANT,OR EQUIVALENT</t>
  </si>
  <si>
    <t>20240006-1</t>
  </si>
  <si>
    <t>Polish Filter 소모품 코드 정리_240409_20240417122032241.pdf</t>
  </si>
  <si>
    <t>Sealing 위치_20240417122004008.jpg</t>
  </si>
  <si>
    <t>seal ring for manhole(upp,low)_20240422094227459.jpg</t>
  </si>
  <si>
    <t>2024-04-25 08:04:09</t>
  </si>
  <si>
    <t>Q4636678</t>
  </si>
  <si>
    <t>MANHOLE SEAL RING OF POLISH FILTER(UPPER),[20240006/DONGOU-MF],550ODX500IDX4T,EPDM,FOR PGR-260L AND 80L OF NICKEL SULFATE REFINERY PLANT,OR EQUIVALENT</t>
  </si>
  <si>
    <t>20240006</t>
  </si>
  <si>
    <t>Polish Filter 소모품 코드 정리_240409_20240417115547086.pdf</t>
  </si>
  <si>
    <t>http://www.chinadongou.com/</t>
  </si>
  <si>
    <t>Sealing 위치_20240417121619209.jpg</t>
  </si>
  <si>
    <t>seal ring for manhole(upp,low)_20240422094534688.jpg</t>
  </si>
  <si>
    <t>2024-04-25 08:04:31</t>
  </si>
  <si>
    <t>Q4636877</t>
  </si>
  <si>
    <t>[DIOW-20/DIO CLEAN INDUSTRIAL]x610Lx610Wx20T</t>
  </si>
  <si>
    <t>DIOW-20</t>
  </si>
  <si>
    <t>DIO CLEAN INDUSTRIAL</t>
  </si>
  <si>
    <t>http://dioclean.co.kr/bbs/board.php?bo_table=dust_filter&amp;wr_id=2</t>
  </si>
  <si>
    <t>DIOW-20_20240430080049797.jpg</t>
  </si>
  <si>
    <t>설비기획섹션</t>
  </si>
  <si>
    <t>오현규</t>
  </si>
  <si>
    <t>냉연공장</t>
  </si>
  <si>
    <t>2024-04-29 10:04:53</t>
  </si>
  <si>
    <t>Q4636878</t>
  </si>
  <si>
    <t>[DIOB-50/DIO CLEAN INDUSTRIAL]x474Lx600W_7P,FOR POCKET BAG FILTER</t>
  </si>
  <si>
    <t>DIOB-50</t>
  </si>
  <si>
    <t>7P</t>
  </si>
  <si>
    <t>FOR POCKET BAG FILTER</t>
  </si>
  <si>
    <t>http://dioclean.co.kr/bbs/board.php?bo_table=dust_filter&amp;wr_id=8</t>
  </si>
  <si>
    <t>포켓백필터_20240419090437326.jpg</t>
  </si>
  <si>
    <t>2024-04-29 10:04:30</t>
  </si>
  <si>
    <t>Q4637302</t>
  </si>
  <si>
    <t>[BBA-5400-SD/BUMHAN],AC 3PHASE,AC500V,400A</t>
  </si>
  <si>
    <t>BBA-5400-SD</t>
  </si>
  <si>
    <t>BBA-5400-SD 카탈로그_20240422073034026.JPG</t>
  </si>
  <si>
    <t>http://bh21.co.kr/n/pro01_emifilter_BBA-SD-150-600A.php</t>
  </si>
  <si>
    <t>BBA-5400-SD 이미지_20240422073034101.JPG</t>
  </si>
  <si>
    <t>송문균</t>
  </si>
  <si>
    <t>airslidefan@poscofuturem.com</t>
  </si>
  <si>
    <t>박영규</t>
  </si>
  <si>
    <t>yeonggyu96933@poscofuturem.com</t>
  </si>
  <si>
    <t>2024-05-07 08:05:25</t>
  </si>
  <si>
    <t>Q4637304</t>
  </si>
  <si>
    <t>[DFBN-1210/DHC],ID40xOD43x76L,AIR,OIL TANK</t>
  </si>
  <si>
    <t>DFBN-1210</t>
  </si>
  <si>
    <t>OIL TANK</t>
  </si>
  <si>
    <t>DFBN-1210_20240408074227557.pdf</t>
  </si>
  <si>
    <t>https://smartstore.naver.com/pneumaticnara/products/8891279355?NaPm=ct%3Dlu9l5694%7Cci%3Dceee132ac46164d5fbb33f4fe8952c2aa253caac%7Ctr%3Dsls%7Csn%3D7975584%7Chk%3Df32622ff4d28652d1b28d5d1eee3c1408b82f7bd</t>
  </si>
  <si>
    <t>DFBN-1210_20240408074227678.jpg</t>
  </si>
  <si>
    <t>김세영</t>
  </si>
  <si>
    <t>포항양극재정비섹션</t>
  </si>
  <si>
    <t>kyojae33@poscofuturem.com</t>
  </si>
  <si>
    <t>2024-05-07 08:05:31</t>
  </si>
  <si>
    <t xml:space="preserve">Q4527851등 유사item 검색하였으나, 형번등 모두 상이하여 확인후 승인합니다. </t>
  </si>
  <si>
    <t>Q4637319</t>
  </si>
  <si>
    <t>VISUAL INDICATOR,CAST IRON/CARBON STEEL,[CID-V05/ATOS]</t>
  </si>
  <si>
    <t>CID-V05</t>
  </si>
  <si>
    <t>https://www.hydrastore.co.uk/product/cid-v05</t>
  </si>
  <si>
    <t>CID 이미지_20240430085102826.JPG</t>
  </si>
  <si>
    <t>김성호</t>
  </si>
  <si>
    <t>ks37940@poscofuturem.com</t>
  </si>
  <si>
    <t>2024-05-07 09:05:48</t>
  </si>
  <si>
    <t>유사item 검색하였으나, 유사품 없음 확인후 승인합니다.</t>
  </si>
  <si>
    <t>Q4637352</t>
  </si>
  <si>
    <t>HYDRAULIC,[0060 R 025 W/HYDAC],ID22xOD45x87L,25micron,STAINLESS STEEL WIRE MESH,3bar,FOR K2C ZRM OIL MIST INLINE FILTER,OR EQUIVALENT</t>
  </si>
  <si>
    <t>0060 R 025 W</t>
  </si>
  <si>
    <t>FOR K2C ZRM OIL MIST INLINE FILTER</t>
  </si>
  <si>
    <t>HYDAC Filter Element Catalog_20240411082003912.pdf</t>
  </si>
  <si>
    <t>https://www.hydac.com/shop/ko-kr/1250123</t>
  </si>
  <si>
    <t>[물품소싱] 0060 R 025 W , HYDAC_20240411082004096.jpg</t>
  </si>
  <si>
    <t>2024-05-07 10:05:50</t>
  </si>
  <si>
    <t xml:space="preserve">Q4511594등 유사item 검색하였으나, 유사품 없음 확인후 승인합니다. </t>
  </si>
  <si>
    <t>Q4637418</t>
  </si>
  <si>
    <t>[KTURBO HEPA INLET AIR FILTER-2024/KTURBO]x470Wx300Lx47T,2micron,PAPER,ALUMINUM,FOR 2WRM AIR TURBO BLOWER FILTER,OR EQUIVALENT</t>
  </si>
  <si>
    <t>KTURBO HEPA INLET AIR FILTER-2024</t>
  </si>
  <si>
    <t xml:space="preserve">KTURBO </t>
  </si>
  <si>
    <t>FOR 2WRM AIR TURBO BLOWER FILTER</t>
  </si>
  <si>
    <t>filter 사양서-HEPA FILTER-2023_20240417125913559.pdf</t>
  </si>
  <si>
    <t>http://www.k-turbo.com/Wind/3.html</t>
  </si>
  <si>
    <t>IMG_9020_20240417125728921.JPG</t>
  </si>
  <si>
    <t>hjung2517@posco.co.kr</t>
  </si>
  <si>
    <t>2024-05-07 13:05:56</t>
  </si>
  <si>
    <t xml:space="preserve">Q4430784등 유사item 검색하였으나, LXH 길이가 상이하여 확인후 승인합니다. </t>
  </si>
  <si>
    <t>Q4637618</t>
  </si>
  <si>
    <t>[FRS-20-B-F25-02-R-W 10/ATOS]_ID40xOD87x134Wx213L_25micron_MICROFIBRE FILTER,8bar</t>
  </si>
  <si>
    <t>FRS-20-B-F25-02-R-W 10</t>
  </si>
  <si>
    <t>FRS 카탈로그_20240507094134680.JPG</t>
  </si>
  <si>
    <t>https://atos.com/en-it/Products/Industrial/Filters/Return-line-filters/c/3_IN_C006</t>
  </si>
  <si>
    <t>FRS 이미지_20240507094134752.JPG</t>
  </si>
  <si>
    <t>2024-05-08 15:05:09</t>
  </si>
  <si>
    <t xml:space="preserve">Q4633582등 유사item 검색하였으나, 없음 확인후 승인합니다. </t>
  </si>
  <si>
    <t>Q4637696</t>
  </si>
  <si>
    <t>[POLYESTER SPUNBOND 200X1000L/AERIX],ID204xOD200x1000L,POLYESTER SPUNBOND</t>
  </si>
  <si>
    <t>POLYESTER SPUNBOND 200X1000L</t>
  </si>
  <si>
    <t>포스코퓨처엠(음극재2공장)_카트리지도면(Φ200＊1000L)_20240423074602704.pdf</t>
  </si>
  <si>
    <t>200x1000L_20240423074602766.jpg</t>
  </si>
  <si>
    <t>차송현</t>
  </si>
  <si>
    <t>음극재기술섹션(사용중지)</t>
  </si>
  <si>
    <t>c362159@poscofuturem.com</t>
  </si>
  <si>
    <t>2024-05-09 09:05:45</t>
  </si>
  <si>
    <t>Q4637697</t>
  </si>
  <si>
    <t>[POLYESTER SPUNBOND 200X1500L/AERIX],ID204xOD200x1500L,POLYESTER SPUNBOND</t>
  </si>
  <si>
    <t>POLYESTER SPUNBOND 200X1500L</t>
  </si>
  <si>
    <t>포스코퓨처엠(음극재2공장)_카트리지도면(Φ200＊1500L)_20240423073644649.pdf</t>
  </si>
  <si>
    <t>200x1500L_20240423073644725.jpg</t>
  </si>
  <si>
    <t>2024-05-09 09:05:33</t>
  </si>
  <si>
    <t>유사item 검색하였으나, 없음 확인후 승인합니다.</t>
  </si>
  <si>
    <t>Q4638001</t>
  </si>
  <si>
    <t>[25A-AC40D-04G/SMC],ID3.175xOD6.35x155Wx83.2L,1.5MPa,AIR</t>
  </si>
  <si>
    <t>25A-AC40D-04G</t>
  </si>
  <si>
    <t>20240425_140225_20240507094232992.jpg</t>
  </si>
  <si>
    <t>https://3sapi.smc.com.cn/ProductPdf/EN/AC20D-AC40D.pdf</t>
  </si>
  <si>
    <t>20240425_140506_20240507094233151.jpg</t>
  </si>
  <si>
    <t>20240425_140225_20240509103119945.jpg</t>
  </si>
  <si>
    <t>송민영</t>
  </si>
  <si>
    <t>mysong_@poscofuturem.com</t>
  </si>
  <si>
    <t>2024-05-14 09:05:52</t>
  </si>
  <si>
    <t xml:space="preserve">Q2088753등 유사품 검색하였으나, 없음 확인후 승인합니다. </t>
  </si>
  <si>
    <t>Q4638203</t>
  </si>
  <si>
    <t>WATER,[ARTIKER NR:23 13 700(9106117)/WANDRES]_INGROMAT MAIN FILTER_FOR SPM NEW STRIP CLEANER</t>
  </si>
  <si>
    <t>ARTIKER NR:23 13 700(9106117)</t>
  </si>
  <si>
    <t>WANDRES</t>
  </si>
  <si>
    <t xml:space="preserve">INGROMAT MAIN FILTER </t>
  </si>
  <si>
    <t>FOR SPM NEW STRIP CLEANER</t>
  </si>
  <si>
    <t>SPM YENİ FIRÇA__20240513214452138.pdf</t>
  </si>
  <si>
    <t>https://wandres.com/?lang=en</t>
  </si>
  <si>
    <t>NR 23 13 700_20240513214348793.png</t>
  </si>
  <si>
    <t>(MECHANICAL) MAINTENANCE SUPPORT</t>
  </si>
  <si>
    <t>2024-05-16 10:05:22</t>
  </si>
  <si>
    <t>Q4638214</t>
  </si>
  <si>
    <t>HYDRAULIC,[FAX-400X20/LEEMIN],LEEMIN HYDRAULIC FILTER</t>
  </si>
  <si>
    <t>FAX-400X20</t>
  </si>
  <si>
    <t>LEEMIN</t>
  </si>
  <si>
    <t>LEEMIN HYDRAULIC FILTER</t>
  </si>
  <si>
    <t>유압리턴필터2_20240516073302487.jpg</t>
  </si>
  <si>
    <t>http://m.leemin.com.cn/products/rfa-xlwxzhshyglq-ID107.html</t>
  </si>
  <si>
    <t>filter element_20240516073302600.JPG</t>
  </si>
  <si>
    <t>2024-05-16 11:05:40</t>
  </si>
  <si>
    <t>Q4447985등 유사item 검색하였으나, 없음 확인후 승인합니다.</t>
  </si>
  <si>
    <t>Q4638330</t>
  </si>
  <si>
    <t>[AB-PX100/PULSARLUBE]xOD14.07x14L,SILICAGEL,AIR, DUST,1~3LINE PTK HYDRAULIC UNIT</t>
  </si>
  <si>
    <t>AB-PX100</t>
  </si>
  <si>
    <t>PULSARLUBE</t>
  </si>
  <si>
    <t>1~3LINE PTK HYDRAULIC UNIT</t>
  </si>
  <si>
    <t>브리더_20240514132037063.JPG</t>
  </si>
  <si>
    <t>https://www.pulsarlube.com/html/_skin/seil/files/Product-Flyers-Pulsarlube-AIR-Korean.pdf</t>
  </si>
  <si>
    <t>401_4_20240514132037269.jpg</t>
  </si>
  <si>
    <t>2024-05-17 09:05:59</t>
  </si>
  <si>
    <t xml:space="preserve">유사item 검색시 유사품 없음 확인후 승인합니다. </t>
  </si>
  <si>
    <t>Q4638416</t>
  </si>
  <si>
    <t>[W962/ECO AIR],OIL_FOR COMPRESSOR(ECO-30D)</t>
  </si>
  <si>
    <t>W962</t>
  </si>
  <si>
    <t>ECO AIR</t>
  </si>
  <si>
    <t>FOR COMPRESSOR(ECO-30D)</t>
  </si>
  <si>
    <t>파트리스트_20240509072938918.JPG</t>
  </si>
  <si>
    <t>http://www.myecoair.net/main</t>
  </si>
  <si>
    <t>신규 SUCTION COMPRESSOR_20240509072939026.JPG</t>
  </si>
  <si>
    <t>박기흥</t>
  </si>
  <si>
    <t>gh3187@poscofuturem.com</t>
  </si>
  <si>
    <t>2024-05-20 08:05:48</t>
  </si>
  <si>
    <t xml:space="preserve">유사 Item검색하였으나, 유사사양 없음 확인하고 승인합니다. </t>
  </si>
  <si>
    <t>Q4638581</t>
  </si>
  <si>
    <t>[AF50-10-A/SMC]xOD90x220.1L,5micron,1.0MPa,AIR FILTER</t>
  </si>
  <si>
    <t>AF50-10-A</t>
  </si>
  <si>
    <t>AIR FILTER</t>
  </si>
  <si>
    <t>AIR FILTER_20240516073236509.JPG</t>
  </si>
  <si>
    <t>AIR FILTER_20240516073236557.JPG</t>
  </si>
  <si>
    <t>한승원</t>
  </si>
  <si>
    <t>sw.han@poscofuturem.com</t>
  </si>
  <si>
    <t>2024-05-21 08:05:57</t>
  </si>
  <si>
    <t xml:space="preserve">Q2094475등 유사item 검색하였으나, 동일 메이커의 다른 형번으로확인후 승인합니다. </t>
  </si>
  <si>
    <t>Q4638619</t>
  </si>
  <si>
    <t>ELECTRONIC[BTH-5120-SD/BUMHAN],AC 500VV,120A,50/60HZ, 260LX115W</t>
  </si>
  <si>
    <t>BTH-5120-SD</t>
  </si>
  <si>
    <t>50/60HZ, 260LX115W</t>
  </si>
  <si>
    <t>BEMF_31_20240520074828660.pdf</t>
  </si>
  <si>
    <t>FILTER_20240520074828742.JPG</t>
  </si>
  <si>
    <t>2024-05-21 10:05:28</t>
  </si>
  <si>
    <t xml:space="preserve">Q4610897등 유사iem 검색하였으나, 동일 메이커의 다른 형번 물품인 것 확인하고 승인합니다. </t>
  </si>
  <si>
    <t>Q4638622</t>
  </si>
  <si>
    <t>ELECTRONIC[BTH-5100-SD/BUMHAN],500VACV,100A,50/60HZ, 260LX115W</t>
  </si>
  <si>
    <t>BTH-5100-SD</t>
  </si>
  <si>
    <t>BEMF_31_20240520075059495.pdf</t>
  </si>
  <si>
    <t>FILTER_20240520075059556.JPG</t>
  </si>
  <si>
    <t>2024-05-21 10:05:44</t>
  </si>
  <si>
    <t xml:space="preserve">Q4610897등 유사item 검색했으나, 동일 메이커의 다른 형번 물품임을 확인하고 승인합니다. _x000D_
</t>
  </si>
  <si>
    <t>Q4638625</t>
  </si>
  <si>
    <t>ELECTRONIC[BTH-5060-SD/BUMHAN],AC 500VV,60A,50/60HZ, 260LX115W</t>
  </si>
  <si>
    <t>BTH-5060-SD</t>
  </si>
  <si>
    <t>BEMF_31_20240520074920675.pdf</t>
  </si>
  <si>
    <t>FILTER_20240520074920753.JPG</t>
  </si>
  <si>
    <t>2024-05-21 10:05:55</t>
  </si>
  <si>
    <t xml:space="preserve">Q4610897등 유사item 검색하였으나, 동일메이커의 다른 형번 물품임 확인후 승인합니다. </t>
  </si>
  <si>
    <t>Q4638741</t>
  </si>
  <si>
    <t>[EMC-25/O2EM]x594Wx594Lx25T,METALLATH,POLYESER NON-WOVEN,OR EQUIVALENT</t>
  </si>
  <si>
    <t>EMC-25</t>
  </si>
  <si>
    <t>EMC25 사양_20240521205246023.jpg</t>
  </si>
  <si>
    <t>EMC25 사진_20240521205246199.jpg</t>
  </si>
  <si>
    <t>2024-05-22 10:05:22</t>
  </si>
  <si>
    <t xml:space="preserve">Q4633850등 유사item 검색하였으나, 두께상이로 확인후 승인합니다. _x000D_
</t>
  </si>
  <si>
    <t>Q4639021</t>
  </si>
  <si>
    <t>HYDRAULIC OIL,[ELC100LP/FERROCARE]+COLLECTORS_MEDIA PAPER,CLEANING HYDRAULIC AND LUBRICATING</t>
  </si>
  <si>
    <t>ELC100LP</t>
  </si>
  <si>
    <t>FERROCARE</t>
  </si>
  <si>
    <t>COLLECTORS</t>
  </si>
  <si>
    <t>CLEANING HYDRAULIC AND LUBRICATING</t>
  </si>
  <si>
    <t>ELC 100_20240523185144871.pdf</t>
  </si>
  <si>
    <t>https://ferrocare.com/</t>
  </si>
  <si>
    <t>FILTER PAPER_20240523185145087.jpg</t>
  </si>
  <si>
    <t>Johnson Tadi</t>
  </si>
  <si>
    <t>johnson.t@posco.net</t>
  </si>
  <si>
    <t>2024-05-27 09:05:44</t>
  </si>
  <si>
    <t>Q4639257</t>
  </si>
  <si>
    <t>AIR/OIL FILTER KIT,WATER,[2901 9904 21/ATLAS COPCO]+AIR/OIL FILTER KIT,FOR ATLAS COPCO COMPRESSOR</t>
  </si>
  <si>
    <t>Filter Element Atlas Copco air compressor_20240521184354798.pdf</t>
  </si>
  <si>
    <t>IMG_20240414_085930_20240521184720968.jpg</t>
  </si>
  <si>
    <t>2024-05-28 10:05:07</t>
  </si>
  <si>
    <t xml:space="preserve">Q4635933등 유사item 검색후 없음 확인후 승인합니다. </t>
  </si>
  <si>
    <t>Q4639265</t>
  </si>
  <si>
    <t>[MS6-LFM-1/2-A-R-M-WB(P/N:527670)/FESTO]+G1/2'',0.01micron,FINE AND MICRO FILTER,FOR SPM NEW STRIP CLEANER</t>
  </si>
  <si>
    <t>MS6-LFM-1/2-A-R-M-WB(P/N:527670)</t>
  </si>
  <si>
    <t>FESTO</t>
  </si>
  <si>
    <t>G1/2''</t>
  </si>
  <si>
    <t>FINE AND MICRO FILTER</t>
  </si>
  <si>
    <t>https://www.festo.com/media/pim/736/D15000100122736.PDF</t>
  </si>
  <si>
    <t>FESTO MS6-LFM-1-2-A-R-M-WB 527670_20240527222638232.png</t>
  </si>
  <si>
    <t>2024-05-28 11:05:29</t>
  </si>
  <si>
    <t xml:space="preserve">Q4422929등 유사item검색하였으나, 없음 확인하고 승인합니다. _x000D_
_x000D_
</t>
  </si>
  <si>
    <t>Q4639488</t>
  </si>
  <si>
    <t>[56003124320/ECO AIR],ID75xOD125x315L,8bar,AIR,FOR COMPRESSOR(ECO-30D)</t>
  </si>
  <si>
    <t>56003124320</t>
  </si>
  <si>
    <t>페이지 원본 에코에어카다로그202209-압축됨_20240529131832483.pdf</t>
  </si>
  <si>
    <t>신규 SUCTION COMPRESSOR_20240529131832673.JPG</t>
  </si>
  <si>
    <t>2024-05-30 14:05:06</t>
  </si>
  <si>
    <t xml:space="preserve">Q4466882등 유사item검색하였으나 없음 확인후 승인합니다. </t>
  </si>
  <si>
    <t>Q4639500</t>
  </si>
  <si>
    <t>HYDRAULIC,[0140D005ON/HYDAC],ID22x47Wx194L,5micron,OPTMICRON,FOR K2SMP 1RH LADLE LIFTING CONTROL PUMP FILTER ELEMENT,OR EQUIVALENT</t>
  </si>
  <si>
    <t>0140D005ON</t>
  </si>
  <si>
    <t>FOR K2SMP 1RH LADLE LIFTING CONTROL PUMP FILTER ELEMENT</t>
  </si>
  <si>
    <t>https://www.hydac.com.au/media/productattach/e/_/e.7.551.11.04.15.pdf</t>
  </si>
  <si>
    <t>엘레멘트 이미지_20240426100244112.jpg</t>
  </si>
  <si>
    <t>박경태</t>
  </si>
  <si>
    <t>park15321@posco.co.kr</t>
  </si>
  <si>
    <t>2024-05-30 15:05:40</t>
  </si>
  <si>
    <t xml:space="preserve">Q2065901등 유사item 검색하였으나, 없음 확인하고 승인합니다. _x000D_
</t>
  </si>
  <si>
    <t>Q4639629</t>
  </si>
  <si>
    <t>OIL SEPARATOR KIT,[2901 9904 20/ATLAS COPCO],FOR ATLAS COPCO COMPRESSOR</t>
  </si>
  <si>
    <t>2901 9904 20</t>
  </si>
  <si>
    <t>2901990420 OIL SEPARATOR FILTER KIT_20240527181048864.pdf</t>
  </si>
  <si>
    <t>IMG_1715676910769_1716172777402_20240527181456908.jpg</t>
  </si>
  <si>
    <t>2024-06-03 08:06:50</t>
  </si>
  <si>
    <t>Q4639834</t>
  </si>
  <si>
    <t>[VAF-PK-6 (P/N:160239)/FESTO]x4.6T,50micron,POM,-0.95~0bar,PA,-0.75bar,VACUUM FILTER,FOR SPM NEW STRIP CLEANER</t>
  </si>
  <si>
    <t>VAF-PK-6 (P/N:160239)</t>
  </si>
  <si>
    <t>VACUUM FILTER</t>
  </si>
  <si>
    <t>160239datasheet_20240528183822231.pdf</t>
  </si>
  <si>
    <t>FESTO VAF-PK-6 (P-N 160239)_20240528183908084.png</t>
  </si>
  <si>
    <t>2024-06-04 14:06:26</t>
  </si>
  <si>
    <t xml:space="preserve">Q4417519등 유사item 검색했으나,없음 확인후 승인합니다. </t>
  </si>
  <si>
    <t>Q4640123</t>
  </si>
  <si>
    <t>HYDRAULIC,[MF-20/OMAX]xOD159,100mesh,20bar,FOR SUCTION FILTER AUXI TANK AT #1ZRM</t>
  </si>
  <si>
    <t>MF-20</t>
  </si>
  <si>
    <t>OMAX</t>
  </si>
  <si>
    <t>FOR SUCTION FILTER AUXI TANK AT #1ZRM</t>
  </si>
  <si>
    <t>https://www.omaxhydraulics.com/product/46/288/290</t>
  </si>
  <si>
    <t>IMG_5830_20240605150356919.JPG</t>
  </si>
  <si>
    <t>2024-06-10 09:06:03</t>
  </si>
  <si>
    <t>Q4641620</t>
  </si>
  <si>
    <t>[DABU-08/DHC],ID70xOD100x80Lx57T,STS304</t>
  </si>
  <si>
    <t>DABU-08</t>
  </si>
  <si>
    <t>에어브리더 카탈로그_20240619102011222.PNG</t>
  </si>
  <si>
    <t>http://www.dhchyd.co.kr/2018donghwa.pdf</t>
  </si>
  <si>
    <t>에어브리더 이미지_20240619102011352.PNG</t>
  </si>
  <si>
    <t>강지호</t>
  </si>
  <si>
    <t>jiho_@poscofuturem.com</t>
  </si>
  <si>
    <t>2024-06-20 10:06:23</t>
  </si>
  <si>
    <t xml:space="preserve">Q4637304등 유사item 검색하였으나, 동일 메이커의 다른 형번 물품 확인후 승인합니다. </t>
  </si>
  <si>
    <t>Q4641714</t>
  </si>
  <si>
    <t>CENTRIFUGE DECANTER,3700Lx1320Wx1400H,[TERA-H1/FLUEN],3bar,ZLD CRYSTAL SALT,TEMPERATURE:ATM,P/N:B12,22,23,24,HYDROSTATIC SLIPDRIVE WITH OUT,BOWL MATERIAL:S32750</t>
  </si>
  <si>
    <t>TERA-H1</t>
  </si>
  <si>
    <t>P/N:B12,22,23,24,HYDROSTATIC SLIPDRIVE WITH OUT,BOWL MATERIAL:S32750</t>
  </si>
  <si>
    <t>TEMPERATURE:ATM</t>
  </si>
  <si>
    <t>데칸터데이터시트_20240612184046685_20240618212000473.pdf</t>
  </si>
  <si>
    <t>http://www.fluen.com/bbs/content.php?co_id=DECANTER_CENTRIFUGES</t>
  </si>
  <si>
    <t>images(1)_20240612183839291_20240618212000364.jpg</t>
  </si>
  <si>
    <t>강한기</t>
  </si>
  <si>
    <t>hk.kang@poscolithium.com</t>
  </si>
  <si>
    <t>2024-06-24 07:06:08</t>
  </si>
  <si>
    <t>Q4641836</t>
  </si>
  <si>
    <t>AIR,[P/N:444113/HANSHIN],FOR OIL SEPARATOR COMPRESSOR</t>
  </si>
  <si>
    <t>P/N:444113</t>
  </si>
  <si>
    <t>FOR OIL SEPARATOR COMPRESSOR</t>
  </si>
  <si>
    <t>444113 hanshi_20240618183331561.png</t>
  </si>
  <si>
    <t>http://www.hanshin.vn/hanshin-air-compressor/</t>
  </si>
  <si>
    <t>IMG_20240530_110419_20240618183331783.jpg</t>
  </si>
  <si>
    <t>2024-06-24 10:06:34</t>
  </si>
  <si>
    <t xml:space="preserve">Please read [Notice] Cancellation of mandatory attachment of New Particular specification items ('24.6.11.~)._x000D_
http://www.seoulhanshin.co.kr/bbs/board.php?bo_table=product_1&amp;wr_id=9의 GRH2-250A 모델명 및 첨부파일의 파트넘버 확인후 승인합니다. _x000D_
검토의뢰서는 폐지 되어 첨부하지 않으셔도 됩니다. </t>
  </si>
  <si>
    <t>Q4641959</t>
  </si>
  <si>
    <t>AIR,[F8000-20-W-FM/CKD]x100Wx250L,5micron,POLYPROPYLENE,1MPa,FOR K1ZRM PROTECTOR CAGE AIR LINE FILTER,OR EQUIVALENT</t>
  </si>
  <si>
    <t>F8000-20-W-FM</t>
  </si>
  <si>
    <t>FOR K1ZRM PROTECTOR CAGE AIR LINE FILTER</t>
  </si>
  <si>
    <t>F8000-W_20240620083908002.pdf</t>
  </si>
  <si>
    <t>https://www.samin4u.com/product/product_download.php?stx=f8000</t>
  </si>
  <si>
    <t>CKD필터 명판_20240620083908139.jpg</t>
  </si>
  <si>
    <t>윤민수</t>
  </si>
  <si>
    <t>yunminsu93@posco.co.kr</t>
  </si>
  <si>
    <t>2024-06-25 10:06:19</t>
  </si>
  <si>
    <t>Q4641960</t>
  </si>
  <si>
    <t>[B10-KAU401-04-S255/KCC]x225Wx217L,1.2MPa,5UM/0.3UM/0.01UM,WITH BRACKET, MAKER DWG NO:B10-KAU401-04-S255</t>
  </si>
  <si>
    <t>B10-KAU401-04-S255</t>
  </si>
  <si>
    <t>5UM/0.3UM/0.01UM,WITH BRACKET, MAKER DWG NO:B10-KAU401-04-S255</t>
  </si>
  <si>
    <t>3단필터 CAT_20240624075512223.GIF</t>
  </si>
  <si>
    <t>3단필터 IMG_20240624075512287.GIF</t>
  </si>
  <si>
    <t>이동경</t>
  </si>
  <si>
    <t>ldk9945@poscofuturem.com</t>
  </si>
  <si>
    <t>2024-06-25 10:06:22</t>
  </si>
  <si>
    <t xml:space="preserve">Q1236509등 유사item 검색하였으나, 유사품 없음 확인후 승인합니다. </t>
  </si>
  <si>
    <t>Q4642105</t>
  </si>
  <si>
    <t>STS304+NYLON,[3B07-3800-240-00/ILWHA MAGNET]_1602Dx1610Dx1242Lx1413Wx4T_NYLON+STS304_7~10bar,OR EQUIVALENT</t>
  </si>
  <si>
    <t>3B07-3800-240-00</t>
  </si>
  <si>
    <t>ILWHA MAGNET</t>
  </si>
  <si>
    <t>가압식 정제 FILTER 도면(일화마그네트)_20240624122352438.pdf</t>
  </si>
  <si>
    <t>http://www.magnesia.co.kr/</t>
  </si>
  <si>
    <t>가압식 정제 FILTER (제품 사진)_20240605083638015.jpg</t>
  </si>
  <si>
    <t>나도홍</t>
  </si>
  <si>
    <t>(광양)냉연부 1냉연공장</t>
  </si>
  <si>
    <t>hongdona@posco.co.kr</t>
  </si>
  <si>
    <t>김정식</t>
  </si>
  <si>
    <t>hankyung@posco.co.kr</t>
  </si>
  <si>
    <t>2024-06-26 10:06:55</t>
  </si>
  <si>
    <t>Q4642112</t>
  </si>
  <si>
    <t>[FPS-10-B-F06-02-R-W 10/ATOS]_ID20x115L_7micron,OIL</t>
  </si>
  <si>
    <t>FPS-10-B-F06-02-R-W 10</t>
  </si>
  <si>
    <t>aots1_20240624075455575.JPG</t>
  </si>
  <si>
    <t>https://www.atos.com/marketing/EN/KTF21.pdf</t>
  </si>
  <si>
    <t>filter_20240624075455650.JPG</t>
  </si>
  <si>
    <t>2024-06-26 10:06:44</t>
  </si>
  <si>
    <t xml:space="preserve">Q4637618등 유사ITEM 검색하였으나, 동일 메이커의 다른 형번임 확인후 승인합니다. _x000D_
</t>
  </si>
  <si>
    <t>Q4642115</t>
  </si>
  <si>
    <t>[SSM-450-FS-60-824-250/HYFILTER SYSTEM],ID54xOD60x824L,250micron,SUS316,MAKER DWG NO:HY-M-2404-00-DW11B,OR EQUIVALENT</t>
  </si>
  <si>
    <t>SSM-450-FS-60-824-250</t>
  </si>
  <si>
    <t>HYFILTER SYSTEM</t>
  </si>
  <si>
    <t>MAKER DWG NO:HY-M-2404-00-DW11B</t>
  </si>
  <si>
    <t>FILTER SCREEN Model_20240430151754544.jpg</t>
  </si>
  <si>
    <t>www.hyfilter.com</t>
  </si>
  <si>
    <t>KakaoTalk_20240429_082400071_20240429134836536.jpg</t>
  </si>
  <si>
    <t>오태현</t>
  </si>
  <si>
    <t>oth000626@posco.co.kr</t>
  </si>
  <si>
    <t>2024-06-26 10:06:07</t>
  </si>
  <si>
    <t>Q4642118</t>
  </si>
  <si>
    <t>AIR,GAS,DUST,GAS,[P-SB O, 7/2.5, UF PLUG, 50 MIC, VITON(BAM)/DONALDSON],50micron,PURE SINTERED BRONZE MATERIAL NO. 2.1052,BRASS ENDCAPS,FOR 4CC BLOOM TCM MAIN GAS PANEL OXY GAS FILTER,OR EQUIVALENT</t>
  </si>
  <si>
    <t>P-SB O, 7/2.5, UF PLUG, 50 MIC, VITON(BAM)</t>
  </si>
  <si>
    <t>BRASS ENDCAPS</t>
  </si>
  <si>
    <t>FOR 4CC BLOOM TCM MAIN GAS PANEL OXY GAS FILTER</t>
  </si>
  <si>
    <t>다운로드_20240625073125455.pdf</t>
  </si>
  <si>
    <t>https://www.donaldson.com/ko-kr/</t>
  </si>
  <si>
    <t>4CC BL TCM Oxy Line Filter_20240625073125581.png</t>
  </si>
  <si>
    <t>태영환</t>
  </si>
  <si>
    <t>tyh4147@posco.co.kr</t>
  </si>
  <si>
    <t>2024-06-26 10:06:31</t>
  </si>
  <si>
    <t>유사 ITEM 검색하였으나, 동일 물품 없음 확인후 승인합니다. _x000D_
** 상기 결재내용(POSCO)에 내용 작성이 잘 되셨으면, 승인문서 첨부는 필요없습니다. (결재방법 개선 #공지 359번)</t>
  </si>
  <si>
    <t>Q4642119</t>
  </si>
  <si>
    <t>MAIN FILTER,AIR,GAS,DUST,GAS,[P-SM N E, 7/2.5, UF PLUG, 100 MIC, VITON/DONALDSON],100micron,STAINLESS STEEL 1.4301,FOR 4CC LOOM TCM MAIN GAS PANEL NG GAS FILTER,OR EQUIVALENT</t>
  </si>
  <si>
    <t>P-SM N E, 7/2.5, UF PLUG, 100 MIC, VITON</t>
  </si>
  <si>
    <t>FOR 4CC LOOM TCM MAIN GAS PANEL NG GAS FILTER</t>
  </si>
  <si>
    <t>Steam-Sterile-Air-and-Liquid-Filtration_20240625074106424.pdf</t>
  </si>
  <si>
    <t>4CC BL TCM NG Line Filter_20240625074106596.png</t>
  </si>
  <si>
    <t>2024-06-26 10:06:09</t>
  </si>
  <si>
    <t xml:space="preserve">** 상기 결재내용(POSCO)에 내용 작성이 잘 되셨으면, 승인문서 첨부는 필요없습니다. (결재방법 개선 #공지 359번)._x000D_
유사ITEM 검색하였으나, 도일품 없음 확인후 승인합니다. </t>
  </si>
  <si>
    <t>Q4642156</t>
  </si>
  <si>
    <t>SLAVE,[KNS-EMG-M/KOINS ENC],4A,AC110-220V,420X310X200MM,WINDOWS 10 IOT,LORA,OR EQUIVALENT</t>
  </si>
  <si>
    <t>KNS-EMG-M</t>
  </si>
  <si>
    <t>KOINS ENC</t>
  </si>
  <si>
    <t>420X310X200MM,WINDOWS 10 IOT,LORA</t>
  </si>
  <si>
    <t>송수신반  특정사양품 양식_20240625132924493.pptx</t>
  </si>
  <si>
    <t>http://www.koinsenc.co.kr/product/product_view.htm?product_category=01160000&amp;idx=21921</t>
  </si>
  <si>
    <t>KNS-EMG-M_20240625132924604.png</t>
  </si>
  <si>
    <t>2024-06-26 13:06:55</t>
  </si>
  <si>
    <t>Q4642158</t>
  </si>
  <si>
    <t>TRANCEIVERS/MEDIA FILTERS,[KNS-EMG-S/KOINS ENC],2A,AC220V,160X80X80MM,LORA,OR EQUIVALENT</t>
  </si>
  <si>
    <t>KNS-EMG-S</t>
  </si>
  <si>
    <t>160X80X80MM,LORA</t>
  </si>
  <si>
    <t>송수신반  특정사양품 양식_20240625134648344.pptx</t>
  </si>
  <si>
    <t>KNS-EMG-S_20240625134648464.png</t>
  </si>
  <si>
    <t>2024-06-26 13:06:44</t>
  </si>
  <si>
    <t>Q4642193</t>
  </si>
  <si>
    <t>[FRS-20-B-F06-02-R-W 10/ATOS]_ID20xOD110_7micron,OIL</t>
  </si>
  <si>
    <t>FRS-20-B-F06-02-R-W 10</t>
  </si>
  <si>
    <t>filter3_20240624075345991.JPG</t>
  </si>
  <si>
    <t>cir filter_20240624075346126.JPG</t>
  </si>
  <si>
    <t>2024-06-26 15:06:45</t>
  </si>
  <si>
    <t xml:space="preserve">Q4633582등 유사item 검색하였으나, 동일품 없음 확인후 승인합니다. </t>
  </si>
  <si>
    <t>Q4642733</t>
  </si>
  <si>
    <t>[C800/JEMACO]x852Lx231W,0.01micron,FOR DRYER OF COMPRESSOR</t>
  </si>
  <si>
    <t>C800</t>
  </si>
  <si>
    <t>JEMACO</t>
  </si>
  <si>
    <t>FOR DRYER OF COMPRESSOR</t>
  </si>
  <si>
    <t>NGF_JF_JED_JAC_JTF_Eng_Rev.C_20240627124006797.pdf</t>
  </si>
  <si>
    <t>https://www.jemacoair.com/en-bg/products/air-dryer/auxiliary/ngf-series</t>
  </si>
  <si>
    <t>Screenshot 2024-06-27 101858_20240627124431972.jpg</t>
  </si>
  <si>
    <t>2024-07-02 10:07:54</t>
  </si>
  <si>
    <t xml:space="preserve">유사item검색하였으나, 없음 확인하였고 U800을 카타로그에서 확인하여 승인합니다. </t>
  </si>
  <si>
    <t>Q4643425</t>
  </si>
  <si>
    <t>[M1000-8-W-F1/CKD]x40Wx114L,0.01micron,PLASTIC FORM,0.7MPa,AIR</t>
  </si>
  <si>
    <t>M1000-8-W-F1</t>
  </si>
  <si>
    <t>M1000-W_20240125141856043_20240304185000325.pdf</t>
  </si>
  <si>
    <t>https://www.samin4u.com/product/product_view.php?pg_no=326</t>
  </si>
  <si>
    <t>M1000-8-W-F1_CKD_20240125141839621_20240304185000187.JPG</t>
  </si>
  <si>
    <t>여원우</t>
  </si>
  <si>
    <t>tripleo25@poscofuturem.com</t>
  </si>
  <si>
    <t>2024-07-09 13:07:49</t>
  </si>
  <si>
    <t xml:space="preserve">Q1037269등 유사item 검색하였으나, 동일 메이커의 다른 형번임 확인후 승인합니다. </t>
  </si>
  <si>
    <t>Q4643426</t>
  </si>
  <si>
    <t>[F1000-8-W-F1/CKD],ID6.35xOD6.35x40Wx114L,5micron,1MPa,AIR</t>
  </si>
  <si>
    <t>F1000-8-W-F1</t>
  </si>
  <si>
    <t>F1000-W_20240708174520943.pdf</t>
  </si>
  <si>
    <t>https://www.samin4u.com/product/product_view.php?pg_no=327</t>
  </si>
  <si>
    <t>M1000-8-W-F1_CKD_20240124185903245_20240708174521048.JPG</t>
  </si>
  <si>
    <t>2024-07-09 13:07:05</t>
  </si>
  <si>
    <t xml:space="preserve">Q1037269등 유사item  검색 하였으나, 동일 메이커의 다른 물품임 확인후 승인합니다. </t>
  </si>
  <si>
    <t>Q4643430</t>
  </si>
  <si>
    <t>[AFF90D-F20/SMC]x160Wx170L,1micron,ALUMINUM,0.7MPa,ALUMINUM,PORT SIZE 2'',FOR APF</t>
  </si>
  <si>
    <t>AFF90D-F20</t>
  </si>
  <si>
    <t>PORT SIZE 2''</t>
  </si>
  <si>
    <t>FOR APF</t>
  </si>
  <si>
    <t>aff90d-f20_20240709132644652.jpg</t>
  </si>
  <si>
    <t>https://www.smcpneumatics.com/AFF90D-F20.html</t>
  </si>
  <si>
    <t>AFF90D-F20_20240705221730856.png</t>
  </si>
  <si>
    <t>SMC AFF90D-F20_20240705221800424.png</t>
  </si>
  <si>
    <t>2024-07-09 13:07:28</t>
  </si>
  <si>
    <t>Q4643733</t>
  </si>
  <si>
    <t>[SJ-18 125A/SHC]_60mesh,7bar_WITH FILTER ELEMENT_FOR K1ACL NO.1 BRUSH SCRUBBER CIRCULATION FILTER,OR EQUIVALENT</t>
  </si>
  <si>
    <t>SJ-18 125A</t>
  </si>
  <si>
    <t>WITH FILTER ELEMENT</t>
  </si>
  <si>
    <t>FOR K1ACL NO.1 BRUSH SCRUBBER CIRCULATION FILTER</t>
  </si>
  <si>
    <t>SJ-18 사양_20240701073949590.jpg</t>
  </si>
  <si>
    <t>SJ-18 사진_20240701073949639.jpg</t>
  </si>
  <si>
    <t>이현빈</t>
  </si>
  <si>
    <t>lhbeen6568@posco.co.kr</t>
  </si>
  <si>
    <t>2024-07-11 09:07:19</t>
  </si>
  <si>
    <t xml:space="preserve">Q4268710등 유사item 검색하였으나, 유사품 없음 확인후 승인합니다. </t>
  </si>
  <si>
    <t>Q4643735</t>
  </si>
  <si>
    <t>[SJ-18 50A/SHC]_60mesh,7bar_WITH FILTER ELEMENT_FOR K1ACL HOT DIP TANK CIRCULATION FILTER,OR EQUIVALENT</t>
  </si>
  <si>
    <t>SJ-18 50A</t>
  </si>
  <si>
    <t>FOR K1ACL HOT DIP TANK CIRCULATION FILTER</t>
  </si>
  <si>
    <t>SJ-18 사양_20240701074118675.jpg</t>
  </si>
  <si>
    <t>SJ-18 50A_20240701074118717.jpg</t>
  </si>
  <si>
    <t xml:space="preserve">Q4268710등 유사item 검색하였으나, 없음 확인후 승인합니다. </t>
  </si>
  <si>
    <t>SJ-18 80A</t>
  </si>
  <si>
    <t>FOR K1ACL COATER CIRCULATION FILTER</t>
  </si>
  <si>
    <t>SJ-18 사양_20240701074051206.jpg</t>
  </si>
  <si>
    <t>SJ-18 사진_20250319151622765.jpg</t>
  </si>
  <si>
    <t>2025-03-21 15:03:46</t>
  </si>
  <si>
    <t xml:space="preserve">Q4156300등 유사item 검색하였으나, 동일 메이커의 다른 형번물품임 확인후 승인합니다. </t>
  </si>
  <si>
    <t>Q4643737</t>
  </si>
  <si>
    <t>[SJ-18 100A/SHC]x410L_60mesh,7bar_WITH FILTER ELEMENT_FOR K1ACL ALKALI CIRCULATION TANK FILTER,OR EQUIVALENT</t>
  </si>
  <si>
    <t>SJ-18 100A</t>
  </si>
  <si>
    <t>FOR K1ACL ALKALI CIRCULATION TANK FILTER</t>
  </si>
  <si>
    <t>SJ-18 사양_20240701074012983.jpg</t>
  </si>
  <si>
    <t>SJ-18 사진_20240701074013041.jpg</t>
  </si>
  <si>
    <t>2024-07-11 09:07:12</t>
  </si>
  <si>
    <t>Q4643896</t>
  </si>
  <si>
    <t>[WOM-C-H1000-G-4-30-30/TAE YOUNG FILTRATION SYSTEM],PP,MAKER DWG NO:WOM-C-H1000-G-4-30-30</t>
  </si>
  <si>
    <t>WOM-C-H1000-G-4-30-30</t>
  </si>
  <si>
    <t>TAE YOUNG FILTRATION SYSTEM</t>
  </si>
  <si>
    <t>MAKER DWG NO:WOM-C-H1000-G-4-30-30</t>
  </si>
  <si>
    <t>2.WOM-C-H1000-G-4-30-30_20240702091332850.pdf</t>
  </si>
  <si>
    <t>http://tae-young.com/product/filter_plates.php</t>
  </si>
  <si>
    <t>헤드판_20240626153843195.jpg</t>
  </si>
  <si>
    <t>임동안</t>
  </si>
  <si>
    <t>dong5034@snnc.co.kr</t>
  </si>
  <si>
    <t>2024-07-12 09:07:41</t>
  </si>
  <si>
    <t xml:space="preserve">유사item 검색하였으나, 없음 확인후 승인합니다. </t>
  </si>
  <si>
    <t>Q4643897</t>
  </si>
  <si>
    <t>[WOM-C-E1000-G-4-30-30/TAE YOUNG FILTRATION SYSTEM],PP,MAKER DWG NO:WOM-C-E1000-G-4-30-30</t>
  </si>
  <si>
    <t>WOM-C-E1000-G-4-30-30</t>
  </si>
  <si>
    <t>MAKER DWG NO:WOM-C-E1000-G-4-30-30</t>
  </si>
  <si>
    <t>3.WOM-C-E1000-G-4-30-30_20240702091635935.pdf</t>
  </si>
  <si>
    <t>END판_20240626154326907.jpg</t>
  </si>
  <si>
    <t>2024-07-12 09:07:14</t>
  </si>
  <si>
    <t xml:space="preserve">유사item 검색하였으나, 없음 확인후 승인합니다. _x000D_
</t>
  </si>
  <si>
    <t>Q4643898</t>
  </si>
  <si>
    <t>[WOM-C-K1000-G-4-30-30/TAE YOUNG FILTRATION SYSTEM],PP,MAKER DWG NO:WOM-C-K1000-G-4-30-30</t>
  </si>
  <si>
    <t>WOM-C-K1000-G-4-30-30</t>
  </si>
  <si>
    <t>MAKER DWG NO:WOM-C-K1000-G-4-30-30</t>
  </si>
  <si>
    <t>1.WOM-C-K1000-G-4-30-30_20240702091746698.pdf</t>
  </si>
  <si>
    <t>일반판_20240626154640366.jpg</t>
  </si>
  <si>
    <t>2024-07-12 09:07:51</t>
  </si>
  <si>
    <t xml:space="preserve">유사item검색하였으나, 없음 확인후 승인합니다. </t>
  </si>
  <si>
    <t>Q4643900</t>
  </si>
  <si>
    <t>[WOM-C-M1000-G-4-30-35/TAE YOUNG FILTRATION SYSTEM],PP,MAKER DWG NO:WOM-C-M1000-G-4-30-35</t>
  </si>
  <si>
    <t>WOM-C-M1000-G-4-30-35</t>
  </si>
  <si>
    <t>MAKER DWG NO:WOM-C-M1000-G-4-30-35</t>
  </si>
  <si>
    <t>4.WOM-C-M1000-G-4-30-35_20240702091905154.pdf</t>
  </si>
  <si>
    <t>멤브레인_20240626154930172.jpg</t>
  </si>
  <si>
    <t>2024-07-12 09:07:37</t>
  </si>
  <si>
    <t xml:space="preserve">Q4294750등 유사item 검색했으나, 유사품 없음 확인후 승인합니다. </t>
  </si>
  <si>
    <t>Q4643906</t>
  </si>
  <si>
    <t>[GNPT07-4-LF-01/YOUGONGENG]x606Lx606W_STS304_MAKER DWG NO:GNPT07-4-LF-01</t>
  </si>
  <si>
    <t>GNPT07-4-LF-01</t>
  </si>
  <si>
    <t>YOUGONGENG</t>
  </si>
  <si>
    <t>MAKER DWG NO:GNPT07-4-LF-01</t>
  </si>
  <si>
    <t>유공 7라인 개조 라인 필터_20240711074459931.pdf</t>
  </si>
  <si>
    <t>http://yougongeng.com/</t>
  </si>
  <si>
    <t>필터 이미지_20240711074500004.PNG</t>
  </si>
  <si>
    <t>2024-07-12 09:07:38</t>
  </si>
  <si>
    <t>Q4644023</t>
  </si>
  <si>
    <t>[U800/JEMACO]x852Lx231W,0.01micron,FOR DRYER OF COMPRESSOR</t>
  </si>
  <si>
    <t>U800</t>
  </si>
  <si>
    <t>NGF_JF_JED_JAC_JTF_Eng_Rev.C_20240708095647418.pdf</t>
  </si>
  <si>
    <t>Screenshot 2024-06-27 101858_20240708095647615.jpg</t>
  </si>
  <si>
    <t>2024-07-15 08:07:33</t>
  </si>
  <si>
    <t xml:space="preserve">Vui lòng đăng ký mã DPR Q4641176 được inactive với cùng một thông số kỹ thuật và chắc chắn tiến hành xóa mã giống nhau._x000D_
Please apply for the same inactive Q4641176 code DPR with the same specification and proceed with the same code deletion._x000D_
동일 사양의 inactive된 Q4641176 코드 DPR 신청하여 동일코드 삭제 진행 필히 부탁드립니다. </t>
  </si>
  <si>
    <t>Q4644277</t>
  </si>
  <si>
    <t>[LF BH/HC 660 I F 10 B 1/HYDAC]xOD130x479.5L_ALUMINIUM/CAST IRON_BETAMICRON,100bar,OIL_1CGL SPM HYDRAULIC SYSTEM AUXILIAR RECIRCULATION</t>
  </si>
  <si>
    <t>LF BH/HC 660 I F 10 B 1</t>
  </si>
  <si>
    <t>1CGL SPM HYDRAULIC SYSTEM AUXILIAR RECIRCULATION</t>
  </si>
  <si>
    <t>Data. sheet_20240706040507284.pdf</t>
  </si>
  <si>
    <t>https://www.hydac.com/shop/es-es/311239</t>
  </si>
  <si>
    <t>Slide1_20240706041510376.JPG</t>
  </si>
  <si>
    <t>2024-07-16 13:07:36</t>
  </si>
  <si>
    <t>Q4644493</t>
  </si>
  <si>
    <t>[0300.F023.1/SUNGSHIN]x212Lx93W,20micron,OR EQUIVALENT</t>
  </si>
  <si>
    <t>0300.F023.1</t>
  </si>
  <si>
    <t>SUNGSHIN</t>
  </si>
  <si>
    <t>PARTS BOOK(ECO-30,50)_REV.02(배포용) (3)_20240701143128775.pdf</t>
  </si>
  <si>
    <t>http://www.shinwoocnd.com/?c=14/18/220&amp;uid=925291</t>
  </si>
  <si>
    <t>콤프레샤 사진1_1_20240701143227820.png</t>
  </si>
  <si>
    <t>leebh23@posco.co.kr</t>
  </si>
  <si>
    <t>2024-07-17 13:07:28</t>
  </si>
  <si>
    <t>Q4644494</t>
  </si>
  <si>
    <t>AIR,[P/N:0400.F001.2/SUNGSHIN MACHINERY],20micron,PULP,OR EQUIVALENT</t>
  </si>
  <si>
    <t>P/N:0400.F001.2</t>
  </si>
  <si>
    <t>SUNGSHIN MACHINERY</t>
  </si>
  <si>
    <t>PARTS BOOK(ECO-30,50)_REV.02(배포용) (3)_20240701144902985.pdf</t>
  </si>
  <si>
    <t>콤프레샤 사진1_1_20240701143814827.png</t>
  </si>
  <si>
    <t>2024-07-17 13:07:52</t>
  </si>
  <si>
    <t>Q4645102</t>
  </si>
  <si>
    <t>PP,WATER,[APJ-1S-3E-550/DONGHWA F&amp;E],ID97xOD152x550L,1micron,PP,5.0bar,FILTRATION AREA:2.68M^2</t>
  </si>
  <si>
    <t>APJ-1S-3E-550</t>
  </si>
  <si>
    <t>DONGHWA F&amp;E</t>
  </si>
  <si>
    <t>FILTRATION AREA:2.68M^2</t>
  </si>
  <si>
    <t>물품소개 카탈로그_20240703115208424.pdf</t>
  </si>
  <si>
    <t>www.dhfilter.net</t>
  </si>
  <si>
    <t>제품사진(3)_350_20240703110511470.jpg</t>
  </si>
  <si>
    <t>2024-07-23 11:07:40</t>
  </si>
  <si>
    <t>Q4645109</t>
  </si>
  <si>
    <t>[01.E330.10VG.16.E.P.-(301797)/EATON],ID75x305L,10micron,NITRILE,16bar,FOR BOILER BFWP LUB' OIL FILTER,OR EQUIVALENT</t>
  </si>
  <si>
    <t>01.E330.10VG.16.E.P.-(301797)</t>
  </si>
  <si>
    <t xml:space="preserve">FOR BOILER BFWP LUB' OIL FILTER </t>
  </si>
  <si>
    <t>https://www.eaton.com/kr/ko-kr/skuPage.301797.html</t>
  </si>
  <si>
    <t>IS-FILTER-Eaton-01-E-Return-line-Hydraulic-Elements_C_20240723083109075.jpg</t>
  </si>
  <si>
    <t>배민</t>
  </si>
  <si>
    <t>(광양)에너지부 발전공장</t>
  </si>
  <si>
    <t>baemin@posco.co.kr</t>
  </si>
  <si>
    <t>하재관</t>
  </si>
  <si>
    <t>forever8482@posco.co.kr</t>
  </si>
  <si>
    <t>2024-07-23 11:07:26</t>
  </si>
  <si>
    <t>Q4645262</t>
  </si>
  <si>
    <t>[714 20 980/LEYBOLD]_FOR 5~8T/G SEAL OUL VACUUM PUMP,OR EQUIVALENT</t>
  </si>
  <si>
    <t>714 20 980</t>
  </si>
  <si>
    <t>FOR 5~8T/G SEAL OUL VACUUM PUMP</t>
  </si>
  <si>
    <t>Single_Stage_31-41cfm_Vacuum_Pump_20240708074733385.pdf</t>
  </si>
  <si>
    <t>https://www.leyboldproducts.kr/ersatzteile/1157/oil-filter-sogevac-sv-40-b-sv-45-fp-sv-65-b-sv-70-fp-sv-neo-d?countryswitch=KR</t>
  </si>
  <si>
    <t>필터 사진_20240708074733440.jpg</t>
  </si>
  <si>
    <t>2024-07-24 10:07:02</t>
  </si>
  <si>
    <t xml:space="preserve">** 추후 결재내용은 (6)특허번호(해당시): 없으면 해당없음으로 작성 -&gt; 없음으로 작성 부탁드립니다. </t>
  </si>
  <si>
    <t>Q4645423</t>
  </si>
  <si>
    <t>[2.0100 PWR10-A00-0-M/HENGST],GLASS FIBER,30bar,FOR 2CC 1MC LSM HYD' FILTER,OR EQUIVALENT</t>
  </si>
  <si>
    <t>FOR 2CC 1MC LSM HYD' FILTER</t>
  </si>
  <si>
    <t>LSM Filter_20240718074009932.pptx</t>
  </si>
  <si>
    <t>https://www.hengst.com/Produkte/Produktgruppen/Hydraulik/Datenbl%C3%A4tter/neu/EN/RE51421_2023-05_web.pdf</t>
  </si>
  <si>
    <t>1MC LSM element_20240718074009998.jpg</t>
  </si>
  <si>
    <t>유종훈</t>
  </si>
  <si>
    <t>mupa@posco.co.kr</t>
  </si>
  <si>
    <t>2024-07-25 10:07:39</t>
  </si>
  <si>
    <t xml:space="preserve">Q4388954등 유사item 검색후 유사품 없음 확인하여 승인합니다. </t>
  </si>
  <si>
    <t>Q4645566</t>
  </si>
  <si>
    <t>HYDRAULIC OIL,[01.E210.6VG.16.S.P.-/EATON]xOD70x220L,GLASS FIBER FLEECE,OR EQUIVALENT</t>
  </si>
  <si>
    <t>01.E210.6VG.16.S.P.-</t>
  </si>
  <si>
    <t>https://www.eaton.com/kr/ko-kr/skuPage.303123.html</t>
  </si>
  <si>
    <t>필터 이미지_20240723102010928.png</t>
  </si>
  <si>
    <t>탁덕수</t>
  </si>
  <si>
    <t>nadassu@posco.co.kr</t>
  </si>
  <si>
    <t>2024-07-26 10:07:44</t>
  </si>
  <si>
    <t>Q4646120</t>
  </si>
  <si>
    <t>HYDRAULIC,[GRH-150A(P/N:8306A-0028A(445547)/HANSHIN MACHINERY]xOD300x665.2L,20micron,MICRO GLASS,10.3bar,OIL RECLAIMER ELEMENT(PRIMARY),P/A COMPRESSOR,OR EQUIVALENT</t>
  </si>
  <si>
    <t>GRH-150A(P/N:8306A-0028A(445547)</t>
  </si>
  <si>
    <t>HANSHIN MACHINERY</t>
  </si>
  <si>
    <t>OIL RECLAIMER ELEMENT(PRIMARY)</t>
  </si>
  <si>
    <t>P/A COMPRESSOR</t>
  </si>
  <si>
    <t>OIL RECLAIMER PRIMARY ELEMENT(8306A-0028A)_20240415145444067.pdf</t>
  </si>
  <si>
    <t>http://www.hanshin.co.kr/korea_new/products/products01_2.html</t>
  </si>
  <si>
    <t>Oil Reclaimer Primary_8306A-0028A_20240415145409081.jpg</t>
  </si>
  <si>
    <t>최재영</t>
  </si>
  <si>
    <t>pon01281@posco.co.kr</t>
  </si>
  <si>
    <t>2024-07-31 13:07:37</t>
  </si>
  <si>
    <t>Q4646122</t>
  </si>
  <si>
    <t>HYDRAULIC,[GRH-150A(W)(P/N:8306A-0029A(445546))/HANSHIN MACHINERY]xOD174.8x461.3L,20micron,MICRO-GLASS,10.3bar,OIL RECLAIMER ELEMENT(SECONDARY),P/A COMPRESSOR,OR EQUIVALENT</t>
  </si>
  <si>
    <t>GRH-150A(W)(P/N:8306A-0029A(445546))</t>
  </si>
  <si>
    <t>OIL RECLAIMER ELEMENT(SECONDARY)</t>
  </si>
  <si>
    <t>OIL RECLAIMER SECONDARY ELEMENT(8306A-0029A)_20240415144552564.pdf</t>
  </si>
  <si>
    <t>Oil Reclaimer Secondary_(8306A-0029A)_20240415144247890.jpg</t>
  </si>
  <si>
    <t>2024-07-31 13:07:36</t>
  </si>
  <si>
    <t>Q4646288</t>
  </si>
  <si>
    <t>ELECTRONIC[WYFTH80T2A/WOONYOUNG],AC 3PHASE,AC 500V,80A,OR EQUIVALENT</t>
  </si>
  <si>
    <t>WYFTH80T2A</t>
  </si>
  <si>
    <t>주) 운영 노이즈필터 (요청품) 20240723_20240730074558284.pdf</t>
  </si>
  <si>
    <t>https://www.woonyoung.com/</t>
  </si>
  <si>
    <t>WYFTH80T2A_20240730074558419.PNG</t>
  </si>
  <si>
    <t>하석정</t>
  </si>
  <si>
    <t>hamond@posco.co.kr</t>
  </si>
  <si>
    <t>2024-08-01 11:08:26</t>
  </si>
  <si>
    <t xml:space="preserve">Q4614570등 유사item  검색하였으나, 동일 메이커의 다른 형번임을 확인하고 승인합니다. </t>
  </si>
  <si>
    <t>Q4646289</t>
  </si>
  <si>
    <t>[FFTPTF 1000/TEMPA],ID56x105Wx105L,PLASTIC,PLASTIC,24m3/h,IP43, AC 230V,FOR ZRM 1 AND 2 CHILLER ELECTRICAL PANEL</t>
  </si>
  <si>
    <t>FFTPTF 1000</t>
  </si>
  <si>
    <t>TEMPA</t>
  </si>
  <si>
    <t>IP43, AC 230V</t>
  </si>
  <si>
    <t>FOR ZRM 1 AND 2 CHILLER ELECTRICAL PANEL</t>
  </si>
  <si>
    <t>https://www.tempapano.com/fan-filtre/</t>
  </si>
  <si>
    <t>TEMPA FFTPTF 1000_20240731213222521.png</t>
  </si>
  <si>
    <t>2024-08-01 11:08:40</t>
  </si>
  <si>
    <t>Q4646310</t>
  </si>
  <si>
    <t>[DWG NO:CFK-MF-20240724-1/CLEAN FILTER]x610Wx700Lx45T,GLASS+SYNTHETIC,FRAME: SUS304 OR ALUMINUM/SUPPORT BAR AND CONNECTIONS ALL SUS304,SAFETY FILTER-F7</t>
  </si>
  <si>
    <t>DWG NO:CFK-MF-20240724-1</t>
  </si>
  <si>
    <t>SAFETY FILTER-F7</t>
  </si>
  <si>
    <t>CFK-MF-45-CGS71-F7(1) (20240724)_20240731101450369.pdf</t>
  </si>
  <si>
    <t>1701403642253_F7_20240731101450431.jpg</t>
  </si>
  <si>
    <t>2024-08-01 13:08:03</t>
  </si>
  <si>
    <t xml:space="preserve">Q4622520등 유사item 검색하였으나, Length 등 상이함 확인후 승인합니다. </t>
  </si>
  <si>
    <t>Q4646311</t>
  </si>
  <si>
    <t>[DWG NO:CFK-MF-20240724-2/CLEAN FILTER]x610Wx700Lx45T,GLASS,FRAME:SUS304 OR ALUMINUM/SUPPORT BAR AND CONNECTIONS ALL SUS304,SAFETY FILTER-M5</t>
  </si>
  <si>
    <t>DWG NO:CFK-MF-20240724-2</t>
  </si>
  <si>
    <t>SAFETY FILTER-M5</t>
  </si>
  <si>
    <t>CFK-MF-45-CGS71-M5(2) (20240724)_20240731101431832.pdf</t>
  </si>
  <si>
    <t>1701403642306_M5_20240731101431891.jpg</t>
  </si>
  <si>
    <t>2024-08-01 13:08:56</t>
  </si>
  <si>
    <t xml:space="preserve">Q4622903등 유사item 검색하였으나, Length 등 상이함 확인후 승인합니다. </t>
  </si>
  <si>
    <t>Q4646312</t>
  </si>
  <si>
    <t>[CFK-MF-20240724-3/CLEAN FILTER]x610Wx700Lx45T,NONWOVEN,FRAME:SUS304 / SUPPORT BAR AND CONNECTIONS ALL SUS304,SAFETY FILTER-G3</t>
  </si>
  <si>
    <t>CFK-MF-20240724-3</t>
  </si>
  <si>
    <t>SAFETY FILTER-G3</t>
  </si>
  <si>
    <t>CFK-MF-45-CGS71-G3(3) (20240724)_20240731101415058.pdf</t>
  </si>
  <si>
    <t>1701403642366_G3_20240731101415121.jpg</t>
  </si>
  <si>
    <t>2024-08-01 13:08:42</t>
  </si>
  <si>
    <t xml:space="preserve">Q4623229등 유사item 검색하였으나, Length 등 상이함 확인후 승인합니다. </t>
  </si>
  <si>
    <t>Q4646924</t>
  </si>
  <si>
    <t>OIL FILTER,[C3030004/KYUNGWON],FOR KYUNGWON COMPRESSOR AS300K</t>
  </si>
  <si>
    <t>C3030004</t>
  </si>
  <si>
    <t>KYUNGWON</t>
  </si>
  <si>
    <t>FOR KYUNGWON COMPRESSOR AS300K</t>
  </si>
  <si>
    <t>Oil filter, separator kyungwon air comprssor_20240803121811613.pdf</t>
  </si>
  <si>
    <t>http://ekyungwon.co.kr/</t>
  </si>
  <si>
    <t>Screenshot 2024-07-21 093941_20240803122036693.jpg</t>
  </si>
  <si>
    <t>2024-08-08 14:08:38</t>
  </si>
  <si>
    <t>Q4646925</t>
  </si>
  <si>
    <t>OIL SEPARATOR ELEMENT,[C3010007/KYUNGWON],FOR KYUNGWON COMPRESSOR AS300K</t>
  </si>
  <si>
    <t>C3010007</t>
  </si>
  <si>
    <t>Oil filter, separator kyungwon air comprssor_20240803122344024.pdf</t>
  </si>
  <si>
    <t>OIL%20SEPARATOR_20190223122134624_20240803123227833.jpg</t>
  </si>
  <si>
    <t>2024-08-08 14:08:55</t>
  </si>
  <si>
    <t>Q4646926</t>
  </si>
  <si>
    <t>SUCTION FILTER,AIR,[C3020008/KYUNGWON],FOR KYUNGWON COMPRESSOR AS300K</t>
  </si>
  <si>
    <t>C3020008</t>
  </si>
  <si>
    <t>Air filter_20240803123649391.pdf</t>
  </si>
  <si>
    <t>IMG_20240711_093013_20240803123852623.jpg</t>
  </si>
  <si>
    <t>2024-08-08 14:08:51</t>
  </si>
  <si>
    <t>Q4647033</t>
  </si>
  <si>
    <t>[SHF9MF-3MB/SOLGE]xOD100x230L_3micron,40bar</t>
  </si>
  <si>
    <t>SHF9MF-3MB</t>
  </si>
  <si>
    <t>MF필터 카탈로그_20230621162308819.pdf</t>
  </si>
  <si>
    <t>https://www.solge.com/html/sub02_1.html?cate=5&amp;handler=view&amp;i_key=145</t>
  </si>
  <si>
    <t>MF필터 사진_20230621162210835.jpg</t>
  </si>
  <si>
    <t>권태호</t>
  </si>
  <si>
    <t>(포항)에너지부 1발전공장</t>
  </si>
  <si>
    <t>middleutd@posco.co.kr</t>
  </si>
  <si>
    <t>이은혁</t>
  </si>
  <si>
    <t>eunhyuk@posco.co.kr</t>
  </si>
  <si>
    <t>2024-08-09 10:08:07</t>
  </si>
  <si>
    <t xml:space="preserve">Q4477525등 유사ITEM 검색하였으나, 유사품 없음 확인하고 승인합니다. </t>
  </si>
  <si>
    <t>Q4647035</t>
  </si>
  <si>
    <t>[SHF9MF-6MB/SOLGE]xOD100x230L_6micron,40bar</t>
  </si>
  <si>
    <t>SHF9MF-6MB</t>
  </si>
  <si>
    <t>MF필터 카탈로그_20230621161659653.pdf</t>
  </si>
  <si>
    <t>MF필터 사진_20230621161444263.jpg</t>
  </si>
  <si>
    <t>2024-08-09 10:08:26</t>
  </si>
  <si>
    <t xml:space="preserve">** 추후 변경된 결재방법  참고하시기 바랍니다. 공지 #359 _x000D_
시스템으로 결재되어 문서 첨부가 폐지되었습니다. _x000D_
Q4477525등 유사ITEM 검색하였으나, 없음 확인후 승인합니다. </t>
  </si>
  <si>
    <t>Q4647211</t>
  </si>
  <si>
    <t>[BL237DH-12Q/MASTER PNEUMATIC]x108W_ALUMINUM,200psi,AIR_FOR 9351 TUYERE PUNCH MACHINE LUBRICATE</t>
  </si>
  <si>
    <t>BL237DH-12Q</t>
  </si>
  <si>
    <t>MASTER PNEUMATIC</t>
  </si>
  <si>
    <t>FOR 9351 TUYERE PUNCH MACHINE LUBRICATE</t>
  </si>
  <si>
    <t>https://www.masterpneumatic.com/bl237dh-12q.html</t>
  </si>
  <si>
    <t>이미지_20240411083417595.JPG</t>
  </si>
  <si>
    <t>gimyk1010@snnc.co.kr</t>
  </si>
  <si>
    <t>박태근</t>
  </si>
  <si>
    <t>xorms408@snnc.co.kr</t>
  </si>
  <si>
    <t>2024-08-12 15:08:25</t>
  </si>
  <si>
    <t xml:space="preserve">유사tiem 검색하였으나, 유사품 없음 확인후 승인합니다. </t>
  </si>
  <si>
    <t>Q4647642</t>
  </si>
  <si>
    <t>INVERTER[FT310-400/SAMDAI ELECTRIC],AC 3PHASE,400A,S/N:24031787</t>
  </si>
  <si>
    <t>FT310-400</t>
  </si>
  <si>
    <t>SAMDAI ELECTRIC</t>
  </si>
  <si>
    <t>S/N:24031787</t>
  </si>
  <si>
    <t>삼대전기 종합카다로그-복사_최적화_20240815114621836.pdf</t>
  </si>
  <si>
    <t>http://www.samdai.net/</t>
  </si>
  <si>
    <t>노이즈필터 사진_20240815114622058.JPG</t>
  </si>
  <si>
    <t>2024-08-19 10:08:44</t>
  </si>
  <si>
    <t xml:space="preserve">Q4634359등 유사item 검색하였으나, 유사품 없은 확인후 승인합니다. </t>
  </si>
  <si>
    <t>Q4647766</t>
  </si>
  <si>
    <t>HYDRAULIC,[SF W 110 W C 125 UE 1.0/HYDAC],125mesh,STS,FOR 2SMP LADLE S/N SUCTION FILTER,OR EQUIVALENT</t>
  </si>
  <si>
    <t>FOR 2SMP LADLE S/N SUCTION FILTER</t>
  </si>
  <si>
    <t>https://www.hydac.com/shop/media/catalog/crossbase/PRD_DOC_PRO/PRD_DOC_PRO_7406-00001__SEN__AIN__V3.pdf</t>
  </si>
  <si>
    <t>경동대 SN 석션필터 이미지_20240725075325309.png</t>
  </si>
  <si>
    <t>안치영</t>
  </si>
  <si>
    <t>dkscldudv@posco.co.kr</t>
  </si>
  <si>
    <t>2024-08-19 15:08:16</t>
  </si>
  <si>
    <t xml:space="preserve">Q4363311 등 유사item 검색하였으나, 없음 확인후 승인합니다. </t>
  </si>
  <si>
    <t>Q4648234</t>
  </si>
  <si>
    <t>PAPER/METAL MESHTER,[H34 2240/40/MANN FILTER],ID25.4xOD340x450L,5micron,H450MM,WEIGHT 14 KG,FOR EDT MACHINE</t>
  </si>
  <si>
    <t>H34 2240/40</t>
  </si>
  <si>
    <t>H450MM,WEIGHT 14 KG</t>
  </si>
  <si>
    <t xml:space="preserve">FOR EDT MACHINE </t>
  </si>
  <si>
    <t>1. MANN FILTER H34 2240-40 Data Sheet_20240821185859263.png</t>
  </si>
  <si>
    <t>https://www.mann-filter.com/mea-en/catalogue/search-results/product.html/h342240/40kit_mann-filter.html</t>
  </si>
  <si>
    <t>Oil filter for EDT machine_20240821185859398.jpg</t>
  </si>
  <si>
    <t>Orawan Jirawatsakul(Jeab)</t>
  </si>
  <si>
    <t>Maintenance Support Team</t>
  </si>
  <si>
    <t>orawan.ji@poscotcs.com</t>
  </si>
  <si>
    <t>Chanon Intanam(Poth)</t>
  </si>
  <si>
    <t>Machinery Repairing SubTeam</t>
  </si>
  <si>
    <t>chanon.in@poscotcs.com</t>
  </si>
  <si>
    <t>2024-08-22 08:08:16</t>
  </si>
  <si>
    <t>Q4648550</t>
  </si>
  <si>
    <t>AIR,[AAAB6359/JEIO TECH]</t>
  </si>
  <si>
    <t>AAAB6359</t>
  </si>
  <si>
    <t>JEIO TECH</t>
  </si>
  <si>
    <t>암모니아 필터 사양서_20240826075115757.pdf</t>
  </si>
  <si>
    <t>www.jeiotech.com</t>
  </si>
  <si>
    <t>ammonia filter _ 이미지_20240902161203635.JPG</t>
  </si>
  <si>
    <t>백상열</t>
  </si>
  <si>
    <t>russ2003@poscofuturem.com</t>
  </si>
  <si>
    <t>2024-09-03 11:09:11</t>
  </si>
  <si>
    <t>Q4649051</t>
  </si>
  <si>
    <t>AIR,[DWG NO:PFFB-240819-1-0-0/JOIL ENTERPRISE]_ID156xOD162x1600Lx6T_NOMEX+PTFE MEMBRANE FOR WRINKLE,EPIT/15MM 34 SAN PLEATED</t>
  </si>
  <si>
    <t>DWG NO:PFFB-240819-1-0-0</t>
  </si>
  <si>
    <t>EPIT/15MM 34 SAN PLEATED</t>
  </si>
  <si>
    <t>주름 F-BAG @156-1600L NOMEX-MEM (15mm 34산)_20240828085057818.pdf</t>
  </si>
  <si>
    <t>http://www.joil.co.kr/</t>
  </si>
  <si>
    <t>건조기NOMEX 주름 FILTER_20240828085057846.JPG</t>
  </si>
  <si>
    <t>2024-09-02 11:09:00</t>
  </si>
  <si>
    <t>Q4649241</t>
  </si>
  <si>
    <t>AIR,[ACID FILTER FOR EFS-33/EM-33(AAAB6356)/JEIO TECH]</t>
  </si>
  <si>
    <t xml:space="preserve">ACID FILTER FOR EFS-33/EM-33(AAAB6356) </t>
  </si>
  <si>
    <t>Acid Filter 사양서_20240902160759915.pdf</t>
  </si>
  <si>
    <t>acid filter _ 이미지_20240902160800047.JPG</t>
  </si>
  <si>
    <t>2024-09-03 08:09:51</t>
  </si>
  <si>
    <t>Q4649262</t>
  </si>
  <si>
    <t>[RF ON 660 D N 10 A 1.1/HYDAC]xOD166x456.9L_10micron,25bar_FOR 505 FRITION PRESS RETURN FILTER</t>
  </si>
  <si>
    <t>RF ON 660 D N 10 A 1.1</t>
  </si>
  <si>
    <t>FOR 505 FRITION PRESS RETURN FILTER</t>
  </si>
  <si>
    <t>검토의뢰서_20240902171605938.PNG</t>
  </si>
  <si>
    <t>https://www.hydac.com/shop/ko-kr/1325620</t>
  </si>
  <si>
    <t>이미지1_20240902073721698.PNG</t>
  </si>
  <si>
    <t>2024-09-03 11:09:29</t>
  </si>
  <si>
    <t>Q4649357</t>
  </si>
  <si>
    <t>[K145AO/PARKER]+FILTER ELEMENT,1micron,AIR FILTER,FOR COMPRESSED AIR AND NITROGEN GAS</t>
  </si>
  <si>
    <t>K145AO</t>
  </si>
  <si>
    <t>FOR COMPRESSED AIR AND NITROGEN GAS</t>
  </si>
  <si>
    <t>Datasheet_K145AO_20240903161025621.pdf</t>
  </si>
  <si>
    <t>Datasheet_K145AO_20240903161142143.pdf</t>
  </si>
  <si>
    <t>https://ph.parker.com/th/en/product/oil-xplus-genuine-replacement-compressed-air-filter-elements/k145ao</t>
  </si>
  <si>
    <t>images (1)_20240903162909062.jpg</t>
  </si>
  <si>
    <t>2024-09-04 08:09:33</t>
  </si>
  <si>
    <t>Q4649359</t>
  </si>
  <si>
    <t>LOWER ASS'Y,WATER,[DWG:HK24-RF3-7LA-A001/HYDAC],D1090XH457,SA240-316L,OR EQUIVALENT</t>
  </si>
  <si>
    <t>DWG:HK24-RF3-7LA-A001</t>
  </si>
  <si>
    <t>RF3 Spare parts_20240828155239838.pdf</t>
  </si>
  <si>
    <t>www.hydac.com/shop/en/autofiltr-rf3-1000480842</t>
  </si>
  <si>
    <t>사진.2_20241118144454290.jpg</t>
  </si>
  <si>
    <t>이민성</t>
  </si>
  <si>
    <t>loveisme10@posco.co.kr</t>
  </si>
  <si>
    <t>2024-11-19 16:11:15</t>
  </si>
  <si>
    <t>Q4649499</t>
  </si>
  <si>
    <t>HYDRAULIC,[HCA082EOS8Z/PALL],100micron,FOR OIL PURIFIERS</t>
  </si>
  <si>
    <t>HCA082EOS8Z</t>
  </si>
  <si>
    <t>FOR OIL PURIFIERS</t>
  </si>
  <si>
    <t>HCA082EOS8Z ELEMENT_20240829135025096.pdf</t>
  </si>
  <si>
    <t>https://shop.pall.com/us/en/products/zidHCA082EOS8Z?CategoryName=products&amp;CategoryDomainName=PALL-products&amp;CatalogID=products</t>
  </si>
  <si>
    <t>P滤芯_20240829142656350.jpg</t>
  </si>
  <si>
    <t>2024-09-05 13:09:12</t>
  </si>
  <si>
    <t>Q4649719</t>
  </si>
  <si>
    <t>[DWG NO:AERIX-CELLEX-M0902/AERIX],ID100xOD230x498L,PPS+M.ARAMID+PTFE S.C+CAMICAL RESIN,INSIDE CIRCULAR SPIRAL TYPE/WITH CASING STS304,PATENT:10-1762546</t>
  </si>
  <si>
    <t>DWG NO:AERIX-CELLEX-M0902</t>
  </si>
  <si>
    <t>PATENT:10-1762546</t>
  </si>
  <si>
    <t>도면(고온용주름필터)_20240905080543737.pdf</t>
  </si>
  <si>
    <t>수세 냉각기_사진_20240905080543822.JPG</t>
  </si>
  <si>
    <t>2024-09-06 16:09:54</t>
  </si>
  <si>
    <t>Q4650071</t>
  </si>
  <si>
    <t>INVERTER[ITMSF480-750S3/IN-TECH],AC 3PHASE,AC 180~480VV,750A,OR EQUIVALENT</t>
  </si>
  <si>
    <t>ITMSF480-750S3</t>
  </si>
  <si>
    <t>마이크로 써지 필터상세사양_조정완료_20240910104919671.jpg</t>
  </si>
  <si>
    <t>https://www.komachine.com/ko/companies/intech-fa/products/79359-micro-surge-filter-automation-device-itmsf-series</t>
  </si>
  <si>
    <t>마이크로 써지 필터_조정완료_20240910104919719.jpg</t>
  </si>
  <si>
    <t>김정곤</t>
  </si>
  <si>
    <t>corea856@posco.co.kr</t>
  </si>
  <si>
    <t>2024-09-10 15:09:02</t>
  </si>
  <si>
    <t>Q4651152</t>
  </si>
  <si>
    <t>ELECTRONIC[WYFS10T1M/WOONYOUNG],AC 1PHASE,250V,10A</t>
  </si>
  <si>
    <t>WYFS10T1M</t>
  </si>
  <si>
    <t>노이즈필터 카탈로그1_20240924073443867.PNG</t>
  </si>
  <si>
    <t>https://woonyoung.com/page/s0201_view.php?idx=123&amp;ocatecode=1337920582&amp;gcatecode=1338274239&amp;gnsub=250V&amp;ogcname=%EB%85%B8%EC%9D%B4%EC%A6%88+%ED%95%84%ED%84%B0</t>
  </si>
  <si>
    <t>노이즈필터 이미지1_20240924073443963.PNG</t>
  </si>
  <si>
    <t>이건호</t>
  </si>
  <si>
    <t>geonho8253@poscofuturem.com</t>
  </si>
  <si>
    <t>2024-09-24 16:09:23</t>
  </si>
  <si>
    <t>Q4651313</t>
  </si>
  <si>
    <t>DUST,[MAKER DWG NO:SM-24-PF-KW2-0413-1/SAM MILL]_ID68xOD210x232L_STS304_SURFACE TREATMENT</t>
  </si>
  <si>
    <t>MAKER DWG NO:SM-24-PF-KW2-0413-1</t>
  </si>
  <si>
    <t>SAM MILL</t>
  </si>
  <si>
    <t>SURFACE TREATMENT</t>
  </si>
  <si>
    <t>진공탈기식 충진기 진공필터 도면_20240924073516604.pdf</t>
  </si>
  <si>
    <t>https://sammill.co.kr/</t>
  </si>
  <si>
    <t>2공장 진공탈기식 충진기 진공필터_20240924073516674.jpg</t>
  </si>
  <si>
    <t>백현승</t>
  </si>
  <si>
    <t>baek9912@poscofuturem.com</t>
  </si>
  <si>
    <t>2024-09-26 09:09:03</t>
  </si>
  <si>
    <t>Q4651660</t>
  </si>
  <si>
    <t>CENTRIFUGAL SEPARATOR,2550Lx2400Wx2200H,[SJ60H/SAMGONG],440V,60HZ,3PH,LUBE. OIL,OR EQUIVALENT</t>
  </si>
  <si>
    <t>SJ60H</t>
  </si>
  <si>
    <t>SAMGONG</t>
  </si>
  <si>
    <t>Capacity Table_20240926111543672.pdf</t>
  </si>
  <si>
    <t>www.sam-gong.co.kr/</t>
  </si>
  <si>
    <t>SJ60H 사진_20240926111349868.png</t>
  </si>
  <si>
    <t>2024-09-30 16:09:08</t>
  </si>
  <si>
    <t>Q4651797</t>
  </si>
  <si>
    <t>ELECTRONIC[WYFS06A2/WOONYOUNG],AC 1PHASE,250V,6A</t>
  </si>
  <si>
    <t>WYFS06A2</t>
  </si>
  <si>
    <t>노이지필터 카탈로그_20240926081605044.PNG</t>
  </si>
  <si>
    <t>https://woonyoung.com/page/s0201_view.php?idx=161&amp;ocatecode=1337920582&amp;gcatecode=1338277135&amp;gnsub=250V&amp;ogcname=%EB%85%B8%EC%9D%B4%EC%A6%88+%ED%95%84%ED%84%B0</t>
  </si>
  <si>
    <t>노이즈필터 이미지_20240926081605106.PNG</t>
  </si>
  <si>
    <t>2024-10-02 10:10:43</t>
  </si>
  <si>
    <t xml:space="preserve">Q4651152등 유사item 검색하였으나, 동일 메이커의 다른 형번물품임 확인후 승인합니다._x000D_
_x000D_
</t>
  </si>
  <si>
    <t>Q4652084</t>
  </si>
  <si>
    <t>AIR FILTER,HYDRAULIC,[DC-EX-1/DES-CASE]xOD143x119L,POLYESTER, POLYURETHANE&amp;SILICA GEL,FOR CPC HYDRAULIC UNIT</t>
  </si>
  <si>
    <t>DC-EX-1</t>
  </si>
  <si>
    <t xml:space="preserve">FOR CPC HYDRAULIC UNIT </t>
  </si>
  <si>
    <t>Extended-Series-Breathers-Tech-Sheet_EN_20241004044715605.pdf</t>
  </si>
  <si>
    <t>https://www.descase.com/</t>
  </si>
  <si>
    <t>DC-EX-1_20241004044715661.png</t>
  </si>
  <si>
    <t>Delgado Martínez Eugenio</t>
  </si>
  <si>
    <t>eugenio.delgado@posco.net</t>
  </si>
  <si>
    <t>2024-10-07 08:10:38</t>
  </si>
  <si>
    <t xml:space="preserve">Q4615564등 유사item 검색하였으나, 동일사양품 없음 확인후 승인합니다. </t>
  </si>
  <si>
    <t>Q4652784</t>
  </si>
  <si>
    <t>WATER,[P/N S300-035/KNTEC]_3Dx6Dx170L_PT_120psi,OR EQUIVALENT</t>
  </si>
  <si>
    <t>P/N S300-035</t>
  </si>
  <si>
    <t>KNTEC</t>
  </si>
  <si>
    <t>샘플필터사양서_20241002154257621.pdf</t>
  </si>
  <si>
    <t>https://www.kntec.co.kr/</t>
  </si>
  <si>
    <t>샘플 필터_20240927163459278.png</t>
  </si>
  <si>
    <t>최종성</t>
  </si>
  <si>
    <t>(광양)화성부 조업안전섹션</t>
  </si>
  <si>
    <t>wlswls25@posco.co.kr</t>
  </si>
  <si>
    <t>오승환</t>
  </si>
  <si>
    <t>(광양)화성부 3코크스공장</t>
  </si>
  <si>
    <t>fastcall@posco.co.kr</t>
  </si>
  <si>
    <t>2024-10-14 15:10:37</t>
  </si>
  <si>
    <t>Q4653339</t>
  </si>
  <si>
    <t>POWDER,[PREFLOW 1/DONG SHIN FINETEK]_20Dx62Dx62.5L_POLYPROPYLENE &amp; CLEANED P.P, HIGH DENSITY P.E_3.5kg/cm2_FOR R&amp;D</t>
  </si>
  <si>
    <t>PREFLOW 1</t>
  </si>
  <si>
    <t>DONG SHIN FINETEK</t>
  </si>
  <si>
    <t>FOR R&amp;D</t>
  </si>
  <si>
    <t>water filter _ 사양서_20241002073316117.JPG</t>
  </si>
  <si>
    <t>http://www.dsftek.com/?view=product/view.html&amp;idx=29&amp;page=1&amp;q=DSC-6&amp;&amp;cid=0</t>
  </si>
  <si>
    <t>water filter _ 이미지_20241002073316197.JPG</t>
  </si>
  <si>
    <t>2024-10-17 17:10:46</t>
  </si>
  <si>
    <t>Q4653429</t>
  </si>
  <si>
    <t>CENTRIFUGE DECANTER,3666Lx1383.31Wx1319H,[DWG NO.FD-TH1-D-470-000/FLUEN],5.5KW,4P,380V,60HZ,B5,DEHYDRATED FILTRATE,SLUDGE,WITH MOTOR</t>
  </si>
  <si>
    <t>DWG NO.FD-TH1-D-470-000</t>
  </si>
  <si>
    <t>MAKERDWGNO.FD-TH1-D-470-000_20241017082147606_20241018094000373.pdf</t>
  </si>
  <si>
    <t>http://www.fluen.com/</t>
  </si>
  <si>
    <t>images(1)_20241017082129201_20241018094000233.jpg</t>
  </si>
  <si>
    <t>2024-10-18 16:10:07</t>
  </si>
  <si>
    <t>Q4653755</t>
  </si>
  <si>
    <t>FILTER PLATE,[MP230914A-010(I/N:1,2,3,4,5,6,7,8,9,10,11)/DONGIL CANVAS],2620WX1202HX95L,PP,NBR,STS304,PE,MAKER DWG NO:MP230914A-010(I/N:1,2,3,4,5,6,7,8,9,10,11)</t>
  </si>
  <si>
    <t>MP230914A-010(I/N:1,2,3,4,5,6,7,8,9,10,11)</t>
  </si>
  <si>
    <t>DONGIL CANVAS</t>
  </si>
  <si>
    <t>MAKER DWG NO:MP230914A-010(I/N:1,2,3,4,5,6,7,8,9,10,11)</t>
  </si>
  <si>
    <t>2-1단계 필터프레스 여과판_20241022163419638.pdf</t>
  </si>
  <si>
    <t>http://canvaskorea.com/ko/</t>
  </si>
  <si>
    <t>2921_20241022163419709.jpg</t>
  </si>
  <si>
    <t>김태현</t>
  </si>
  <si>
    <t>에너지소재설비정비부</t>
  </si>
  <si>
    <t>xogus8334@poscofuturem.com</t>
  </si>
  <si>
    <t>2024-10-23 10:10:57</t>
  </si>
  <si>
    <t>Q4654426</t>
  </si>
  <si>
    <t>[DMX-1518/DONG HWA]_ID93xOD95x183L_25micron,7kg/cm2,RD-46_REPLANEMENT ELEMENT DMXE-06_FOR ACM MILL HYDRAULIC PUMP PIPE FILTER</t>
  </si>
  <si>
    <t>DMX-1518</t>
  </si>
  <si>
    <t>DONG HWA</t>
  </si>
  <si>
    <t>REPLANEMENT ELEMENT DMXE-06</t>
  </si>
  <si>
    <t>FOR ACM MILL HYDRAULIC PUMP PIPE FILTER</t>
  </si>
  <si>
    <t>참고 자료_20241024110532045.JPG</t>
  </si>
  <si>
    <t>http://dhchyd.co.kr/skin_nw2/product_list.php?boardT=v&amp;page_idx=133&amp;goods_data=aWR4PTEyMyZfJnN0YXJ0UGFnZT0wJl8mbGlzdE5vPTEmXyZ0YWJsZT1yZWRfZ29vZHMmXyZwYWdlX2lkeD0xMzMmXyZzZWFyY2hfaXRlbT0=||</t>
  </si>
  <si>
    <t>DMX-06 실물_20241024110532089.jpg</t>
  </si>
  <si>
    <t>2024-10-31 08:10:10</t>
  </si>
  <si>
    <t>Q4654484</t>
  </si>
  <si>
    <t>[AC30-02DG-D/SMC]x167L,POLYCARBONATE,FOR AIR FILTER REGULATOR LUBRICATOR SET</t>
  </si>
  <si>
    <t>AC30-02DG-D</t>
  </si>
  <si>
    <t>FOR AIR FILTER REGULATOR LUBRICATOR SET</t>
  </si>
  <si>
    <t>https://www.smcpneumatics.com/ac30-02dg-d.html</t>
  </si>
  <si>
    <t>Air Filter_20241028175851561.png</t>
  </si>
  <si>
    <t>Tongchai Tongnin(Bank)</t>
  </si>
  <si>
    <t>Maintenance Support Sub-Team</t>
  </si>
  <si>
    <t>tongchai.to@poscotcs.com</t>
  </si>
  <si>
    <t>Kraisit Lainog(Tar)</t>
  </si>
  <si>
    <t>Mechanical Maintenance Team</t>
  </si>
  <si>
    <t>kraisit.la@poscotcs.com</t>
  </si>
  <si>
    <t>2024-10-31 11:10:06</t>
  </si>
  <si>
    <t>Q4654488</t>
  </si>
  <si>
    <t>[PF-100/WATERWEL]x135Dx205Lx135W_ABS, PC, STS_125psi_WITH FILTER</t>
  </si>
  <si>
    <t>PF-100</t>
  </si>
  <si>
    <t>WITH FILTER</t>
  </si>
  <si>
    <t>https://waterwel.net/product/%EC%9A%94%EB%A6%AC%EC%88%98-%EC%9E%90%EB%B0%94%EB%9D%BC%EC%9A%A9-%ED%95%84%ED%84%B0%EA%B8%B0-%EB%A9%80%ED%8B%B0%ED%97%A4%EB%93%9C-pf-100-%EB%A9%80%ED%8B%B0/29/category/1/display/2/</t>
  </si>
  <si>
    <t>필터수전_20241022093406667.JPG</t>
  </si>
  <si>
    <t>2024-10-31 11:10:42</t>
  </si>
  <si>
    <t>Q4654600</t>
  </si>
  <si>
    <t>OIL,HYDRAULIC,[P550250/DONALDSON]xOD128x270.8L,12MICRON,FIBER</t>
  </si>
  <si>
    <t>P550250</t>
  </si>
  <si>
    <t>12MICRON,FIBER</t>
  </si>
  <si>
    <t>FICHA TEC Q4071694 (SUSTITUTO)_20241030053337714.pdf</t>
  </si>
  <si>
    <t>https://www.donaldson.com/content/dam/donaldson/engine-hydraulics-bulk/catalogs/Hydraulic/North-America/F112100-ENG/Hydraulic-Filtration-Product-Guide.pdf</t>
  </si>
  <si>
    <t>IMAGEN_20241030054958130.png</t>
  </si>
  <si>
    <t>Garcia Sandoval Leslie Dariana</t>
  </si>
  <si>
    <t>leslie.garcia@posco.net</t>
  </si>
  <si>
    <t>Zuniga Blanco Gloria Estefani</t>
  </si>
  <si>
    <t>gloria.blanco@posco.net</t>
  </si>
  <si>
    <t>2024-11-01 10:11:18</t>
  </si>
  <si>
    <t>Q4654602</t>
  </si>
  <si>
    <t>포스코HY클린메탈</t>
  </si>
  <si>
    <t>[FLDN BN/HC 250 DDE 6 D 1.X/-LED/HYDAC]x280Wx384L,5~6bar,OIL_FOR LUB' OIL SYSTEM.</t>
  </si>
  <si>
    <t>FLDN BN/HC 250 DDE 6 D 1.X/-LED</t>
  </si>
  <si>
    <t>FOR LUB' OIL SYSTEM.</t>
  </si>
  <si>
    <t>filter1_20241004080215495.JPG</t>
  </si>
  <si>
    <t>https://www.hydac.com/shop/ko-kr/fln-d-63bar-din-24550-1000515405</t>
  </si>
  <si>
    <t>MVR oiil F_20241004080215661.JPG</t>
  </si>
  <si>
    <t>김민</t>
  </si>
  <si>
    <t>설비관리팀 기계파트</t>
  </si>
  <si>
    <t>mkim@poscohycm.com</t>
  </si>
  <si>
    <t>2024-11-01 10:11:16</t>
  </si>
  <si>
    <t xml:space="preserve">Q4431584등 유사item 검색하였으나, 동일 메이커 다른 형번 물품인 확인후 승인합니다. </t>
  </si>
  <si>
    <t>Q4655008</t>
  </si>
  <si>
    <t>STAINLESS STEEL 316,[V76A-D-4T-SA/DK LOK]_6.35Dx6.35Dx62.7Lx47.5Wx14.3T_SS316,OR EQUIVALENT</t>
  </si>
  <si>
    <t>V76A-D-4T-SA</t>
  </si>
  <si>
    <t>Sampler Filter CATALOG_V76A (DK LOK)_20241031130209675.pdf</t>
  </si>
  <si>
    <t>https://dklok.com/product-introduction/product-classification/product?t=list&amp;e=25&amp;s=2&amp;pmc=19_7&amp;psc=230_71&amp;pdc=816_710&amp;data_id=50795</t>
  </si>
  <si>
    <t>Sampler Filter_20241031130209800.jpg</t>
  </si>
  <si>
    <t>2024-11-06 08:11:42</t>
  </si>
  <si>
    <t>Q4655202</t>
  </si>
  <si>
    <t>PROTECTIVE FILTER,[SF-025(P/N:HKL14038043)/HORIBA]x92Lx23W_FOR PROTECTIVE FILTER OF ENDA5000</t>
  </si>
  <si>
    <t>SF-025(P/N:HKL14038043)</t>
  </si>
  <si>
    <t>FOR PROTECTIVE FILTER OF ENDA5000</t>
  </si>
  <si>
    <t>Katalog Protective Filter HORIBA_20241104154459208.pdf</t>
  </si>
  <si>
    <t>https://www.horiba.com/kor/process-and-environmental/products/continuous-emission-monitoring-system/enda-5000-accessories/</t>
  </si>
  <si>
    <t>protective filter_20241101102800639.png</t>
  </si>
  <si>
    <t>QUTBI SIDQI NASIR</t>
  </si>
  <si>
    <t>qutbi.sn@krakatauposco.co.id</t>
  </si>
  <si>
    <t>TB. TUGU JATI LARAS</t>
  </si>
  <si>
    <t>tb.tugu@krakatauposco.co.id</t>
  </si>
  <si>
    <t>2024-11-07 13:11:40</t>
  </si>
  <si>
    <t>Q4655685</t>
  </si>
  <si>
    <t>MEMBRAIN DIAPHRAGM,[MAKER DWG NO:MP-032/DONGIL CANVAS ENGINEERING],1037.9WX2450LX8H,NR,MAKER DWG NO:MP-032</t>
  </si>
  <si>
    <t>MAKER DWG NO:MP-032</t>
  </si>
  <si>
    <t>DONGIL CANVAS ENGINEERING</t>
  </si>
  <si>
    <t>2-1단계 맴브레인 다이아프램_20241024110502760.pdf</t>
  </si>
  <si>
    <t>2897_20241024110502851.jpg</t>
  </si>
  <si>
    <t>2024-11-13 10:11:30</t>
  </si>
  <si>
    <t>Q4655981</t>
  </si>
  <si>
    <t>[MP-021(I/N:PP-W1200-58M)/DONGIL CANVAS ENG]x1200Wx58000L,POLYPROPYLENE(PP),AIR PERMEABILITY 0.3CC, MAKER DWG NO:MP-021(I/N:PP-W1200-58M)</t>
  </si>
  <si>
    <t>MP-021(I/N:PP-W1200-58M)</t>
  </si>
  <si>
    <t>DONGIL CANVAS ENG</t>
  </si>
  <si>
    <t>AIR PERMEABILITY 0.3CC, MAKER DWG NO:MP-021(I/N:PP-W1200-58M)</t>
  </si>
  <si>
    <t>2-1단계 필터프레스 여과포_20241114114406453.pdf</t>
  </si>
  <si>
    <t>2921_20260115094523877.jpg</t>
  </si>
  <si>
    <t>2026-01-19 14:01:16</t>
  </si>
  <si>
    <t>Q4656145</t>
  </si>
  <si>
    <t>MEMBRANE FILTER,[TSE-VPF-2.5-11A-24.7-00/TSE],1105WX2500LX51H,CPE,MAKER DWG NO:TSE-VPF-2.5-11A-24.7-00</t>
  </si>
  <si>
    <t>TSE-VPF-2.5-11A-24.7-00</t>
  </si>
  <si>
    <t>MAKER DWG NO:TSE-VPF-2.5-11A-24.7-00</t>
  </si>
  <si>
    <t>TSE-VPF-2.5-11A-24.7-00 (다이어프램)_20241017075313527.pdf</t>
  </si>
  <si>
    <t>http://www.tsev.co.kr</t>
  </si>
  <si>
    <t>2921_20241017075313581.jpg</t>
  </si>
  <si>
    <t>2024-11-15 14:11:24</t>
  </si>
  <si>
    <t xml:space="preserve">유사item 검색하였으나, 유사동일품 없음 확인후 승인합니다. _x000D_
</t>
  </si>
  <si>
    <t>Q4656170</t>
  </si>
  <si>
    <t>[SLN-12-60W/SHC]xOD105x150Wx280L_60mesh_SUS,5bar,OIL,160L/min_PT 1 1/2"_FOR POR LUBRICATION SYSTEM</t>
  </si>
  <si>
    <t>SLN-12-60W</t>
  </si>
  <si>
    <t>PT 1 1/2"</t>
  </si>
  <si>
    <t>FOR POR LUBRICATION SYSTEM</t>
  </si>
  <si>
    <t>Line Filter_20241113163220155.pdf</t>
  </si>
  <si>
    <t>SHC_20241113163845619.JPG</t>
  </si>
  <si>
    <t>INDRA HADINUGRAHA</t>
  </si>
  <si>
    <t>indra.hadinugraha@krakatauposco.co.id</t>
  </si>
  <si>
    <t>FEBRI ARDIYANSYAH</t>
  </si>
  <si>
    <t>febri.ardiyansyah@krakatauposco.co.id</t>
  </si>
  <si>
    <t>2024-11-15 16:11:15</t>
  </si>
  <si>
    <t>Q4657127</t>
  </si>
  <si>
    <t>[110LEN0040-2X/PWR3A00-V5,0-M-.R3/HENGST]+R928046899_0.004micron_GLASS FIBER,320bar,OIL_FOR OIL AND AIR LUBRICATION</t>
  </si>
  <si>
    <t>110LEN0040-2X/PWR3A00-V5,0-M-.R3</t>
  </si>
  <si>
    <t>R928046899</t>
  </si>
  <si>
    <t>FOR OIL AND AIR LUBRICATION</t>
  </si>
  <si>
    <t>RE_51448_2X_2021_09_20241125151511289.pdf</t>
  </si>
  <si>
    <t>www.hengst.com</t>
  </si>
  <si>
    <t>hydraulic filter 2024-11-04 084230_20241125151511505.png</t>
  </si>
  <si>
    <t>ARIS KURNIAWAN</t>
  </si>
  <si>
    <t>Plate Rolling Maintenance Team</t>
  </si>
  <si>
    <t>aris.k@krakatauposco.co.id</t>
  </si>
  <si>
    <t>2024-11-27 09:11:39</t>
  </si>
  <si>
    <t xml:space="preserve">** 추후 변경된 결재방법 참고하시기 바랍니다. 공지 #359  및 검토의뢰서 폐지 #355_x000D_
** Please refer to the changed payment method in the future. Notice #359 and review request abolished #355_x000D_
</t>
  </si>
  <si>
    <t>Q4657213</t>
  </si>
  <si>
    <t>STS304,HYDRAULIC,[MDF-C025SE/MNSI],32mesh,STS304,MAKER DWG NO:ETC-2023-1201,OR EQUIVALENT</t>
  </si>
  <si>
    <t>MDF-C025SE</t>
  </si>
  <si>
    <t>MNSI</t>
  </si>
  <si>
    <t>MAKER DWG NO:ETC-2023-1201</t>
  </si>
  <si>
    <t>도면1_20240827093759088.jpg</t>
  </si>
  <si>
    <t>https://www.sam-gong.co.kr/theme/basic/sub/sub02/sub02_01_01.php</t>
  </si>
  <si>
    <t>ELEMENT_20240318103147652.jpg</t>
  </si>
  <si>
    <t>송진우</t>
  </si>
  <si>
    <t>nice9006@posco.co.kr</t>
  </si>
  <si>
    <t>2024-11-28 10:11:52</t>
  </si>
  <si>
    <t>Q4657514</t>
  </si>
  <si>
    <t>AIR PURIFIER,133Lx400Wx424H,[EP-PZ30J/HITACHI],AC220-240V 50/60HZ,FOR MICROSCOPE ROOM</t>
  </si>
  <si>
    <t>EP-PZ30J</t>
  </si>
  <si>
    <t>HITACHI</t>
  </si>
  <si>
    <t xml:space="preserve">FOR MICROSCOPE ROOM </t>
  </si>
  <si>
    <t>https://www.hitachi-homeappliances.com/id-en/products/air-purifier/made-in-japan/ep-pz30j.html</t>
  </si>
  <si>
    <t>EP-PZ30J HITACHI_20241128152932976.PNG</t>
  </si>
  <si>
    <t>TIAN TONI HARIMANSYAH</t>
  </si>
  <si>
    <t>Chemical Testing Team</t>
  </si>
  <si>
    <t>tian.toni@krakatauposco.co.id</t>
  </si>
  <si>
    <t>2024-12-02 17:12:53</t>
  </si>
  <si>
    <t>Q4657562</t>
  </si>
  <si>
    <t>FILTER ELEMENT OIL,HYDRAULIC,[N5DM002/HYDAC],2micron,MICROGLASS,HYDRAULIC FILTERING MACHINE FAM 10</t>
  </si>
  <si>
    <t>N5DM002</t>
  </si>
  <si>
    <t>HYDRAULIC FILTERING MACHINE FAM 10</t>
  </si>
  <si>
    <t>349494-OfflineFilterElements-N5Series_20241130034828571.pdf</t>
  </si>
  <si>
    <t>349494-OfflineFilterElements-N5Series_20241130024050115.pdf</t>
  </si>
  <si>
    <t>https://www.hydac.com/shop/ko-kr/349494</t>
  </si>
  <si>
    <t>HYD FILTER_20241130024854216.jpg</t>
  </si>
  <si>
    <t>2024-12-03 10:12:27</t>
  </si>
  <si>
    <t xml:space="preserve">Q2034737등 유사item 검색하였으나, 동일 maker의 다른 형번 물품임 확인후 승인합니다. _x000D_
</t>
  </si>
  <si>
    <t>Q4657575</t>
  </si>
  <si>
    <t>[AW20-02BCG-1-D/SMC]x176.7L,0.2MPa,POLYCARBONATE BOWL,PRESSURE REGULATOR(REPLACED:AW20-02BCG-1),FOR AIR FILTER OF CNC GRINGING MACHINE</t>
  </si>
  <si>
    <t>AW20-02BCG-1-D</t>
  </si>
  <si>
    <t>PRESSURE REGULATOR(REPLACED:AW20-02BCG-1)</t>
  </si>
  <si>
    <t>FOR AIR FILTER OF CNC GRINGING MACHINE</t>
  </si>
  <si>
    <t>AW-D_20241202172552491.pdf</t>
  </si>
  <si>
    <t>https://www.smcworld.com/webcatalog/s3s/en-th/detail/?partNumber=AW20-02BCG-1-D</t>
  </si>
  <si>
    <t>20241126_102942_20241202173848263.jpg</t>
  </si>
  <si>
    <t>img1-AW-D_20241202173903475.jpg</t>
  </si>
  <si>
    <t>PORNPAILIN SINRAT(Mint)</t>
  </si>
  <si>
    <t>Laboratory Team</t>
  </si>
  <si>
    <t>pornpailin.si@poscotcs.com</t>
  </si>
  <si>
    <t>2024-12-03 13:12:23</t>
  </si>
  <si>
    <t>Q4658218</t>
  </si>
  <si>
    <t>[MAKER DWG NO:AFEL1UBZKAU60100001/KCC]xOD37x133.5L,PE/GLASS FIBER,AIR,B10-KAF601-10T/B10-KAFM601-10S/B10-KAFU601-10S, RC(1INCH), 5UM/0.3UM/0.01UM</t>
  </si>
  <si>
    <t>MAKER DWG NO:AFEL1UBZKAU60100001</t>
  </si>
  <si>
    <t>B10-KAF601-10T/B10-KAFM601-10S/B10-KAFU601-10S, RC(1INCH), 5UM/0.3UM/0.01UM</t>
  </si>
  <si>
    <t>601 FILTER ELEMENT SET-Model_20241209074239890.pdf</t>
  </si>
  <si>
    <t>https://www.kccpr.com/</t>
  </si>
  <si>
    <t>Resized_1733272997291-0_1733273030031_20241209074239934.jpg</t>
  </si>
  <si>
    <t>2024-12-10 11:12:25</t>
  </si>
  <si>
    <t xml:space="preserve">유사item 검색하였으나, 도면품으로 없음 확인후 승인합니다. </t>
  </si>
  <si>
    <t>Q4658224</t>
  </si>
  <si>
    <t>[MAKER DWG NO:AFEL1UBZKAU30100001/KCC]xOD30x52L,PE/GLASS FIBER,AIR,B10-KAF301-03T/B10-KAFM301-03S/B10-KAFU301-03S, RC(3/8INCH), 5UM/0.3UM/0.01UM</t>
  </si>
  <si>
    <t>MAKER DWG NO:AFEL1UBZKAU30100001</t>
  </si>
  <si>
    <t>B10-KAF301-03T/B10-KAFM301-03S/B10-KAFU301-03S, RC(3/8INCH), 5UM/0.3UM/0.01UM</t>
  </si>
  <si>
    <t>301 FILTER ELEMENT SET-Model_20241209074333439.pdf</t>
  </si>
  <si>
    <t>Resized_1733272997291-0_1733273030031_20241209074333485.jpg</t>
  </si>
  <si>
    <t>2024-12-10 11:12:50</t>
  </si>
  <si>
    <t>Q4658418</t>
  </si>
  <si>
    <t>[MDF BH/HC 110 O C 3 A 1.3/HYDAC]x90Wx154L_3micron,280bar,CAST IRON/CARBON STEEL_WITH FILTER ELEMENT_3CCP 2M/C MOLD P-LINE FILTER,OR EQUIVALENT</t>
  </si>
  <si>
    <t>MDF BH/HC 110 O C 3 A 1.3</t>
  </si>
  <si>
    <t>3CCP 2M/C MOLD P-LINE FILTER</t>
  </si>
  <si>
    <t>MDF FILTER_CAT_20241210161414728.pdf</t>
  </si>
  <si>
    <t xml:space="preserve">www.hydac.com/shop/en/mdf-up-to-280-bar-1000515395					</t>
  </si>
  <si>
    <t>사진.2_20241210161414819.jpg</t>
  </si>
  <si>
    <t>2024-12-11 15:12:36</t>
  </si>
  <si>
    <t xml:space="preserve">Q2078117등 유사item 검색하였으나, 없음 확인후 승인합니다._x000D_
</t>
  </si>
  <si>
    <t>Q4658459</t>
  </si>
  <si>
    <t>[AP-48-40UW/TAISEI KOGYO],ID244.6x215L,40micron,SGP,STEEL PLATE,SS,AIR FILTER,TCM COOLANT TANK AIR BREATHER</t>
  </si>
  <si>
    <t>AP-48-40UW</t>
  </si>
  <si>
    <t>TCM COOLANT TANK AIR BREATHER</t>
  </si>
  <si>
    <t>Air breather catalogue_20241207024551060.pdf_20241207024551060.pdf</t>
  </si>
  <si>
    <t>Air breather catalogue_20241207024859071.pdf_20241207024859071.pdf</t>
  </si>
  <si>
    <t>Air filter_20241205152049632.jpg</t>
  </si>
  <si>
    <t>Kiran Sakhale</t>
  </si>
  <si>
    <t>kiran.s@posco.net</t>
  </si>
  <si>
    <t>2024-12-12 07:12:46</t>
  </si>
  <si>
    <t>Q4658624</t>
  </si>
  <si>
    <t>[AFD20P-060AS/SMC],PE/GLASS FIBER,FILTER ELEMENT 25A-AFD20-02-B/25A-AFD20-02-D, MAKER DWG NO:AFD20P-060AS</t>
  </si>
  <si>
    <t>AFD20P-060AS</t>
  </si>
  <si>
    <t>FILTER ELEMENT 25A-AFD20-02-B/25A-AFD20-02-D, MAKER DWG NO:AFD20P-060AS</t>
  </si>
  <si>
    <t>AFM20P-060AS_20241211091124426.pdf</t>
  </si>
  <si>
    <t>AFD20P-060AS 사진_20241209110439305.jpg</t>
  </si>
  <si>
    <t>2024-12-13 13:12:59</t>
  </si>
  <si>
    <t xml:space="preserve">Q2204840등 유사item 검색하였으나, 동일 메이커의 다른 물품임 확인후 승인합니다. _x000D_
</t>
  </si>
  <si>
    <t>Q4658625</t>
  </si>
  <si>
    <t>[AFM20P-060AS/SMC],PE/GLASS FIBER,FILTER ELEMENT 25A-AFM20-02-B/25A-AFM20-02-D, MAKER DWG NO:AFM20P-060AS</t>
  </si>
  <si>
    <t>AFM20P-060AS</t>
  </si>
  <si>
    <t>FILTER ELEMENT 25A-AFM20-02-B/25A-AFM20-02-D, MAKER DWG NO:AFM20P-060AS</t>
  </si>
  <si>
    <t>AFM20P-060AS_20241211102051842.pdf</t>
  </si>
  <si>
    <t>AFM20P-060AS 사진_20241209110334518.jpg</t>
  </si>
  <si>
    <t>2024-12-13 13:12:51</t>
  </si>
  <si>
    <t xml:space="preserve">Q1037420_x000D_
등 유사item 검색하였으나, 동일 메이커의 다른 물품임 확인후 승인합니다. _x000D_
</t>
  </si>
  <si>
    <t>Q4658898</t>
  </si>
  <si>
    <t>OIL,HYDRAULIC,[SMP-EL-08-25/SHC],ID87x218L,25micron,PAPER,3bar,FOR 56 CWP NRV HSU</t>
  </si>
  <si>
    <t>SMP-EL-08-25</t>
  </si>
  <si>
    <t>FOR 56 CWP NRV HSU</t>
  </si>
  <si>
    <t>SHC SMP 08 25 Return filter element_20241216105748012.pdf</t>
  </si>
  <si>
    <t>SHC SMP 08 25 RETURN FILTER ELEMENT_20241216105748087.jpg</t>
  </si>
  <si>
    <t>wjjung@poscointl.com</t>
  </si>
  <si>
    <t>2024-12-16 17:12:17</t>
  </si>
  <si>
    <t>Q4659650</t>
  </si>
  <si>
    <t>[FRA-32-B-06-B-N-FA-32-P/UFI]xOD115x225L_5micron,700L/min_WITH PRESSURE INDICATOR_FOR HYDRAULIC UNIT COG DAMPER GTP COKE PLANT PTKP</t>
  </si>
  <si>
    <t>FRA-32-B-06-B-N-FA-32-P</t>
  </si>
  <si>
    <t xml:space="preserve">UFI </t>
  </si>
  <si>
    <t>WITH PRESSURE INDICATOR</t>
  </si>
  <si>
    <t>FOR HYDRAULIC UNIT COG DAMPER GTP COKE PLANT PTKP</t>
  </si>
  <si>
    <t>FRA_Ufi_Hyd_20241220164639600.pdf</t>
  </si>
  <si>
    <t>https://www.ufihyd.com/</t>
  </si>
  <si>
    <t>FRA_Ufi_Hyd_20241220164433204.jpg</t>
  </si>
  <si>
    <t>BASUNI</t>
  </si>
  <si>
    <t>Blast Furnace and Coke Maintenance Team</t>
  </si>
  <si>
    <t>basuni1@krakatauposco.co.id</t>
  </si>
  <si>
    <t>2024-12-24 13:12:29</t>
  </si>
  <si>
    <t>Q4659653</t>
  </si>
  <si>
    <t>HYDRAULIC,[EPB-13/UFI]xOD45x211L,FOR HYDRAULIC UNIT COG DAMPER GTP COKE PLANT PTKP</t>
  </si>
  <si>
    <t>EPB-13</t>
  </si>
  <si>
    <t>FPL_Ufi_Hyd_20241220164920326.pdf</t>
  </si>
  <si>
    <t>FPL_Ufi_Hyd_20241220165301624.jpg</t>
  </si>
  <si>
    <t>2024-12-24 13:12:10</t>
  </si>
  <si>
    <t xml:space="preserve">Q4627722등 유사item 검색하였으나, 없음 확인후 승인합니다. </t>
  </si>
  <si>
    <t>Q4659655</t>
  </si>
  <si>
    <t>HYDRAULIC,[ERA-32/UFI]xOD70x130L,FOR HYDRAULIC UNIT COG DAMPER GTP COKE PLANT PTKP</t>
  </si>
  <si>
    <t>ERA-32</t>
  </si>
  <si>
    <t>FRA_Ufi_Hyd_20241220165428984.pdf</t>
  </si>
  <si>
    <t>FRA_Ufi_Hyd_20241220165610232.jpg</t>
  </si>
  <si>
    <t>2024-12-24 13:12:03</t>
  </si>
  <si>
    <t>Q4659726</t>
  </si>
  <si>
    <t>WATER,[RF3-32S-A9-E1E1-N5-1-0-3/KS150-3/HYDAC]_508Dx670Dx1888L_150micron_STS316_10bar_FOR DESACLING PUMP AUTO STRAINER,OR EQUIVALENT</t>
  </si>
  <si>
    <t>RF3-32S-A9-E1E1-N5-1-0-3/KS150-3</t>
  </si>
  <si>
    <t>FOR DESACLING PUMP AUTO STRAINER</t>
  </si>
  <si>
    <t>CAT._20241118164017151.pdf</t>
  </si>
  <si>
    <t xml:space="preserve">www.hydac.com/shop/en/filtration-technology/process-filter-automatic-back-flushing-filter								</t>
  </si>
  <si>
    <t>사진.1_20241118163942974.jpg</t>
  </si>
  <si>
    <t>임상묵</t>
  </si>
  <si>
    <t>lsm6541@posco.co.kr</t>
  </si>
  <si>
    <t>2024-12-24 17:12:39</t>
  </si>
  <si>
    <t xml:space="preserve">Q4625347등 유사item 검색하였으나, 동일 메이커의 다른 물품임 확인후 승인합니다. </t>
  </si>
  <si>
    <t>Q4659962</t>
  </si>
  <si>
    <t>[HPDF1320+YQ+L24-B6/YOOSUNGENG]x550Wx1106L_5micron,315bar,OIL,OR EQUIVALENT</t>
  </si>
  <si>
    <t>HPDF1320+YQ+L24-B6</t>
  </si>
  <si>
    <t>YOOSUNGENG</t>
  </si>
  <si>
    <t>filter stand Model_20241216151034858.pdf</t>
  </si>
  <si>
    <t>http://www.yoosungeng.com/product/product_view.htm?product_category=02000000&amp;idx=971&amp;list_type=</t>
  </si>
  <si>
    <t>123_20241216151052157.jpg</t>
  </si>
  <si>
    <t>고순석</t>
  </si>
  <si>
    <t>blast@posco.co.kr</t>
  </si>
  <si>
    <t>유상민</t>
  </si>
  <si>
    <t>ysm8239@posco.co.kr</t>
  </si>
  <si>
    <t>2024-12-27 15:12:52</t>
  </si>
  <si>
    <t>Q4228579등 유사item 검색하였으나, 유사품 없음 확인후 승인합니다.</t>
  </si>
  <si>
    <t>Q4660392</t>
  </si>
  <si>
    <t>[FPL-13C-15CN-FA7E/UFI]x86Wx321L_5micron,2MPa_FOR HYDRAULIC UNIT COG DAMPER GTP COKE PLANT PTKP</t>
  </si>
  <si>
    <t>FPL-13C-15CN-FA7E</t>
  </si>
  <si>
    <t>FPL_Ufi_Hyd_20241231110426431.pdf</t>
  </si>
  <si>
    <t>FPL_Ufi_Hyd_20241231110426567.jpg</t>
  </si>
  <si>
    <t>2025-01-02 15:01:45</t>
  </si>
  <si>
    <t xml:space="preserve">Q4381372등 유사item 검색하였으나, 동일/유사품 없음 확인후 승인합니다. </t>
  </si>
  <si>
    <t>Q4660497</t>
  </si>
  <si>
    <t>[PRF16013903/LAEIS],FOR 1600T FILTER SET</t>
  </si>
  <si>
    <t>PRF16013903</t>
  </si>
  <si>
    <t>123_20241223090316729.PNG</t>
  </si>
  <si>
    <t>20241217_085005_20241223090316777.jpg</t>
  </si>
  <si>
    <t>2025-01-06 08:01:15</t>
  </si>
  <si>
    <t xml:space="preserve">Q4368816등 유사item 검색 하였으나, 동일/유사품 없음 확인후 승인합니다. _x000D_
</t>
  </si>
  <si>
    <t>Q4661100</t>
  </si>
  <si>
    <t>AIR,[PI135X1000L PE M/AERIX]xOD135x1000L,PE(MEMBRANE COATING)</t>
  </si>
  <si>
    <t>PI135X1000L PE M</t>
  </si>
  <si>
    <t>에어릭스_주름필터(135X1000L)_20250108074219486.pdf</t>
  </si>
  <si>
    <t>주름필터 실사_20250108074219597.jpg</t>
  </si>
  <si>
    <t>2025-01-09 13:01:48</t>
  </si>
  <si>
    <t xml:space="preserve">MRO e-Caltalog시스템 경유건으로 대체 Maker 미 발굴건, 기 설치된 Filter Element의 호환성을 위해 특정 사양으로 등록건 확인, _x000D_
유사item 검색하였으나, 유사/동일품 없음 확인후 승인합니다. _x000D_
</t>
  </si>
  <si>
    <t>Q4661101</t>
  </si>
  <si>
    <t>AIR,[PI 140X700L PE M/AERIX]xOD140x700L,PE(MEMBRANE COATING)</t>
  </si>
  <si>
    <t>PI 140X700L PE M</t>
  </si>
  <si>
    <t>에어릭스_주름필터(140X700L)_20250108073843605.pdf</t>
  </si>
  <si>
    <t>주름필터 실사_20250108073843779.jpg</t>
  </si>
  <si>
    <t>2025-01-09 13:01:14</t>
  </si>
  <si>
    <t>Q4661102</t>
  </si>
  <si>
    <t>AIR,[PI140X1000L PE M/AERIX]xOD140x1000L,PE(MEMBRANE COATING)</t>
  </si>
  <si>
    <t>PI140X1000L PE M</t>
  </si>
  <si>
    <t>에어릭스_주름필터(140X1000L)_20250108074041303.pdf</t>
  </si>
  <si>
    <t>주름필터 실사_20250108074041417.jpg</t>
  </si>
  <si>
    <t>2025-01-09 13:01:35</t>
  </si>
  <si>
    <t>Q4661103</t>
  </si>
  <si>
    <t>AIR,[PI165X800L PE M/AERIX]xOD165x800L,PE(MEMBRANE COATING)</t>
  </si>
  <si>
    <t>PI165X800L PE M</t>
  </si>
  <si>
    <t>에어릭스_주름필터(165X800L PE M)_20250108074157471.pdf</t>
  </si>
  <si>
    <t>주름필터 실사_20250108074157577.jpg</t>
  </si>
  <si>
    <t>2025-01-09 13:01:55</t>
  </si>
  <si>
    <t>Q4661104</t>
  </si>
  <si>
    <t>AIR,[PI160X2000L PE M/AERIX]xOD160x2000L,PE(MEMBRANE COATING)</t>
  </si>
  <si>
    <t>PI160X2000L PE M</t>
  </si>
  <si>
    <t>에어릭스_주름필터(160X2000L)_20250108074132402.pdf</t>
  </si>
  <si>
    <t>주름필터 실사_20250108074132519.jpg</t>
  </si>
  <si>
    <t>Q4661105</t>
  </si>
  <si>
    <t>AIR,[PI205X1000L PE/AERIX]xOD205x1000L,PE</t>
  </si>
  <si>
    <t>PI205X1000L PE</t>
  </si>
  <si>
    <t>에어릭스_주름필터(205X1000L)_20250108073953982.pdf</t>
  </si>
  <si>
    <t>주름필터 실사_20250108073954104.jpg</t>
  </si>
  <si>
    <t>Q4661106</t>
  </si>
  <si>
    <t>AIR,[PI200X800L PE M/AERIX]xOD200x800L</t>
  </si>
  <si>
    <t>PI200X800L PE M</t>
  </si>
  <si>
    <t>에어릭스_주름필터(200X800L)_20250108074018460.pdf</t>
  </si>
  <si>
    <t>주름필터 실사_20250108074018579.jpg</t>
  </si>
  <si>
    <t>2025-01-09 13:01:57</t>
  </si>
  <si>
    <t>Q4661108</t>
  </si>
  <si>
    <t>AIR,[PI190X870L PE/AERIX]xOD190x870L,PE</t>
  </si>
  <si>
    <t>PI190X870L PE</t>
  </si>
  <si>
    <t>에어릭스_주름필터(190X870L PE)_20250108073929052.pdf</t>
  </si>
  <si>
    <t>주름필터 실사_20250108073929204.jpg</t>
  </si>
  <si>
    <t>2025-01-09 13:01:23</t>
  </si>
  <si>
    <t>Q4661110</t>
  </si>
  <si>
    <t>AIR,[PI 130X4000L NOMEX/AERIX]xOD130x4000L,NOMEX</t>
  </si>
  <si>
    <t>PI 130X4000L NOMEX</t>
  </si>
  <si>
    <t>에어릭스-130 4000 NOMEX_20250109080821477.pdf</t>
  </si>
  <si>
    <t>https://www.aerix.co.kr/%ed%99%98%ea%b2%bd-%ec%86%8c%eb%aa%a8%ed%92%88/%ec%9b%90%ed%86%b5%ed%98%95-%ed%95%84%ed%84%b0%eb%b0%b1/</t>
  </si>
  <si>
    <t>NOMEX 실사_20250109080821626.JPG</t>
  </si>
  <si>
    <t>2025-01-09 13:01:44</t>
  </si>
  <si>
    <t>Q4661111</t>
  </si>
  <si>
    <t>AIR,[PI 130X1700L GLASS M/AERIX]xOD130x1700L,GLASS MAMBRANE</t>
  </si>
  <si>
    <t>PI 130X1700L GLASS M</t>
  </si>
  <si>
    <t>에어릭스_원통필터(130X1700L)_20250109073838585.pdf</t>
  </si>
  <si>
    <t>GLASS M 실사_20250109073838682.JPG</t>
  </si>
  <si>
    <t>2025-01-09 13:01:05</t>
  </si>
  <si>
    <t>Q4661112</t>
  </si>
  <si>
    <t>AIR,[PI 156X2950L P-84GM/AERIX]xOD156x2950L,P-84+GLASS MEMBRANE</t>
  </si>
  <si>
    <t>PI 156X2950L P-84GM</t>
  </si>
  <si>
    <t>156 2950 GM_20250109073143470.pdf</t>
  </si>
  <si>
    <t>P-84GM_20250109073143626.JPG</t>
  </si>
  <si>
    <t>2025-01-09 13:01:29</t>
  </si>
  <si>
    <t>Q4661294</t>
  </si>
  <si>
    <t>REGULATOR CASE,AIR,[AD48-D/SMC],POLYCARBONATE,FOR REGULATOR  AW40 SERIES</t>
  </si>
  <si>
    <t>AD48-D</t>
  </si>
  <si>
    <t>FOR REGULATOR  AW40 SERIES</t>
  </si>
  <si>
    <t>AD48-D 사양_20250109081158954.pdf</t>
  </si>
  <si>
    <t>1_20250109081159063.JPG</t>
  </si>
  <si>
    <t>2025-01-10 13:01:07</t>
  </si>
  <si>
    <t xml:space="preserve">MRO e-Caltalog시스템 경유건으로 대체 Maker 미 발굴건, 기 설치된 Cylinder의 호환성을 위해 특정 사양으로 등록건 확인, _x000D_
Q4488352등 유사item 검색하였으나, 유사/동일품 없음 확인후 승인합니다. _x000D_
(특정 사양품감축 관련) 차후 입고시 스케치, 현물 확인을 통한 도면화, 일반 사양화, 복수화 전환 검토 요청 필히 부탁드립니다. 감사합니다._x000D_
</t>
  </si>
  <si>
    <t>Q4662382</t>
  </si>
  <si>
    <t>[R-102/UFI FILTER]xOD127x237L,ABS, STEEL,FOR HYDRAULIC UNIT COG DAMPER GTP COKE PLANT PTKP</t>
  </si>
  <si>
    <t>R-102</t>
  </si>
  <si>
    <t>UFI FILTER</t>
  </si>
  <si>
    <t>AIR_SENTRY_Ufi_Hyd_20250117092832175.pdf</t>
  </si>
  <si>
    <t>M6_20250117092832326.jpg</t>
  </si>
  <si>
    <t>2025-01-20 15:01:50</t>
  </si>
  <si>
    <t>Q4662671</t>
  </si>
  <si>
    <t>[WYFS30T1BD/WOONYOUNG],AC 1PHASE,250V,30A</t>
  </si>
  <si>
    <t>WYFS30T1BD</t>
  </si>
  <si>
    <t>WYFS30T1BD. PDF_20250120085030732.pdf</t>
  </si>
  <si>
    <t>https://www.woonyoung.com/page/s0201_view.php?ocatecode=1337920582&amp;idx=136&amp;gcname=%EC%88%98%EB%B0%B0%EC%A0%84%EB%B0%98+%EC%A0%84%EB%A0%A5%EA%B8%B0%EA%B8%B0+Solution&amp;gnsub=+250V&amp;gcatecode=1338275836&amp;ogcname=%EB%85%B8%EC%9D%B4%EC%A6%88+%ED%95%84%ED%84%B0</t>
  </si>
  <si>
    <t>WYFS30T1BD_20250120085030804.PNG</t>
  </si>
  <si>
    <t>김승규</t>
  </si>
  <si>
    <t>777tmdrb@poscofuturem.com</t>
  </si>
  <si>
    <t>2025-01-22 14:01:50</t>
  </si>
  <si>
    <t xml:space="preserve">MRO e-Caltalog시스템 경유건으로 대체 Maker 미 발굴건, 기 설치된 Noise Filter의 호환성을 위해 특정 사양으로 등록건 확인,_x000D_
Q4651152등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</si>
  <si>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Q4662948</t>
  </si>
  <si>
    <t>[MAKER DWG NO:TSE-VFP-2.5-60-01/TSE]_ID110xOD140x602L_10micron_ALUMINIUM_STS304,1.6MPa,HYDRAULIC OIL_FLANGE</t>
  </si>
  <si>
    <t>MAKER DWG NO:TSE-VFP-2.5-60-01</t>
  </si>
  <si>
    <t>FLANGE</t>
  </si>
  <si>
    <t>TSE-VFP-2.5-60-01_유압스테이션 리턴 필터_20250120085317062.pdf</t>
  </si>
  <si>
    <t>13_20250120085317111.jpg</t>
  </si>
  <si>
    <t>2025-01-24 10:01:39</t>
  </si>
  <si>
    <t xml:space="preserve">MRO e-Caltalog시스템 경유건으로 대체 Maker 미 발굴건, 기 설치된 Hydraulic Filter의 호환성을 위해 특정 사양으로 등록건 확인,_x000D_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</si>
  <si>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Q4663216</t>
  </si>
  <si>
    <t>[P/N: FHC 1007100-A/HYUNDAI]_FORKLIFT, SECTION FILTER</t>
  </si>
  <si>
    <t>P/N: FHC 1007100-A</t>
  </si>
  <si>
    <t>HYUNDAI</t>
  </si>
  <si>
    <t>FORKLIFT, SECTION FILTER</t>
  </si>
  <si>
    <t>https://hyundaimaterialhandling.com.au/parts?page=53</t>
  </si>
  <si>
    <t>FHC1007100-A_20250129172510892.jpg</t>
  </si>
  <si>
    <t>Pirla Srinivas</t>
  </si>
  <si>
    <t>IPPC_Production_Division</t>
  </si>
  <si>
    <t>srinivasp@posco.net</t>
  </si>
  <si>
    <t>2025-02-03 13:02:41</t>
  </si>
  <si>
    <t>Q4663218</t>
  </si>
  <si>
    <t>[P/N: 31S1-1013-A/HYUNDAI],3T FORKLIFT, RETURN ELEMENT  FILTER</t>
  </si>
  <si>
    <t>P/N: 31S1-1013-A</t>
  </si>
  <si>
    <t xml:space="preserve">3T FORKLIFT, RETURN ELEMENT  FILTER </t>
  </si>
  <si>
    <t>https://hyundaimaterialhandling.com.au/parts?page=21</t>
  </si>
  <si>
    <t>31S1-1013-A_20250129173007153.jpg</t>
  </si>
  <si>
    <t>2025-02-03 13:02:55</t>
  </si>
  <si>
    <t>Q4663233</t>
  </si>
  <si>
    <t>[DNE-50A-130SS-EL-01/DASAN],ID57.2xOD84x650L,0.01micron,STAINLESS STEEL,MAKER DWG NO:DNE-50A-130SS-EL-01</t>
  </si>
  <si>
    <t>DNE-50A-130SS-EL-01</t>
  </si>
  <si>
    <t>MAKER DWG NO:DNE-50A-130SS-EL-01</t>
  </si>
  <si>
    <t>㈜다산- DNE-50A-130SS_GA_250122_0900 - 복사본_20250203082318829.pdf</t>
  </si>
  <si>
    <t>AIR FILTER_20250203082318906.JPG</t>
  </si>
  <si>
    <t>2025-02-03 13:02:37</t>
  </si>
  <si>
    <t xml:space="preserve">MRO e-Caltalog시스템 경유건으로 대체 Maker 미 발굴건, 기 설치된 Air Filter의 호환성을 위해 특정 사양으로 등록건 확인,_x000D_
Q4628197등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</si>
  <si>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Q4663343</t>
  </si>
  <si>
    <t>MEMBRANE PLATE,[WOM-C-M630-G-4-30-35/TEA YOUNG FILTRATION SYSTEM],630X630X65,PP,[MAKER DWG NO:WOM-C-M630-G-4-30-35], FOR NICKEL REFINERY WASTEWATER TREATMENT EQUIPMENT,OR EQUIVALENT</t>
  </si>
  <si>
    <t>WOM-C-M630-G-4-30-35</t>
  </si>
  <si>
    <t>TEA YOUNG FILTRATION SYSTEM</t>
  </si>
  <si>
    <t>[MAKER DWG NO:WOM-C-M630-G-4-30-35], FOR NICKEL REFINERY WASTEWATER TREATMENT EQUIPMENT</t>
  </si>
  <si>
    <t>여과판_멤브레인_20240318140118407.pdf</t>
  </si>
  <si>
    <t>KakaoTalk_20230119_171348166_01_20231016074230004.jpg</t>
  </si>
  <si>
    <t>권부영</t>
  </si>
  <si>
    <t>2025-02-03 17:02:53</t>
  </si>
  <si>
    <t xml:space="preserve">MRO e-Caltalog시스템 경유건으로 대체 Maker 미 발굴건, 기 설치된 Filter Accessories의 호환성을 위해 특정 사양으로 등록건 확인,_x000D_
Q4643900등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</si>
  <si>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Q4663344</t>
  </si>
  <si>
    <t>MEMBRANE PLATE,[WOM-C-K630-G-4-30-30/TEA YOUNG FILTRATION SYSTEM],630X630X60,PP,[MAKER DWG NO:WOM-C-K630-G-4-30-30],FOR NICKEL REFINERY WASTEWATER TREATMENT EQUIPMENT,OR EQUIVALENT</t>
  </si>
  <si>
    <t>WOM-C-K630-G-4-30-30</t>
  </si>
  <si>
    <t>[MAKER DWG NO:WOM-C-K630-G-4-30-30],FOR NICKEL REFINERY WASTEWATER TREATMENT EQUIPMENT</t>
  </si>
  <si>
    <t>여과판_일반_20240318140351520.pdf</t>
  </si>
  <si>
    <t>KakaoTalk_20230119_171348166_01_20231016075248923.jpg</t>
  </si>
  <si>
    <t>2025-02-03 17:02:22</t>
  </si>
  <si>
    <t>Q4663345</t>
  </si>
  <si>
    <t>MEMBRANE PLATE,[WOM-C-H630-G-4-30-30/TEA YOUNG FILTRATION SYSTEM],630X630X60,PP,[MAKER DWG NO:WOM-C-H630-G-4-30-30],FOR NICKEL REFINERY WASTEWATER TREATMENT EQUIPMENT,OR EQUIVALENT</t>
  </si>
  <si>
    <t>WOM-C-H630-G-4-30-30</t>
  </si>
  <si>
    <t>[MAKER DWG NO:WOM-C-H630-G-4-30-30],FOR NICKEL REFINERY WASTEWATER TREATMENT EQUIPMENT</t>
  </si>
  <si>
    <t>여과판_HEAD_20240318140430318.pdf</t>
  </si>
  <si>
    <t>KakaoTalk_20230119_171348166_01_20231016075855895.jpg</t>
  </si>
  <si>
    <t>2025-02-03 17:02:48</t>
  </si>
  <si>
    <t>Q4663346</t>
  </si>
  <si>
    <t>MEMBRANE PLATE,[WOM-C-E630-G-4-30-30/TEA YOUNG FILTRATION SYSTEM],630X630X60,PP,[MAKER DWG NO:WOM-C-E630-G-4-30-30],FOR NICKEL REFINERY WASTEWATER TREATMENT EQUIPMENT,OR EQUIVALENT</t>
  </si>
  <si>
    <t>WOM-C-E630-G-4-30-30</t>
  </si>
  <si>
    <t>[MAKER DWG NO:WOM-C-E630-G-4-30-30],FOR NICKEL REFINERY WASTEWATER TREATMENT EQUIPMENT</t>
  </si>
  <si>
    <t>여과판_END_20240318140452415.pdf</t>
  </si>
  <si>
    <t>KakaoTalk_20230119_171348166_01_20231016080930596.jpg</t>
  </si>
  <si>
    <t>2025-02-03 17:02:23</t>
  </si>
  <si>
    <t xml:space="preserve">MRO e-Caltalog시스템 경유건으로 대체 Maker 미 발굴건, 기 설치된 Filter Accessories의 호환성을 위해 특정 사양으로 등록건 확인,_x000D_
Q4643898등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</si>
  <si>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Q4663768</t>
  </si>
  <si>
    <t>WATER,WATER,[MONSTER F15 FILTER/DEWBELL]x73Wx205L,PP,SI,PP+ACF,DEWBELL, F15 MONSTER FILTER,OR EQUIVALENT</t>
  </si>
  <si>
    <t>MONSTER F15 FILTER</t>
  </si>
  <si>
    <t>DEWBELL</t>
  </si>
  <si>
    <t>DEWBELL, F15 MONSTER FILTER</t>
  </si>
  <si>
    <t>DEWBELL F15 FILTER_20250206074253373.pptx</t>
  </si>
  <si>
    <t xml:space="preserve">https://m.dewbell.co.kr/product/detail.html?product_no=55 </t>
  </si>
  <si>
    <t>Monster Filter_20250206074253490.jpg</t>
  </si>
  <si>
    <t>이대원</t>
  </si>
  <si>
    <t>포항생산부 산소공장</t>
  </si>
  <si>
    <t>ldw1004@posco.co.kr</t>
  </si>
  <si>
    <t>김일영</t>
  </si>
  <si>
    <t>k4139@posco.co.kr</t>
  </si>
  <si>
    <t>2025-02-06 17:02:50</t>
  </si>
  <si>
    <t>Q4663875</t>
  </si>
  <si>
    <t>[FILTER BOX FOR H-F100/FILTER SET]x300Lx50T,AIR,OR EQUIVALENT</t>
  </si>
  <si>
    <t>FILTER BOX FOR H-F100</t>
  </si>
  <si>
    <t>FILTER SET</t>
  </si>
  <si>
    <t>필터박스 FILTER SET_1_20250207102733842.png</t>
  </si>
  <si>
    <t>https://www.himpelmall.com/mall/product/product_view.php?ps_ctid=14060000&amp;ps_goid=1055</t>
  </si>
  <si>
    <t>필터 대표이미지_20250207102733910.PNG</t>
  </si>
  <si>
    <t>임경필</t>
  </si>
  <si>
    <t>afghj0374@posco.co.kr</t>
  </si>
  <si>
    <t>2025-02-07 11:02:34</t>
  </si>
  <si>
    <t xml:space="preserve">MRO e-Caltalog시스템 경유건으로 대체 Maker 미 발굴건, 기 설치된 Filter의 호환성을 위해 특정 사양으로 등록건 확인,_x000D_
유사item 검색하였으나, 유사/동일품 없음 확인후 승인합니다. 제조사에 한글로만 모델명이 있어 영어로 전환하여 신청함 확인합니다._x000D_
(특정 사양품감축 관련) 차후 입고시 스케치, 현물 확인을 통한 도면화,일반 사양화, 복수화 전환 검토 요청 필히 부탁드립니다. 감사합니다._x000D_
</t>
  </si>
  <si>
    <t>Q4664052</t>
  </si>
  <si>
    <t>AIR,[DAON-PF-002/DAON FILTER FACTORY],ID135xOD140x1000L,PE,CAGE TYPE</t>
  </si>
  <si>
    <t>DAON-PF-002</t>
  </si>
  <si>
    <t>DAON FILTER FACTORY</t>
  </si>
  <si>
    <t>CAGE TYPE</t>
  </si>
  <si>
    <t>퓨처엠음극재공장140×1000~케이지일체형도면(DAON-PF-002)_20250123085909994.pdf</t>
  </si>
  <si>
    <t>https://blog.naver.com/daonfilterfactory/222958901268</t>
  </si>
  <si>
    <t>1737010628880_20250123085910108.jpg</t>
  </si>
  <si>
    <t>2025-02-10 11:02:43</t>
  </si>
  <si>
    <t xml:space="preserve">MRO e-Caltalog시스템 경유건으로 대체 Maker 미 발굴건, 기 설치된 Filter Element의 호환성을 위해 특정 사양으로 등록건 확인,_x000D_
Q4276984등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</si>
  <si>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Q4664053</t>
  </si>
  <si>
    <t>AIR,[DAON-PF-001/DAON FILTER FACTORY],ID135xOD140x1000L,1micron,PE,BAND TYPE</t>
  </si>
  <si>
    <t>DAON-PF-001</t>
  </si>
  <si>
    <t>BAND TYPE</t>
  </si>
  <si>
    <t>퓨처엠음극재공장140×1000~초음파밴드도면(DAON-PF-001)_20250123085928760.pdf</t>
  </si>
  <si>
    <t>1737010621720_20250123085928804.jpg</t>
  </si>
  <si>
    <t>2025-02-10 11:02:14</t>
  </si>
  <si>
    <t xml:space="preserve">MRO e-Caltalog시스템 경유건으로 대체 Maker 미 발굴건, 기 설치된 Filter Elementr의 호환성을 위해 특정 사양으로 등록건 확인,_x000D_
Q4433258 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</si>
  <si>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Q4664206</t>
  </si>
  <si>
    <t>[N0777095/PERKIN ELMER]x355.6Wx330.2Lx50T,ALUMINUM,CHILLER,WITH FRAME,FOR ICP-OES CHILLER</t>
  </si>
  <si>
    <t>N0777095</t>
  </si>
  <si>
    <t>PERKIN ELMER</t>
  </si>
  <si>
    <t>WITH FRAME</t>
  </si>
  <si>
    <t>FOR ICP-OES CHILLER</t>
  </si>
  <si>
    <t>https://www.perkinelmer.com/product/air-filter-with-frame-13-x-14-n0777095</t>
  </si>
  <si>
    <t>N0777095_20250210081803630.JPG</t>
  </si>
  <si>
    <t>2025-02-11 10:02:12</t>
  </si>
  <si>
    <t xml:space="preserve">MRO e-Caltalog시스템 경유건으로 대체 Maker 미 발굴건, 기 설치된 Filter의 호환성을 위해 특정 사양으로 등록건 확인,_x000D_
Q4589781등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</si>
  <si>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Q4664456</t>
  </si>
  <si>
    <t>[6SL3203-0BE17-7BA0/SIEMENS],AC 3PHASE,AC 380~480V,11.4A</t>
  </si>
  <si>
    <t>6SL3203-0BE17-7BA0</t>
  </si>
  <si>
    <t>SIEMENS</t>
  </si>
  <si>
    <t>https://mall.industry.siemens.com/mall/en/WW/Catalog/Product/6SL3203-0BE17-7BA0</t>
  </si>
  <si>
    <t>Filter_20250212115624275.jpg</t>
  </si>
  <si>
    <t>2025-02-13 09:02:34</t>
  </si>
  <si>
    <t xml:space="preserve">Q4633324등 유사item 검색하였으나, 유사/동일품 없음 확인후 승인합니다._x000D_
(특정 사양품감축 관련) 차후 입고시 스케치, 현물 확인을 통한 도면화,일반 사양화, 복수화 전환 검토 요청 필히 부탁드립니다. 감사합니다. _x000D_
_x000D_
</t>
  </si>
  <si>
    <t>Q4664469</t>
  </si>
  <si>
    <t>[6SL3203-0BE23-8BA0/SIEMENS],AC 3PHASE,AC 380~480V,49.4A</t>
  </si>
  <si>
    <t>6SL3203-0BE23-8BA0</t>
  </si>
  <si>
    <t>https://mall.industry.siemens.com/mall/en/ww/Catalog/Product/?mlfb=6SL3203-0BE23-8BA0</t>
  </si>
  <si>
    <t>Filter_20250212115903881.jpg</t>
  </si>
  <si>
    <t>2025-02-13 09:02:53</t>
  </si>
  <si>
    <t>MRO e-Caltalog시스템 경유건으로 대체 Maker 미 발굴건, 기 설치된 Noise Filter의 호환성을 위해 특정 사양으로 등록건 확인,_x000D_
Q4633324등 유사item 검색하였으나, 동일 메이커의 다른 형번 물품임 확인후 승인합니다._x000D_
(특정 사양품감축 관련) 차후 입고시 스케치, 현물 확인을 통한 도면화,일반 사양화, 복수화 전환 검토 요청 필히 부탁드립니다. 감사합니다.</t>
  </si>
  <si>
    <t>Q4664473</t>
  </si>
  <si>
    <t>[DOF-02/DONG WHA INDUSTRIAL]x95L_150mesh_UPPER CAP MATERIAL:AL DIECASTING,20L/min_THREAD:1/4"_FOR NICKEL REFINERY WASTEWATER TREATMENT PROCESS,OR EQUIVALENT</t>
  </si>
  <si>
    <t>DOF-02</t>
  </si>
  <si>
    <t>DONG WHA INDUSTRIAL</t>
  </si>
  <si>
    <t>THREAD:1/4"</t>
  </si>
  <si>
    <t>FOR NICKEL REFINERY WASTEWATER TREATMENT PROCESS</t>
  </si>
  <si>
    <t>동화필터 자료_20250211073625230.jpg</t>
  </si>
  <si>
    <t>http://dhchyd.co.kr/skin_nw2/index.php</t>
  </si>
  <si>
    <t>동화필터 사진_20250211073625304.jpg</t>
  </si>
  <si>
    <t>유현수</t>
  </si>
  <si>
    <t>2025-02-13 09:02:31</t>
  </si>
  <si>
    <t xml:space="preserve">MRO e-Caltalog시스템 경유건으로 대체 Maker 미 발굴건, 기 설치된 Filter의 호환성을 위해 특정 사양으로 등록건 확인,_x000D_
Q4189459등 유사item 검색하였으나, 유사/동일품 없음 확인후 승인합니다._x000D_
(특정 사양품감축 관련) 차후 입고시 스케치, 현물 확인을 통한 도면화,일반 사양화, 복수화 전환 검토 요청 필히 부탁드립니다. 감사합니다. _x000D_
</t>
  </si>
  <si>
    <t>Q4664585</t>
  </si>
  <si>
    <t>[TPR110CBP2EG12E/PARKER]_10micron_NITRILE_10C CELLULOSE,10bar,ALUMINUM,0.83L/s_CONNECTION G3/4''_FOR RETURN FILTER</t>
  </si>
  <si>
    <t>TPR110CBP2EG12E</t>
  </si>
  <si>
    <t>CONNECTION G3/4''</t>
  </si>
  <si>
    <t>FOR RETURN FILTER</t>
  </si>
  <si>
    <t>https://ph.parker.com/us/en/product/tanktop-mounted-return-line-filter-tanktopper-series/tpr110cbp2eg12e</t>
  </si>
  <si>
    <t>PARKER_20250212220803372.png</t>
  </si>
  <si>
    <t>Screenshot_1_20250212221021818.png</t>
  </si>
  <si>
    <t>2025-02-17 08:02:53</t>
  </si>
  <si>
    <t xml:space="preserve">Q4222381 등 유사item 검색하였으나, 유사/동일품 없음 확인후 승인합니다._x000D_
(특정 사양품감축 관련) 차후 입고시 스케치, 현물 확인을 통한 도면화,일반 사양화, 복수화 전환 검토 요청 필히 부탁드립니다. 감사합니다._x000D_
_x000D_
</t>
  </si>
  <si>
    <t>Q4664749</t>
  </si>
  <si>
    <t>POLYESTER,[PE FILTER CLOTH(1560LX1620H)/JUNGDO]x1560Lx1620Wx1.28T,FOR R&amp;D</t>
  </si>
  <si>
    <t>PE FILTER CLOTH(1560LX1620H)</t>
  </si>
  <si>
    <t>JUNGDO</t>
  </si>
  <si>
    <t>필터프레스 고밀도 여과포 _사양서_20250217145909504.JPG</t>
  </si>
  <si>
    <t xml:space="preserve">www.jungdoeng.com </t>
  </si>
  <si>
    <t>고밀도 여과포 _ 이미지_20250217145909567.JPG</t>
  </si>
  <si>
    <t>2025-02-17 16:02:09</t>
  </si>
  <si>
    <t>Q4664953</t>
  </si>
  <si>
    <t>WATER,[RF3-C-3S-A9-NME1-N5-1-0-3 / KS200-C/HYDAC]_340Dx988Dx967L_200micron_STAINLESS STEEL_16bar_FOR 2CC TCM WATER JACKET &amp; TORCH,OR EQUIVALENT</t>
  </si>
  <si>
    <t>RF3-C-3S-A9-NME1-N5-1-0-3 / KS200-C</t>
  </si>
  <si>
    <t>FOR 2CC TCM WATER JACKET &amp; TORCH</t>
  </si>
  <si>
    <t>https://www.hydac.com/download/autofilt-rf3-backflushing-filter-1000451309-en.pdf</t>
  </si>
  <si>
    <t>123_20250211105905336.png</t>
  </si>
  <si>
    <t>원효섭</t>
  </si>
  <si>
    <t>wonhs88@posco.co.kr</t>
  </si>
  <si>
    <t>2025-02-19 09:02:18</t>
  </si>
  <si>
    <t xml:space="preserve">MRO e-Caltalog시스템 경유건으로 대체 Maker 미 발굴건, 기 설치된 Filter의 호환성을 위해 특정 사양으로 등록건 확인,_x000D_
Q4260253등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</si>
  <si>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Q4665328</t>
  </si>
  <si>
    <t>WATER,[NON-WOVEN DEPTH FILTER CARTRIDGES(ADM) (5UM)/DAEWON INDUSTRIAL],ID30xOD62x750L,5micron,PP MICROFIBER,OR EQUIVALENT</t>
  </si>
  <si>
    <t>NON-WOVEN DEPTH FILTER CARTRIDGES(ADM) (5UM)</t>
  </si>
  <si>
    <t>DAEWON INDUSTRIAL</t>
  </si>
  <si>
    <t>필터 ADM 카다로그 (1)_20250218161039820.pdf</t>
  </si>
  <si>
    <t>https://dmf21.com/%eb%a7%88%ec%9d%b4%ed%81%ac%eb%a1%9c%ed%95%84%ed%84%b0/</t>
  </si>
  <si>
    <t>pp microfilter_20250218160932893.png</t>
  </si>
  <si>
    <t>868244@posco.co.kr</t>
  </si>
  <si>
    <t>2025-02-21 10:02:06</t>
  </si>
  <si>
    <t>MRO e-Caltalog시스템 경유건으로 대체 Maker 미 발굴건, 기 설치된 Cylinder의 호환성을 위해 특정 사양으로 등록건 확인,_x000D_
Q4391359등 유사item 검색하였으나, 유사/동일품 없음 확인후 승인합니다._x000D_
(특정 사양품감축 관련) 차후 입고시 스케치, 현물 확인을 통한 도면화,일반 사양화, 복수화 전환 검토 요청 필히 부탁드립니다. 감사합니다.</t>
  </si>
  <si>
    <t>Q4665581</t>
  </si>
  <si>
    <t>[AERIX-MENBRANE-M2502/AERIX],ID200xOD230x600L,POLYESTER SESA NONWOVEN MEMBRANE,CARTRIDGE FILTER,INSIDE CIRCULAR SPIRAL TYPE/WITH CASING STS304/PATENT:30-1178432</t>
  </si>
  <si>
    <t>AERIX-MENBRANE-M2502</t>
  </si>
  <si>
    <t>INSIDE CIRCULAR SPIRAL TYPE/WITH CASING STS304/PATENT:30-1178432</t>
  </si>
  <si>
    <t>세사 부직포 멤브레인 카트리지 필터(200X600L)-_20250220073920115.pdf</t>
  </si>
  <si>
    <t>세사 부직포 멤브레인_카트리지_20250220073920183.JPG</t>
  </si>
  <si>
    <t>2025-02-25 10:02:34</t>
  </si>
  <si>
    <t xml:space="preserve">MRO e-Caltalog시스템 경유건으로 대체 Maker 미 발굴건, 기 설치된 Air Filter의 호환성을 위해 특정 사양으로 등록건 확인,_x000D_
Q4553500등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</si>
  <si>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Q4665582</t>
  </si>
  <si>
    <t>[MAKER DWG NO:AERIX-MENBRANE-M2501/AERIX],ID145xOD180x500L,POLYESTER SESA NONWOVEN MEMBRANE,CARTRIDGE FILTER,INSIDE CIRCULAR SPIRAL TYPE/WITH CASING STS304/PATENT:30-1178432, MAKER DWG NO:AERIX-MENBRANE-M2501</t>
  </si>
  <si>
    <t>MAKER DWG NO:AERIX-MENBRANE-M2501</t>
  </si>
  <si>
    <t>INSIDE CIRCULAR SPIRAL TYPE/WITH CASING STS304/PATENT:30-1178432, MAKER DWG NO:AERIX-MENBRANE-M2501</t>
  </si>
  <si>
    <t>세사 부직포 멤브레인 카트리지 필터(145X500L)-_20250220073938736.pdf</t>
  </si>
  <si>
    <t>세사 부직포 멤브레인_카트리지_20250220073938799.JPG</t>
  </si>
  <si>
    <t>2025-02-25 10:02:36</t>
  </si>
  <si>
    <t xml:space="preserve">MRO e-Caltalog시스템 경유건으로 대체 Maker 미 발굴건, 기 설치된 Air Filter의 호환성을 위해 특정 사양으로 등록건 확인,_x000D_
Q4649719등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</si>
  <si>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Q4665591</t>
  </si>
  <si>
    <t>[HH8304F40XA2HYC21/PALL]xOD198x1173L,28bar,CAST IRON/CARBON STEEL,OR EQUIVALENT</t>
  </si>
  <si>
    <t>HH8304F40XA2HYC21</t>
  </si>
  <si>
    <t>HH8304F40XA2HYC21 Catalog _20250220164514638.pdf</t>
  </si>
  <si>
    <t>https://shop.pall.com/us/en/products/zidHH8304F40XB2T?CategoryName=&amp;CatalogID=&amp;tracking=searchterm:hh8304</t>
  </si>
  <si>
    <t>기본 이미지_20250220164056557.jpg</t>
  </si>
  <si>
    <t>2025-02-25 10:02:49</t>
  </si>
  <si>
    <t xml:space="preserve">MRO e-Caltalog시스템 경유건으로 대체 Maker 미 발굴건, 기 설치된 Filter의 호환성을 위해 특정 사양으로 등록건 확인,_x000D_
Q4485352등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</si>
  <si>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Q4665723</t>
  </si>
  <si>
    <t>GLASS FIBER,HYDRAULIC,[HC8900FRS39Z/PALL]x990.6L,12micron,GLASS FIBER,BETA 2000,OR EQUIVALENT</t>
  </si>
  <si>
    <t>HC8900FRS39Z</t>
  </si>
  <si>
    <t>BETA 2000</t>
  </si>
  <si>
    <t>HC8900FRS39Z_20250221115747334.jpg</t>
  </si>
  <si>
    <t>https://shop.pall.com/us/en/products/zidHC8900FRS39Z?CategoryName=&amp;CatalogID=&amp;tracking=searchterm:hc8900frs39z</t>
  </si>
  <si>
    <t>ELEMENT_20250221084047031.jpg</t>
  </si>
  <si>
    <t>2025-02-26 10:02:24</t>
  </si>
  <si>
    <t xml:space="preserve">MRO e-Caltalog시스템 경유건으로 대체 Maker 미 발굴건, 기 설치된 Filter Element의 호환성을 위해 특정 사양으로 등록건 확인,_x000D_
Q2093136등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</si>
  <si>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Q4665727</t>
  </si>
  <si>
    <t>[DFON660QE10LE 2.0/B6/HYDAC]xOD130x140Wx523L_10micron,315bar,BETAMICRON_FILTRATION 10 MICRONS_2CGL HYDRAULIC SYSTEMS</t>
  </si>
  <si>
    <t>DFON660QE10LE 2.0/B6</t>
  </si>
  <si>
    <t>FILTRATION 10 MICRONS</t>
  </si>
  <si>
    <t>2CGL HYDRAULIC SYSTEMS</t>
  </si>
  <si>
    <t>DFON660QE10LE2.0-B6_20250228023956680.pdf</t>
  </si>
  <si>
    <t>https://www.hydac.com/shop/media/catalog/crossbase/PRD_DOC_PRO/PRD_DOC_PRO_7501-00001__SEN__AIN__V20.pdf</t>
  </si>
  <si>
    <t>IMG-20250211-WA0023 (1)_20250228022212736.jpg</t>
  </si>
  <si>
    <t>2025-03-06 09:03:45</t>
  </si>
  <si>
    <t xml:space="preserve">Q4274656등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</si>
  <si>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Q4665864</t>
  </si>
  <si>
    <t>ELLIPTICAL HEAD ASSY,ENGINEERING THERMOPLASTIC,[P/N:96668/PENTAIR]</t>
  </si>
  <si>
    <t>P/N:96668</t>
  </si>
  <si>
    <t>PENTAIR</t>
  </si>
  <si>
    <t>co-ds-ecoline-80-300-11056-en_20250225185524267.pdf</t>
  </si>
  <si>
    <t>Pentair Codeline - One piece engg thermoplastic head_20250225185620579.jpg</t>
  </si>
  <si>
    <t>Naruechol Wisutthiya(Tao)</t>
  </si>
  <si>
    <t>Operation Support SubTeam</t>
  </si>
  <si>
    <t>naruechol.wi@poscotcs.com</t>
  </si>
  <si>
    <t>NAWAMIN CHOMSIRIGUL(Tew)</t>
  </si>
  <si>
    <t>Operation Support Team</t>
  </si>
  <si>
    <t>nawamin.ch@poscotcs.com</t>
  </si>
  <si>
    <t>2025-02-27 13:02:56</t>
  </si>
  <si>
    <t>Q4666327</t>
  </si>
  <si>
    <t>[P/N: 815-36171-CPI/CAT GMMCO],ID19xOD356x257W,CPI FLTR ELEMENT FOR 250KVA DG</t>
  </si>
  <si>
    <t>P/N: 815-36171-CPI</t>
  </si>
  <si>
    <t>CAT GMMCO</t>
  </si>
  <si>
    <t>CPI FLTR ELEMENT FOR 250KVA DG</t>
  </si>
  <si>
    <t>81536171_20250301203352432.docx</t>
  </si>
  <si>
    <t>81536171_20250301203417282.docx</t>
  </si>
  <si>
    <t>https://parts.cat.com/en/gmmco/81536171-CPI</t>
  </si>
  <si>
    <t>81536171_20250301203628263.jpg</t>
  </si>
  <si>
    <t>2025-03-05 15:03:17</t>
  </si>
  <si>
    <t xml:space="preserve">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</si>
  <si>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Q4666457</t>
  </si>
  <si>
    <t>OIL/WATER,[FS53016NN/CUMMINS],7micron,FOR 3SMP TLTC DIESEL ENGINE FUEL/WATER SEPARATOR FILTER,OR EQUIVALENT</t>
  </si>
  <si>
    <t>FS53016NN</t>
  </si>
  <si>
    <t>CUMMINS</t>
  </si>
  <si>
    <t>FOR 3SMP TLTC DIESEL ENGINE FUEL/WATER SEPARATOR FILTER</t>
  </si>
  <si>
    <t>https://shop.cummins.com/SC/product/fleetguard-fuelwater-separator-fs53016nn/01t4N0000048obZQAQ</t>
  </si>
  <si>
    <t>FS53016NN_20250305152750153.jpg</t>
  </si>
  <si>
    <t>박종현</t>
  </si>
  <si>
    <t>bute@posco.co.kr</t>
  </si>
  <si>
    <t>2025-03-06 10:03:59</t>
  </si>
  <si>
    <t xml:space="preserve">MRO e-Caltalog시스템 경유건으로 대체 Maker 미 발굴건, 기 설치된 Filter Element의 호환성을 위해 특정 사양으로 등록건 확인,_x000D_
Q4227760등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</si>
  <si>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Q4666460</t>
  </si>
  <si>
    <t>OIL,[FF63010/CUMMINS],FOR 3SMP TLTC DIESEL ENGINE FUEL FILTER,OR EQUIVALENT</t>
  </si>
  <si>
    <t>FF63010</t>
  </si>
  <si>
    <t>FOR 3SMP TLTC DIESEL ENGINE FUEL FILTER</t>
  </si>
  <si>
    <t>https://shop.cummins.com/SC/product/fleetguard-fuel-filter-ff63010/01t4N0000048oTlQAI</t>
  </si>
  <si>
    <t>dddd_20250305114323585.jpg</t>
  </si>
  <si>
    <t>2025-03-06 11:03:36</t>
  </si>
  <si>
    <t xml:space="preserve">MRO e-Caltalog시스템 경유건으로 대체 Maker 미 발굴건, 기 설치된 Filter Element의 호환성을 위해 특정 사양으로 등록건 확인,_x000D_
Q4185779등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</si>
  <si>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DLF-06</t>
  </si>
  <si>
    <t>3/4</t>
  </si>
  <si>
    <t>FOR K1ACL TENSION REEL LUB INLET FILTER</t>
  </si>
  <si>
    <t>DLF 06 사양_20250304080127843.jpg</t>
  </si>
  <si>
    <t>DLF 06 사진_20250304080127883.jpg</t>
  </si>
  <si>
    <t>2025-03-06 15:03:07</t>
  </si>
  <si>
    <t xml:space="preserve">MRO e-Caltalog시스템 경유건으로 대체 Maker 미 발굴건, 기 설치된 Filter의 호환성을 위해 특정 사양으로 등록건 확인,_x000D_
Q2220796등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</si>
  <si>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Q4666588</t>
  </si>
  <si>
    <t>NCM PRECURSOR,[JK-P9-1/JINGOANG INDUSTRY]x1540Lx1605Wx1.1T,0.1micron_POLYPROPYLENE_TENSILE STRENGHT 2.54CM/KG,FOR R&amp;D</t>
  </si>
  <si>
    <t>JK-P9-1</t>
  </si>
  <si>
    <t>JINGOANG INDUSTRY</t>
  </si>
  <si>
    <t>TENSILE STRENGHT 2.54CM/KG</t>
  </si>
  <si>
    <t>고밀도 여과포 _진광필터 사양서_20250307073947112.JPG</t>
  </si>
  <si>
    <t>고밀도 여과포 진광필터 _ 이미지_20250507132555636.JPG</t>
  </si>
  <si>
    <t>2025-05-12 08:05:00</t>
  </si>
  <si>
    <t xml:space="preserve">MRO e-Caltalog시스템 경유건으로 대체 Maker 미 발굴건, 기 설치된 Varied Filter의 호환성을 위해 특정 사양으로 등록건 확인,_x000D_
Q4581003등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</si>
  <si>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LMTS40-100S 40F</t>
  </si>
  <si>
    <t xml:space="preserve">FOR K3C PL ENTRY HYDRAULIC RETURN FILTER </t>
  </si>
  <si>
    <t>3PL Return Filter MASUDA 자료 1_20250307073849143.gif</t>
  </si>
  <si>
    <t>3PCM 입측 리턴 유압 필터_20250307073849319.jpg</t>
  </si>
  <si>
    <t>오영현</t>
  </si>
  <si>
    <t>hyun0332@posco.co.kr</t>
  </si>
  <si>
    <t>2025-03-10 10:03:19</t>
  </si>
  <si>
    <t xml:space="preserve">MRO e-Caltalog시스템 경유건으로 대체 Maker 미 발굴건, 기 설치된 Filter의 호환성을 위해 특정 사양으로 등록건 확인,_x000D_
Q4183548등 유사item 검색하였으나, 유사/동일품 없음 확인후 승인합니다._x000D_
(특정 사양품감축 관련) 차후 입고시 스케치, 현물 확인을 통한 도면화,일반 사양화, 복수화 전환 검토 요청 필히 부탁드립니다. 감사합니다._x000D_
_x000D_
</t>
  </si>
  <si>
    <t>TEF 310.25VG.16.S.P.-.G.6.E1</t>
  </si>
  <si>
    <t>20251125_5293961074369527821.JPG</t>
  </si>
  <si>
    <t>박차순</t>
  </si>
  <si>
    <t>856080@posco.co.kr</t>
  </si>
  <si>
    <t>2025-03-12 10:03:01</t>
  </si>
  <si>
    <t xml:space="preserve">MRO e-Caltalog시스템 경유건으로 대체 Maker 미 발굴건, 기 설치된 Filter의 호환성을 위해 특정 사양으로 등록건 확인,_x000D_
Q4645566등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</si>
  <si>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Q4667331</t>
  </si>
  <si>
    <t>IRON POWDER DUST,AIR,[RCH-F800/CLEANINDEX],ID75xOD145x210Wx800Lx0.6T,1micron,PTFE MEMBRANE/SS275,6200mmH2O,OR EQUIVALENT</t>
  </si>
  <si>
    <t>RCH-F800</t>
  </si>
  <si>
    <t>CLEANINDEX</t>
  </si>
  <si>
    <t>http://cleanindex.kr/sub3/view.htm?_zct1=1323153817&amp;_zct2=1738897995</t>
  </si>
  <si>
    <t>rch-f800_20250207114223765.png</t>
  </si>
  <si>
    <t>이헌우</t>
  </si>
  <si>
    <t>gjsdn1350@posco.co.kr</t>
  </si>
  <si>
    <t>강종한</t>
  </si>
  <si>
    <t>jhkang@posco.co.kr</t>
  </si>
  <si>
    <t>2025-03-13 10:03:55</t>
  </si>
  <si>
    <t xml:space="preserve">MRO e-Caltalog시스템 경유건으로 대체 Maker 미 발굴건, 기 설치된 Filter Element의 호환성을 위해 특정 사양으로 등록건 확인,_x000D_
Q4478378등 유사item 검색하였으나, 유사/동일품 없음 확인후 승인합니다._x000D_
(특정 사양품감축 관련) 차후 입고시 스케치, 현물 확인을 통한 도면화,일반 사양화, 복수화 전환 검토 요청 필히 부탁드립니다. 감사합니다._x000D_
** 추후 변경된 결재방법 참고하시기 바랍니다. 결재문서 첨부 하지 않으시고, 내용만 기재하시면 됩니다. 공지 #359_x000D_
_x000D_
_x000D_
_x000D_
</t>
  </si>
  <si>
    <t>Q4667420</t>
  </si>
  <si>
    <t>OIL,HYDRAULIC,[P-VN-04A-150W/TAISEI KOGYO],150mesh,FOR TCM DELIVERY CATR OIL LIFT PUMP SUCTION FILTER</t>
  </si>
  <si>
    <t>P-VN-04A-150W</t>
  </si>
  <si>
    <t>FOR TCM DELIVERY CATR OIL LIFT PUMP SUCTION FILTER</t>
  </si>
  <si>
    <t>Suction Filter catalogue_20250311142720603.pdf</t>
  </si>
  <si>
    <t>Suction Filter catalogue_20250313122950018.pdf</t>
  </si>
  <si>
    <t>https://www.taiseikogyo.co.jp/en/</t>
  </si>
  <si>
    <t>taisei_kogyo-vn04a-150w_20250313132055061.jpg</t>
  </si>
  <si>
    <t>2025-03-13 17:03:25</t>
  </si>
  <si>
    <t xml:space="preserve">I searched for similar items such as Q4047908 but confirmed that it is a different type of product from the same maker, and I approve it after checking that there is no similar/same product._x000D_
(Regarding the reduction of specific specification products) Please request to review sketch, drawing through spot confirmation, general specification, and multiple conversion when receiving them in the future._x000D_
Q4047908등 유사item 검색하였으나 동일 메이커의 다른 형번 물품임 확인하였고, 유사/동일품 없음 확인후 승인합니다._x000D_
(특정 사양품감축 관련) 차후 입고시 스케치, 현물 확인을 통한 도면화,일반 사양화, 복수화 전환 검토 요청 필히 부탁드립니다. _x000D_
</t>
  </si>
  <si>
    <t>Q4668011</t>
  </si>
  <si>
    <t>AIR/GAS/DUST,GAS,[050-11-BH/PARKER],0.01micron,BOROSILICATE GLASS MICROFIBRES BONDED WITH SILICA INORGANIC RESIN ONLY,OR EQUIVALENT</t>
  </si>
  <si>
    <t>050-11-BH</t>
  </si>
  <si>
    <t>https://ph.parker.com/kr/ko/product/replacement-filter-elements/050-11-bh</t>
  </si>
  <si>
    <t>KakaoTalk_20250313_091009596_01_20250313091856157.jpg</t>
  </si>
  <si>
    <t>권지헌</t>
  </si>
  <si>
    <t>2025-03-19 10:03:01</t>
  </si>
  <si>
    <t xml:space="preserve">MRO e-Caltalog시스템 경유건으로 대체 Maker 미 발굴건, 기 설치된 Filter Element의 호환성을 위해 특정 사양으로 등록건 확인,_x000D_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</si>
  <si>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Q4668012</t>
  </si>
  <si>
    <t>AIR/GAS,GAS,[HS-AS-SSFE02/HANA SOLUTION]x200L,5micron,SS304,OR EQUIVALENT</t>
  </si>
  <si>
    <t>HS-AS-SSFE02</t>
  </si>
  <si>
    <t>HANA SOLUTION</t>
  </si>
  <si>
    <t>http://www.hana-solution.com/bbs/board.php?bo_table=m233&amp;wr_id=30&amp;page=1</t>
  </si>
  <si>
    <t>gg_20250213171155899.jpg</t>
  </si>
  <si>
    <t>2025-03-19 10:03:37</t>
  </si>
  <si>
    <t>Q4668013</t>
  </si>
  <si>
    <t>AIR/GAS/DUST,GAS,[050-11-BQ/PARKER],BOROSILICATE GLASS MICROFIBERS,OR EQUIVALENT</t>
  </si>
  <si>
    <t>050-11-BQ</t>
  </si>
  <si>
    <t>https://ph.parker.com/kr/ko/product/replacement-filter-elements/050-11-bq</t>
  </si>
  <si>
    <t>KakaoTalk_20250313_091009596_20250313091234032.jpg</t>
  </si>
  <si>
    <t>2025-03-19 10:03:03</t>
  </si>
  <si>
    <t>Q4668014</t>
  </si>
  <si>
    <t>AIR/GAS,GAS,[HS-AS-SPFE02/HANA SOLUTION]x135L,15micron,CERAMIC,OR EQUIVALENT</t>
  </si>
  <si>
    <t>HS-AS-SPFE02</t>
  </si>
  <si>
    <t>http://www.hana-solution.com/bbs/board.php?bo_table=m233&amp;wr_id=31</t>
  </si>
  <si>
    <t>[크기변환]filterElementaod_20250213172239517.png</t>
  </si>
  <si>
    <t>2025-03-19 10:03:31</t>
  </si>
  <si>
    <t>Q4668022</t>
  </si>
  <si>
    <t>DUCT/CAST IRON,[6.64 DN200/BOLLFILTER]_200Dx200Dx1685Lx790W_STS_10bar</t>
  </si>
  <si>
    <t>6.64 DN200</t>
  </si>
  <si>
    <t>6.64_Z120104_DN200_20250313174456030.pdf</t>
  </si>
  <si>
    <t>https://www.bollfilter.com/filters/detail/bollfilter-automatic-type-664-self-cleaning-filter-for-the-maritime-industry</t>
  </si>
  <si>
    <t>6.64_20250313174456096.jpg</t>
  </si>
  <si>
    <t>강광원</t>
  </si>
  <si>
    <t>광)3화성공장</t>
  </si>
  <si>
    <t>kwkang@poscofuturem.com</t>
  </si>
  <si>
    <t>2025-03-19 10:03:08</t>
  </si>
  <si>
    <t xml:space="preserve">MRO e-Caltalog시스템 경유건으로 대체 Maker 미 발굴건, 기 설치된 Water Filter의 호환성을 위해 특정 사양으로 등록건 확인,_x000D_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</si>
  <si>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Q4668041</t>
  </si>
  <si>
    <t>[GS-214TSA/GETRON SYSTEM],0.5,DC12V,R-R-GET-GS-214TS,FOR STS2 ELECTRIC ROOM DOOR CLOSE DETECTING SYSTEM,OR EQUIVALENT,RF CERTIFICATE</t>
  </si>
  <si>
    <t>GS-214TSA</t>
  </si>
  <si>
    <t>GETRON SYSTEM</t>
  </si>
  <si>
    <t>R-R-GET-GS-214TS</t>
  </si>
  <si>
    <t>FOR STS2 ELECTRIC ROOM DOOR CLOSE DETECTING SYSTEM</t>
  </si>
  <si>
    <t>Fwd Fwd Fwd Fwd Fwd Fwd Fwd 지트론시스템 제품 사용 주파수 및 통신방식 관_20250319111343118.pdf</t>
  </si>
  <si>
    <t>https://getronsystem.co.kr/project/rf-i-o-terminal/</t>
  </si>
  <si>
    <t>출입문감지시스템_20241226134322381_20250317084547781.jpg</t>
  </si>
  <si>
    <t>김기태</t>
  </si>
  <si>
    <t>kitae777@posco.co.kr</t>
  </si>
  <si>
    <t>2025-03-19 11:03:34</t>
  </si>
  <si>
    <t>*. 신청자 메모 반영_x000D_
1. Remote Controller 등록은 Hoist 및 크레인 원격 제어용에 해당하는 제품에 한하여 크레인정비섹션에서 운영,관리한다고 합니다_x000D_
    ※ 본 건은 PIMS연결을 위한 PLC 신호용으로 사용하려 함_x000D_
2. 전기실 출입관리지침은 본 솔루션을 설치하더라도 지침에 변경하여야 할 부분이 없음 _x000D_
    ※ PLC 및 PIMS 연결로 전기실 출입자에 대하여 특정인을 확인할 수 없으며, 기존 출입관리운영지침과 별도의 사항임 _x000D_
*. 무선주파수기기에 대해 타공장 검증 미비로 등록부서에 국한하여 구매/사용예정이며, 1회 구매후 코드 삭제예정 임.-신청자와 유선확인함._x000D_
*. RF Compliance Q-CODE 발번후 강제 적용 예정._x000D_
*. 크레인 정비섹션 검토의견 메일-첨부참조</t>
  </si>
  <si>
    <t>Q4668241</t>
  </si>
  <si>
    <t>STS304(FRAME), NON-WOVEN FABRIC(FILTER),[8P/FSK]x595Lx595Wx500T,FOR DUST BAG FILTER,OR EQUIVALENT</t>
  </si>
  <si>
    <t>8P</t>
  </si>
  <si>
    <t>FSK</t>
  </si>
  <si>
    <t>FOR DUST BAG FILTER</t>
  </si>
  <si>
    <t>직접생산증명서_20250219153923580.pdf</t>
  </si>
  <si>
    <t>https://bizno.net/article/2152083732#google_vignette</t>
  </si>
  <si>
    <t>Dust Bag Filter 1_20250218180442329.png</t>
  </si>
  <si>
    <t>air filter 2_20250317153540828.jpg</t>
  </si>
  <si>
    <t>2025-03-20 11:03:55</t>
  </si>
  <si>
    <t xml:space="preserve">MRO e-Caltalog시스템 경유건으로 대체 Maker 미 발굴건, 기 설치된 Filter의 호환성을 위해 특정 사양으로 등록건 확인,_x000D_
Q4017042등 유사item 검색하였으나, 유사/동일품 없음 확인후 승인합니다._x000D_
(특정 사양품감축 관련) 차후 입고시 스케치, 현물 확인을 통한 도면화,일반 사양화, 복수화 전환 검토 요청 필히 부탁드립니다. 감사합니다._x000D_
_x000D_
</t>
  </si>
  <si>
    <t>Q4668242</t>
  </si>
  <si>
    <t>STS304(FRAME), SYSNTHETIC FIBER(FILTER),[NONWOVEN(595W)/FSK]x595Lx595Wx50T,FOR AIR FILTER,OR EQUIVALENT</t>
  </si>
  <si>
    <t>NONWOVEN(595W)</t>
  </si>
  <si>
    <t>2025 FSK 카다로그_20250219154202181.pdf</t>
  </si>
  <si>
    <t>Air Filter 3_20250218180920781.jpg</t>
  </si>
  <si>
    <t>air filter 3_20250317153759483.jpg</t>
  </si>
  <si>
    <t>2025-03-20 11:03:09</t>
  </si>
  <si>
    <t xml:space="preserve">MRO e-Caltalog시스템 경유건으로 대체 Maker 미 발굴건, 기 설치된 Filter의 호환성을 위해 특정 사양으로 등록건 확인,_x000D_
Q4618761등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</si>
  <si>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Q4668599</t>
  </si>
  <si>
    <t>[SMF-80A/SP SOLUTION]x550Wx1099L,40micron,STS304,FRAME STS304,3,4 ORE BIN BAGFILTER COOLER BAGFILTER,OR EQUIVALENT</t>
  </si>
  <si>
    <t>SMF-80A</t>
  </si>
  <si>
    <t>SP SOLUTION</t>
  </si>
  <si>
    <t>OTHERS</t>
  </si>
  <si>
    <t>3,4 ORE BIN BAGFILTER COOLER BAGFILTER</t>
  </si>
  <si>
    <t>http://www.sp-solution.co.kr/product/product.php?ptype=view&amp;prdcode=2406180003&amp;page=1&amp;catcode=10130000</t>
  </si>
  <si>
    <t>Pre Filter_20250317090036089.gif</t>
  </si>
  <si>
    <t>전택술</t>
  </si>
  <si>
    <t>(포항)제선부 소결공장</t>
  </si>
  <si>
    <t>justjts@posco.co.kr</t>
  </si>
  <si>
    <t>2025-03-24 14:03:14</t>
  </si>
  <si>
    <t xml:space="preserve">MRO e-Caltalog시스템 경유건으로 대체 Maker 미 발굴건, 기 설치된 Air Filter의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</si>
  <si>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Q4668700</t>
  </si>
  <si>
    <t>[DCF13-9-OS/DINNO TECH]xOD83x670L,0.01,STAINLESS STEEL,MAKER DWG NO:DCF13-9-OS</t>
  </si>
  <si>
    <t>DCF13-9-OS</t>
  </si>
  <si>
    <t>DINNO TECH</t>
  </si>
  <si>
    <t>MAKER DWG NO:DCF13-9-OS</t>
  </si>
  <si>
    <t>DCF13-9-OS_20250311073215789.pdf</t>
  </si>
  <si>
    <t>FILTER ELEMENT 실물 사진 (DCF13-9)_20250311073215868.jpg</t>
  </si>
  <si>
    <t>2025-03-25 11:03:45</t>
  </si>
  <si>
    <t xml:space="preserve">MRO e-Caltalog시스템 경유건으로 대체 Maker 미 발굴건, 기 설치된 Air Filter의 호환성을 위해 특정 사양으로 등록건 확인,_x000D_
Q4628197등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</si>
  <si>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Q4668740</t>
  </si>
  <si>
    <t>GLASS FIBER,HYDRAULIC,[HC8304FRZ39Z/PALL]x990.6L,3micron,GLASS FIBER,BETA 2000,FOR K4C PL ENTRY HYDRAURIC FILTERING SYSTEM,OR EQUIVALENT</t>
  </si>
  <si>
    <t>HC8304FRZ39Z</t>
  </si>
  <si>
    <t>FOR K4C PL ENTRY HYDRAURIC FILTERING SYSTEM</t>
  </si>
  <si>
    <t>HC8304FRZ39Z_20250221115824024.jpg</t>
  </si>
  <si>
    <t>https://shop.pall.com/us/en/search?SearchTerm=HC8304FRZ39Z&amp;resetsearch=true</t>
  </si>
  <si>
    <t>ELEMENT_20250221084410678.jpg</t>
  </si>
  <si>
    <t>서현학</t>
  </si>
  <si>
    <t>hyunhak0305@posco.co.kr</t>
  </si>
  <si>
    <t>2025-03-25 13:03:03</t>
  </si>
  <si>
    <t xml:space="preserve">***결재내용(POSCO)은 결재문서와 동일하게 인정됩니다.추후에는 '(6)특허번호(해당시): 없으면 해당없음으로 작성' 부분을 작성하여 신청 부탁드립니다._x000D_
_x000D_
MRO e-Caltalog시스템 경유건으로 대체 Maker 미 발굴건, 기 설치된 Filter Element의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</si>
  <si>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Q4668911</t>
  </si>
  <si>
    <t>PP / PTFE,[ORDER NUMBER:9621/WOHLER]_1EA=3PIECES, FOR GAS ANALYZER A550,OR EQUIVALENT</t>
  </si>
  <si>
    <t>ORDER NUMBER:9621</t>
  </si>
  <si>
    <t>WOHLER</t>
  </si>
  <si>
    <t>1EA=3PIECES, FOR GAS ANALYZER A550</t>
  </si>
  <si>
    <t>A450,A550 카달로그_20250325153333399.pdf</t>
  </si>
  <si>
    <t>https://www.woehler-international.com/shop/9621</t>
  </si>
  <si>
    <t>9621_20250325153333523.jpg</t>
  </si>
  <si>
    <t>장경상</t>
  </si>
  <si>
    <t>(광양)설비기술부 설비에너지효율화섹션</t>
  </si>
  <si>
    <t>zhu5118@posco.co.kr</t>
  </si>
  <si>
    <t>노승훈</t>
  </si>
  <si>
    <t>shtmdgns1@posco.co.kr</t>
  </si>
  <si>
    <t>2025-03-26 11:03:59</t>
  </si>
  <si>
    <t xml:space="preserve">MRO e-Caltalog시스템 경유건으로 대체 Maker 미 발굴건, 기 설치된 Water Stop Filters의 호환성을 위해 특정 사양으로 등록건 확인,_x000D_
Q2154965등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</si>
  <si>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Q4668912</t>
  </si>
  <si>
    <t>PU,[ORDER NO. 9632/WOHLER]_1EA=5PIECES, FOR GAS ANALYZER A550,OR EQUIVALENT</t>
  </si>
  <si>
    <t>ORDER NO. 9632</t>
  </si>
  <si>
    <t>1EA=5PIECES, FOR GAS ANALYZER A550</t>
  </si>
  <si>
    <t>A450,A550 카달로그_20250325153358547.pdf</t>
  </si>
  <si>
    <t>https://www.woehler-international.com/shop/9632</t>
  </si>
  <si>
    <t>9632_20250325153358655.JPG</t>
  </si>
  <si>
    <t>2025-03-26 11:03:13</t>
  </si>
  <si>
    <t xml:space="preserve">MRO e-Caltalog시스템 경유건으로 대체 Maker 미 발굴건, 기 설치된 Coarse Filters의 호환성을 위해 특정 사양으로 등록건 확인,_x000D_
Q2154965등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</si>
  <si>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Q4669146</t>
  </si>
  <si>
    <t>[B10-KAU601F-10T-EC1-2PO/KCC]x399Lx15T,FABRIC,AIR</t>
  </si>
  <si>
    <t>B10-KAU601F-10T-EC1-2PO</t>
  </si>
  <si>
    <t>B10-KAU601F-10T-EC1-2PO_250324-Model_20250327073429974.pdf</t>
  </si>
  <si>
    <t>3단필터_20250327073430021.png</t>
  </si>
  <si>
    <t>최덕호</t>
  </si>
  <si>
    <t>cdh6030@poscofuturem.com</t>
  </si>
  <si>
    <t>2025-03-27 16:03:06</t>
  </si>
  <si>
    <t xml:space="preserve">MRO e-Caltalog시스템 경유건으로 대체 Maker 미 발굴건, 기 설치된 Air Filter의 호환성을 위해 특정 사양으로 등록건 확인,_x000D_
Q4636657등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</si>
  <si>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Q4669147</t>
  </si>
  <si>
    <t>[B10-KAU401F-04T-EC1-2PO/KCC]x271Lx15T,FABRIC,AIR</t>
  </si>
  <si>
    <t>B10-KAU401F-04T-EC1-2PO</t>
  </si>
  <si>
    <t>B10-KAU401F-04T-EC1-2PO_250324-Model_20250327073359608.pdf</t>
  </si>
  <si>
    <t>20250123_094715_20250327073359673.jpg</t>
  </si>
  <si>
    <t>2025-03-27 16:03:57</t>
  </si>
  <si>
    <t xml:space="preserve">MRO e-Caltalog시스템 경유건으로 대체 Maker 미 발굴건, 기 설치된 Air Filter의 호환성을 위해 특정 사양으로 등록건 확인,_x000D_
Q4641960등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</si>
  <si>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Q4669148</t>
  </si>
  <si>
    <t>[B10-KAU201F-02T-EC1-2PO/KCC]x169Lx15T,FABRIC,AIR</t>
  </si>
  <si>
    <t>B10-KAU201F-02T-EC1-2PO</t>
  </si>
  <si>
    <t>B10-KAU201F-02T-EC1-2PO_250324-Model_20250327073339399.pdf</t>
  </si>
  <si>
    <t>20250123_103528_20250327073339477.jpg</t>
  </si>
  <si>
    <t>2025-03-27 16:03:29</t>
  </si>
  <si>
    <t xml:space="preserve">MRO e-Caltalog시스템 경유건으로 대체 Maker 미 발굴건, 기 설치된 CYLINDER의 호환성을 위해 특정 사양으로 등록건 확인,_x000D_
Q4636657등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</si>
  <si>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Q4669454</t>
  </si>
  <si>
    <t>[5EFM1C/CORCOM],AC 1PHASE,120V,4A,POWER MODULE, MAKER DWG NO:5EFM1C.00</t>
  </si>
  <si>
    <t>5EFM1C</t>
  </si>
  <si>
    <t>CORCOM</t>
  </si>
  <si>
    <t>POWER MODULE, MAKER DWG NO:5EFM1C.00</t>
  </si>
  <si>
    <t>Filter_20250328170526711.pdf</t>
  </si>
  <si>
    <t>https://www.te.com/en/product-2-6609129-2.html</t>
  </si>
  <si>
    <t>Module_20250328170827630.JPG</t>
  </si>
  <si>
    <t>2025-04-02 13:04:15</t>
  </si>
  <si>
    <t xml:space="preserve">** 추후 변경된 결재방법 참고하시기 바랍니다. 공지 #359  및 검토의뢰서 폐지 #355_x000D_
** Please refer to the changed payment method in the future. Notice #359 and review request abolished #355  _x000D_
corcom te connectivity에서 만드는 전자기기용 emi/rfi 필터 브랜드임을 확인하였음. (URL 확인완료)_x000D_
I searched for similar items , but I approve it after checking that there is no similar/identical item._x000D_
(Regarding the reduction of certain specifications) Please request to review sketch, drawing through spot confirmation, general specification, and multiple conversion when receiving it in the future. Thank you._x000D_
</t>
  </si>
  <si>
    <t>Q4669466</t>
  </si>
  <si>
    <t>NCM PRECURSOR,[WSP111/WSUNG]x1570Lx1610Wx0.9T,0.1micron_PP,FOR R&amp;D</t>
  </si>
  <si>
    <t>WSP111</t>
  </si>
  <si>
    <t>WSUNG</t>
  </si>
  <si>
    <t>우성 _ 사업자등록증_20250326111322486.JPG</t>
  </si>
  <si>
    <t>우성 고밀터 여과포 _ 이미지_20250326111322580.JPG</t>
  </si>
  <si>
    <t>2025-04-02 14:04:53</t>
  </si>
  <si>
    <t xml:space="preserve">MRO e-Caltalog시스템 경유건으로 대체 Maker 미 발굴건, 기 설치된 Varied Filter의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</si>
  <si>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Q4669478</t>
  </si>
  <si>
    <t>PP SPRAY MELTING FILTER ELEMENT,POLYPROPYLENE,[XY-PP20/SHANGHAI XINYI],20L/h</t>
  </si>
  <si>
    <t>XY-PP20</t>
  </si>
  <si>
    <t>SHANGHAI XINYI</t>
  </si>
  <si>
    <t>XY-CCS-20M超纯水机耗材明细_20250401090329947.pdf</t>
  </si>
  <si>
    <t>IMG_20250213_134451_20250401090330107.jpg</t>
  </si>
  <si>
    <t>安建礼</t>
  </si>
  <si>
    <t>技术科</t>
  </si>
  <si>
    <t>anjianli@posco.net</t>
  </si>
  <si>
    <t>韩宁</t>
  </si>
  <si>
    <t>hanning@posco.net</t>
  </si>
  <si>
    <t>2025-04-02 14:04:03</t>
  </si>
  <si>
    <t>Q4669581</t>
  </si>
  <si>
    <t>WATER,[XY-CH20/SHANGHAI XINYI],20L/H_ION EXCHANGE RESIN_ULTRA PURIFICATION FILTER,FOR PURE WATER MACHINE</t>
  </si>
  <si>
    <t>XY-CH20</t>
  </si>
  <si>
    <t>ULTRA PURIFICATION FILTER</t>
  </si>
  <si>
    <t>FOR PURE WATER MACHINE</t>
  </si>
  <si>
    <t>XY-CCS-20M超纯水机耗材明细_20250401090825614.pdf</t>
  </si>
  <si>
    <t>IMG_20250213_134753_20250401090825780.jpg</t>
  </si>
  <si>
    <t>2025-04-03 10:04:58</t>
  </si>
  <si>
    <t xml:space="preserve">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</si>
  <si>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Q4669600</t>
  </si>
  <si>
    <t>WATER,[XY-RO20/SHANGHAI XINYI]_POLYAMIDE_RO MEMBRANE,FOR PURE WATER MACHINE</t>
  </si>
  <si>
    <t>XY-RO20</t>
  </si>
  <si>
    <t>RO MEMBRANE</t>
  </si>
  <si>
    <t>XY-CCS-20M超纯水机耗材明细_20250401091357976.pdf</t>
  </si>
  <si>
    <t>IMG_20250213_134451_20250401091358139.jpg</t>
  </si>
  <si>
    <t>2025-04-03 10:04:00</t>
  </si>
  <si>
    <t>Q4669817</t>
  </si>
  <si>
    <t>WATER,[HMC-A-PRE/HUMAN CORPORATION],OR EQUIVALENT</t>
  </si>
  <si>
    <t>HMC-A-PRE</t>
  </si>
  <si>
    <t>http://www.humancorp.co.kr/html_new/board/pds/index.php?checkPage=view&amp;no=142</t>
  </si>
  <si>
    <t>2번)HMC-A-Pre_20250324074649785.jpg</t>
  </si>
  <si>
    <t>서춘희</t>
  </si>
  <si>
    <t>ddool@posco.co.kr</t>
  </si>
  <si>
    <t>서영빈</t>
  </si>
  <si>
    <t>been706@posco.co.kr</t>
  </si>
  <si>
    <t>2025-04-04 15:04:23</t>
  </si>
  <si>
    <t xml:space="preserve">** 추후 (6) 특허 : '없음'으로 써주시면 감사하겠습니다. _x000D_
_x000D_
MRO e-Caltalog시스템 경유건으로 대체 Maker 미 발굴건, 기 설치된 FILTER의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</si>
  <si>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Q4669818</t>
  </si>
  <si>
    <t>WATER,[HMC-S-14ION/HUMAN CORPORATION]x360Lx60W,2micron,OR EQUIVALENT</t>
  </si>
  <si>
    <t>HMC-S-14ION</t>
  </si>
  <si>
    <t>4번)HMC-S-14ION_20250324074533872.jpg</t>
  </si>
  <si>
    <t>2025-04-04 15:04:43</t>
  </si>
  <si>
    <t xml:space="preserve">MRO e-Caltalog시스템 경유건으로 대체 Maker 미 발굴건, 기 설치된 FILITER의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</si>
  <si>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Q4669972</t>
  </si>
  <si>
    <t>[MAKER DWG NO:JK-TP006M-PS58-01/JINKWANG FILTER INDUSTRY]x1160Wx58000Lx1.45T,POLYPROPYLENE,AIR PERMEABILITY 0.15CC</t>
  </si>
  <si>
    <t>MAKER DWG NO:JK-TP006M-PS58-01</t>
  </si>
  <si>
    <t>JINKWANG FILTER INDUSTRY</t>
  </si>
  <si>
    <t>AIR PERMEABILITY 0.15CC</t>
  </si>
  <si>
    <t>여과포0.15_도면_20250407142753214.pdf</t>
  </si>
  <si>
    <t>http://www.jkfilter.com/</t>
  </si>
  <si>
    <t>수직형 여과포 사진_20250407142753279.JPG</t>
  </si>
  <si>
    <t>2025-04-07 15:04:03</t>
  </si>
  <si>
    <t xml:space="preserve">MRO e-Caltalog시스템 경유건으로 대체 Maker 미 발굴건, 기 설치된 CYLINDER의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</si>
  <si>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Q4670356</t>
  </si>
  <si>
    <t>AIR,[MAKER DWG NO:B10-KAU401-04-S255(FILTER ELEMENT)/KCC],5micron,MESH SIZE:1ST 5 MICRONS, 2ND 0.3 MICONS, 3RD ODRDE 0.01 MICRONS, MAKER DWG NO:B10-KAU401-04-S255</t>
  </si>
  <si>
    <t>MAKER DWG NO:B10-KAU401-04-S255(FILTER ELEMENT)</t>
  </si>
  <si>
    <t>MESH SIZE:1ST 5 MICRONS, 2ND 0.3 MICONS, 3RD ODRDE 0.01 MICRONS, MAKER DWG NO:B10-KAU401-04-S255</t>
  </si>
  <si>
    <t>B10-KAU401-04-S255_20250407074045128.jpg</t>
  </si>
  <si>
    <t>B10-KAU401-04-S255_20250407074045190.JPG</t>
  </si>
  <si>
    <t>2025-04-10 08:04:04</t>
  </si>
  <si>
    <t>MRO e-Caltalog시스템 경유건으로 대체 Maker 미 발굴건, 기 설치된  Filter Element의 호환성을 위해 특정 사양으로 등록건 확인,_x000D_
Q4630655등 유사item 검색하였으나 동일 메이커의 다른 형번임 확인하였고, 유사/동일품 없음 확인후 승인합니다._x000D_
(특정 사양품감축 관련) 차후 입고시 스케치, 현물 확인을 통한 도면화, 일반 사양화, 복수화 전환 검토 요청 필히 부탁드립니다. 감사합니다.</t>
  </si>
  <si>
    <t>Q4670595</t>
  </si>
  <si>
    <t>ELECTRONIC[WYFS06T1M/WOONYOUNG],AC 1PHASE,250V,6A</t>
  </si>
  <si>
    <t>WYFS06T1M</t>
  </si>
  <si>
    <t>WYFS06T1M Specification_20250409073817816.JPG</t>
  </si>
  <si>
    <t>https://woonyoung.com/page/s0201_view.php?ocatecode=1337920582&amp;idx=123&amp;gcname=%EC%88%98%EB%B0%B0%EC%A0%84%EB%B0%98+%EC%A0%84%EB%A0%A5%EA%B8%B0%EA%B8%B0+Solution&amp;gnsub=250V&amp;gcatecode=1338274239&amp;ogcname=%EB%85%B8%EC%9D%B4%EC%A6%88+%ED%95%84%ED%84%B0</t>
  </si>
  <si>
    <t>WYFS06T1M_20250409073817873.JPG</t>
  </si>
  <si>
    <t>안호성</t>
  </si>
  <si>
    <t>광양라임정비섹션</t>
  </si>
  <si>
    <t>hsahn1212@poscofuturem.com</t>
  </si>
  <si>
    <t>정하진</t>
  </si>
  <si>
    <t>광양라임공장</t>
  </si>
  <si>
    <t>jeong3396@poscofuturem.com</t>
  </si>
  <si>
    <t>2025-04-14 09:04:32</t>
  </si>
  <si>
    <t xml:space="preserve">MRO e-Caltalog시스템 경유건으로 대체 Maker 미 발굴건, 기 설치된  Noise Filter의 호환성을 위해 특정 사양으로 등록건 확인,_x000D_
Q4651797등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</si>
  <si>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Q4671009</t>
  </si>
  <si>
    <t>1MICRO FILTER ASSY,[FLM-A00-F01/CL-TECHNOLOGY],306X129.1</t>
  </si>
  <si>
    <t>FLM-A00-F01</t>
  </si>
  <si>
    <t>CL-TECHNOLOGY</t>
  </si>
  <si>
    <t>FLM-A00-F01_마이크로필터 어셈블리_20250416073800479.pdf</t>
  </si>
  <si>
    <t>https://cl-technology.net/pages/about</t>
  </si>
  <si>
    <t>FLM-A00-F01_마이크로필터 어셈블리_20250416073800517.PNG</t>
  </si>
  <si>
    <t>이준수</t>
  </si>
  <si>
    <t>jsnylo1230@poscofuturem.com</t>
  </si>
  <si>
    <t>2025-04-16 11:04:48</t>
  </si>
  <si>
    <t xml:space="preserve">MRO e-Caltalog시스템 경유건으로 대체 Maker 미 발굴건, 기 설치된  Filter Accessories의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</si>
  <si>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Q4671089</t>
  </si>
  <si>
    <t>WATER, OIL,WATER,[HJD-SF-80A/HANJIN MACHINE WORKS]xOD77x203L,STS,FOR K2H DRIVE ROOM AIRCON,OR EQUIVALENT</t>
  </si>
  <si>
    <t>HJD-SF-80A</t>
  </si>
  <si>
    <t>FOR K2H DRIVE ROOM AIRCON</t>
  </si>
  <si>
    <t>HANJIN STRAINER FILTER 카다로그_20250314095017465.pdf</t>
  </si>
  <si>
    <t>http://www.hanjin21.net/index.php?cate=003010&amp;type=view&amp;num=224&amp;currentPage=2</t>
  </si>
  <si>
    <t>1_20250314095008029.jpg</t>
  </si>
  <si>
    <t>김민우</t>
  </si>
  <si>
    <t>kminwoo0104@posco.co.kr</t>
  </si>
  <si>
    <t>2025-04-17 08:04:26</t>
  </si>
  <si>
    <t xml:space="preserve">MRO e-Caltalog시스템 경유건으로 대체 Maker 미 발굴건, 기 설치된  Filter Element 의 호환성을 위해 특정 사양으로 등록건 확인,_x000D_
Q4530027등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</si>
  <si>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Q4671404</t>
  </si>
  <si>
    <t>WATER,[HMC-AR-RO1/HUMAN CORPORATION]x360Lx90W,30micron,OR EQUIVALENT</t>
  </si>
  <si>
    <t>HMC-AR-RO1</t>
  </si>
  <si>
    <t>3번)HMC-AR-RO1_20250327073736784.jpg</t>
  </si>
  <si>
    <t>2025-04-21 10:04:48</t>
  </si>
  <si>
    <t xml:space="preserve">MRO e-Caltalog시스템 경유건으로 대체 Maker 미 발굴건, 기 설치된  물품 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</si>
  <si>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Q4671667</t>
  </si>
  <si>
    <t>PRE FILTER,[HKU01500046/HORIBA]x185Lx50W,20micron_STAINLESS STEEL_PART NO:HKU01500046, SUS 316L, PRIMARY(PROBE) FILTER FOR CEMS</t>
  </si>
  <si>
    <t>HKU01500046</t>
  </si>
  <si>
    <t>PART NO:HKU01500046, SUS 316L, PRIMARY(PROBE) FILTER FOR CEMS</t>
  </si>
  <si>
    <t>Specification Primary (Probe) Filter (HORIBA)_20250304155156351.pdf</t>
  </si>
  <si>
    <t>IMG_3270_20170602095718716_20250304155114402.jpg</t>
  </si>
  <si>
    <t>2025-04-22 17:04:39</t>
  </si>
  <si>
    <t xml:space="preserve">I searched for similar items, but I approve it after checking that there is no similar/identical item._x000D_
(Regarding the reduction of certain specifications) Please request to review sketch, drawing through spot confirmation, general specification, and multiple conversion when receiving it in the future. Thank you._x000D_
</t>
  </si>
  <si>
    <t>Q4671901</t>
  </si>
  <si>
    <t>SYNTHETIC MICRO-GLASS FIBER/STEEL,AIR,[DFG750/GIGA],1micron,CELLULOSE WITH POLYESTER AND GLASS FIBERS,9.9bar,80A FILTER,FOR AIR DRYER,OR EQUIVALENT</t>
  </si>
  <si>
    <t>DFG750</t>
  </si>
  <si>
    <t>GIGA</t>
  </si>
  <si>
    <t>http://gigafilter.co.kr/blog/portfolio-item/jemaco-replacement-element-%ed%98%b8%ed%99%98-%eb%8c%80%ec%b2%b4%ed%92%88-2/</t>
  </si>
  <si>
    <t>KakaoTalk_20250414_142805190_05_20250414153426651.jpg</t>
  </si>
  <si>
    <t>장동섭</t>
  </si>
  <si>
    <t>866639@posco.co.kr</t>
  </si>
  <si>
    <t>2025-04-24 07:04:42</t>
  </si>
  <si>
    <t xml:space="preserve">기 설치된 Filter Element 호환성을 위해 특정 사양으로 등록건 확인,_x000D_
Q4320812등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</si>
  <si>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Q4671902</t>
  </si>
  <si>
    <t>SYNTHETIC MICRO-GLASS FIBER/STEEL,AIR,[GFG750/GIGA],10micron,CELLULOSE WITH POLYESTER AND GLASS FIBERS,80A FILTER,FOR AIR DRYER,OR EQUIVALENT</t>
  </si>
  <si>
    <t>GFG750</t>
  </si>
  <si>
    <t>KakaoTalk_20250414_142805190_20250414150708106.jpg</t>
  </si>
  <si>
    <t>2025-04-24 08:04:39</t>
  </si>
  <si>
    <t xml:space="preserve">기 설치된 Filter Element의 호환성을 위해 특정 사양으로 등록건 확인,_x000D_
Q4320810등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</si>
  <si>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Q4671923</t>
  </si>
  <si>
    <t>PP,[KONICS-5MICRO-FT/KORLOY]_28Dx60Dx250L_5micron,OR EQUIVALENT</t>
  </si>
  <si>
    <t>KONICS-5MICRO-FT</t>
  </si>
  <si>
    <t>KORLOY</t>
  </si>
  <si>
    <t>KORLOY 가전수 장치 카탈로그_20250418133503253.pdf</t>
  </si>
  <si>
    <t>https://korloy.com/ko/ebook/2025_KONICS(KR)/#page=5</t>
  </si>
  <si>
    <t>KakaoTalk_20250414_101927621_20250414104316598.png</t>
  </si>
  <si>
    <t>2025-04-24 08:04:04</t>
  </si>
  <si>
    <t xml:space="preserve">기 설치된 Water Filter의 호환성을 위해 특정 사양으로 등록건 확인,_x000D_
Q2184805등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</si>
  <si>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Q4671927</t>
  </si>
  <si>
    <t>[KONICS-RO4040-FT/KORLOY]_19.1Dx99.7Dx1016L,RO FILTER,OR EQUIVALENT</t>
  </si>
  <si>
    <t>KONICS-RO4040-FT</t>
  </si>
  <si>
    <t>KORLOY 가전수 장치 카탈로그_20250423113359280.pdf</t>
  </si>
  <si>
    <t>KakaoTalk_20250414_104855443_20250414111021728.jpg</t>
  </si>
  <si>
    <t>2025-04-24 08:04:07</t>
  </si>
  <si>
    <t xml:space="preserve">기 설치된 WATER FILTER의 호환성을 위해 특정 사양으로 등록건 확인,_x000D_
Q4375438등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</si>
  <si>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Q4671993</t>
  </si>
  <si>
    <t>SHAFT,[SCAL0007/ALFAWATER]+FOR AVC 16H4 MODEL,DOCUMENT CODE:T:AVCL101604001(P/N 17)</t>
  </si>
  <si>
    <t>SCAL0007</t>
  </si>
  <si>
    <t>ALFAWATER</t>
  </si>
  <si>
    <t>FOR AVC 16H4 MODEL</t>
  </si>
  <si>
    <t>DOCUMENT CODE:T:AVCL101604001(P/N 17)</t>
  </si>
  <si>
    <t>Shaft for self cleaning in prefilter (4)_20250423101124174.pdf</t>
  </si>
  <si>
    <t>https://www.alfawater.it/en/product/avc-filter/</t>
  </si>
  <si>
    <t>3. Cleaning Shaft Alfawater (1) (3)_20250423101625628.png</t>
  </si>
  <si>
    <t>Auxiliary Maintenance Sub-Team</t>
  </si>
  <si>
    <t>2025-04-24 14:04:58</t>
  </si>
  <si>
    <t xml:space="preserve">Q4636675등 유사item 검색하였으나, 사양 다름 확인하였으며 동일 도면번호(파트번호) 중복 없음 확인후 승인합니다._x000D_
</t>
  </si>
  <si>
    <t>Q4671995</t>
  </si>
  <si>
    <t>PP,[KONICS-1MICRO-FT/KORLOY]_28Dx60Dx250L_1micron,OR EQUIVALENT</t>
  </si>
  <si>
    <t>KONICS-1MICRO-FT</t>
  </si>
  <si>
    <t>KORLOY 가전수 장치 카탈로그_20250423162249623.pdf</t>
  </si>
  <si>
    <t>KakaoTalk_20250414_101927621_20250414102034702.png</t>
  </si>
  <si>
    <t>2025-04-24 15:04:55</t>
  </si>
  <si>
    <t xml:space="preserve">기 설치된 Water Filter의 호환성을 위해 특정 사양으로 등록건 확인,_x000D_
Q4519102등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</si>
  <si>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Q4672351</t>
  </si>
  <si>
    <t>[25A-AF30-03-D/SMC],5micron,POLYCARBONATE,1MPa,AIR</t>
  </si>
  <si>
    <t>25A-AF30-03-D</t>
  </si>
  <si>
    <t>SMC_file_20250423085532627.pdf</t>
  </si>
  <si>
    <t>https://www.smckorea.co.kr/ppis/source/admin/3sinfo_home_print.asp?query=25A-AF30-03-D</t>
  </si>
  <si>
    <t>25A-AF-D_20250423090359771.jpg</t>
  </si>
  <si>
    <t>김기석</t>
  </si>
  <si>
    <t>gskim1883@poscofuturem.com</t>
  </si>
  <si>
    <t>2025-04-29 13:04:42</t>
  </si>
  <si>
    <t xml:space="preserve">기 설치된 물품의 호환성을 위해 특정 사양으로 등록건 확인,_x000D_
Q2130329등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</si>
  <si>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Q4673372</t>
  </si>
  <si>
    <t>[MAKER DWG NO:CFK-CART-2504-01/CLEAN FILTER],ID30xOD62x115L,YELLOW PAPER(NO:2850 CY),CARTRIDGE FILTER,INSIDE CIRCULAR SPIRAL TYPE/WITH CASING STS304</t>
  </si>
  <si>
    <t>MAKER DWG NO:CFK-CART-2504-01</t>
  </si>
  <si>
    <t>INSIDE CIRCULAR SPIRAL TYPE/WITH CASING STS304</t>
  </si>
  <si>
    <t>실링기 CARTRIDGE FILTER_20250508165150887.pdf</t>
  </si>
  <si>
    <t>Resized_20250508_162422_1746689131687_20250508163244449.jpg</t>
  </si>
  <si>
    <t>Resized_20250508_162429_1746689132255_20250508163313541.jpg</t>
  </si>
  <si>
    <t>2025-05-13 14:05:22</t>
  </si>
  <si>
    <t>기 설치된 물품의 호환성을 위해 특정 사양으로 등록건 확인, Q4622663등 유사 item 검색하였으나, 유사/동일품 없음 확인후 승인합니다._x000D_
(특정 사양품감축 관련) 차후 입고시 스케치, 현물 확인을 통한 도면화, 일반 사양화, 복수화 전환 검토 요청 필히 부탁드립니다. 감사합니다.</t>
  </si>
  <si>
    <t>Q4673667</t>
  </si>
  <si>
    <t>AIR FILTER CASE,STS304,[MAKER DWG NO:YG20250508-000/YOUGONG ENG],400X420X32</t>
  </si>
  <si>
    <t>MAKER DWG NO:YG20250508-000</t>
  </si>
  <si>
    <t>포장실 필터 케이스-모형_20250514080539878.pdf</t>
  </si>
  <si>
    <t>포장실 필터케이스_20251114085544550.JPG</t>
  </si>
  <si>
    <t>정종민</t>
  </si>
  <si>
    <t>jm5538@poscofuturem.com</t>
  </si>
  <si>
    <t>gorlaxogus7@poscofuturem.com</t>
  </si>
  <si>
    <t>2025-11-17 14:11:14</t>
  </si>
  <si>
    <t xml:space="preserve">기 설치된 물품의 호환성을 위해 특정 사양으로 등록건 확인,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</si>
  <si>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Q4673851</t>
  </si>
  <si>
    <t>OIL,HYDRAULIC,[P-COS-L-20-A-100W/DONG SAN KI GONG],100mesh,STS304,3CGL #5,6 TBR LUBRICATION OIL FILTER ELEMENT,OR EQUIVALENT</t>
  </si>
  <si>
    <t>P-COS-L-20-A-100W</t>
  </si>
  <si>
    <t>DONG SAN KI GONG</t>
  </si>
  <si>
    <t>3CGL #5,6 TBR LUBRICATION OIL FILTER ELEMENT</t>
  </si>
  <si>
    <t>3CGL TBR Lubrication Oil Filter_20250515074454721.jpg</t>
  </si>
  <si>
    <t>3CGL TBR Lubrication Oil Filter_20250515074454790.jpg</t>
  </si>
  <si>
    <t>박종희</t>
  </si>
  <si>
    <t>pjh5517@posco.co.kr</t>
  </si>
  <si>
    <t>2025-05-16 09:05:23</t>
  </si>
  <si>
    <t>Q4673858</t>
  </si>
  <si>
    <t>[MULTICLEAN KLH 2/1-RE/DELBAG]x592Wx592Lx78T,STS304,AIR,FILTERZELLE 3007, Q=2800, ISO16890: EPM1 50%, P/N:1008000A</t>
  </si>
  <si>
    <t>MULTICLEAN KLH 2/1-RE</t>
  </si>
  <si>
    <t>DELBAG</t>
  </si>
  <si>
    <t>FILTERZELLE 3007, Q=2800, ISO16890: EPM1 50%, P/N:1008000A</t>
  </si>
  <si>
    <t>델백 592x592x78 필터 사양,전면,후면_20250514163112335.JPG</t>
  </si>
  <si>
    <t>www.delbag.com</t>
  </si>
  <si>
    <t>델백 592x592x78 필터 사양,전면,후면_20250514163112480.JPG</t>
  </si>
  <si>
    <t>2025-05-16 09:05:12</t>
  </si>
  <si>
    <t>Q4673877</t>
  </si>
  <si>
    <t>OIL,HYDRAULIC,[DWG NO:TSE-VFP-2.5-11A-81.1.2-00/TSE]xOD102x440L,10micron,HOUSING:ALUMINIUM ALLOY,FILTER:GLASS FIBER</t>
  </si>
  <si>
    <t>DWG NO:TSE-VFP-2.5-11A-81.1.2-00</t>
  </si>
  <si>
    <t>리턴필터 TSE-VFP-2.5-11A-81.1 (2)_20250513140529447.pdf</t>
  </si>
  <si>
    <t>리턴필터_20250513140350929.JPG</t>
  </si>
  <si>
    <t>2025-05-16 11:05:08</t>
  </si>
  <si>
    <t xml:space="preserve">기 설치된 물품의 호환성을 위해 특정 사양으로 등록건 확인, Q2093162등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</si>
  <si>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Q4673995</t>
  </si>
  <si>
    <t>[ZS-700-FX-W/TURBO INDUSTRY]x1040Lx400Wx7T_POLYESTER,FOR STS4 AIR COMPRESER,OR EQUIVALENT,OR EQUIVALENT</t>
  </si>
  <si>
    <t>ZS-700-FX-W</t>
  </si>
  <si>
    <t>TURBO INDUSTRY</t>
  </si>
  <si>
    <t>FOR STS4 AIR COMPRESER,OR EQUIVALENT</t>
  </si>
  <si>
    <t>http://www.turbofilter.co.kr/products.html</t>
  </si>
  <si>
    <t>부직포_20250516071243231.png</t>
  </si>
  <si>
    <t>(포항)STS제강부 4제강공장</t>
  </si>
  <si>
    <t>rkdgus1115@posco.co.kr</t>
  </si>
  <si>
    <t>전정호</t>
  </si>
  <si>
    <t>jjj99@posco.co.kr</t>
  </si>
  <si>
    <t>2025-05-19 10:05:59</t>
  </si>
  <si>
    <t xml:space="preserve">기 설치된 물품의 호환성을 위해 특정 사양으로 등록건 확인, _x000D_
유사item 검색하였으나 사이즈 다름 확인하였으며 결재문서 통해 해당 물품 등록 사유 확인하였음, 유사/동일품 없음 확인후 승인합니다._x000D_
(특정 사양품감축 관련) 차후 입고시 스케치, 현물 확인을 통한 도면화, 일반 사양화, 복수화 전환 검토 요청 필히 부탁드립니다. 감사합니다._x000D_
</t>
  </si>
  <si>
    <t>Q4674017</t>
  </si>
  <si>
    <t>OIL MIST,[YOC-350/YHB ECO]xOD380x380Lx400Wx300T_FILTER,FOR OIL MIST CLEANER,OR EQUIVALENT</t>
  </si>
  <si>
    <t>YOC-350</t>
  </si>
  <si>
    <t>FOR OIL MIST CLEANER</t>
  </si>
  <si>
    <t>https://yhbeco.com/board/bbs/board.php?bo_table=kor_product1_1&amp;wr_id=57</t>
  </si>
  <si>
    <t>YOC-350 애프터필터_실물사진_20250516104224110.png</t>
  </si>
  <si>
    <t>2025-05-19 11:05:50</t>
  </si>
  <si>
    <t xml:space="preserve">기 설치된 물품의 호환성을 위해 특정 사양으로 등록건 확인,_x000D_
Q4335537등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</si>
  <si>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Q4674106</t>
  </si>
  <si>
    <t>OIL MIST,[GF-350/YHB ECO]x285Lx240Wx50T_GLASS FILTER,FOR OIL MIST CLEANER,OR EQUIVALENT</t>
  </si>
  <si>
    <t>GF-350</t>
  </si>
  <si>
    <t>GLASS FILTER</t>
  </si>
  <si>
    <t>https://yhb.kr/blog/portfolio-item/oil-mist-cleaner/</t>
  </si>
  <si>
    <t>GF-350 글라스필터_실물사진_20250516111302026.png</t>
  </si>
  <si>
    <t>2025-05-19 14:05:43</t>
  </si>
  <si>
    <t xml:space="preserve">기 설치된 물품의 호환성을 위해 특정 사양으로 등록건 확인,_x000D_
Q4374224등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</si>
  <si>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Q4674111</t>
  </si>
  <si>
    <t>OIL MIST,[MF-350/YHB ECO]+ROUND FILTER(OD350X260L)xOD350x15T_FILTER,FOR OIL MIST CLEANER,OR EQUIVALENT</t>
  </si>
  <si>
    <t>MF-350</t>
  </si>
  <si>
    <t>ROUND FILTER(OD350X260L)</t>
  </si>
  <si>
    <t>MF-350 내장필터 SET_실물사진_20250516112029824.png</t>
  </si>
  <si>
    <t>2025-05-19 14:05:48</t>
  </si>
  <si>
    <t xml:space="preserve">기 설치된 물품의 호환성을 위해 특정 사양으로 등록건 확인,_x000D_
Q4497443등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</si>
  <si>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Q4674243</t>
  </si>
  <si>
    <t>NCM PRECURSOR,[JK-P9-1-01/JINGOANG INDUSTRY]x1560Lx1605Wx1.1T,0.1micron_POLYPROPYLENE_URETHANE EDGE COATING,FOR R&amp;D</t>
  </si>
  <si>
    <t>JK-P9-1-01</t>
  </si>
  <si>
    <t>URETHANE EDGE COATING</t>
  </si>
  <si>
    <t>필터프레스 여과포 (우레탄 엣지코팅)_20250516112555866.JPG</t>
  </si>
  <si>
    <t>필터프레스 여과포 (우레탄 엣지코팅) 이미지_20250516113159465.JPG</t>
  </si>
  <si>
    <t>2025-05-20 11:05:49</t>
  </si>
  <si>
    <t>Q4674629</t>
  </si>
  <si>
    <t>[MAKER DWG NO:JK-TP006M-PS55.6-01/JINKWANG FILTER INDUSTRY]x1150Wx55600Lx1.45T,POLYPROPYLENE,AIR PERMEABILITY 0.15CC, MAKER DWG NO:JK-TP006M-PS55.6-01</t>
  </si>
  <si>
    <t>MAKER DWG NO:JK-TP006M-PS55.6-01</t>
  </si>
  <si>
    <t>AIR PERMEABILITY 0.15CC, MAKER DWG NO:JK-TP006M-PS55.6-01</t>
  </si>
  <si>
    <t>1단계 수직형 여과포 0.15cc도면_20250520091048628.pdf</t>
  </si>
  <si>
    <t>수직형 여과포 사진_20250520091524377.JPG</t>
  </si>
  <si>
    <t>2025-05-22 11:05:12</t>
  </si>
  <si>
    <t>Q4674741</t>
  </si>
  <si>
    <t>HEPA,[AAAB6353/JEIO TECH],FOR EM-33,OR EQUIVALENT</t>
  </si>
  <si>
    <t>AAAB6353</t>
  </si>
  <si>
    <t>FOR EM-33</t>
  </si>
  <si>
    <t>[제이오텍]카탈로그_필터형 유해가스 제거장치_20250522100219107.pdf</t>
  </si>
  <si>
    <t>https://www.jeiotech.com/item.php?it_id=1723444781</t>
  </si>
  <si>
    <t>EM-33 FILTER_20250522100512779.png</t>
  </si>
  <si>
    <t>2025-05-26 09:05:36</t>
  </si>
  <si>
    <t>Q4674742</t>
  </si>
  <si>
    <t>CHEMICAL GAS,[AAAB6354/JEIO TECH]_CARBON,FOR EM-33,OR EQUIVALENT</t>
  </si>
  <si>
    <t>AAAB6354</t>
  </si>
  <si>
    <t>[제이오텍]카탈로그_필터형 유해가스 제거장치_20250522101724852.pdf</t>
  </si>
  <si>
    <t>EM-33 FILTER_20250522101905565.png</t>
  </si>
  <si>
    <t>2025-05-26 09:05:27</t>
  </si>
  <si>
    <t>Q4674743</t>
  </si>
  <si>
    <t>SLUDGE,[CMF-8040-I-P-430-025/PURE ENVITECH]_ID4.3xOD6.3x850L,0.25micron,2bar_MEMBRANE Q'TY 450EA</t>
  </si>
  <si>
    <t>CMF-8040-I-P-430-025</t>
  </si>
  <si>
    <t>PURE ENVITECH</t>
  </si>
  <si>
    <t>MEMBRANE Q'TY 450EA</t>
  </si>
  <si>
    <t>캡처_20250522173604669.PNG</t>
  </si>
  <si>
    <t>캡처_20250522173604531.PNG</t>
  </si>
  <si>
    <t>http://www.pure-envitech.co.kr/page/product5_2.php</t>
  </si>
  <si>
    <t>캡처_20250522173604713.PNG</t>
  </si>
  <si>
    <t>캡처_20250522173604757.PNG</t>
  </si>
  <si>
    <t>이상연</t>
  </si>
  <si>
    <t>광양전구체2단계조업준비TF팀</t>
  </si>
  <si>
    <t>Luckysang@poscofuturem.com</t>
  </si>
  <si>
    <t>2025-05-26 09:05:24</t>
  </si>
  <si>
    <t>Q4674868</t>
  </si>
  <si>
    <t>[C 1555/6/MANN+HUMMEL],ID88xOD152x108.5L,AIR,4.7m3/min,OR EQUIVALENT</t>
  </si>
  <si>
    <t>C 1555/6</t>
  </si>
  <si>
    <t>MANN+HUMMEL</t>
  </si>
  <si>
    <t>C15556 DS_20250518224848118.pdf</t>
  </si>
  <si>
    <t>https://www.mann-filter.com/kr-ko/catalog/search-results/product.html/c1555/6_mann-filter.html</t>
  </si>
  <si>
    <t>에어필터_20250518222401292.png</t>
  </si>
  <si>
    <t>최영민</t>
  </si>
  <si>
    <t>866938@posco.co.kr</t>
  </si>
  <si>
    <t>2025-05-26 17:05:55</t>
  </si>
  <si>
    <t>W 940</t>
  </si>
  <si>
    <t>THREAD SIZE:3/4-16UNF</t>
  </si>
  <si>
    <t>W940 DS_20250518230147064.pdf</t>
  </si>
  <si>
    <t>오일필터_20250813072057510.png</t>
  </si>
  <si>
    <t>2025-08-18 13:08:31</t>
  </si>
  <si>
    <t xml:space="preserve">기 설치된 물품의 호환성을 위해 특정 사양으로 등록건 확인,_x000D_
Q4217526등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</si>
  <si>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Q4675010</t>
  </si>
  <si>
    <t>INVERTER[ACS880-BLCL-15-7+C183+C188/ABB],AC 3PHASE,690V,580A,OR EQUIVALENT</t>
  </si>
  <si>
    <t>ACS880-BLCL-15-7+C183+C188</t>
  </si>
  <si>
    <t>3AUA0000163507_20250410145358225.pdf</t>
  </si>
  <si>
    <t>https://new.abb.com/products/3AUA0000163507/3aua0000163507</t>
  </si>
  <si>
    <t>다운로드_20250410145500779.jpg</t>
  </si>
  <si>
    <t>sgmojung@posco.co.kr</t>
  </si>
  <si>
    <t>천성환</t>
  </si>
  <si>
    <t>csh9313@posco.co.kr</t>
  </si>
  <si>
    <t>2025-05-27 13:05:39</t>
  </si>
  <si>
    <t>Q4675050</t>
  </si>
  <si>
    <t>DUST,[TODC00092-C/HK]xOD324x660W,FOR PS 3015 FIBER LASER CUTTING M/C,OR EQUIVALENT</t>
  </si>
  <si>
    <t>TODC00092-C</t>
  </si>
  <si>
    <t>HK</t>
  </si>
  <si>
    <t>FOR PS 3015 FIBER LASER CUTTING M/C</t>
  </si>
  <si>
    <t>250526_A2_재질시험섹션 HK레이저 PS3015 필터_ 카달로그_20250526144537215.pdf</t>
  </si>
  <si>
    <t>https://www.hk-global.com/board/bbs/board.php?bo_table=ko_file#</t>
  </si>
  <si>
    <t>HK레이저 집진기 필터_실물사진_20250526145625771.jpg</t>
  </si>
  <si>
    <t>2025-05-27 14:05:56</t>
  </si>
  <si>
    <t>Q4675349</t>
  </si>
  <si>
    <t>[HRD2-400EGS_PRE FILTER/HIMPEL]x410Wx320Lx10T,10mesh,AIR,OR EQUIVALENT</t>
  </si>
  <si>
    <t>HRD2-400EGS_PRE FILTER</t>
  </si>
  <si>
    <t>HIMPEL</t>
  </si>
  <si>
    <t>필터 라벨지_20250408141110238.png</t>
  </si>
  <si>
    <t>https://www.himpelmall.com/mall/product/product_view.php?ps_ctid=08010000&amp;ps_goid=719</t>
  </si>
  <si>
    <t>프리필터_20250921154743985.png</t>
  </si>
  <si>
    <t>오용식</t>
  </si>
  <si>
    <t>(광양)냉연부 4냉연공장</t>
  </si>
  <si>
    <t>2025-09-30 10:09:22</t>
  </si>
  <si>
    <t>**상기 결재내용(POSCO)에 내용작성이 잘 되셨으면, 승인문서 첨부하지 않으셔도 됩니다. 결재내용도 변경되었으니 다음부터 반영해 주셔야 승인됩니다.(결재방법 개선 #공지 359번)</t>
  </si>
  <si>
    <t>Q4675353</t>
  </si>
  <si>
    <t>[HRD2-400EGS_HEPA FILTER/HIMPEL]x410Wx267Lx70T,AIR,OR EQUIVALENT</t>
  </si>
  <si>
    <t>HRD2-400EGS_HEPA FILTER</t>
  </si>
  <si>
    <t>필터라벨지2_20250408140637565.png</t>
  </si>
  <si>
    <t>헤파필터_20250408100425574.png</t>
  </si>
  <si>
    <t>2025-05-29 15:05:14</t>
  </si>
  <si>
    <t xml:space="preserve">**상기 결재내용(POSCO)에 내용작성이 잘 되셨으면, 승인문서 첨부하지 않으셔도 됩니다. 결재내용도 변경되었으니 다음부터 반영해 주셔야 승인됩니다.(결재방법 개선 #공지 359번)_x000D_
_x000D_
기 설치된 물품의 호환성을 위해 특정 사양으로 등록건 확인, Q4430784등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</si>
  <si>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Q4675629</t>
  </si>
  <si>
    <t>WATER,[LG BW 440 ES L/LG CHEM]x200Dx1016L_600psi_FOR WATER TREATMENT SYSTEM</t>
  </si>
  <si>
    <t>LG BW 440 ES L</t>
  </si>
  <si>
    <t>FOR WATER TREATMENT SYSTEM</t>
  </si>
  <si>
    <t>캡처_20250527145233782.PNG</t>
  </si>
  <si>
    <t>https://www.lgwatersolutions.com/products/reverse-osmosis/bwro/lg-bw-440-es-l/</t>
  </si>
  <si>
    <t>캡처_20250527152627009.PNG</t>
  </si>
  <si>
    <t>jonghun0603@poscofuturem.com</t>
  </si>
  <si>
    <t>2025-06-02 15:06:23</t>
  </si>
  <si>
    <t xml:space="preserve">기 설치된 물품의 호환성을 위해 특정 사양으로 등록건 확인,_x000D_
Q4632523등 유사item 검색하였으나 동일 메이커의 다른 형번 물품임, 유사/동일품 없음 확인후 승인합니다._x000D_
(특정 사양품감축 관련) 차후 입고시 스케치, 현물 확인을 통한 도면화, 일반 사양화, 복수화 전환 검토 요청 필히 부탁드립니다. 감사합니다._x000D_
_x000D_
</t>
  </si>
  <si>
    <t>Q4675693</t>
  </si>
  <si>
    <t>CENTRIFUGAL SEPARATOR,1495Lx630Wx1280H,[SOC050/SAMGONG],440V,60HZ,500L/h,OR EQUIVALENT</t>
  </si>
  <si>
    <t>SOC050</t>
  </si>
  <si>
    <t xml:space="preserve">SAMGONG </t>
  </si>
  <si>
    <t>PORTABLE 유수분리기 자료_20250528101845959.pdf</t>
  </si>
  <si>
    <t>https://www.sam-gong.co.kr/theme/basic/sub/sub02/sub02_09_01.php</t>
  </si>
  <si>
    <t>Portable Purifier_20250528102212270.png</t>
  </si>
  <si>
    <t>outdoor48@posco.co.kr</t>
  </si>
  <si>
    <t>이창우</t>
  </si>
  <si>
    <t>pos00048@posco.co.kr</t>
  </si>
  <si>
    <t>2025-06-04 08:06:07</t>
  </si>
  <si>
    <t>1. MRO e-Caltalog시스템 경유건으로 대체 Maker 미 발굴 건_x000D_
2. https://www.sam-gong.co.kr/의 상호명을 통해 제조사임을 확인_x000D_
3. *SOC050*&amp;*SAMGONG* 유사사양 확인 후 승인_x000D_
4. 차후 입고시 현물 확인을 통한 일반 사양화,복수화 전환 검토 요청 드립니다.</t>
  </si>
  <si>
    <t>DFP ON 1320 QD 3 D 2.0/-L24/B6</t>
  </si>
  <si>
    <t>FOR 2H NO.1~3 HSL MILL &amp; CPC PUMP FILTER</t>
  </si>
  <si>
    <t>dfpdfpf-pressure-filter-for-manifold-block-mounting-1000443474-en_20250604111318360.pdf</t>
  </si>
  <si>
    <t>1_20250604111318424.png</t>
  </si>
  <si>
    <t>장재욱</t>
  </si>
  <si>
    <t>jaeukjang0728@posco.co.kr</t>
  </si>
  <si>
    <t>2025-06-04 14:06:55</t>
  </si>
  <si>
    <t>Q4676258</t>
  </si>
  <si>
    <t>ELECTRONIC[ENS-2006/ORIENT],AC 1PHASE,250 V AC/DCV,6A</t>
  </si>
  <si>
    <t>ENS-2006</t>
  </si>
  <si>
    <t>ORIENT</t>
  </si>
  <si>
    <t>3717614843_LC5bAq1w_a0fb7e0915a5a70916cb72d0b2a8b83f89561811 (1)_20250604131445531.pdf</t>
  </si>
  <si>
    <t>https://www.orientelec.co.kr/s2/view.php?bo_table=s2_1&amp;wr_id=220&amp;no=0</t>
  </si>
  <si>
    <t>Noise Filter_20250604131953147.PNG</t>
  </si>
  <si>
    <t>김동현</t>
  </si>
  <si>
    <t>an001130@poscofuturem.com</t>
  </si>
  <si>
    <t>2025-06-10 16:06:38</t>
  </si>
  <si>
    <t>Q4676463</t>
  </si>
  <si>
    <t>[MPF1801AG1P25NBP01/MPFILTRI]_ID40.5xOD99x220L_25micron_CELLULOSE,8bar,HYDRAULIC FILTER,900L/min_FOR CPL AUTO OUTER RING</t>
  </si>
  <si>
    <t>MPF1801AG1P25NBP01</t>
  </si>
  <si>
    <t>FOR CPL AUTO OUTER RING</t>
  </si>
  <si>
    <t>1000047095 (1)_20250610111627972.jpg</t>
  </si>
  <si>
    <t>1000047105 (1)_20250610111706198.jpg</t>
  </si>
  <si>
    <t>Nathapat Aiadphakwaen(Nut)</t>
  </si>
  <si>
    <t>nathapat.ai@poscotcs.com</t>
  </si>
  <si>
    <t>2025-06-11 17:06:05</t>
  </si>
  <si>
    <t xml:space="preserve">I searched for similar items, but I approve it after checking that there is no similar/identical item._x000D_
(Regarding the reduction of certain specifications) Please request to review sketch, drawing through spot confirmation, general specification, and multiple conversion when receiving it in the future. Thank you._x000D_
_x000D_
</t>
  </si>
  <si>
    <t>Q4676464</t>
  </si>
  <si>
    <t>ACCESSORY TYPE,AIR,[SH-FB-50/SEJIN HYDRAULICS M.F.G],50IDX82ODX135L,750L/min,40micron</t>
  </si>
  <si>
    <t>SH-FB-50</t>
  </si>
  <si>
    <t>SEJIN HYDRAULICS M.F.G</t>
  </si>
  <si>
    <t>SH-FB-EX (1)_20250610115126317.png</t>
  </si>
  <si>
    <t>2025-06-11 17:06:20</t>
  </si>
  <si>
    <t>Q4676779</t>
  </si>
  <si>
    <t>[FRT R1 66/FILTREC]_ID175xOD220x423L_22micron_NBR_GLASSFIBER,10bar,ALUMINUM,900L/min_CONNECTION G2'', FILTER MEDIA G25_FOR SCRAP PRESS RETURN FILTER</t>
  </si>
  <si>
    <t>FRT R1 66</t>
  </si>
  <si>
    <t>FILTREC</t>
  </si>
  <si>
    <t>CONNECTION G2'', FILTER MEDIA G25</t>
  </si>
  <si>
    <t>FOR SCRAP PRESS RETURN FILTER</t>
  </si>
  <si>
    <t>FRT_EU-8_20250612171825023.pdf</t>
  </si>
  <si>
    <t>https://www.filtrec.com/products/frt-series/</t>
  </si>
  <si>
    <t>FILTREC FRT R1 66_20250612171303424.png</t>
  </si>
  <si>
    <t>2025-06-16 09:06:20</t>
  </si>
  <si>
    <t>At our core, we specialize in the production of high-quality hydraulic filter elements and filters( 홈페이지에서 제조사 확인 OK), *FILTREC*&amp;*FRT*&amp;*R1*&amp;*66*조회시  동일 시양없음 확인후 승인, In the future, I would appreciate your review of specifications, specifications, generalization, and conversion. Thank you._x000D_
Sketch at the time of subsequent receipt, Detail specification with spot confirmation, General specification, Request to review multiple conversion</t>
  </si>
  <si>
    <t>Q4676870</t>
  </si>
  <si>
    <t>POWDER,[DF1000R/DONGIL]+MAKER DWG NO:MP240819-001x1340Lx1000Wx65T,300kg/cm2_PP_PATENT:10-1253479(2032-06-20),FOR 1EGL PLT FILTER PRESS MIDDLE PLATE,OR EQUIVALENT</t>
  </si>
  <si>
    <t>DF1000R</t>
  </si>
  <si>
    <t>DONGIL</t>
  </si>
  <si>
    <t>MAKER DWG NO:MP240819-001</t>
  </si>
  <si>
    <t>PATENT:10-1253479(2032-06-20)</t>
  </si>
  <si>
    <t xml:space="preserve">FOR 1EGL PLT FILTER PRESS MIDDLE PLATE </t>
  </si>
  <si>
    <t>[품의서] 1도금공장 1EGL PLT 도금용액 Filter Press 여과판 특정사양품 신규등록 (동일캔바스_20250616104009060.pdf</t>
  </si>
  <si>
    <t>http://canvaskorea.com/wp-content/uploads/catalog/2020catalog-ko.pdf</t>
  </si>
  <si>
    <t>[물품등록] 1도금공장 1EGL PLT 도금용액 Filter Press 여과판 현품 이미지 (중간판)_20250616104009284.jpg</t>
  </si>
  <si>
    <t>1EGL PLT Filter Press 여과판 중간판 도면_20250616104009317.jpg</t>
  </si>
  <si>
    <t>이수윤</t>
  </si>
  <si>
    <t>(광양)도금부 조업안전섹션</t>
  </si>
  <si>
    <t>sooyun@posco.co.kr</t>
  </si>
  <si>
    <t>박선준</t>
  </si>
  <si>
    <t>(광양)도금부 1도금공장</t>
  </si>
  <si>
    <t>seonjun1015@posco.co.kr</t>
  </si>
  <si>
    <t>2025-06-16 16:06:06</t>
  </si>
  <si>
    <t>[공지] 특정사양품(단수) 물품등록 프로세스 개선 (e-Catalog 의무소싱 폐지) 적용(특정사양품(단수) 등록 절차 개선 (포스코 및 그룹사 대상, 25.4.16부))건으로 _x000D_
1도금공장 1EGL 도금용액 Filter Press의 핵심 부품으로 설비효율성을 위해 특정 사양으로 등록건 확인 후 승인,(특정 사양품감축 관련) 차후 입고시 스케치, 현물 확인을 통한 도면화,일반 사양화,복수화 전환 검토 요청 필히 부탁드립니다. 감사합니다.*DF1000R* 조회시 첯판, 중판, 끝판의 3개 사양이 조회되나 도면 확인시 Maker DWG NO 및 상세 형상이 다름 확인후 승인</t>
  </si>
  <si>
    <t>Q4676873</t>
  </si>
  <si>
    <t>POWDER,[DF1000R/DONGIL]+MAKER DWG NO:MP240819-003x1340Lx1000Wx65T,300kg/cm2_PP_PATENT:10-1253479(2032-06-20),FOR 1EGL PLT FILTER PRESS END PLATE,OR EQUIVALENT</t>
  </si>
  <si>
    <t>MAKER DWG NO:MP240819-003</t>
  </si>
  <si>
    <t xml:space="preserve">FOR 1EGL PLT FILTER PRESS END PLATE </t>
  </si>
  <si>
    <t>1도금공장 1EGL PLT 도금용액 Filter Press 여과판 특허자료 (동일캔바스엔지니어링)_20250616104141065.pdf</t>
  </si>
  <si>
    <t>[물품등록] 1도금공장 1EGL PLT 도금용액 Filter Press 여과판 현품 이미지 (끝판)_20250616104141278.jpg</t>
  </si>
  <si>
    <t>1EGL PLT Filter Press 여과판 끝판 도면_20250616104141309.jpg</t>
  </si>
  <si>
    <t>2025-06-16 16:06:18</t>
  </si>
  <si>
    <t>Q4676877</t>
  </si>
  <si>
    <t>POWDER,[DF1000R/DONGIL]+MAKER DWG NO:MP240819-002x1340Lx1000Wx65T,300kg/cm2_PP_PATENT:10-1253479(2032-06-20),FOR 1EGL PLT FILTER PRESS FIRST PLATE,OR EQUIVALENT</t>
  </si>
  <si>
    <t>MAKER DWG NO:MP240819-002</t>
  </si>
  <si>
    <t>FOR 1EGL PLT FILTER PRESS FIRST PLATE</t>
  </si>
  <si>
    <t>1도금공장 1EGL PLT 도금용액 Filter Press 여과판 특허자료 (동일캔바스엔지니어링)_20250616104303326.pdf</t>
  </si>
  <si>
    <t>[물품등록] 1도금공장 1EGL PLT 도금용액 Filter Press 여과판 현품 이미지 (첫판)_20250616104303594.jpg</t>
  </si>
  <si>
    <t>1EGL PLT Filter Press 여과판 첫판 도면_20250616104303623.jpg</t>
  </si>
  <si>
    <t>2025-06-16 16:06:35</t>
  </si>
  <si>
    <t>Q4677419</t>
  </si>
  <si>
    <t>[P/N: 3084343/DROPSA],30micron_1/8'' BSP,FITTING WITH FILTER, FOR MIX AIR OIL UFR</t>
  </si>
  <si>
    <t>P/N: 3084343</t>
  </si>
  <si>
    <t xml:space="preserve"> 1/8'' BSP</t>
  </si>
  <si>
    <t>FITTING WITH FILTER, FOR MIX AIR OIL UFR</t>
  </si>
  <si>
    <t>7176113_3084331_20250619121900098.pdf</t>
  </si>
  <si>
    <t>https://www.dropsa.com</t>
  </si>
  <si>
    <t>fitt filter_20250619122335957.PNG</t>
  </si>
  <si>
    <t>2025-06-23 08:06:14</t>
  </si>
  <si>
    <t xml:space="preserve">**Please attach the manufacturer URL in the future. _x000D_
For compatibility of pre-installed items, registered items were checked and similar items were searched with specific specific specifications, but they are approved after confirming that there are no similar/identical items._x000D_
(Regarding the reduction of certain specifications) Please request to review sketch, drawing through spot confirmation, general specification, and multiple conversion when receiving the goods in the future. Thank you.**추후 제조사URL첨부를 필수로 부탁드립니다. _x000D_
기 설치된 물품의 호환성을 위해 특정 사양으로 등록건 확인,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</si>
  <si>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Q4677448</t>
  </si>
  <si>
    <t>AIR FILTER,[GNQ-2506-503/GENEQ]x83Wx670L,0.1micron,PLASTIC CAP, STS304 SCREEN,KLIN FILTER ELEMENT, 83LX670L, MAKER DWG NO:GNQ-2506-503</t>
  </si>
  <si>
    <t>GNQ-2506-503</t>
  </si>
  <si>
    <t>KLIN FILTER ELEMENT, 83LX670L, MAKER DWG NO:GNQ-2506-503</t>
  </si>
  <si>
    <t>GENEQ 필터 도면 2_20250620082930974.JPG</t>
  </si>
  <si>
    <t>http://www.geneq.co.kr/board_YpNZ27</t>
  </si>
  <si>
    <t>GENEQ 필터 도면_20250620082931098.JPG</t>
  </si>
  <si>
    <t>GNQ-2506-503 GENEQ 필터 사진_20250620082931133.JPG</t>
  </si>
  <si>
    <t>2025-06-23 09:06:19</t>
  </si>
  <si>
    <t>Q4677580</t>
  </si>
  <si>
    <t>POSITIVE ELECTRODE MATERIAL,[MAKER DWG NO:JD3-301CW01-2/ZM SOLUTION]_ID72x330Lx149W_STS304/CERAMIC,CLASSIFIER WHEEL</t>
  </si>
  <si>
    <t>MAKER DWG NO:JD3-301CW01-2</t>
  </si>
  <si>
    <t>ZM SOLUTION</t>
  </si>
  <si>
    <t>CLASSIFIER WHEEL</t>
  </si>
  <si>
    <t>JD3-301CW01-2_20250623091225425.pdf_20250623091225425.pdf</t>
  </si>
  <si>
    <t>https://www.zmslt.com/zm-solution</t>
  </si>
  <si>
    <t>JD3-301CW01-2_20250623091225541.PNG</t>
  </si>
  <si>
    <t>김경하</t>
  </si>
  <si>
    <t>hiya970501@poscofuturem.com</t>
  </si>
  <si>
    <t>2025-06-23 15:06:38</t>
  </si>
  <si>
    <t>Q4677747</t>
  </si>
  <si>
    <t>POSITIVE ELECTRODE MATERIAL,[MAKER DWG NO:JD4-301CW01-2/ZM SOLUTION]_ID120x470Lx206W_STS304/CERAMIC,CLASSIFIER WHEEL</t>
  </si>
  <si>
    <t>MAKER DWG NO:JD4-301CW01-2</t>
  </si>
  <si>
    <t>JD4-301CW01-2_20250623092920298.pdf</t>
  </si>
  <si>
    <t>JD4-301CW01-2_20250623092920398.PNG</t>
  </si>
  <si>
    <t>2025-06-24 13:06:04</t>
  </si>
  <si>
    <t>Q4678072</t>
  </si>
  <si>
    <t>[P/N: AF11-4(11316A)/SMC]+WITH PN: 11352-5B,630332,113136,112310,11355&amp;11354,POLYACETAL,1.0MPa,40micron,REPLACEMENT PARTS FOR AIR FILTER SERIES AF900,DISPENSER D#1- AIR LINE</t>
  </si>
  <si>
    <t>P/N: AF11-4(11316A)</t>
  </si>
  <si>
    <t>WITH PN: 11352-5B,630332,113136,112310,11355&amp;11354</t>
  </si>
  <si>
    <t xml:space="preserve">REPLACEMENT PARTS FOR AIR FILTER SERIES AF900 </t>
  </si>
  <si>
    <t>DISPENSER D#1- AIR LINE</t>
  </si>
  <si>
    <t>Replacement parts for af 911_20250624135011905.pdf</t>
  </si>
  <si>
    <t>Replacement parts for series AF900_20250624134848267.GIF</t>
  </si>
  <si>
    <t>2025-06-26 14:06:51</t>
  </si>
  <si>
    <t>Q4678073</t>
  </si>
  <si>
    <t>[P/N: ITEM 6/CKD]+WITH PN:1126-KIT,POLYCARBONATE,1.0MPa,5micron,REPLACEMENT PARTS FOR AIR FILTER SERIES 1126,DISPENSER D#2- AIR LINE</t>
  </si>
  <si>
    <t>P/N: ITEM 6</t>
  </si>
  <si>
    <t>WITH PN:1126-KIT</t>
  </si>
  <si>
    <t>REPLACEMENT PARTS FOR AIR FILTER SERIES 1126</t>
  </si>
  <si>
    <t>DISPENSER D#2- AIR LINE</t>
  </si>
  <si>
    <t>【NEW】1126 Series Maintenance parts(0.3MB)_20250624153428157.pdf</t>
  </si>
  <si>
    <t>PN- Item 6 (Manual Drain Cock)_20250624154647908.GIF</t>
  </si>
  <si>
    <t>2025-06-26 14:06:49</t>
  </si>
  <si>
    <t>Q4678390</t>
  </si>
  <si>
    <t>INVERTER[WYNFTH80T2A/WOONYOUNG],AC 3PHASE,500V,80A,OR EQUIVALENT</t>
  </si>
  <si>
    <t>WYNFTH80T2A</t>
  </si>
  <si>
    <t>https://woonyoung.com/page/s0201_view.php?ocatecode=1337920582&amp;idx=391&amp;gcname=%EC%88%98%EB%B0%B0%EC%A0%84%EB%B0%98+%EC%A0%84%EB%A0%A5%EA%B8%B0%EA%B8%B0+Solution&amp;gnsub=250V%2C+500V&amp;gcatecode=1338276099&amp;ogcname=%EB%85%B8%EC%9D%B4%EC%A6%88+%ED%95%84%ED%84%B0</t>
  </si>
  <si>
    <t>화면 캡처 2025-06-24 093643_20250624093752270.png</t>
  </si>
  <si>
    <t>고기연</t>
  </si>
  <si>
    <t>go507978@posco.co.kr</t>
  </si>
  <si>
    <t>김수철</t>
  </si>
  <si>
    <t>space4603@posco.co.kr</t>
  </si>
  <si>
    <t>2025-06-30 14:06:17</t>
  </si>
  <si>
    <t xml:space="preserve">기 설치된 물품의 호환성을 위해 특정 사양으로 등록건 확인,_x000D_
Q4209329등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</si>
  <si>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Q4678401</t>
  </si>
  <si>
    <t>[25A-AM850-14/SMC],0.3micron,1MPa,AIR</t>
  </si>
  <si>
    <t>25A-AM850-14</t>
  </si>
  <si>
    <t>25A-AM850-14_20250627102731995.JPG</t>
  </si>
  <si>
    <t>캡처_20250627103621395.JPG</t>
  </si>
  <si>
    <t>광양에너지소재정비부</t>
  </si>
  <si>
    <t>2025-06-30 15:06:26</t>
  </si>
  <si>
    <t xml:space="preserve">기 설치된 물품의 호환성을 위해 특정 사양으로 등록건 확인,_x000D_
Q4638001등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_x000D_
_x000D_
_x000D_
_x000D_
</t>
  </si>
  <si>
    <t>Q4678402</t>
  </si>
  <si>
    <t>[25A-AFF75B-14/SMC],3micron,1MPa,AIR</t>
  </si>
  <si>
    <t>25A-AFF75B-14</t>
  </si>
  <si>
    <t>25a-aff75b-14_20250627104415151.JPG</t>
  </si>
  <si>
    <t>2_20250627104717756.JPG</t>
  </si>
  <si>
    <t>2025-06-30 15:06:25</t>
  </si>
  <si>
    <t xml:space="preserve">기 설치된 물품의 호환성을 위해 특정 사양으로 등록건 확인,_x000D_
Q2195621등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</si>
  <si>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Q4678610</t>
  </si>
  <si>
    <t>[FB-100_HEPA FILTER/HIMPEL]x273Wx237Lx100T,AIR,OR EQUIVALENT</t>
  </si>
  <si>
    <t>FB-100_HEPA FILTER</t>
  </si>
  <si>
    <t>페이지 이미지_20250617125452003.png</t>
  </si>
  <si>
    <t>헤파필터이미지_20250617125414328.png</t>
  </si>
  <si>
    <t>환기장치 필터 개선(용량 조정)_20250630173204516.png</t>
  </si>
  <si>
    <t>김현신</t>
  </si>
  <si>
    <t>(광양)산업보건센터 산업보건섹션</t>
  </si>
  <si>
    <t>hyunsin@posco.co.kr</t>
  </si>
  <si>
    <t>2025-07-02 07:07:09</t>
  </si>
  <si>
    <t xml:space="preserve">*  결재내용(POSCO) 에 작성하시면 품의문 따로 받으실 필요없습니다. 결재내용(POSCO)은 결재문서와 동일하게 인정됩니다_x000D_
기 설치된 물품의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</si>
  <si>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Q4678616</t>
  </si>
  <si>
    <t>[FB-100/HIMPEL]x250Wx294L,STS430,OR EQUIVALENT</t>
  </si>
  <si>
    <t>FB-100</t>
  </si>
  <si>
    <t>필터박스 이미지_20250624075906337.png</t>
  </si>
  <si>
    <t>https://www.himpelmall.com/mall/product/product_view.php?ps_ctid=14060000&amp;ps_goid=963</t>
  </si>
  <si>
    <t>20251125_2572368010307534049.jpg</t>
  </si>
  <si>
    <t>환기장치 필터 개선(용량 조정)_20250630173235150.png</t>
  </si>
  <si>
    <t>2025-07-02 08:07:09</t>
  </si>
  <si>
    <t>Q4678618</t>
  </si>
  <si>
    <t>[FB-100_PRE FILTER/HIMPEL]x274Wx237Lx15T,15mesh,16Pa,AIR,OR EQUIVALENT</t>
  </si>
  <si>
    <t>FB-100_PRE FILTER</t>
  </si>
  <si>
    <t>페이지 이미지_20250617113914330.png</t>
  </si>
  <si>
    <t>프리필터이미지_20250617113220671.png</t>
  </si>
  <si>
    <t>환기장치 필터 개선(용량 조정)_20250630173130330.png</t>
  </si>
  <si>
    <t>2025-07-02 08:07:31</t>
  </si>
  <si>
    <t>Q4678619</t>
  </si>
  <si>
    <t>[FB-100_CARBON FILTER/HIMPEL]x274Wx237Lx10T,AIR,OR EQUIVALENT</t>
  </si>
  <si>
    <t>FB-100_CARBON FILTER</t>
  </si>
  <si>
    <t>페이지 이미지_20250617130138678.png</t>
  </si>
  <si>
    <t>카본필터이미지_20250617130101671.png</t>
  </si>
  <si>
    <t>환기장치 필터 개선(용량 조정)_20250630173339639.png</t>
  </si>
  <si>
    <t>2025-07-02 08:07:55</t>
  </si>
  <si>
    <t>Q4678725</t>
  </si>
  <si>
    <t>[MAKER DWG NO:DWG-SUS100A/HALLA-TECH]+UF-125SFx1104Wx650Lx4.5T,STS304,MAKER DWG NO:DWG-SUS100A</t>
  </si>
  <si>
    <t>MAKER DWG NO:DWG-SUS100A</t>
  </si>
  <si>
    <t>HALLA-TECH</t>
  </si>
  <si>
    <t>UF-125SF</t>
  </si>
  <si>
    <t>한라정공 도면_20250701151522413.pdf</t>
  </si>
  <si>
    <t>http://www.hallatech.com/</t>
  </si>
  <si>
    <t>Air Filter_20250701151534031.jpg</t>
  </si>
  <si>
    <t>2025-07-02 13:07:52</t>
  </si>
  <si>
    <t xml:space="preserve">기 설치된 물품의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</si>
  <si>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Q4678781</t>
  </si>
  <si>
    <t>GLASS FIBER,AIR,[AM-EL150/SMC]xOD49x41.5L,0.3micron,GLASS FIBER,10bar,FOR AM150C TYPE,OR EQUIVALENT</t>
  </si>
  <si>
    <t>AM-EL150</t>
  </si>
  <si>
    <t>FOR AM150C TYPE</t>
  </si>
  <si>
    <t>AM-EL150_20250610171756260.jpg</t>
  </si>
  <si>
    <t>AM-EL150 사진_20250613161210656.jpg</t>
  </si>
  <si>
    <t>손성국</t>
  </si>
  <si>
    <t>(광양)EIC기술부 계장정비섹션</t>
  </si>
  <si>
    <t>skshon@posco.co.kr</t>
  </si>
  <si>
    <t>허동수</t>
  </si>
  <si>
    <t>gjehdtn4566@posco.co.kr</t>
  </si>
  <si>
    <t>2025-07-02 16:07:46</t>
  </si>
  <si>
    <t>Q4679034</t>
  </si>
  <si>
    <t>[DWG NO:AERIX-25-06-0002/AERIX]xOD162x1000L_SUS304, MEDIA:PE/PTFE MEMBRANE, BAND:POLYSTER_AIR TRANSFER CARTRIDGE FILTER, SECTION A-A:25MMX44SET, INSIDE CIRCULAR SPIRAL TYPE,MAKER DWG NO:AERIX-25-06-0002</t>
  </si>
  <si>
    <t>DWG NO:AERIX-25-06-0002</t>
  </si>
  <si>
    <t>AIR TRANSFER CARTRIDGE FILTER, SECTION A-A:25MMX44SET, INSIDE CIRCULAR SPIRAL TYPE,MAKER DWG NO:AERIX-25-06-0002</t>
  </si>
  <si>
    <t>포스코퓨처엠 공기이송 Cartridge Filter 도면_20250703112820888.pdf</t>
  </si>
  <si>
    <t>AERIX 162x1000 카트리지필터_20250703133611799.JPG</t>
  </si>
  <si>
    <t>2025-07-07 09:07:57</t>
  </si>
  <si>
    <t>Q4679035</t>
  </si>
  <si>
    <t>INVERTER[TRDK3J1905-350-99/TOPRUN ELECTRIC],AC 3PHASE,0-550VACV,350A,L:0,056MH, F:70HZ</t>
  </si>
  <si>
    <t>TRDK3J1905-350-99</t>
  </si>
  <si>
    <t>TOPRUN ELECTRIC</t>
  </si>
  <si>
    <t>L:0,056MH, F:70HZ</t>
  </si>
  <si>
    <t>IMG-20250604-WA0027_20250609153537860.jpg</t>
  </si>
  <si>
    <t>https://www.etoprun.com/en/h-col-143.html</t>
  </si>
  <si>
    <t>IMG-20250604-WA0029_20250609153513954.jpg</t>
  </si>
  <si>
    <t>RYAN OKTA ALDILLA</t>
  </si>
  <si>
    <t>ryan.oktaaldilla@krakatauposco.co.id</t>
  </si>
  <si>
    <t>2025-07-07 09:07:26</t>
  </si>
  <si>
    <t>Q4679279</t>
  </si>
  <si>
    <t>[NH-1300/SEYANG],0.01micron,7kg/cm2,AIR,15A,OR EQUIVALENT</t>
  </si>
  <si>
    <t>NH-1300</t>
  </si>
  <si>
    <t>15A</t>
  </si>
  <si>
    <t>Seyang Air Filter(NH-)_20250707102728708.png</t>
  </si>
  <si>
    <t>2025-07-08 09:07:28</t>
  </si>
  <si>
    <t xml:space="preserve">기 설치된 물품의 호환성을 위해 특정 사양으로 등록건 확인, _x000D_
Q4407549등 유사item 검색하였으나 동일 메이커의 구경(A값)이 다름 확인하였고, 그 외 유사/동일품 없음 확인후 승인합니다._x000D_
(특정 사양품감축 관련) 차후 입고시 스케치, 현물 확인을 통한 도면화, 일반 사양화, 복수화 전환 검토 요청 필히 부탁드립니다. 감사합니다._x000D_
_x000D_
</t>
  </si>
  <si>
    <t>Q4679342</t>
  </si>
  <si>
    <t>[NH-3200/SEYANG],5micron,7kg/cm2,AIR,15A,OR EQUIVALENT</t>
  </si>
  <si>
    <t>NH-3200</t>
  </si>
  <si>
    <t>Seyang Air Filter(NH-)_20250707103842531.png</t>
  </si>
  <si>
    <t>2025-07-08 13:07:54</t>
  </si>
  <si>
    <t xml:space="preserve">기 설치된 물품의 호환성을 위해 특정 사양으로 등록건 확인,_x000D_
Q4267993 등 유사item 검색하였으나 동일 모델의 호칭 규격이 다른 물품임 확인하였으며, 그 외 유사/동일품 없음 확인후 승인합니다._x000D_
(특정 사양품감축 관련) 차후 입고시 스케치, 현물 확인을 통한 도면화, 일반 사양화, 복수화 전환 검토 요청 필히 부탁드립니다. 감사합니다._x000D_
</t>
  </si>
  <si>
    <t>Q4679348</t>
  </si>
  <si>
    <t>[NH-3100/SEYANG],1micron,7kg/cm2,AIR,15A,OR EQUIVALENT</t>
  </si>
  <si>
    <t>Seyang Air Filter(NH-)_20250707163133247.png</t>
  </si>
  <si>
    <t>2025-07-08 14:07:13</t>
  </si>
  <si>
    <t xml:space="preserve">기 설치된 물품의 호환성을 위해 특정 사양으로 등록건 확인,_x000D_
Q4255623 등 유사item 검색하였으나 동일 메이커의 호칭구경이 다른 물품임 확인하였으며, 그 외 유사/동일품 없음 확인후 승인합니다._x000D_
(특정 사양품감축 관련) 차후 입고시 스케치, 현물 확인을 통한 도면화, 일반 사양화, 복수화 전환 검토 요청 필히 부탁드립니다. 감사합니다._x000D_
_x000D_
_x000D_
</t>
  </si>
  <si>
    <t>Q4679601</t>
  </si>
  <si>
    <t>[GA-15/AT COMPANY]x68Wx275Lx68T,ALUMINIUM,ALUMINIUM,MAX FLOW RATE 700 N/MIN (0.7 M/MIN), PRESSURE DROP 1.02.0 BAR, OPERATING PRESSURE 2.0-10.0 BAR, P</t>
  </si>
  <si>
    <t>GA-15</t>
  </si>
  <si>
    <t>AT COMPANY</t>
  </si>
  <si>
    <t>MAX FLOW RATE 700 N/MIN (0.7 M/MIN), PRESSURE DROP 1.02.0 BAR, OPERATING PRESSURE 2.0-10.0 BAR, P</t>
  </si>
  <si>
    <t>GA-15_CATA_20250708164050193.pdf</t>
  </si>
  <si>
    <t>https://www.atcompany.co.kr/bbs/board.php?bo_table=product3_kor&amp;wr_id=2&amp;sca=PERFECT+AIR+FILTER</t>
  </si>
  <si>
    <t>스크린샷 2025-07-08 163837_20250708164050302.png</t>
  </si>
  <si>
    <t>최준우</t>
  </si>
  <si>
    <t>코아사업실 설비(포항)섹션</t>
  </si>
  <si>
    <t>junu7777@poscomobility.com</t>
  </si>
  <si>
    <t>황재학</t>
  </si>
  <si>
    <t>코아사업실 설비2섹션</t>
  </si>
  <si>
    <t>jaehak2@poscomobility.com</t>
  </si>
  <si>
    <t>2025-07-10 10:07:41</t>
  </si>
  <si>
    <t xml:space="preserve">* 에이티컴퍼니 icreport 확인시 표준산업분류	(29130)펌프 및 압축기 제조업; 탭, 밸브 및 유사장치 제조 포함으로 확인하였음._x000D_
_x000D_
기 설치된 물품의 호환성을 위해 특정 사양으로 등록건 확인,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</si>
  <si>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Q4679759</t>
  </si>
  <si>
    <t>INORGANIC FIBERS,HYDRAULIC,[INE-U3-20-7/INFILS],7micron,INORGANIC FIBERS,OR EQUIVALENT</t>
  </si>
  <si>
    <t>INE-U3-20-7</t>
  </si>
  <si>
    <t>INFILS</t>
  </si>
  <si>
    <t>element 대표이미지_20250618162742335.jpg</t>
  </si>
  <si>
    <t>2025-07-11 08:07:09</t>
  </si>
  <si>
    <t>INFU3C2450AWS</t>
  </si>
  <si>
    <t>대표이미지_20250618155452471.jpg</t>
  </si>
  <si>
    <t>2025-07-11 08:07:04</t>
  </si>
  <si>
    <t>INFU3C32100AWS</t>
  </si>
  <si>
    <t>대표이미지_20250618155849286.jpg</t>
  </si>
  <si>
    <t>2025-07-11 09:07:41</t>
  </si>
  <si>
    <t>Q4680174</t>
  </si>
  <si>
    <t>ELECTRONIC[RNS-2006/ORIENT ELECTRONICS],AC 1PHASE,250V,6A</t>
  </si>
  <si>
    <t>RNS-2006</t>
  </si>
  <si>
    <t>카탈로그_20250710155538966.pdf</t>
  </si>
  <si>
    <t>사진_20250710155747540.PNG</t>
  </si>
  <si>
    <t>2025-07-15 10:07:49</t>
  </si>
  <si>
    <t>Q4680186</t>
  </si>
  <si>
    <t>INORGANIC FIBERS,HYDRAULIC,[INE-U3-13-5/INFILS],5micron,INORGANIC FIBERS,OR EQUIVALENT</t>
  </si>
  <si>
    <t>INE-U3-13-5</t>
  </si>
  <si>
    <t>INF Catalog _20250714082551290.pdf</t>
  </si>
  <si>
    <t>element 대표이미지_20250714082551359.jpg</t>
  </si>
  <si>
    <t>2025-07-15 11:07:46</t>
  </si>
  <si>
    <t>Q4680348</t>
  </si>
  <si>
    <t>FILTER PLATE,[MAKER DWG NO:TSE-VPF-2.5-11A-22.2-00(I/N:1,2,3,4,5,6,7,8,9,10,11,12,13,14,1-1)/TSE],2923WX1385H,STS304,SBR,MAKER DWG NO:TSE-VPF-2.5-11A-22.2-00(I/N:1,2,3,4,5,6,7,8,9,10,11,12,13,14,1-1)</t>
  </si>
  <si>
    <t>MAKER DWG NO:TSE-VPF-2.5-11A-22.2-00(I/N:1,2,3,4,5,6,7,8,9,10,11,12,13,14,1-1)</t>
  </si>
  <si>
    <t>PFM-FILTER PLATE (3)_20250714105326978.pdf</t>
  </si>
  <si>
    <t>http://www.tsev.co.kr/</t>
  </si>
  <si>
    <t>65_20250715164508060.jpg</t>
  </si>
  <si>
    <t>2025-07-16 10:07:08</t>
  </si>
  <si>
    <t xml:space="preserve">유사 item 검색하였으나, 사양 다름 확인하였으며 동일 도면번호(파트번호) 중복 없음 확인후 승인합니다._x000D_
</t>
  </si>
  <si>
    <t>Q4680352</t>
  </si>
  <si>
    <t>FILTER PLATE,[MAKER DWG NO:TSE-VPF-2.5-11A-22.2-00(I/N:1,2,3,4,5,6,7,8,9,10,11,12,13,14,1-2)/TSE],2923WX1385H,STS304,SBR</t>
  </si>
  <si>
    <t>MAKER DWG NO:TSE-VPF-2.5-11A-22.2-00(I/N:1,2,3,4,5,6,7,8,9,10,11,12,13,14,1-2)</t>
  </si>
  <si>
    <t>PFM-FILTER PLATE (3)_20250714105449259.pdf</t>
  </si>
  <si>
    <t>65_20250715164729308.jpg</t>
  </si>
  <si>
    <t>2025-07-16 10:07:25</t>
  </si>
  <si>
    <t>Q4680353</t>
  </si>
  <si>
    <t>FILTER PLATE,[MAKER DWG NO:TSE-VPF-2.5-11A-22.2-00(I/N:1,2,3,4,5,6,7,8,9,10,11,12,13,14,1-3)/TSE],2923WX1385H,STS304,SBR</t>
  </si>
  <si>
    <t>MAKER DWG NO:TSE-VPF-2.5-11A-22.2-00(I/N:1,2,3,4,5,6,7,8,9,10,11,12,13,14,1-3)</t>
  </si>
  <si>
    <t>PFM-FILTER PLATE (3)_20250714105201862.pdf</t>
  </si>
  <si>
    <t>65_20250715164826509.jpg</t>
  </si>
  <si>
    <t>2025-07-16 10:07:03</t>
  </si>
  <si>
    <t>Q4680438</t>
  </si>
  <si>
    <t>PP,[C602U16.S/BC TAECHANG INDUSTRIAL]_40Dx112Dx177L_25micron_CELLULOSE_3COKE OVEN HIGH PRESSURE WATER PUMP,OR EQUIVALENT</t>
  </si>
  <si>
    <t>C602U16.S</t>
  </si>
  <si>
    <t>BC TAECHANG INDUSTRIAL</t>
  </si>
  <si>
    <t>3COKE OVEN HIGH PRESSURE WATER PUMP</t>
  </si>
  <si>
    <t>http://bctc.co.kr/file/PlaticFilterHousing_Drawing.pdf</t>
  </si>
  <si>
    <t>이미지사진_20250710175410756.jpg</t>
  </si>
  <si>
    <t>868267@posco.co.kr</t>
  </si>
  <si>
    <t>2025-07-16 17:07:11</t>
  </si>
  <si>
    <t xml:space="preserve">** 추후 변경된 결재방법  참고하시기 바랍니다. 공지 #359(작성 항목 단축, 바뀐 항목 적용 필히 부탁드립니다.)_x000D_
_x000D_
기 설치된 물품의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부탁드립니다. 감사합니다._x000D_
_x000D_
_x000D_
_x000D_
</t>
  </si>
  <si>
    <t>Q4680506</t>
  </si>
  <si>
    <t>RETURN LINE FILTER,HYDRAULIC,[MF1802A16HBEP01/MP FILTRI],16micron,INORGANIC MICIROFIBER,FOR POWER HYDRAULIC CPL</t>
  </si>
  <si>
    <t>MF1802A16HBEP01</t>
  </si>
  <si>
    <t>FOR POWER HYDRAULIC CPL</t>
  </si>
  <si>
    <t>MF1802A16HBEP01_20250715180628578.pdf</t>
  </si>
  <si>
    <t>https://www.mpfiltri.com/download.html</t>
  </si>
  <si>
    <t>sss_20250715180720034.PNG</t>
  </si>
  <si>
    <t>NGUYỄN ĐÌNH PHÚC</t>
  </si>
  <si>
    <t>Me- Final</t>
  </si>
  <si>
    <t>nguyen.dinhphuc@posco.net</t>
  </si>
  <si>
    <t>2025-07-17 11:07:18</t>
  </si>
  <si>
    <t xml:space="preserve">I searched for similar items, but I approve it after checking that there is no similar/identical item._x000D_
(Regarding the reduction of certain specifications) Please request to review sketch, drawing through spot confirmation, general specification, and multiple conversion when receiving it in the future. Thank you._x000D_
기 설치된 물품의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부탁드립니다. 감사합니다._x000D_
</t>
  </si>
  <si>
    <t>Q4680594</t>
  </si>
  <si>
    <t>[WYNFTH50T2A/WOONYOUNG],AC 3PHASE,500V,50A,W9 XH57.2XD184</t>
  </si>
  <si>
    <t>WYNFTH50T2A</t>
  </si>
  <si>
    <t>W9 XH57.2XD184</t>
  </si>
  <si>
    <t>1988180643_aed7Q3P5_WYNFTH40T2A-NoiseFilter_240822_20250717111130765.pdf</t>
  </si>
  <si>
    <t>https://woonyoung.com/bbs/board.php?bo_table=specification&amp;wr_id=291&amp;refer=</t>
  </si>
  <si>
    <t>캡처_20250717111130873.PNG</t>
  </si>
  <si>
    <t>이서용</t>
  </si>
  <si>
    <t>qmp9914@poscofuturem.com</t>
  </si>
  <si>
    <t>2025-07-17 16:07:58</t>
  </si>
  <si>
    <t>Q4681090</t>
  </si>
  <si>
    <t>[SAF600H-10/SKF],20bar,AIR,FOR 2SMP 1RH BOTTOM BUBBLING LINE,OR EQUIVALENT</t>
  </si>
  <si>
    <t>SAF600H-10</t>
  </si>
  <si>
    <t>SKF</t>
  </si>
  <si>
    <t>FOR 2SMP 1RH BOTTOM BUBBLING LINE</t>
  </si>
  <si>
    <t>http://pneumatic.co.kr/portfolio-item/saf-h-filter/</t>
  </si>
  <si>
    <t>고압라인에어필터_20250722111451057.jpg</t>
  </si>
  <si>
    <t>2025-07-23 14:07:58</t>
  </si>
  <si>
    <t xml:space="preserve">기 설치된 물품의 호환성을 위해 특정 사양으로 등록건 확인,_x000D_
Q4466883등 유사item 검색하였으나, 유사/동일품 없음 확인후 승인합니다._x000D_
(특정 사양품감축 관련) 차후 입고시 스케치, 현물 확인을 통한 도면화, 일반 사양화, 복수화 전환 검토 요청 부탁드립니다. 감사합니다._x000D_
_x000D_
</t>
  </si>
  <si>
    <t>Q4681130</t>
  </si>
  <si>
    <t>WATER,[6.18 GR250 DN250/BOLLFILTER]_250Dx250Dx1760Lx620W_150micron_STS316,500 M3/HR_10bar_FOR K1,2ACL CHILLER CIRCULATION,OR EQUIVALENT</t>
  </si>
  <si>
    <t>6.18 GR250 DN250</t>
  </si>
  <si>
    <t>FOR K1,2ACL CHILLER CIRCULATION</t>
  </si>
  <si>
    <t>water filter 카탈로그_20250722142003618.png</t>
  </si>
  <si>
    <t>https://www.bollfilter.com/filters/detail/bollfilter-automatic-type-618-welded-backwashing-filter-self-cleaning-strainer-for-water</t>
  </si>
  <si>
    <t>water filter_20250727082008967.png</t>
  </si>
  <si>
    <t>박영수</t>
  </si>
  <si>
    <t>ys0910@posco.co.kr</t>
  </si>
  <si>
    <t>2025-07-30 17:07:10</t>
  </si>
  <si>
    <t xml:space="preserve">** 모델명을 정확하게 기재하지 않으셨을 수도 있다고 판다되어 우선 승인하지만, 구매시 CPR 하여야 할 수 있습니다. _x000D_
현재 첨부하신 자료로는 GR250을 찾을 수 없습니다. _x000D_
_x000D_
기 설치된 물품의 호환성을 위해 특정 사양으로 등록건 확인,유사item 검색하였으나, 유사/동일품 없음 확인후 승인합니다._x000D_
(특정 사양품감축 관련) 차후 입고시 스케치, 현물 확인을 통한 도면화, 일반 사양화, 복수화 전환 검토 요청 부탁드립니다. 감사합니다._x000D_
</t>
  </si>
  <si>
    <t>Q4681173</t>
  </si>
  <si>
    <t>[RFLD ON 661DN 3 B1/HYDAC]x166W_STEEL,25bar,HYDRAULIC FILTER_1CGL,SPM HIGH HYDRAULIC SYSTEM RECIRCULATION_1CGL HIGH HYDRAULIC SYSTEM RECIRCULATION</t>
  </si>
  <si>
    <t>RFLD ON 661DN 3 B1</t>
  </si>
  <si>
    <t xml:space="preserve">1CGL,SPM HIGH HYDRAULIC SYSTEM RECIRCULATION </t>
  </si>
  <si>
    <t xml:space="preserve">1CGL HIGH HYDRAULIC SYSTEM RECIRCULATION </t>
  </si>
  <si>
    <t>20251006081610_20251006221428052.pdf</t>
  </si>
  <si>
    <t>RFL Inline Filter Cast Version-7118-EN-V6_20250722051413291.pdf</t>
  </si>
  <si>
    <t>Screenshot 2025-07-21 141333_20251006220501022.png</t>
  </si>
  <si>
    <t>2025-10-15 07:10:18</t>
  </si>
  <si>
    <t xml:space="preserve">기 설치된 물품의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부탁드립니다. 감사합니다._x000D_
I searched for similar items, but I approve it after checking that there is no similar/identical item._x000D_
(Regarding the reduction of certain specifications) Please request to review sketch, drawing through spot confirmation, general specification, and multiple conversion when receiving it in the future. Thank you._x000D_
</t>
  </si>
  <si>
    <t>Q4681178</t>
  </si>
  <si>
    <t>INVERTER[TRDK3J1905-280-99/TOPRUN ELECTRIC],AC 3PHASE,690V,280A,COOLING: AIR NATURAL</t>
  </si>
  <si>
    <t>TRDK3J1905-280-99</t>
  </si>
  <si>
    <t>COOLING: AIR NATURAL</t>
  </si>
  <si>
    <t>dudt Filter Datasheet TRDK3J1905-280-99_20250722092130808.pdf</t>
  </si>
  <si>
    <t>toprun_20250722092130928.png</t>
  </si>
  <si>
    <t>EVAN PRAPANCA</t>
  </si>
  <si>
    <t>evan.prapanca@krakatauposco.co.id</t>
  </si>
  <si>
    <t>2025-07-24 10:07:58</t>
  </si>
  <si>
    <t>Q4681233</t>
  </si>
  <si>
    <t>CARBON STEEL,[6.18 GR200 DN200/BOLLFILTER]_200Dx1665Lx520W_STS316_10bar_FOR 4CGL WATER QUENCH WATER FILTER,OR EQUIVALENT</t>
  </si>
  <si>
    <t>6.18 GR200 DN200</t>
  </si>
  <si>
    <t>FOR 4CGL WATER QUENCH WATER FILTER</t>
  </si>
  <si>
    <t>6.18 dwg_20250716103835554.pdf</t>
  </si>
  <si>
    <t>6.18_20250716103807866.jpg</t>
  </si>
  <si>
    <t>김기범</t>
  </si>
  <si>
    <t>rlqjarn@posco.co.kr</t>
  </si>
  <si>
    <t>2025-07-24 13:07:14</t>
  </si>
  <si>
    <t>Q4681851</t>
  </si>
  <si>
    <t>POSCO-Argentina</t>
  </si>
  <si>
    <t>[MC002/CHUNG AH FILTER],ID38.7xOD70x261L,PP</t>
  </si>
  <si>
    <t>MC002</t>
  </si>
  <si>
    <t>CHUNG AH FILTER</t>
  </si>
  <si>
    <t>VP-CFLT-ME-06_Cartridge Filter Specification_Rev0_20250730015015276.pdf</t>
  </si>
  <si>
    <t>http://www.chungahfilter.com/en/index.php</t>
  </si>
  <si>
    <t>Filter element_20250730022611498.jpg</t>
  </si>
  <si>
    <t>Analia Ossola</t>
  </si>
  <si>
    <t>Sales</t>
  </si>
  <si>
    <t>aossola@posco.net</t>
  </si>
  <si>
    <t>2025-07-30 02:07:03</t>
  </si>
  <si>
    <t>Q4682042</t>
  </si>
  <si>
    <t>FILTER CART,LUBE OIL,[OLUSC2B60G3BF20010M/DES-CASE],672DX510WX1176L,8.4L/min,ADD ORDERING CODE FILE FOR MODEL NAME VERIFICATION,OR EQUIVALENT</t>
  </si>
  <si>
    <t>OLUSC2B60G3BF20010M</t>
  </si>
  <si>
    <t>ADD ORDERING CODE FILE FOR MODEL NAME VERIFICATION</t>
  </si>
  <si>
    <t>OC_OLUSC_Ordering Code_20250613105338418.pdf</t>
  </si>
  <si>
    <t>https://6f7cd45a-dc5a-4dd3-bf73-4e39f84b813c.filesusr.com/ugd/11f6c9_33682c81497d4295a3e17e69d4fc99ad.pdf</t>
  </si>
  <si>
    <t>CART 1_20250609132550382.png</t>
  </si>
  <si>
    <t>2025-07-31 10:07:57</t>
  </si>
  <si>
    <t>Q4682062</t>
  </si>
  <si>
    <t>INVERTER[ACS880-BLCL-15-7+C183+C188+V991/ABB],AC 3PHASE,OR EQUIVALENT</t>
  </si>
  <si>
    <t>ACS880-BLCL-15-7+C183+C188+V991</t>
  </si>
  <si>
    <t>3AXD50000621194_20250625083840963.pdf</t>
  </si>
  <si>
    <t>https://new.abb.com/products/3AXD50000621194/3axd50000621194</t>
  </si>
  <si>
    <t>_084531567_20250625084701640.png</t>
  </si>
  <si>
    <t>2025-07-31 11:07:44</t>
  </si>
  <si>
    <t>Q4682623</t>
  </si>
  <si>
    <t>INVERTER[TRDK3J1905-130-85/TOPRUN ELECTRIC],AC 3PHASE,690V,130A,COOLING: AIR NATURAL</t>
  </si>
  <si>
    <t>TRDK3J1905-130-85</t>
  </si>
  <si>
    <t>dudt Filter Datasheet TRDK3J1905-130-85_20250728155920193.pdf</t>
  </si>
  <si>
    <t>toprun_20250728155920307.png</t>
  </si>
  <si>
    <t>2025-08-06 08:08:01</t>
  </si>
  <si>
    <t>Q4682624</t>
  </si>
  <si>
    <t>INVERTER[TRDK3J1905-1200-99/TOPRUN ELECTRIC],AC 3PHASE,690V,1200A</t>
  </si>
  <si>
    <t>TRDK3J1905-1200-99</t>
  </si>
  <si>
    <t>dudt Filter Datasheet TRDK3J1905-1200-99_20250728160314344.pdf</t>
  </si>
  <si>
    <t>toprun_20250724172058321.png</t>
  </si>
  <si>
    <t>2025-08-06 08:08:49</t>
  </si>
  <si>
    <t>Q4682625</t>
  </si>
  <si>
    <t>INVERTER[TRDK3J1905-420-99/TOPRUN ELECTRIC],AC 3PHASE,690V,420A,COOLING: AIR NATURAL</t>
  </si>
  <si>
    <t>TRDK3J1905-420-99</t>
  </si>
  <si>
    <t>dudt Filter Datasheet TRDK3J1905-420-99_20250728160555721.pdf</t>
  </si>
  <si>
    <t>toprun_20250728160754308.png</t>
  </si>
  <si>
    <t>2025-08-06 08:08:38</t>
  </si>
  <si>
    <t>Q4682644</t>
  </si>
  <si>
    <t>FILTER CLOTH,[JK-P2/JINKWANG]x3950Lx800W,300mesh_P.P/SUS,FOR BLEED OFF</t>
  </si>
  <si>
    <t>JK-P2</t>
  </si>
  <si>
    <t>JINKWANG</t>
  </si>
  <si>
    <t>FOR BLEED OFF</t>
  </si>
  <si>
    <t>원심분리기 성적서_20250801080239659.pdf</t>
  </si>
  <si>
    <t>캡처_20250801080239766.PNG</t>
  </si>
  <si>
    <t>캡처_20250801080239791.PNG</t>
  </si>
  <si>
    <t>2025-08-06 09:08:38</t>
  </si>
  <si>
    <t>Q4682718</t>
  </si>
  <si>
    <t>[GF 2250K/JEMACO]x800Wx650L,SUS304,SUS304,FOR 3PL AIR COMPRESSOR AIR DRYER,OR EQUIVALENT</t>
  </si>
  <si>
    <t>GF 2250K</t>
  </si>
  <si>
    <t>FOR 3PL AIR COMPRESSOR AIR DRYER</t>
  </si>
  <si>
    <t>http://swpecm.posco.net:7091/ECM/swp_interface.jsp?ACTID=viewlink&amp;OBJECTID=30393030626634626162373662616666&amp;DOCID=646f6330393030626634626162373662616666&amp;SYSID=45434d</t>
  </si>
  <si>
    <t>DRYER필터하우징200A_20250721161417735.jpg</t>
  </si>
  <si>
    <t>강정중</t>
  </si>
  <si>
    <t>smartkjj@posco.co.kr</t>
  </si>
  <si>
    <t>2025-08-06 14:08:44</t>
  </si>
  <si>
    <t>Q4682900</t>
  </si>
  <si>
    <t>PROBE FILTER,GAS,[STF-003/INCS]xOD40x110Lx1.7T,2micron,STS316,FOR GMS810 ANALYZER,OR EQUIVALENT</t>
  </si>
  <si>
    <t>STF-003</t>
  </si>
  <si>
    <t>FOR GMS810 ANALYZER</t>
  </si>
  <si>
    <t>http://www.e-incs.co.kr/?c=11/91/92&amp;uid=166</t>
  </si>
  <si>
    <t>GMS-810 2차 필터 사진_20250729172722325.jpg</t>
  </si>
  <si>
    <t>2025-08-07 14:08:02</t>
  </si>
  <si>
    <t>Q4683145</t>
  </si>
  <si>
    <t>INVERTER[TRDK3J1914-1500-99/TOPRUN ELECTRIC],AC 3PHASE,690V,1500A</t>
  </si>
  <si>
    <t>TRDK3J1914-1500-99</t>
  </si>
  <si>
    <t>dudt Filter Datasheet TRDK3J1914-1500-99_20250806155354265.pdf</t>
  </si>
  <si>
    <t>toprun_20250806155354401.png</t>
  </si>
  <si>
    <t>2025-08-11 11:08:41</t>
  </si>
  <si>
    <t>Q4683149</t>
  </si>
  <si>
    <t>INVERTER[ITMSF480-008S3/INTECH-FA],AC 3PHASE,AC 440V,8A</t>
  </si>
  <si>
    <t>ITMSF480-008S3</t>
  </si>
  <si>
    <t>ITMSF_20250808095722989.pdf</t>
  </si>
  <si>
    <t>http://www.intech-fa.co.kr/kr/business/motor.php</t>
  </si>
  <si>
    <t>FILTER_20250808095757669.png</t>
  </si>
  <si>
    <t>이호문</t>
  </si>
  <si>
    <t>lhmzzzz@snnc.co.kr</t>
  </si>
  <si>
    <t>2025-08-11 11:08:47</t>
  </si>
  <si>
    <t>Q4683166</t>
  </si>
  <si>
    <t>AIR,[CARTRIDGE FILTER/WOONGBI MACHINERY CO.]_ID150xOD180x214Lx180W,3.6micron_NOMAX,FOR R&amp;D</t>
  </si>
  <si>
    <t>CARTRIDGE FILTER</t>
  </si>
  <si>
    <t>WOONGBI MACHINERY CO.</t>
  </si>
  <si>
    <t>카트리지필터 사양_20250811112550416.JPG</t>
  </si>
  <si>
    <t>카트리지필터 이미지_20250811112205263.JPG</t>
  </si>
  <si>
    <t>2025-08-11 13:08:46</t>
  </si>
  <si>
    <t>M-100</t>
  </si>
  <si>
    <t>THREE-R</t>
  </si>
  <si>
    <t>산업용 filter element_20250811092956579.png</t>
  </si>
  <si>
    <t>m-100_20250811092956629.gif</t>
  </si>
  <si>
    <t>(광양)EIC기술부 전기기술섹션</t>
  </si>
  <si>
    <t>jongholee@posco.co.kr</t>
  </si>
  <si>
    <t>안세명</t>
  </si>
  <si>
    <t>sman63@posco.co.kr</t>
  </si>
  <si>
    <t>2025-08-11 13:08:11</t>
  </si>
  <si>
    <t>Q4683527</t>
  </si>
  <si>
    <t>FILTER,[HS-BGPCS-01/HANA-SOLUTION]+ELECTRIC PANEL INCLUDE,110-220V,GAS,OR EQUIVALENT</t>
  </si>
  <si>
    <t>HS-BGPCS-01</t>
  </si>
  <si>
    <t>HANA-SOLUTION</t>
  </si>
  <si>
    <t>ELECTRIC PANEL INCLUDE</t>
  </si>
  <si>
    <t>http://www.hana-solution.com/bbs/board.php?bo_table=m233&amp;wr_id=32</t>
  </si>
  <si>
    <t>HS-BGPCS-01_20250813110124594.png</t>
  </si>
  <si>
    <t>조재영</t>
  </si>
  <si>
    <t>chojae@posco.co.kr</t>
  </si>
  <si>
    <t>손현하</t>
  </si>
  <si>
    <t>sonhh562@posco.co.kr</t>
  </si>
  <si>
    <t>2025-08-13 14:08:20</t>
  </si>
  <si>
    <t>1. http://www.hana-solution.com/의 사업자번호 활용 제조사임을 확인_x000D_
2. *HS*&amp;*BGPCS*&amp;*01*&amp;*HANA*&amp;*SOLUTION* 유사사양 확인 후 승인_x000D_
3. 차후 입고시 현물 확인을 통한 일반 사양화,복수화 전환 검토 요청 드립니다.</t>
  </si>
  <si>
    <t>Q4683547</t>
  </si>
  <si>
    <t>[HUEVEN C3_HEPA FILTER/HIMPEL]x154Wx265Lx20T,AIR,OR EQUIVALENT</t>
  </si>
  <si>
    <t>HUEVEN C3_HEPA FILTER</t>
  </si>
  <si>
    <t>휴벤C3필터 상세이미지_20250813132058231.png</t>
  </si>
  <si>
    <t>https://www.himpelmall.com/mall/product/product_view.php?ps_ctid=08010000&amp;ps_goid=962</t>
  </si>
  <si>
    <t>헤파필터이미지2_20250813132058276.png</t>
  </si>
  <si>
    <t>2025-08-13 16:08:24</t>
  </si>
  <si>
    <t>Q4683548</t>
  </si>
  <si>
    <t>[HUEVEN C3_PRE FILTER/HIMPEL]x157Wx270Lx5T,AIR,OR EQUIVALENT</t>
  </si>
  <si>
    <t>HUEVEN C3_PRE FILTER</t>
  </si>
  <si>
    <t>휴벤C3필터 상세이미지_20250813131940354.png</t>
  </si>
  <si>
    <t>프리필터이미지_20250921155443936.png</t>
  </si>
  <si>
    <t>2025-09-30 10:09:07</t>
  </si>
  <si>
    <t>Q4683697</t>
  </si>
  <si>
    <t>GAS SAMPLING PROBE FILTER,GAS,[DW-SP2FS/DXG]xOD40x110Lx7T,2micron,SUS316,CONNECTION:M18,FOR DSM-XG ANALYZER,OR EQUIVALENT</t>
  </si>
  <si>
    <t>DW-SP2FS</t>
  </si>
  <si>
    <t>DXG</t>
  </si>
  <si>
    <t>CONNECTION:M18</t>
  </si>
  <si>
    <t>FOR DSM-XG ANALYZER</t>
  </si>
  <si>
    <t>DXG-Spare-parts-list_DSM-XG_20250813162320941.pdf</t>
  </si>
  <si>
    <t>DXG DSM-XG Probe filter 사진_20250813163215153.jpg</t>
  </si>
  <si>
    <t>2025-08-18 07:08:12</t>
  </si>
  <si>
    <t>Q4683698</t>
  </si>
  <si>
    <t>PRECURSOR,[JK-P9-2/JIN GWANG FILTER ENG.]x1605Lx1560Wx1.1T,0.1micron_POLYPROPYLENE,FOR R&amp;D</t>
  </si>
  <si>
    <t>JK-P9-2</t>
  </si>
  <si>
    <t>JIN GWANG FILTER ENG.</t>
  </si>
  <si>
    <t>필터 사양_20250814111602831.JPG</t>
  </si>
  <si>
    <t>필터 사진_20250814111813933.JPG</t>
  </si>
  <si>
    <t>2025-08-18 07:08:25</t>
  </si>
  <si>
    <t>Q4683779</t>
  </si>
  <si>
    <t>INVERTER[BLCL-24-5(P/N:3AXD50000621293)/ABB]+C183+C188+G427+V991,AC 3PHASE,AC380V~500VV,1332A,OR EQUIVALENT</t>
  </si>
  <si>
    <t>BLCL-24-5(P/N:3AXD50000621293)</t>
  </si>
  <si>
    <t>C183+C188+G427+V991</t>
  </si>
  <si>
    <t>ABB Line Filter Catalog_20250818082001087.jpg</t>
  </si>
  <si>
    <t>https://new.abb.com/products/3AXD50000621293/3axd50000621293</t>
  </si>
  <si>
    <t>1 용강 Inverter Line Filter_20250818081712416.jpg</t>
  </si>
  <si>
    <t>강현기</t>
  </si>
  <si>
    <t>ilovepp@posco.co.kr</t>
  </si>
  <si>
    <t>2025-08-18 13:08:41</t>
  </si>
  <si>
    <t>Q4684294</t>
  </si>
  <si>
    <t>WATER,[HC-F150M/HANCHANG]_4Dx6Dx73.7L_150mesh_SUS316L_FOR WATER QUALITY TMS ANALYZER(TN, TP, TOC)</t>
  </si>
  <si>
    <t>HC-F150M</t>
  </si>
  <si>
    <t>HANCHANG</t>
  </si>
  <si>
    <t>FOR WATER QUALITY TMS ANALYZER(TN, TP, TOC)</t>
  </si>
  <si>
    <t>TOC 시료 전처리 필터_20250821084855917.pdf</t>
  </si>
  <si>
    <t>http://www.hme93.com/</t>
  </si>
  <si>
    <t>HC-F150M_20250821090603298.JPG</t>
  </si>
  <si>
    <t>안전환경그룹</t>
  </si>
  <si>
    <t>2025-08-21 10:08:52</t>
  </si>
  <si>
    <t>Q4684508</t>
  </si>
  <si>
    <t>[2UBA005949R0004/ABB]x521Wx488Lx47T,PAPER,AIR FILTER,FOR 2PL DRIVE PANEL FILTER,OR EQUIVALENT</t>
  </si>
  <si>
    <t>2UBA005949R0004</t>
  </si>
  <si>
    <t>FOR 2PL DRIVE PANEL FILTER</t>
  </si>
  <si>
    <t>https://new.abb.com/products/2UBA005949R0004/2uba005949r0004</t>
  </si>
  <si>
    <t>ABB ACS580MV Air Filter_20250814134603250.jpg</t>
  </si>
  <si>
    <t>정인엽</t>
  </si>
  <si>
    <t>infinite@posco.co.kr</t>
  </si>
  <si>
    <t>2025-08-22 14:08:32</t>
  </si>
  <si>
    <t>Q4684509</t>
  </si>
  <si>
    <t>[64640445/ABB]x521Wx388Lx47T,PAPER,AIR FILTER,FOR 2PL DRIVE PANEL FILTER,OR EQUIVALENT</t>
  </si>
  <si>
    <t>64640445</t>
  </si>
  <si>
    <t>https://new.abb.com/products/64640445/64640445</t>
  </si>
  <si>
    <t>ABB ACS580MV Air Filter_20250813140204108.jpg</t>
  </si>
  <si>
    <t>2025-08-22 14:08:23</t>
  </si>
  <si>
    <t>Q4684510</t>
  </si>
  <si>
    <t>[2UBA005949R0009/ABB]x292Wx488Lx47T,PAPER,AIR FILTER,FOR 2PL DRIVE PANEL FILTER,OR EQUIVALENT</t>
  </si>
  <si>
    <t>2UBA005949R0009</t>
  </si>
  <si>
    <t>https://new.abb.com/products/2UBA005949R0009/2uba005949r0009</t>
  </si>
  <si>
    <t>ABB ACS580MV Air Filter_20250813135410423.jpg</t>
  </si>
  <si>
    <t>2025-08-22 14:08:04</t>
  </si>
  <si>
    <t>Q4684591</t>
  </si>
  <si>
    <t>Tool(Asset)</t>
  </si>
  <si>
    <t>OIL PURIFIER,2000Lx1200Wx1700H,[PD-2000-5/WOOSUNG VACUUM TECHNOLOGY],2000L/h,INSULATION OIL,304SS/316SS/ETC, PATENT:10-1079223,OR EQUIVALENT</t>
  </si>
  <si>
    <t>PD-2000-5</t>
  </si>
  <si>
    <t>WOOSUNG VACUUM TECHNOLOGY</t>
  </si>
  <si>
    <t>304SS/316SS/ETC, PATENT:10-1079223</t>
  </si>
  <si>
    <t>PD-2,000-5 사양서_20250813085107095.pdf</t>
  </si>
  <si>
    <t>http://www.vacuumtech.co.kr/page/page38</t>
  </si>
  <si>
    <t>PD-2,000-5_20250812093658112.jpg</t>
  </si>
  <si>
    <t>김경태</t>
  </si>
  <si>
    <t>(포항)EIC기술부 전기기술섹션</t>
  </si>
  <si>
    <t>ktkim1@posco.co.kr</t>
  </si>
  <si>
    <t>이슬기</t>
  </si>
  <si>
    <t>lsk6660@posco.co.kr</t>
  </si>
  <si>
    <t>2025-08-25 09:08:14</t>
  </si>
  <si>
    <t xml:space="preserve">1. MRO e-Caltalog시스템 경유건으로 대체 Maker 미 발굴 건_x000D_
2. *PD*&amp;*2000*&amp;*5*&amp;*WOOSUNG* 유사사양 확인 후 승인_x000D_
3. 차후 입고시 현물 확인을 통한 일반사양화,복수화 검토 요청드립니다. </t>
  </si>
  <si>
    <t>Q4684623</t>
  </si>
  <si>
    <t>FILTER,230Lx285Wx275H,[CAFU-A08/CHEONGWOO C&amp;T],220V,NMP,ELECTROLYTE,FOR R&amp;D</t>
  </si>
  <si>
    <t>CAFU-A08</t>
  </si>
  <si>
    <t>CAFU-A08_20250825081721946.pdf</t>
  </si>
  <si>
    <t>CAFU-A08 이미지_20250825081722141.JPG</t>
  </si>
  <si>
    <t>2025-08-25 11:08:06</t>
  </si>
  <si>
    <t xml:space="preserve">1. 첨부된 사업자등록증 활용 제조사임을 확인_x000D_
2. *CAFU*&amp;*A08*&amp;*CHEONGWOO* 유사사양 확인 후 승인_x000D_
3. 차후 입고시 현물 확인을 통한 일반사양화,복수화 검토 요청드립니다. </t>
  </si>
  <si>
    <t>Q4684625</t>
  </si>
  <si>
    <t>FILTER,215Lx275Wx310H,[CAFU-A10/CHEONGWOO C&amp;T],220V,NMP,ELECTROLYTE,FOR R&amp;D</t>
  </si>
  <si>
    <t>CAFU-A10</t>
  </si>
  <si>
    <t>CAFU-A10_사양서__20250825081803192.pdf</t>
  </si>
  <si>
    <t>CAFU-A10 이미지_20250825081803398.JPG</t>
  </si>
  <si>
    <t>2025-08-25 11:08:18</t>
  </si>
  <si>
    <t xml:space="preserve">1. 첨부된 사업자등록증 활용 제조사임을 확인_x000D_
2. *CAFU*&amp;*A10*&amp;*CHEONGWOO* 유사사양 확인 후 승인_x000D_
3. 차후 입고시 현물 확인을 통한 일반사양화,복수화 검토 요청드립니다. </t>
  </si>
  <si>
    <t>Q4684861</t>
  </si>
  <si>
    <t>ELECTRONIC[WYFS20T1B/WOONYOUNG],AC 1PHASE,AC 250V,20A,OPERATION TEMP:-25 TO 100 CELSIUS/WEIGHT:0.3KG</t>
  </si>
  <si>
    <t>WYFS20T1B</t>
  </si>
  <si>
    <t xml:space="preserve">OPERATION TEMP:-25 TO 100 CELSIUS/WEIGHT:0.3KG </t>
  </si>
  <si>
    <t>WYFS20T1B Catalog_20250825084908154.pdf</t>
  </si>
  <si>
    <t>https://www.woonyoung.com/page/s0201_view.php?idx=136&amp;ocatecode=1337920582&amp;gcatecode=1338275836&amp;gnsub=+250V&amp;ogcname=%EB%85%B8%EC%9D%B4%EC%A6%88+%ED%95%84%ED%84%B0</t>
  </si>
  <si>
    <t>WYFS20T1B_20251110141936732.png</t>
  </si>
  <si>
    <t>최준호</t>
  </si>
  <si>
    <t>광양터미널부</t>
  </si>
  <si>
    <t>jun3625@poscointl.com</t>
  </si>
  <si>
    <t>2025-11-10 16:11:54</t>
  </si>
  <si>
    <t>Q4684937</t>
  </si>
  <si>
    <t>AIR FILTER,[GDFE-31PS-650/GENEQ]x83Wx650L,1micron,MICRO FIBER GLASS,MAKER DWG NO:GDFE-31PS-650, PLASTIC CAP, STS304 SCREEN</t>
  </si>
  <si>
    <t>GDFE-31PS-650</t>
  </si>
  <si>
    <t>MAKER DWG NO:GDFE-31PS-650, PLASTIC CAP, STS304 SCREEN</t>
  </si>
  <si>
    <t>광양 양극재 2공장 4층 옥외 11라인 젯밀 전용 CFA Filter Element 1미크론 필터(1)_20250826084312474.JPG</t>
  </si>
  <si>
    <t>제넥 GDFE-31PS-650_20250826084312615.JPG</t>
  </si>
  <si>
    <t>2025-08-27 10:08:22</t>
  </si>
  <si>
    <t>Q4685471</t>
  </si>
  <si>
    <t>FILTER HOUSING,DUST,[MAKER DWG NO:ASSY-105-024/CL TECHNOLOGY],80.5IDX89.1ODX195.5L</t>
  </si>
  <si>
    <t>MAKER DWG NO:ASSY-105-024</t>
  </si>
  <si>
    <t>CL TECHNOLOGY</t>
  </si>
  <si>
    <t>024 Filter Housing_20250829092901217.pdf</t>
  </si>
  <si>
    <t>https://www.nicebizinfo.com/ep/EP0100M002GE.nice?kiscode=JI2573&amp;siteid=NAVER</t>
  </si>
  <si>
    <t>024 Filter Housing_20250829093125669.png</t>
  </si>
  <si>
    <t>김수한</t>
  </si>
  <si>
    <t>kshsh25@poscofuturem.com</t>
  </si>
  <si>
    <t>2025-09-02 09:09:55</t>
  </si>
  <si>
    <t>Q4685524</t>
  </si>
  <si>
    <t>DUST,AIR,[DWG NO:ASSY-105-023/CL TECHNOLOGY],ID68xOD110x242L,1micron,SUS316</t>
  </si>
  <si>
    <t>DWG NO:ASSY-105-023</t>
  </si>
  <si>
    <t>023 Micro Filter_20250901082856996.pdf</t>
  </si>
  <si>
    <t>023 Micro Filter_20250915130720963.png</t>
  </si>
  <si>
    <t>2025-09-16 13:09:15</t>
  </si>
  <si>
    <t xml:space="preserve">기 설치된 물품의 호환성을 위해 특정 사양으로 등록건 확인,_x000D_
유사item 검색하였으나, 유사/동일품 없음 확인후 승인합니다._x000D_
(특정 사양품감축 관련) 차후 입고시 스케치, 현물 확인을 통한 도면화, 일반 사양화, 복수화 전환 검토 요청 부탁드립니다. 감사합니다._x000D_
_x000D_
_x000D_
</t>
  </si>
  <si>
    <t>Q4685910</t>
  </si>
  <si>
    <t>HYD,HYDRAULIC,[PMH-FC02-010/POWERMOTION TECHNOLGY],OR EQUIVALENT</t>
  </si>
  <si>
    <t>PMH-FC02-010</t>
  </si>
  <si>
    <t>POWERMOTION TECHNOLGY</t>
  </si>
  <si>
    <t>PMH-FC SERIES [FILTER CARTRIDGE]_REV-01_20250903071931973.pdf</t>
  </si>
  <si>
    <t>https://ipowermotion.com/sub/sub02_03.php</t>
  </si>
  <si>
    <t>필터_20250903071932043.jpg</t>
  </si>
  <si>
    <t>배동욱</t>
  </si>
  <si>
    <t>(포항)설비기술부 기계기술섹션</t>
  </si>
  <si>
    <t>servo1@posco.co.kr</t>
  </si>
  <si>
    <t>이성원</t>
  </si>
  <si>
    <t>sw1892@posco.co.kr</t>
  </si>
  <si>
    <t>2025-09-04 15:09:09</t>
  </si>
  <si>
    <t>Q4685998</t>
  </si>
  <si>
    <t>[SAP-F-40/SHC],ID125x330L,AIR,OR EQUIVALENT</t>
  </si>
  <si>
    <t>SAP-F-40</t>
  </si>
  <si>
    <t>http://www.se-jin.co.kr/P-BREATHER%20FILTER/P-AIR%20BREATHER%20FILTER-SAP.htm</t>
  </si>
  <si>
    <t>[SHC] Air Breather (SAP)_20250903211618681.jpg</t>
  </si>
  <si>
    <t>2025-09-05 09:09:42</t>
  </si>
  <si>
    <t xml:space="preserve">기 설치된 물품의 호환성을 위해 특정 사양으로 등록건 확인, _x000D_
Q4387096등 유사item 검색하였으나, 유사/동일품 없음 확인후 승인합니다._x000D_
(특정 사양품감축 관련) 차후 입고시 스케치, 현물 확인을 통한 도면화, 일반 사양화, 복수화 전환 검토 요청 부탁드립니다. 감사합니다._x000D_
_x000D_
</t>
  </si>
  <si>
    <t>Q4686105</t>
  </si>
  <si>
    <t>WATER,[U30/PENTAIR]_25.4Dx63.5Dx39.37Lx11.43W_CARBON-WRAPPED POLYPROPYLENE,15,000_25-120psi_FLOWRATE 5 GPM.</t>
  </si>
  <si>
    <t>U30</t>
  </si>
  <si>
    <t>FLOWRATE 5 GPM.</t>
  </si>
  <si>
    <t>https://www.pentair.com/en-us/water-softening-filtration/whole-house/products/u30-filtration-system.html?form=MG0AV3</t>
  </si>
  <si>
    <t>OMNIFILTER U30 Filtration System_20250904130742715.png</t>
  </si>
  <si>
    <t>Theerapat Fongnoi(Keng)</t>
  </si>
  <si>
    <t>theerapat.fo@poscotcs.com</t>
  </si>
  <si>
    <t>2025-09-08 08:09:56</t>
  </si>
  <si>
    <t xml:space="preserve">기 설치된 물품의 호환성을 위해 특정 사양으로 등록건 확인, _x000D_
유사item 검색하였으나, 유사/동일품 없음 확인후 승인합니다._x000D_
(특정 사양품감축 관련) 차후 입고시 스케치, 현물 확인을 통한 도면화, 일반 사양화, 복수화 전환 검토 요청 부탁드립니다. 감사합니다._x000D_
I searched for similar items, but I approve it after checking that there is no similar/identical item._x000D_
(Regarding the reduction of certain specifications) Please request to review sketch, drawing through spot confirmation, general specification, and multiple conversion when receiving it in the future. Thank you._x000D_
</t>
  </si>
  <si>
    <t>Q4686148</t>
  </si>
  <si>
    <t>EVAPORATOR,3254Lx515H,[MAKER DWG NO:REN306665(FOR SR-W150GC1)/CENTURY],0.8MPa,440V 60HZ,95.1m3/h,R-22,FOR STS2COLDMILL APF PICKLE SECTION CHILLER,OR EQUIVALENT</t>
  </si>
  <si>
    <t>MAKER DWG NO:REN306665(FOR SR-W150GC1)</t>
  </si>
  <si>
    <t>CENTURY</t>
  </si>
  <si>
    <t>FOR STS2COLDMILL APF PICKLE SECTION CHILLER</t>
  </si>
  <si>
    <t>REN306665_SR-W150GC1_EVAPORATOR ASSY_20250904162115411.pdf</t>
  </si>
  <si>
    <t>https://century.co.kr/</t>
  </si>
  <si>
    <t>SR-W150GC1_20250904164105119.jpg</t>
  </si>
  <si>
    <t>김도윤</t>
  </si>
  <si>
    <t>doyunkim@posco.co.kr</t>
  </si>
  <si>
    <t>2025-09-08 11:09:47</t>
  </si>
  <si>
    <t>1. https://century.co.kr/ 사업자번호 활용 제조사임을 확인_x000D_
2. *REN306665*&amp;*SR*&amp;*W150GC1*&amp;*CENTURY* 유사사양 확인 후 승인_x000D_
3. 차후 입고시 현물 확인을 통한 일반 사양화,복수화 전환 검토 요청 드립니다.</t>
  </si>
  <si>
    <t>W-FRS-08-10P-08T</t>
  </si>
  <si>
    <t>W-FRS-08-10P-08T_20250902163602610.pdf</t>
  </si>
  <si>
    <t>aps_20250908083856612.jpg</t>
  </si>
  <si>
    <t>김세민</t>
  </si>
  <si>
    <t>semin0529@posco.co.kr</t>
  </si>
  <si>
    <t>2025-09-09 14:09:02</t>
  </si>
  <si>
    <t>TPS-PFU-F100-60</t>
  </si>
  <si>
    <t>TPSYSTEM</t>
  </si>
  <si>
    <t>FOR K3C DELIVERY BENDING SYSTEM</t>
  </si>
  <si>
    <t>PFU_20250910131931998.jpg</t>
  </si>
  <si>
    <t>최우인</t>
  </si>
  <si>
    <t>choiwooin@posco.co.kr</t>
  </si>
  <si>
    <t>2025-09-11 11:09:46</t>
  </si>
  <si>
    <t>Q4686901</t>
  </si>
  <si>
    <t>NCM PRECURSOR,[PP450D/HWASHIN TECHNICAL TEXTILES]x1540Lx1605Wx0.85T,0.1CM^2/CM^3/SEC,0.1mesh_POLYPROPYLENE_TENSILE STRENGHT 2.54CM/KG,FOR R&amp;D</t>
  </si>
  <si>
    <t>PP450D</t>
  </si>
  <si>
    <t>HWASHIN TECHNICAL TEXTILES</t>
  </si>
  <si>
    <t>화신특수섬유휠타 수질정화용 여과포 제품 소개서_20250910155758182.pdf</t>
  </si>
  <si>
    <t>여과포_20250910160228768.PNG</t>
  </si>
  <si>
    <t>홍철의</t>
  </si>
  <si>
    <t>광양전구체공장</t>
  </si>
  <si>
    <t>hong4462@poscofuturem.com</t>
  </si>
  <si>
    <t>2025-09-15 08:09:49</t>
  </si>
  <si>
    <t>Q4687941</t>
  </si>
  <si>
    <t>AIR FILTER,[GDFE-31PS-750/GENEQ]+MAKER DWG NO:GDFE-31PS-750x72Lx750W_DRYER FILTER,25NM3/MIN, 1X10^-6(UM)</t>
  </si>
  <si>
    <t>GDFE-31PS-750</t>
  </si>
  <si>
    <t>MAKER DWG NO:GDFE-31PS-750</t>
  </si>
  <si>
    <t>DRYER FILTER,25NM3/MIN, 1X10^-6(UM)</t>
  </si>
  <si>
    <t>DRYER_20250922110948146.JPG</t>
  </si>
  <si>
    <t>DRYER_사진_20250922110948255.JPG</t>
  </si>
  <si>
    <t>2025-09-23 09:09:46</t>
  </si>
  <si>
    <t>Q4687945</t>
  </si>
  <si>
    <t>AIR FILTER,[GDFE-32PS-750/GENEQ]+MAKER DWG NO : GDFE-32PS-750x72Lx750W,5micron_DRYER FILTER,25NM3/MIN, 5X10^-6(UM)</t>
  </si>
  <si>
    <t>GDFE-32PS-750</t>
  </si>
  <si>
    <t>MAKER DWG NO : GDFE-32PS-750</t>
  </si>
  <si>
    <t>DRYER FILTER,25NM3/MIN, 5X10^-6(UM)</t>
  </si>
  <si>
    <t>DRYER_20250922111405654.JPG</t>
  </si>
  <si>
    <t>DRYER_사진_20250922111405759.JPG</t>
  </si>
  <si>
    <t>2025-09-23 10:09:27</t>
  </si>
  <si>
    <t>Q4687967</t>
  </si>
  <si>
    <t>VARIED FILTER,[BIFT-PRE98097020/BOOIL FILTER]x980Lx970Wx20T,#4CGL GRINDER DUST COLLECTOR FILTER,OR EQUIVALENT</t>
  </si>
  <si>
    <t>BIFT-PRE98097020</t>
  </si>
  <si>
    <t>BOOIL FILTER</t>
  </si>
  <si>
    <t>#4CGL GRINDER DUST COLLECTOR FILTER</t>
  </si>
  <si>
    <t>http://www.booilfilter.com/board/index.html?id=reference&amp;no=59</t>
  </si>
  <si>
    <t>20250915_4CGL 그라인더 집진기 필터_20250922145424655.png</t>
  </si>
  <si>
    <t>이기범</t>
  </si>
  <si>
    <t>kbum99@posco.co.kr</t>
  </si>
  <si>
    <t>2025-09-23 14:09:32</t>
  </si>
  <si>
    <t xml:space="preserve">* 결재문서는 따로 첨부하지 않으셔도 됩니다. 위 시스템 결재로 확인함._x000D_
기 설치된 물품의 호환성을 위해 특정 사양으로 등록건 확인, _x000D_
유사 item 검색하였으나, 유사/동일품 없음 확인후 승인합니다._x000D_
(특정 사양품감축 관련) 차후 입고시 스케치, 현물 확인을 통한 도면화, 일반 사양화, 복수화 전환 검토 요청 부탁드립니다. 감사합니다._x000D_
</t>
  </si>
  <si>
    <t>Q4688477</t>
  </si>
  <si>
    <t>포스코MC머티리얼즈</t>
  </si>
  <si>
    <t>QUINOLINE, TOLUENE,[GF-75/ADVANTEC],0.3micron_GLASS FIBER FILTER PAPER_THICKNESS : 0.35MM/DIAMETER : 25MM</t>
  </si>
  <si>
    <t>GF-75</t>
  </si>
  <si>
    <t>ADVANTEC</t>
  </si>
  <si>
    <t>THICKNESS : 0.35MM/DIAMETER : 25MM</t>
  </si>
  <si>
    <t>https://advantec.actibookone.com/content/detail?param=eyJjb250ZW50TnVtIjo2MTM2MzYsImNhdGVnb3J5TnVtIjo2MDM4MX0=&amp;pNo=36</t>
  </si>
  <si>
    <t>GF-75_20250926075151829.JPG</t>
  </si>
  <si>
    <t>최연승</t>
  </si>
  <si>
    <t>기술섹션</t>
  </si>
  <si>
    <t>cys9612@poscomcm.com</t>
  </si>
  <si>
    <t>최슬기</t>
  </si>
  <si>
    <t>asd22z@poscomcm.com</t>
  </si>
  <si>
    <t>2025-09-29 11:09:41</t>
  </si>
  <si>
    <t xml:space="preserve">https://labguide.co.kr/m/shop/detail.asp?m_code=Mc00703&amp;Cate1=1004 파일 열람이 안되어 열람되는 내용으로 모델 확인후 승인합니다. _x000D_
자료에 없는 값은 삭제후 9999로 대체 하였습니다. _x000D_
기 설치된 물품의 호환성을 위해 특정 사양으로 등록건 확인,유사 item 검색하였으나, 유사/동일품 없음 확인후 승인합니다._x000D_
(특정 사양품감축 관련) 차후 입고시 스케치, 현물 확인을 통한 도면화, 일반 사양화, 복수화 전환 검토 요청 부탁드립니다. 감사합니다._x000D_
</t>
  </si>
  <si>
    <t>Q4688512</t>
  </si>
  <si>
    <t>[AS3-FLS (P/N:R412007011)/AVENTICS]x206L,POLYAMIDE,16bar,POLYAMIDE, DIE CAST ZINC, RUBBER, POLYCARBONATE, POLYETHYLENE,PORT G 1/2, FULLY AUTOMATIC, CLOSED WITHOUT PRESSURE,FOR ZRM</t>
  </si>
  <si>
    <t>AS3-FLS (P/N:R412007011)</t>
  </si>
  <si>
    <t>PORT G 1/2, FULLY AUTOMATIC, CLOSED WITHOUT PRESSURE</t>
  </si>
  <si>
    <t>FOR ZRM</t>
  </si>
  <si>
    <t>R412007011_eng_GBR_20250926140008377.pdf</t>
  </si>
  <si>
    <t>https://www.emerson.com/en-us/catalog/aventics-sku-r412007011</t>
  </si>
  <si>
    <t>AVENTICS AS3-FLS R4127011_20250926140042498.png</t>
  </si>
  <si>
    <t>2025-09-29 11:09:30</t>
  </si>
  <si>
    <t xml:space="preserve">첨부하신 사양검증자료에서 길이 등의 값을 찾지 못하여 9999로 대체 입력하고 승인하겠습니다. _x000D_
기 설치된 물품의 호환성을 위해 특정 사양으로 등록건 확인,유사 item 검색하였으나, 유사/동일품 없음 확인후 승인합니다._x000D_
(특정 사양품감축 관련) 차후 입고시 스케치, 현물 확인을 통한 도면화, 일반 사양화, 복수화 전환 검토 요청 부탁드립니다. 감사합니다._x000D_
I searched for similar items, but I approve it after checking that there is no similar/identical item._x000D_
(Regarding the reduction of certain specifications) Please request to review sketch, drawing through spot confirmation, general specification, and multiple conversion when receiving it in the future. Thank you._x000D_
</t>
  </si>
  <si>
    <t>Q4688589</t>
  </si>
  <si>
    <t>[HRD1-50PLI_BC_HEPA FILTER/HIMPEL]x200Wx213Lx20T,AIR,OR EQUIVALENT</t>
  </si>
  <si>
    <t>HRD1-50PLI_BC_HEPA FILTER</t>
  </si>
  <si>
    <t>휴벤A홈페이지 사진_20250709091123405.png</t>
  </si>
  <si>
    <t>https://www.himpelmall.com/mall/product/product_view.php?ps_ctid=08010000&amp;ps_goid=890</t>
  </si>
  <si>
    <t>헤파필터이미지2_20250709091003063.png</t>
  </si>
  <si>
    <t>2025-09-29 16:09:37</t>
  </si>
  <si>
    <t>Q4688590</t>
  </si>
  <si>
    <t>[HRD1-50PLI_BC_PRE FILTER/HIMPEL]x200Wx215Lx5T,AIR,OR EQUIVALENT</t>
  </si>
  <si>
    <t>HRD1-50PLI_BC_PRE FILTER</t>
  </si>
  <si>
    <t>휴벤A 홈페이지사진2_20250709090632191.png</t>
  </si>
  <si>
    <t>프리필터이미지_20250709085952930.png</t>
  </si>
  <si>
    <t>2025-09-29 16:09:00</t>
  </si>
  <si>
    <t>Q4688593</t>
  </si>
  <si>
    <t>CASE FRAME,AIR,[HJC-FAF-0710/HANJIN MACHINE WORKS],760X304X1000,STS304,OR EQUIVALENT</t>
  </si>
  <si>
    <t>HJC-FAF-0710</t>
  </si>
  <si>
    <t>HANJIN MACHINE WORKS</t>
  </si>
  <si>
    <t>HJC-FAF-0710 Cataloge_20250911142123715.pdf</t>
  </si>
  <si>
    <t>http://www.hanjin21.net/index.php?cate=003010&amp;type=view&amp;num=309&amp;currentPage=1</t>
  </si>
  <si>
    <t>1_20250911142111931.png</t>
  </si>
  <si>
    <t>lsk54017@posco.co.kr</t>
  </si>
  <si>
    <t>2025-09-29 16:09:58</t>
  </si>
  <si>
    <t xml:space="preserve">기 설치된 물품의 호환성을 위해 특정 사양으로 등록건 확인,_x000D_
유사 item 검색하였으나, 유사/동일품 없음 확인후 승인합니다._x000D_
(특정 사양품감축 관련) 차후 입고시 스케치, 현물 확인을 통한 도면화, 일반 사양화, 복수화 전환 검토 요청 부탁드립니다. 감사합니다._x000D_
I searched for similar items, but I approve it after checking that there is no similar/identical item._x000D_
(Regarding the reduction of certain specifications) Please request to review sketch, drawing through spot confirmation, general specification, and multiple conversion when receiving it in the future. Thank you._x000D_
</t>
  </si>
  <si>
    <t>Q4688793</t>
  </si>
  <si>
    <t>TRANCEIVERS/MEDIA FILTERS,[4105HDW/EZ-NET],DC5V,HDMI WIRELESS REPEATER,OR EQUIVALENT</t>
  </si>
  <si>
    <t>4105HDW</t>
  </si>
  <si>
    <t>EZ-NET</t>
  </si>
  <si>
    <t>HDMI WIRELESS REPEATER</t>
  </si>
  <si>
    <t>https://ez-net.co.kr/sub/sub01_01_view.php?cat_no=&amp;idx=438&amp;brand=&amp;f1=&amp;f2=&amp;f3=&amp;f4=&amp;f5=&amp;f6=&amp;f7=&amp;f8=&amp;f9=&amp;f10=&amp;sk=4105HDW&amp;offset=</t>
  </si>
  <si>
    <t>4105HDW_20250930075615350.jpg</t>
  </si>
  <si>
    <t>조동규</t>
  </si>
  <si>
    <t>star0750@posco.co.kr</t>
  </si>
  <si>
    <t>2025-09-30 17:09:52</t>
  </si>
  <si>
    <t>Q4689006</t>
  </si>
  <si>
    <t>WATER,[RF3-42S-A9-E1E1-N5-1-0-3/KS300-4_JIS/HYDAC]_780Dx1130Dx2338L_300micron_STS_10bar_FOR 2PM S4  WATER FILTER,OR EQUIVALENT</t>
  </si>
  <si>
    <t>RF3-42S-A9-E1E1-N5-1-0-3/KS300-4_JIS</t>
  </si>
  <si>
    <t>FOR 2PM S4  WATER FILTER</t>
  </si>
  <si>
    <t>AUTO FILTER RF3_신형카탈로그_20251002073650951.pdf</t>
  </si>
  <si>
    <t>123_20251002073651053.png</t>
  </si>
  <si>
    <t>박순민</t>
  </si>
  <si>
    <t>tnsals@posco.co.kr</t>
  </si>
  <si>
    <t>이용태</t>
  </si>
  <si>
    <t>yongtwo@posco.co.kr</t>
  </si>
  <si>
    <t>2025-10-02 13:10:57</t>
  </si>
  <si>
    <t xml:space="preserve">첨부 내용의 8페이지 모델 코드 확인하였으며, _x000D_
기 설치된 물품의 호환성을 위해 특정 사양으로 등록건 확인, 유사 item 검색하였으나, 유사/동일품 없음 확인후 승인합니다._x000D_
(특정 사양품감축 관련) 차후 입고시 스케치, 현물 확인을 통한 도면화, 일반 사양화, 복수화 전환 검토 요청 부탁드립니다. 감사합니다._x000D_
</t>
  </si>
  <si>
    <t>Q4689007</t>
  </si>
  <si>
    <t>WATER,[RF3-33S-A9-E1E1-N5-1-0-3/KS300-3_JIS/HYDAC]_670Dx1020Dx2198L_300micron_STS_16bar_FOR 2PM S5  WATER FILTER,OR EQUIVALENT</t>
  </si>
  <si>
    <t>RF3-33S-A9-E1E1-N5-1-0-3/KS300-3_JIS</t>
  </si>
  <si>
    <t>FOR 2PM S5  WATER FILTER</t>
  </si>
  <si>
    <t>AUTO FILTER RF3_신형카탈로그_20251002073610994.pdf</t>
  </si>
  <si>
    <t>123_20251002073611091.png</t>
  </si>
  <si>
    <t>2025-10-02 13:10:18</t>
  </si>
  <si>
    <t>Q4689169</t>
  </si>
  <si>
    <t>[AC20-02-A/SMC]+SET FILTER, REGULATOR, LUBRICANT, PORT:1/4",AIR FILTER,FOR FRICTION WELDING PNEUMATIC SYSTEM</t>
  </si>
  <si>
    <t>AC20-02-A</t>
  </si>
  <si>
    <t>SET FILTER, REGULATOR, LUBRICANT, PORT:1/4"</t>
  </si>
  <si>
    <t>FOR FRICTION WELDING PNEUMATIC SYSTEM</t>
  </si>
  <si>
    <t>https://www.smcpneumatics.com/americansmc/FRL/AC_A.pdf</t>
  </si>
  <si>
    <t>frl_20251004103158486.PNG</t>
  </si>
  <si>
    <t>RAMADHIKA RIZKY PRATAMA</t>
  </si>
  <si>
    <t>Physical Testing Team</t>
  </si>
  <si>
    <t>ramadhika.rp@krakatauposco.co.id</t>
  </si>
  <si>
    <t>2025-10-13 09:10:07</t>
  </si>
  <si>
    <t>Q4689445</t>
  </si>
  <si>
    <t>LIQUID LINE FILTER,[DMH-053S/DRY ALL]x128L_CONNECTION 3/8" ODF,45BAR FOR CHILLER</t>
  </si>
  <si>
    <t>DMH-053S</t>
  </si>
  <si>
    <t>DRY ALL</t>
  </si>
  <si>
    <t>CONNECTION 3/8" ODF,45BAR FOR CHILLER</t>
  </si>
  <si>
    <t>DMH Filter_20251013121230792.pdf</t>
  </si>
  <si>
    <t>DMH-053S_20251013121855558.JPG</t>
  </si>
  <si>
    <t>Instrumentation &amp; Crane</t>
  </si>
  <si>
    <t>2025-10-14 11:10:28</t>
  </si>
  <si>
    <t>IMS-120PF-6000G &amp; IPP-700D-CLP</t>
  </si>
  <si>
    <t>ILHWAMAGNESIA</t>
  </si>
  <si>
    <t>IMS-120PF-6000G &amp; IPP-700D-CLP_20251021075048681.png</t>
  </si>
  <si>
    <t>일화마그네틱(세정유세척장치)_20251021075048713.png</t>
  </si>
  <si>
    <t>황은선</t>
  </si>
  <si>
    <t>kingdaebaq@posco.co.kr</t>
  </si>
  <si>
    <t>2025-10-21 07:10:53</t>
  </si>
  <si>
    <t>10.21 8시 황은선님 통화를 통해 URL &gt; 코일 세척액 정화장치 &gt; 해당 모델명 확인후 승인합니다.</t>
  </si>
  <si>
    <t>Q4690294</t>
  </si>
  <si>
    <t>[LPF 160 GE A1.2/HYDAC]_10micron_ALUMINUM,50bar,OIL_SIZE CONNECTION G 1 1/4_FOR PUMP STATION GRINDING MACHINE GEORG</t>
  </si>
  <si>
    <t>LPF 160 GE A1.2</t>
  </si>
  <si>
    <t>SIZE CONNECTION G 1 1/4</t>
  </si>
  <si>
    <t>FOR PUMP STATION GRINDING MACHINE GEORG</t>
  </si>
  <si>
    <t>LPF-HYDAC_20250910171648591.pdf</t>
  </si>
  <si>
    <t>https://www.hydac.com/shop/id-id/1298725</t>
  </si>
  <si>
    <t>Inline filter HYDAC_20250910173244422.JPG</t>
  </si>
  <si>
    <t>LPF_20250910173720831.jpg</t>
  </si>
  <si>
    <t>FARHAN NAUFAL ALBANTANY</t>
  </si>
  <si>
    <t>farhan.naufalalbantany@krakatauposco.co.id</t>
  </si>
  <si>
    <t>2025-10-21 16:10:00</t>
  </si>
  <si>
    <t>Q4690502</t>
  </si>
  <si>
    <t>포스코리튬솔루션</t>
  </si>
  <si>
    <t>[25A-AMG250C-02C+25A-AFF30-02C-D+25A-AM30-02C-D/SMC]x190.4Lx76T,PE/GLASS FIBER,AIR/GAS</t>
  </si>
  <si>
    <t>25A-AMG250C-02C+25A-AFF30-02C-D+25A-AM30-02C-D</t>
  </si>
  <si>
    <t>25A-AMG250C-02C + 25A-Y300T-D + 25A-AFF30-02C-D + 25A-Y300T-D + 25A-AM30-02C-D_20251016162049606.pdf</t>
  </si>
  <si>
    <t>https://www.smckorea.co.kr/ppis/data/catalog/25A-Air_Preparation_Filter.pdf</t>
  </si>
  <si>
    <t>AMG+AFF+AM_20251016161920339.jpg</t>
  </si>
  <si>
    <t>이미선</t>
  </si>
  <si>
    <t>품질관리섹션</t>
  </si>
  <si>
    <t>bella@posco-lithium.com</t>
  </si>
  <si>
    <t>배현성</t>
  </si>
  <si>
    <t>choonbaehs@posco-lithium.com</t>
  </si>
  <si>
    <t>2025-10-23 11:10:24</t>
  </si>
  <si>
    <t>Q4690712</t>
  </si>
  <si>
    <t>AIR FILTER,AIR,[MF23B/KLENZ]x192Wx108Lx50T</t>
  </si>
  <si>
    <t>MF23B</t>
  </si>
  <si>
    <t>KLENZ</t>
  </si>
  <si>
    <t>https://www.klenz.co.kr/shop/1711419579</t>
  </si>
  <si>
    <t>KNS시리즈 매직필터_MF23B_20251017101255105.PNG</t>
  </si>
  <si>
    <t>장혜선</t>
  </si>
  <si>
    <t>포항양극재품질섹션</t>
  </si>
  <si>
    <t>janghs0402@poscofuturem.com</t>
  </si>
  <si>
    <t>2025-10-27 13:10:37</t>
  </si>
  <si>
    <t>Q4690714</t>
  </si>
  <si>
    <t>AIR FILTER,AIR,[SF23C/KLENZ]x60Wx90Lx13T</t>
  </si>
  <si>
    <t>SF23C</t>
  </si>
  <si>
    <t>https://www.klenz.co.kr/shop/1708922249</t>
  </si>
  <si>
    <t>서브필터(공용)_SF23C_20251017101452361.PNG</t>
  </si>
  <si>
    <t>Q4690882</t>
  </si>
  <si>
    <t>AIR FILTER,[PG23B/KLENZ]x240Wx100Lx50T</t>
  </si>
  <si>
    <t>PG23B</t>
  </si>
  <si>
    <t>https://www.klenz.co.kr/shop/1713146817</t>
  </si>
  <si>
    <t>KNS시리즈 플라즈마 발생기_PG23B_20251017095435370.PNG</t>
  </si>
  <si>
    <t>2025-10-28 09:10:25</t>
  </si>
  <si>
    <t>Q4691032</t>
  </si>
  <si>
    <t>[H00834004/PARKER]xOD97x147L,AIR,SPIN ON BREATHER, 1700L/MIN,FOR ROLL GRINDER MACHINE - ROLL SHOP</t>
  </si>
  <si>
    <t>H00834004</t>
  </si>
  <si>
    <t>SPIN ON BREATHER, 1700L/MIN</t>
  </si>
  <si>
    <t>FOR ROLL GRINDER MACHINE - ROLL SHOP</t>
  </si>
  <si>
    <t>FDHB725UK---Hydraulic_Filtration_Solutions (1)_20251027100918520.pdf</t>
  </si>
  <si>
    <t>H00834004_20251027101904178.jpg</t>
  </si>
  <si>
    <t>SIKIN</t>
  </si>
  <si>
    <t>Rolling Operation Management Team</t>
  </si>
  <si>
    <t>sikin@krakatauposco.co.id</t>
  </si>
  <si>
    <t>MUHRIJI</t>
  </si>
  <si>
    <t>Plate Rolling Plant</t>
  </si>
  <si>
    <t>muhriji1@krakatauposco.co.id</t>
  </si>
  <si>
    <t>2025-10-29 09:10:35</t>
  </si>
  <si>
    <t xml:space="preserve">기 설치된 물품의 호환성을 위해 특정 사양으로 등록건 확인,_x000D_
Q2040716등 유사 item 검색하였으나, 유사/동일품 없음 확인후 승인합니다._x000D_
(특정 사양품감축 관련) 차후 입고시 스케치, 현물 확인을 통한 도면화, 일반 사양화, 복수화 전환 검토 요청 부탁드립니다. 감사합니다._x000D_
I searched for similar items, but I approve it after checking that there is no similar/identical item._x000D_
(Regarding the reduction of certain specifications) Please request to review sketch, drawing through spot confirmation, general specification, and multiple conversion when receiving it in the future. Thank you._x000D_
</t>
  </si>
  <si>
    <t>Q4691053</t>
  </si>
  <si>
    <t>WATER,[AG-400 FR H/VEOLIA],ID28.6xOD201x1016L,THIN-FILM MEMBRANE (TFM), POLYAMIDE,11,000 M3/D,REVERSE OSMOSIS</t>
  </si>
  <si>
    <t>AG-400 FR H</t>
  </si>
  <si>
    <t>VEOLIA</t>
  </si>
  <si>
    <t>REVERSE OSMOSIS</t>
  </si>
  <si>
    <t>Membrane AG FR H Series PDS_20251009163334755.pdf</t>
  </si>
  <si>
    <t>https://www.watertechnologies.com/products/spiral-wound-membranes/pure-water-membranes</t>
  </si>
  <si>
    <t>RO Membrane_20251009155834769.png</t>
  </si>
  <si>
    <t>2025-10-29 10:10:18</t>
  </si>
  <si>
    <t>Q4691059</t>
  </si>
  <si>
    <t>AIR,[P/N: P781039/DONALDSON],FOR AIR COMPRESSOR INLET AIR FILTER,OR EQUIVALENT</t>
  </si>
  <si>
    <t>P/N: P781039</t>
  </si>
  <si>
    <t>FOR AIR COMPRESSOR INLET AIR FILTER</t>
  </si>
  <si>
    <t>Donaldson catalog_20230816143119468.pdf</t>
  </si>
  <si>
    <t>https://www.donaldson.com/ko-kr/engine/filters/products/air-intake/replacement-filters/#section-resources</t>
  </si>
  <si>
    <t>P781039_donaldson_20230816143119536.png</t>
  </si>
  <si>
    <t>2025-10-29 11:10:04</t>
  </si>
  <si>
    <t xml:space="preserve">P781039는 G100297 모델의 기본(primary) 필터 부품 번호 확인, _x000D_
기 설치된 물품의 호환성을 위해 특정 사양으로 등록건 확인,유사 item 검색하였으나, 유사/동일품 없음 확인후 승인합니다._x000D_
(특정 사양품감축 관련) 차후 입고시 스케치, 현물 확인을 통한 도면화, 일반 사양화, 복수화 전환 검토 요청 부탁드립니다. 감사합니다._x000D_
</t>
  </si>
  <si>
    <t>Q4691063</t>
  </si>
  <si>
    <t>FILTER HOUSING,[025/CL-TECHNOLOGY],253.5WX89.1HX3.75T,SUS304,MAKER DWG NO:025</t>
  </si>
  <si>
    <t>025</t>
  </si>
  <si>
    <t>MAKER DWG NO:025</t>
  </si>
  <si>
    <t>필터하우징 025_20251028160722802.PNG</t>
  </si>
  <si>
    <t>필터하우징 025_20251028160722875.PNG</t>
  </si>
  <si>
    <t>정진욱</t>
  </si>
  <si>
    <t>jinwook3586@poscofuturem.com</t>
  </si>
  <si>
    <t>2025-10-29 11:10:59</t>
  </si>
  <si>
    <t xml:space="preserve">정진욱(퓨처엠) 님과 통화로 해당 도면은 메이커에서 받은 도면임 확인후 승인합니다.추후 도면 변경 등이 필요하시면 CPR 하시기 바랍니다. </t>
  </si>
  <si>
    <t>Q4691258</t>
  </si>
  <si>
    <t>HYDRAULIC,[P/N:1623 5071 00/ATLAS COPCO],FOR AIR COMPRESSOR BREATHER FILTER,OR EQUIVALENT</t>
  </si>
  <si>
    <t>P/N:1623 5071 00</t>
  </si>
  <si>
    <t>FOR AIR COMPRESSOR BREATHER FILTER</t>
  </si>
  <si>
    <t>251022_1기 공기압축기 Breather filter Parts No 자료_20251029085957303.pptx</t>
  </si>
  <si>
    <t>https://www.atlascopco.com/ko-kr/compressors/service/parts/air-compressor-filters</t>
  </si>
  <si>
    <t>1기 공기압축기 유증기 필터 사진_20251029090217278.jpg</t>
  </si>
  <si>
    <t>2025-10-30 13:10:52</t>
  </si>
  <si>
    <t>Q4691367</t>
  </si>
  <si>
    <t>OIL,HYDRAULIC,[MFX1801P25NBP01/MP FILTRI],25micron,ORIGINAL PAPER,FOR ACL CPL C-HOOK LIFTER HYD' SYSTEM</t>
  </si>
  <si>
    <t>MFX1801P25NBP01</t>
  </si>
  <si>
    <t>FOR ACL CPL C-HOOK LIFTER HYD' SYSTEM</t>
  </si>
  <si>
    <t>https://www.mpfiltri.it/FilesProdotti/FJs7qT_MFBXEN.pdf</t>
  </si>
  <si>
    <t>mfx1801p25nbp01_b_20251024164005960.jpg</t>
  </si>
  <si>
    <t>한진철</t>
  </si>
  <si>
    <t>광양설비관리섹션</t>
  </si>
  <si>
    <t xml:space="preserve">nomjtm@poscomtech.com </t>
  </si>
  <si>
    <t>조진옥</t>
  </si>
  <si>
    <t xml:space="preserve">광)포장사업1부 정비팀		</t>
  </si>
  <si>
    <t>78bread@sjpna.co.kr</t>
  </si>
  <si>
    <t>2025-10-31 09:10:54</t>
  </si>
  <si>
    <t xml:space="preserve">https://www.bing.com/search?q=MFX180.pdf&amp;qs=n&amp;form=QBRE&amp;sp=-1&amp;lq=0&amp;pq=mfx180.pdf&amp;sc=0-10&amp;sk=&amp;cvid=0F76FE40B381467695C910D4A31D733B에 첨부된 pdf 파일 보고, 확인후 승인합니다. _x000D_
기 설치된 물품의 호환성을 위해 특정 사양으로 등록건 확인, 유사 item 검색하였으나, 유사/동일품 없음 확인후 승인합니다._x000D_
(특정 사양품감축 관련) 차후 입고시 스케치, 현물 확인을 통한 도면화, 일반 사양화, 복수화 전환 검토 요청 부탁드립니다. 감사합니다._x000D_
</t>
  </si>
  <si>
    <t>312389</t>
  </si>
  <si>
    <t>FOR R/C 501 SLEW &amp; DER' RETURN FILTER ELEMENT</t>
  </si>
  <si>
    <t>RE-501호 Return Filter Element, EATON 312389_20251105153535801.pdf</t>
  </si>
  <si>
    <t>312389_20251105154552118.jpg</t>
  </si>
  <si>
    <t>배건희</t>
  </si>
  <si>
    <t>qorjsgml032@posco.co.kr</t>
  </si>
  <si>
    <t>2025-11-06 10:11:50</t>
  </si>
  <si>
    <t>312637</t>
  </si>
  <si>
    <t>FOR R/C 501 SLEW &amp; DER' LINE FILTER ELEMENT</t>
  </si>
  <si>
    <t>RE-501호 Line Filter Element, EATON 312637_20251105153112621.pdf</t>
  </si>
  <si>
    <t>312637_20251105155446066.jpg</t>
  </si>
  <si>
    <t>2025-11-06 10:11:19</t>
  </si>
  <si>
    <t>Q4692555</t>
  </si>
  <si>
    <t>[AFF40-F04D-L-D/SMC],ID52xOD70x263.3L,5micron,10bar,POLYCARBONATE,900L/h,FOR ZRM/SPM  ROLLSHOP,PORT SIZE 1/2''</t>
  </si>
  <si>
    <t>AFF40-F04D-L-D</t>
  </si>
  <si>
    <t>FOR ZRM/SPM  ROLLSHOP</t>
  </si>
  <si>
    <t>PORT SIZE 1/2''</t>
  </si>
  <si>
    <t>AFF_AM_AMD_20251111161634820.pdf</t>
  </si>
  <si>
    <t>https://www.smcpneumatics.com./New-Search_ep_2254-1.html</t>
  </si>
  <si>
    <t>SMC AFF40-F04D-L-D_20251111155659787.png</t>
  </si>
  <si>
    <t>2025-11-12 13:11:01</t>
  </si>
  <si>
    <t xml:space="preserve">I searched for similar items, but I approve it after checking that there is no similar/identical item._x000D_
(Regarding the reduction of certain specifications) Please request to review sketch, drawing through spot confirmation, general specification, and multiple conversion when receiving it in the future. _x000D_
SampleForm]Particular spec (Single Maker) Request._20251111162909222.pptx writing has been abolished and you do not need to submit it anymore._x000D_
Thank you.기 설치된 물품의 호환성을 위해 특정 사양으로 등록건 확인,_x000D_
유사 item 검색하였으나, 유사/동일품 없음 확인후 승인합니다._x000D_
(특정 사양품감축 관련) 차후 입고시 스케치, 현물 확인을 통한 도면화, 일반 사양화, 복수화 전환 검토 요청 부탁드립니다. 감사합니다._x000D_
_x000D_
</t>
  </si>
  <si>
    <t>Q4692556</t>
  </si>
  <si>
    <t>[AM40-F04D-L-D/SMC]+MIST SEPARATOR,ID52xOD70x263.3L,10bar,POLYCARBONATE,FOR ZRM/SPM  ROLLSHOP,PORT SIZE 1/2''</t>
  </si>
  <si>
    <t>AM40-F04D-L-D</t>
  </si>
  <si>
    <t>MIST SEPARATOR</t>
  </si>
  <si>
    <t>AFF_AM_AMD_20251111163643420.pdf</t>
  </si>
  <si>
    <t>SMC AM40-F04D-L-D_20251111163742503.png</t>
  </si>
  <si>
    <t>2025-11-12 13:11:46</t>
  </si>
  <si>
    <t xml:space="preserve">I searched for similar items, but I approve it after checking that there is no similar/identical item._x000D_
(Regarding the reduction of certain specifications) Please request to review sketch, drawing through spot confirmation, general specification, and multiple conversion when receiving it in the future. _x000D_
SampleForm]Particular spec (Single Maker) Request._20251111162909222.pptx writing has been abolished and you do not need to submit it anymore._x000D_
Thank you.기 설치된 물품의 호환성을 위해 특정 사양으로 등록건 확인,_x000D_
유사 item 검색하였으나, 유사/동일품 없음 확인후 승인합니다._x000D_
(특정 사양품감축 관련) 차후 입고시 스케치, 현물 확인을 통한 도면화, 일반 사양화, 복수화 전환 검토 요청 부탁드립니다. 감사합니다._x000D_
_x000D_
_x000D_
</t>
  </si>
  <si>
    <t>Q4692558</t>
  </si>
  <si>
    <t>[AMD40-F04D-L-D/SMC]+MICRO MIST SEPERATOR,ID52xOD70x263.3L,10bar,POLYCARBONATE,FOR ZRM/SPM  ROLLSHOP,PORT SIZE 1/2''</t>
  </si>
  <si>
    <t>AMD40-F04D-L-D</t>
  </si>
  <si>
    <t>MICRO MIST SEPERATOR</t>
  </si>
  <si>
    <t>AFF_AM_AMD_20251111165701383.pdf</t>
  </si>
  <si>
    <t>SMC AMD40-F04D-L-D_20251111170315250.png</t>
  </si>
  <si>
    <t>2025-11-12 13:11:16</t>
  </si>
  <si>
    <t>Q4692614</t>
  </si>
  <si>
    <t>[IDG40-F04-D/SMC]+MEMBRANE AIR DRYER,ID70xOD80x368L,ALUMINUM DIE-CAST,FOR ZRM/SPM  ROLLSHOP,PORT SIZE 1/2''</t>
  </si>
  <si>
    <t>IDG40-F04-D</t>
  </si>
  <si>
    <t>MEMBRANE AIR DRYER</t>
  </si>
  <si>
    <t>DS_IDG40-F04-D_tr_TR_20251112135552696.pdf</t>
  </si>
  <si>
    <t>SMC IDG40-F04-D_20251112135552887.png</t>
  </si>
  <si>
    <t>2025-11-13 09:11:19</t>
  </si>
  <si>
    <t>Q4692746</t>
  </si>
  <si>
    <t>O-RING FOR VESSEL FILTER CAP,[026/CL-TECHNOLOGY],SUS304,24W X 89H X 77D</t>
  </si>
  <si>
    <t>026</t>
  </si>
  <si>
    <t>24W X 89H X 77D</t>
  </si>
  <si>
    <t>충진기 필터 캡 2_20251114074945217.PNG</t>
  </si>
  <si>
    <t>충진기 필터 캡 2_20251114074945305.PNG</t>
  </si>
  <si>
    <t>2025-11-14 10:11:39</t>
  </si>
  <si>
    <t>Q4693434</t>
  </si>
  <si>
    <t>FILTER HOUSING,DEMI. WATER,[HMC-10HOU/HUMAN CORPORATION],D : 11.6CM X H : 29.6CM,CAP : P.P, HOUSING : AS,IN/OUTLET DIMENSION : 1/4", 3/8" NPT</t>
  </si>
  <si>
    <t>HMC-10HOU</t>
  </si>
  <si>
    <t>IN/OUTLET DIMENSION : 1/4", 3/8" NPT</t>
  </si>
  <si>
    <t>캡 및 하우징_20251120114042342.JPG</t>
  </si>
  <si>
    <t>http://www.humancorp.co.kr/bbs/board.php?bo_table=pro01&amp;wr_id=3&amp;sca=%EC%88%9C%EC%88%98%2C%EC%B4%88%EC%88%9C%EC%88%98+%EC%A0%9C%EC%A1%B0%EC%9E%A5%EC%B9%98</t>
  </si>
  <si>
    <t>입도분석실 캡 및 하우징_20251120114042241.JPG</t>
  </si>
  <si>
    <t>2025-11-24 09:11:55</t>
  </si>
  <si>
    <t>Q4693446</t>
  </si>
  <si>
    <t>OIL,HYDRAULIC,[SF2-510-M90/MPFILTRI],90mesh,WIRE MESH,OR EQUIVALENT</t>
  </si>
  <si>
    <t>SF2-510-M90</t>
  </si>
  <si>
    <t>MPFILTRI ELEMENT_20251118165534981_20251124093757187.pdf</t>
  </si>
  <si>
    <t>mpfiltri suction filter element_20251204103850736.jpg</t>
  </si>
  <si>
    <t>2025-12-08 09:12:01</t>
  </si>
  <si>
    <t>Q4693589</t>
  </si>
  <si>
    <t>[D-68804/INTERNORMEN],ID25xOD70x220L,FOR OIL MIST ZRM03</t>
  </si>
  <si>
    <t>D-68804</t>
  </si>
  <si>
    <t xml:space="preserve">FOR OIL MIST ZRM03 </t>
  </si>
  <si>
    <t>https://www.royalhydraulics.com/productsPDF/filtration/Internormen/Internormen_Catalog.pdf</t>
  </si>
  <si>
    <t>7c56e1dbdc436facfa90f5945b0833ad_20251119163433879.JPG</t>
  </si>
  <si>
    <t>IMG_8509_20251119163433943.jpg</t>
  </si>
  <si>
    <t>NGUYỄN THANH TÚ</t>
  </si>
  <si>
    <t>nguyen.thanhtu@posco.net</t>
  </si>
  <si>
    <t>2025-11-24 16:11:03</t>
  </si>
  <si>
    <t xml:space="preserve">I searched for similar items, but I approve it after checking that there is no similar/identical item.
(Regarding the reduction of certain specifications) Please request to review sketch, drawing through spot confirmation, general specification, and multiple conversion when receiving it in the future. Thank you.
</t>
  </si>
  <si>
    <t>Q4693590</t>
  </si>
  <si>
    <t>[FLNDBN/HC 400 DDK6D1.0/-L24-B7/HYDAC],25bar_FOR LP TANK ZRM03</t>
  </si>
  <si>
    <t>FLNDBN/HC 400 DDK6D1.0/-L24-B7</t>
  </si>
  <si>
    <t>FOR LP TANK ZRM03</t>
  </si>
  <si>
    <t>FLND Change-Over Inline Filter to DIN 24550-7561-EN-V7 (1)_20251119155815032.pdf</t>
  </si>
  <si>
    <t>LP Tank Filter ZRM03_20251119160710908.PNG</t>
  </si>
  <si>
    <t>Nameplate_20251119160808826.PNG</t>
  </si>
  <si>
    <t>2025-11-24 16:11:01</t>
  </si>
  <si>
    <t>Q4694093</t>
  </si>
  <si>
    <t>AIR,[MS-300/DUCLEAN]x640Wx650L,OR EQUIVALENT</t>
  </si>
  <si>
    <t>MS-300</t>
  </si>
  <si>
    <t>https://duclean.co.kr/blog/portfolio/ms-series/</t>
  </si>
  <si>
    <t>백필터1_20251111152952850.jpg</t>
  </si>
  <si>
    <t>백필터2_20251111153018957.jpg</t>
  </si>
  <si>
    <t>이은우</t>
  </si>
  <si>
    <t>eunwoo95@posco.co.kr</t>
  </si>
  <si>
    <t>최승호</t>
  </si>
  <si>
    <t>(포항)제강부 4연주공장</t>
  </si>
  <si>
    <t>2025-11-28 08:11:16</t>
  </si>
  <si>
    <t xml:space="preserve">주식회사 듀크린(122-81-66806 / 이경옥) 기체 여과기 제조업 (C29175) 확인함.
Q4477952등 유사item 검색하였으나, 유사/동일품 없음 확인후 승인합니다. 
추후에 복수로 등록 가능한 물품이 있으시다면 특정사양 복수화 CPR 부탁드립니다. (공급선 다변화, 가격경쟁력 확보 위함)
</t>
  </si>
  <si>
    <t>Q4694370</t>
  </si>
  <si>
    <t>[TMTU-2U-50185/TELIN]xOD50x185L,2micron,SUS316L,AIR,OR EQUIVALENT</t>
  </si>
  <si>
    <t>TMTU-2U-50185</t>
  </si>
  <si>
    <t>TELIN</t>
  </si>
  <si>
    <t>TMTU-2U-50185_20251201073352925.png</t>
  </si>
  <si>
    <t>http://telininc.com/2024/business/business_01.html</t>
  </si>
  <si>
    <t>TELIN_FILTER_20251201073352865.jpg</t>
  </si>
  <si>
    <t>배기민</t>
  </si>
  <si>
    <t>s31210@posco.co.kr</t>
  </si>
  <si>
    <t>2025-12-02 07:12:02</t>
  </si>
  <si>
    <t>Q4694437</t>
  </si>
  <si>
    <t>WASTE WATER,WATER,[BP-420-25/PENTEK],25micron,100% POLYPROPILENE,OR EQUIVALENT</t>
  </si>
  <si>
    <t>BP-420-25</t>
  </si>
  <si>
    <t>bp 420 25 pentek_20251124140306847.png</t>
  </si>
  <si>
    <t>https://pentair.asia/wp-content/uploads/2023/10/4003417-pentek-full-line-catalog.pdf</t>
  </si>
  <si>
    <t>bp 420 25 pentek_20251124140727835.png</t>
  </si>
  <si>
    <t>김홍석</t>
  </si>
  <si>
    <t>khs5201@posco.co.kr</t>
  </si>
  <si>
    <t>2025-12-02 10:12:25</t>
  </si>
  <si>
    <t>Q4694918</t>
  </si>
  <si>
    <t>[MODEL NO. 0358457/TRUMPF INDIA TOOLS]+EQUIPMENT ID- D0005A0253</t>
  </si>
  <si>
    <t>MODEL NO. 0358457</t>
  </si>
  <si>
    <t>TRUMPF INDIA TOOLS</t>
  </si>
  <si>
    <t>EQUIPMENT ID- D0005A0253</t>
  </si>
  <si>
    <t>Air filter 0358457_20251204201424111.PNG</t>
  </si>
  <si>
    <t>IMG-20251201-WA0006_20251204201946918.jpg</t>
  </si>
  <si>
    <t>Jayvant Savale</t>
  </si>
  <si>
    <t>j.savale@posco.net</t>
  </si>
  <si>
    <t>2025-12-08 13:12:08</t>
  </si>
  <si>
    <t xml:space="preserve">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I searched for similar items, but I approve it after checking that there is no similar/identical item.
(Regarding the reduction of certain specifications) Please request to review sketch, drawing through spot confirmation, general specification, and multiple conversion when receiving it in the future. Thank you.
</t>
  </si>
  <si>
    <t>Q4695493</t>
  </si>
  <si>
    <t>[DFPBNHC5000D3 B/HYDAC]_3micron_BN4HC,315bar,BETAMICRON_DFP SERIES._CAL SPM HYDRAULIC FILTER</t>
  </si>
  <si>
    <t>DFPBNHC5000D3 B</t>
  </si>
  <si>
    <t>DFP SERIES.</t>
  </si>
  <si>
    <t xml:space="preserve">CAL SPM HYDRAULIC FILTER </t>
  </si>
  <si>
    <t>https://cmafh.com/WebsiteCatalog/Data%20Sheets/HYDAC%20DFP/Hydac%20DFP%20-%20High%20Pressure%20Filters.pdf</t>
  </si>
  <si>
    <t>HYDAC FILTER_20251208192245987.jpg</t>
  </si>
  <si>
    <t>CAL Mech. Maint.</t>
  </si>
  <si>
    <t>2025-12-12 13:12:59</t>
  </si>
  <si>
    <t xml:space="preserve">I searched for similar items, but I approve it after checking that there is no similar/identical item.
(Regarding the reduction of certain specifications) Please request to review sketch, drawing through spot confirmation, general specification, and multiple conversion when receiving it in the future. Thank you.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</si>
  <si>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Q4695599</t>
  </si>
  <si>
    <t>AIR FILTER,AIR,[CCP FILTER PACKAGE/CLEAN FILTER KOREA],CARBON,OR EQUIVALENT</t>
  </si>
  <si>
    <t>CCP FILTER PACKAGE</t>
  </si>
  <si>
    <t>CLEAN FILTER KOREA</t>
  </si>
  <si>
    <t>윤활진단실 배기 흡기 Replacement Filter Package_20251211130918280.pdf</t>
  </si>
  <si>
    <t>필터_20251211131947705.jpg</t>
  </si>
  <si>
    <t>황정기</t>
  </si>
  <si>
    <t>hjg8055@posco.co.kr</t>
  </si>
  <si>
    <t>2025-12-15 11:12:00</t>
  </si>
  <si>
    <t xml:space="preserve">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황정기님과통화하여 해당 모델 set품으로 구매한다고 내용확인하여 1개의 모델로 등록합니다. 
</t>
  </si>
  <si>
    <t>Q4695600</t>
  </si>
  <si>
    <t>[P/N:621-098(FOR TGA701)/LECO],FOR TGA701</t>
  </si>
  <si>
    <t>P/N:621-098(FOR TGA701)</t>
  </si>
  <si>
    <t>LECO</t>
  </si>
  <si>
    <t>FOR TGA701</t>
  </si>
  <si>
    <t>TGA701 LECO Part 311_20251206170812257.pdf</t>
  </si>
  <si>
    <t>621 098 LECO_20251206170925900.png</t>
  </si>
  <si>
    <t>2025-12-15 11:12:57</t>
  </si>
  <si>
    <t>I searched for similar items, but I approve it after checking that there is no similar/identical item.
(Regarding the reduction of certain specifications) Please request to review sketch, drawing through spot confirmation, general specification, and multiple conversion when receiving it in the future. Thank you.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t>
  </si>
  <si>
    <t>Q4695638</t>
  </si>
  <si>
    <t>HYDRAULIC,[0950 R 003 ON/HYDAC],3micron,OPTIMICRON,FOR PMSPL ENRTY &amp; EXIT HYDRAULIC SYSTEM CIRCULATION FILTER</t>
  </si>
  <si>
    <t>0950 R 003 ON</t>
  </si>
  <si>
    <t>FOR PMSPL ENRTY &amp; EXIT HYDRAULIC SYSTEM CIRCULATION FILTER</t>
  </si>
  <si>
    <t>950 R003 ON_20251210193500299.pdf</t>
  </si>
  <si>
    <t>Optimicron_20251211171227199.jpg</t>
  </si>
  <si>
    <t>2025-12-15 14:12:20</t>
  </si>
  <si>
    <t xml:space="preserve">I searched for similar items, but I approve it after checking that there is no similar/identical item. 
(Regarding the reduction of certain specifications) Please request to review sketch, drawing through spot confirmation, general specification, and multiple conversion when receiving it in the future. Thank you.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</si>
  <si>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Q4695639</t>
  </si>
  <si>
    <t>FILTER CART,HYDRAULIC OIL,[OLU2B60G3VF2104M RMF FILTERCATRT/DES-CASE],672DX510WX1176L,MAKER DWG NO:E0061363,OR EQUIVALENT</t>
  </si>
  <si>
    <t>OLU2B60G3VF2104M RMF FILTERCATRT</t>
  </si>
  <si>
    <t>MAKER DWG NO:E0061363</t>
  </si>
  <si>
    <t>CATALOG(EN)_20251204112521484.pdf</t>
  </si>
  <si>
    <t>https://www.descase.com/products/filtration/dedicated-filtration/off-line-units/</t>
  </si>
  <si>
    <t>OIL 필터링 기기_20251209100534602.jpg</t>
  </si>
  <si>
    <t>권수일</t>
  </si>
  <si>
    <t>suillkwon@posco.co.kr</t>
  </si>
  <si>
    <t>차일봉</t>
  </si>
  <si>
    <t>boa4260@posco.co.kr</t>
  </si>
  <si>
    <t>2025-12-15 14:12:48</t>
  </si>
  <si>
    <t>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t>
  </si>
  <si>
    <t>SFSC-500-10-M0090-A-A-00-FE212-0-6T-MD-P01-NN</t>
  </si>
  <si>
    <t>FOR 3RM RECLAIMER 501 SUCTION FILTER</t>
  </si>
  <si>
    <t>CAT_HF_SUC_SFSC_EN_20251219105434911.pdf</t>
  </si>
  <si>
    <t>SFSC-500-10-M0090-A-A-00-FE212-0-6T-MD-P01-NN_20251219105740244.jpg</t>
  </si>
  <si>
    <t>2025-12-22 09:12:58</t>
  </si>
  <si>
    <t xml:space="preserve">결재내용에 제시된 SFSC-500-10-M0090-A-A-00-FE212-0-6T-MD-P01-NN은 문서의 Designation &amp; Ordering code 부분에서 구성 요소별로 모두 확인됨. 
결재내용은 입력된 모델/메이커 값과 일치하며, 완결성도 충족함.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</si>
  <si>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ROBX3125DSL</t>
  </si>
  <si>
    <t xml:space="preserve">FOR K1C RCL HYDRAULIC SYSTEM </t>
  </si>
  <si>
    <t>SKF Recond Oil Box_ROBX3125DSL_20251217152725736.pdf</t>
  </si>
  <si>
    <t>SKF Recond Oil_ROBX3125DSL_20251217152615863.jpg</t>
  </si>
  <si>
    <t>정종문</t>
  </si>
  <si>
    <t>wjdwhdans22@posco.co.kr</t>
  </si>
  <si>
    <t>2025-12-22 14:12:38</t>
  </si>
  <si>
    <t>Q4696322</t>
  </si>
  <si>
    <t>[ADQ30041403/LG]x282Lx50T,PAPER,ONLY FOR USE WITH AIR PURIFIERS INSIDE CRANE OPERATOR CABINS,OR EQUIVALENT</t>
  </si>
  <si>
    <t>ADQ30041403</t>
  </si>
  <si>
    <t>LG</t>
  </si>
  <si>
    <t>ONLY FOR USE WITH AIR PURIFIERS INSIDE CRANE OPERATOR CABINS</t>
  </si>
  <si>
    <t>https://www.lge.co.kr/care-accessories/360-air-purifier/adq30041403</t>
  </si>
  <si>
    <t>LG puricare G filter_20251217180844147.png</t>
  </si>
  <si>
    <t>LG puricare G filter 2_20251217180844461.png</t>
  </si>
  <si>
    <t>이영빈</t>
  </si>
  <si>
    <t>lyb5721@posco.co.kr</t>
  </si>
  <si>
    <t>2025-12-23 10:12:32</t>
  </si>
  <si>
    <t>- 자산성 비품 기준: 내용연수 1년 이상, 취득가액 100만원 이상인 비품(공기청정기 본체 포함)
- 자재 기준: 제품 생산에 소비되거나 설비 유지보수에 필요한 정비 자재
. 판단 : 공기청정기 Filter는 본체가 아닌 소모성 부품이며, 자산성 비품 기준에 해당하지 않음. 크레인 운전실 내부에서 기존 설치된 공기청정기의 유지·관리 목적이라면 설비 유지보수용 정비 자재로 분류 가능.
. 결론: → 공기청정기 Filter는 자재로 판단, MRO 자재 구매 가능하므로 확인 후 승인. → 단, 크레인 운전실 외부 사용시에는 반드시 비품으로 신청하여 사용해야 하며, 발번 후 그룹사 Assign lock 적용.
'25.12.23 오전 11시 요청자 이영빈 대리와 통화하여, 크레인 운전실 내부에서만 사용함 확인 하였습니다. 
ONLY for use with air purifiers INSIDE CRANE OPERATOR CABINS.</t>
  </si>
  <si>
    <t>Q4696329</t>
  </si>
  <si>
    <t>[HKL00044256/HORIBA]x50Wx60L,STEEL,STAINLESS,OR EQUIVALENT</t>
  </si>
  <si>
    <t>HKL00044256</t>
  </si>
  <si>
    <t>ENDA-5000 카다로그_20251028090144798.pdf</t>
  </si>
  <si>
    <t>https://www.horiba.com/kor/process-and-environmental/products/continuous-emission-monitoring-system/enda-7000-accessories/</t>
  </si>
  <si>
    <t>AIR FILTER 사진_20251028085915057.jpg</t>
  </si>
  <si>
    <t>정진엽</t>
  </si>
  <si>
    <t>jinyeop1593@posco.co.kr</t>
  </si>
  <si>
    <t>2025-12-23 11:12:45</t>
  </si>
  <si>
    <t xml:space="preserve">주요 사양(Model-1, Maker-1) 일치,  사양 값 검증자료에서 존재, 결재문서 완결
세부 치수(Length, Width)도 URL 사양검증자료와 시스템 입력값이 동일 → 불일치 없음 확인하였음.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</si>
  <si>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Q4696378</t>
  </si>
  <si>
    <t>NCM PRECURSOR,[JK-P9-2/JIN GWANG FILTER ENG]x330Lx680Wx1.1T,0.1micron_POLYPROPYLENE_HITING&amp;CALENDERED,FOR R&amp;D</t>
  </si>
  <si>
    <t>JIN GWANG FILTER ENG</t>
  </si>
  <si>
    <t>HITING&amp;CALENDERED</t>
  </si>
  <si>
    <t>진광 사업자등록증_20251223130658050.JPG</t>
  </si>
  <si>
    <t>JK-P9-2 사진_20251222110420434.JPG</t>
  </si>
  <si>
    <t>2025-12-23 15:12:43</t>
  </si>
  <si>
    <t>Q4696797</t>
  </si>
  <si>
    <t>MIST,GAS,[TL-D-MP-30-40/TELIN]xOD39.5x3T,30micron,STS316,OR EQUIVALENT</t>
  </si>
  <si>
    <t>TL-D-MP-30-40</t>
  </si>
  <si>
    <t>Telin_DISC FILTER 사양_20251224095138592.pdf</t>
  </si>
  <si>
    <t>http://telininc.com/2014/business/business_01.html</t>
  </si>
  <si>
    <t>SIKA_DISCS_20251224131834600.jpg</t>
  </si>
  <si>
    <t>2025-12-29 16:12:09</t>
  </si>
  <si>
    <t>Q4697181</t>
  </si>
  <si>
    <t>FILTER HOUSING,WATER,[DC-R7S3-65(40F)-B/SWFILTER],65AX45A, 300A 520W 1195H 4.5T,STS304</t>
  </si>
  <si>
    <t>DC-R7S3-65(40F)-B</t>
  </si>
  <si>
    <t>SWFILTER</t>
  </si>
  <si>
    <t>micro filter housing 4_20260102101724153.JPG</t>
  </si>
  <si>
    <t>https://swfilter.com/</t>
  </si>
  <si>
    <t>micro filter housing 5_20260102101724095.JPG</t>
  </si>
  <si>
    <t>2026-01-05 16:01:23</t>
  </si>
  <si>
    <t xml:space="preserve">신우휠타산업(134-81-16556) 산업용 냉장 및 냉동장비 제조업임 확인함.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</si>
  <si>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Q4697504</t>
  </si>
  <si>
    <t>AIR,[HYE-1-50AS/GSA],1micron,POLYPROPYLENE,9.9kg/cm2,MD:HYF-1-65AS</t>
  </si>
  <si>
    <t>카탈로그_20260107110017519.pdf</t>
  </si>
  <si>
    <t>등록 사진_20260107110017337.PNG</t>
  </si>
  <si>
    <t>포항음극재공장 컴프레셔_20260107110017394.PNG</t>
  </si>
  <si>
    <t>손오련</t>
  </si>
  <si>
    <t>포항인조음극재공장</t>
  </si>
  <si>
    <t>sor4587@poscofuturem.com</t>
  </si>
  <si>
    <t>2026-01-07 11:01:48</t>
  </si>
  <si>
    <t xml:space="preserve">주식회사 지에스에이(126-81-74083 / 박흥석)의 업태 확인결과, 그 외 기타 일반목적용 기계 제조업 (C29199)로 확인함.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</si>
  <si>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Q4697514</t>
  </si>
  <si>
    <t>PE+EPTFE,AIR,[PEM-B-140-255/DONGHWA F&amp;E],ID75xOD143x255L,1micron,PE+EPTFE</t>
  </si>
  <si>
    <t>PEM-B-140-255</t>
  </si>
  <si>
    <t>물품소개 카달로그_PEM-B-140-255_20240925154359809.pdf</t>
  </si>
  <si>
    <t>https://dhfilter.net/</t>
  </si>
  <si>
    <t>KakaoTalk_20240816_165228017_10_20240925154359759.jpg</t>
  </si>
  <si>
    <t>서명석</t>
  </si>
  <si>
    <t>조업개선섹션</t>
  </si>
  <si>
    <t>tjaudtjr99@poscolithium.com</t>
  </si>
  <si>
    <t>2026-01-07 13:01:28</t>
  </si>
  <si>
    <t xml:space="preserve">주식회사 동화에프엔이(416-81-90346 / 조혁래) 의 업태확인결과 기체 여과기 제조업 (C29175)로 확인함.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</si>
  <si>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Q4697517</t>
  </si>
  <si>
    <t>HYDRAULIC OIL,HYDRAULIC,[ROBX500HY/SKF]x196Wx255L,0.1micron,CELLULOSE,FOR FILTER ELEMENT,OR EQUIVALENT</t>
  </si>
  <si>
    <t>ROBX500HY</t>
  </si>
  <si>
    <t>FOR FILTER ELEMENT</t>
  </si>
  <si>
    <t>SKF Recond Oil Box Filter Insert_ROBX500HY_20251231135524984.pdf</t>
  </si>
  <si>
    <t>https://www.skf.com/kr/products/lubrication-management/recondoil/productid-ROBX500%2FHY</t>
  </si>
  <si>
    <t>SKF Recond Oil Box Filter Insert_ROBX500HY_20251231141204287.jpg</t>
  </si>
  <si>
    <t>2026-01-07 13:01:54</t>
  </si>
  <si>
    <t>Q4697590</t>
  </si>
  <si>
    <t>PE+EPTFE,AIR,[PEM-B-140-155/DONGHWA F&amp;E],ID75xOD143x155L,1micron,PE+EPTFE</t>
  </si>
  <si>
    <t>PEM-B-140-155</t>
  </si>
  <si>
    <t>물품소개 카달로그_PEM-B-140-155_20260105161637500.pdf</t>
  </si>
  <si>
    <t>KakaoTalk_20240816_165228017_20_20240925133806417_20260105164250450.jpg</t>
  </si>
  <si>
    <t>2026-01-08 07:01:12</t>
  </si>
  <si>
    <t>Q4697591</t>
  </si>
  <si>
    <t>HYDRAULIC OIL,HYDRAULIC,[ROBX500/DST/SKF]x196Wx255L,0.1micron,CELLULOSE,FOR FILTER ELEMENT,OR EQUIVALENT</t>
  </si>
  <si>
    <t>ROBX500/DST</t>
  </si>
  <si>
    <t>SKF Recond Oil Box Filter Insert_ROBX500DST_20251231142302539.pdf</t>
  </si>
  <si>
    <t>https://www.skf.com/kr/products/lubrication-management/recondoil/productid-ROBX500%2FDST</t>
  </si>
  <si>
    <t>SKF Recond Oil Box Filter Insert_ROBX500DST_20251231142938119.jpg</t>
  </si>
  <si>
    <t>2026-01-08 07:01:44</t>
  </si>
  <si>
    <t>Q4697597</t>
  </si>
  <si>
    <t>PE+EPTFE,AIR,[PEM-B-200-425/DONGHWA F&amp;E],ID100xOD200x425L,1micron,PE+EPTFE</t>
  </si>
  <si>
    <t>PEM-B-200-425</t>
  </si>
  <si>
    <t>물품소개 카달로그_PEM-B-200-425_20240925134743803.pdf</t>
  </si>
  <si>
    <t>KakaoTalk_20240816_165228017_04_20240925134709707.jpg</t>
  </si>
  <si>
    <t>2026-01-08 08:01:42</t>
  </si>
  <si>
    <t>RF ON 330 D L 10 B 1.X</t>
  </si>
  <si>
    <t>FOR 2EGL TENSION LEVELLER HYDRAULIC FILTER</t>
  </si>
  <si>
    <t>RF-Katalogversion_20260107112715326.pdf</t>
  </si>
  <si>
    <t>123_20260107111943057.png</t>
  </si>
  <si>
    <t>정재연</t>
  </si>
  <si>
    <t>kindj1202@posco.co.kr</t>
  </si>
  <si>
    <t>2026-01-08 13:01:07</t>
  </si>
  <si>
    <t>Q4697651</t>
  </si>
  <si>
    <t>[GAE 20-25/GEM-FA]xOD94x135L_25micron_NITRIL,8bar,STEEL SHELL,35~200L/h_CONNECTION DIMENSIONS 1"X12_FOR MANDREL REDUCERS</t>
  </si>
  <si>
    <t>GAE 20-25</t>
  </si>
  <si>
    <t>CONNECTION DIMENSIONS 1"X12</t>
  </si>
  <si>
    <t>FOR MANDREL REDUCERS</t>
  </si>
  <si>
    <t>http://gem-fa.com/urunler.htm</t>
  </si>
  <si>
    <t>GEMFA GAE-20-25_20251231164111181.png</t>
  </si>
  <si>
    <t>2026-01-08 13:01:32</t>
  </si>
  <si>
    <t xml:space="preserve">Check the registration with specific specifications for compatibility of pre-installed items, 
Similar items have been searched, but they are approved after confirming that there is no similar/identical item.
(Regarding the reduction of certain specifications) Please request us to review sketch, drawing through spot confirmation, general specification, and multiple conversion when receiving them in the future. Thank you.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</si>
  <si>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Q4697879</t>
  </si>
  <si>
    <t>[MS6-LFM-1/2-ARV (I/N: 530502)/FESTO],0.01micron,ALUMINUM DIE CASTING,2~12bar,BOROSILICATE FIBER,FOR ZRM/SPM  ROLLSHOP</t>
  </si>
  <si>
    <t>MS6-LFM-1/2-ARV (I/N: 530502)</t>
  </si>
  <si>
    <t>530502datasheet_20260106145409938.pdf</t>
  </si>
  <si>
    <t>FESTO 530502 MS6-LFM-1-2-ARV_20260106150412865.png</t>
  </si>
  <si>
    <t>2026-01-12 08:01:36</t>
  </si>
  <si>
    <t xml:space="preserve">
You no longer need to write "Sample Form]Particular spec(Single Maker) Request_20260106145435989.pptx". This PPT writing standard has been abolished.
Check the registration with specific specifications for compatibility of pre-installed items, 
Similar items have been searched, but they are approved after confirming that there is no similar/identical item.
(Regarding the reduction of certain specifications) Please request us to review sketch, drawing through spot confirmation, general specification, and multiple conversion when receiving them in the future. Thank you.
</t>
  </si>
  <si>
    <t>Q4697880</t>
  </si>
  <si>
    <t>[MS6-LDM1-1/2-P40 (I/N: 543650)/FESTO],ALUMINUM DIE CASTING,12.5bar,FORGED ALUMINUM ALLOY,MEMBRANE AIR DRYER,FOR ZRM/SPM  ROLLSHOP</t>
  </si>
  <si>
    <t>MS6-LDM1-1/2-P40 (I/N: 543650)</t>
  </si>
  <si>
    <t>543650datasheet_20260106150643190.pdf</t>
  </si>
  <si>
    <t>FESTO 543650 MS6-LDM-1-1-2-P40_20260106151714254.png</t>
  </si>
  <si>
    <t>2026-01-12 08:01:13</t>
  </si>
  <si>
    <t>You no longer need to write "Sample Form]Particular spec(Single Maker) Request_20260106145435989.pptx". This PPT writing standard has been abolished.
Check the registration with specific specifications for compatibility of pre-installed items, 
Similar items have been searched, but they are approved after confirming that there is no similar/identical item.
(Regarding the reduction of certain specifications) Please request us to review sketch, drawing through spot confirmation, general specification, and multiple conversion when receiving them in the future. Thank you.</t>
  </si>
  <si>
    <t>Q4697881</t>
  </si>
  <si>
    <t>[MS6-LF-1/2-CRV (I/N: 529609)/FESTO]+G1/2'',5micron,ALUMINUM DIE CASTING,2~12bar,PE,FOR ZRM/SPM  ROLLSHOP</t>
  </si>
  <si>
    <t>MS6-LF-1/2-CRV (I/N: 529609)</t>
  </si>
  <si>
    <t>529609datasheet_20260106152012840.pdf</t>
  </si>
  <si>
    <t>FESTO 529609 MS6-LF-1-2-CRV_20260106153342485.png</t>
  </si>
  <si>
    <t>2026-01-12 08:01:46</t>
  </si>
  <si>
    <t xml:space="preserve">You no longer need to fill out "Sample Form] Particular spec (Single Maker) Requestpptx." This PPT creation standard has been abolished.
Check the registration with specific specifications for compatibility of pre-installed items, 
Similar items have been searched, but they are approved after confirming that there is no similar/identical item.
(Regarding the reduction of certain specifications) Please request us to review sketch, drawing through spot confirmation, general specification, and multiple conversion when receiving them in the future. Thank you.
</t>
  </si>
  <si>
    <t>Q4697882</t>
  </si>
  <si>
    <t>[MS6-LFM-1/2-BRV (I/N: 530506)/FESTO]+G1/2'',1micron,ALUMINUM DIE CASTING,2~12bar,BOROSILICATE FIBER,FOR ZRM/SPM  ROLLSHOP</t>
  </si>
  <si>
    <t>MS6-LFM-1/2-BRV (I/N: 530506)</t>
  </si>
  <si>
    <t>530506datasheet_20260106154701659.pdf</t>
  </si>
  <si>
    <t>FESTO 530506 MS6-LFM-1-2-BRV_20260106155131304.png</t>
  </si>
  <si>
    <t>2026-01-12 08:01:27</t>
  </si>
  <si>
    <t xml:space="preserve">Check the registration with specific specifications for compatibility of pre-installed items, 
Similar items have been searched, but they are approved after confirming that there is no similar/identical item.
(Regarding the reduction of certain specifications) Please request us to review sketch, drawing through spot confirmation, general specification, and multiple conversion when receiving them in the future. Thank you.
</t>
  </si>
  <si>
    <t>Q4697891</t>
  </si>
  <si>
    <t>[MS6-LWS-1/2-U-V (I/N: 564870)/FESTO]+G1/2'',ALUMINUM DIE CASTING,2~12bar,NBR,PA,FOR ZRM/SPM  ROLLSHOP</t>
  </si>
  <si>
    <t>MS6-LWS-1/2-U-V (I/N: 564870)</t>
  </si>
  <si>
    <t>564870datasheet_20260106153820251.pdf</t>
  </si>
  <si>
    <t>FESTO 564870 MS6-LWS-1-2-U-V_20260106154250487.png</t>
  </si>
  <si>
    <t>2026-01-12 08:01:20</t>
  </si>
  <si>
    <t>Q4697951</t>
  </si>
  <si>
    <t>[IBF-50 BAG FILTER/INNOPLANT]x800Wx450L,POLYESTER,AIR(DUST),400X200X8P BAG FILTER, ELECTROSTATIC DISCHARGE WITH MOUNTING BRACKET, SPACER, WIRE BOLT, FOR IBF-50 DUST COLLECTOR,FOR IBF-50 DUST COLLECTOR</t>
  </si>
  <si>
    <t>IBF-50 BAG FILTER</t>
  </si>
  <si>
    <t>INNOPLANT</t>
  </si>
  <si>
    <t>400X200X8P BAG FILTER, ELECTROSTATIC DISCHARGE WITH MOUNTING BRACKET, SPACER, WIRE BOLT, FOR IBF-50 DUST COLLECTOR</t>
  </si>
  <si>
    <t>FOR IBF-50 DUST COLLECTOR</t>
  </si>
  <si>
    <t>백필터_20260105162022431_20260106133628265.png</t>
  </si>
  <si>
    <t>https://www.innoplant.co.kr/industry/industry.php?ptype=view&amp;prdcode=1906170001&amp;catcode=10111100</t>
  </si>
  <si>
    <t>ibf1_20260106170700101.jpg</t>
  </si>
  <si>
    <t>박은미</t>
  </si>
  <si>
    <t>탄소소재R&amp;D센터</t>
  </si>
  <si>
    <t>qkremi@poscomcm.com</t>
  </si>
  <si>
    <t>황대현</t>
  </si>
  <si>
    <t>dhhwang@poscomcm.com</t>
  </si>
  <si>
    <t>2026-01-12 11:01:17</t>
  </si>
  <si>
    <t>Q4697952</t>
  </si>
  <si>
    <t>[P/N:608-751/LECO]_PARTICLE FILTER,FOR AC500 CALORIMETER</t>
  </si>
  <si>
    <t>P/N:608-751</t>
  </si>
  <si>
    <t xml:space="preserve">PARTICLE FILTER </t>
  </si>
  <si>
    <t xml:space="preserve">FOR AC500 CALORIMETER </t>
  </si>
  <si>
    <t>AC500 Calorimeter Page 56_20260107152835168.pdf</t>
  </si>
  <si>
    <t>https://www.leco.co.jp/wp-content/themes/leco/pdf/parts/AC350-500_REFERENCE_CARD_203-104-012.pdf</t>
  </si>
  <si>
    <t>608-671 LECO_20260107153145227.png</t>
  </si>
  <si>
    <t>2026-01-12 11:01:58</t>
  </si>
  <si>
    <t>Q4697953</t>
  </si>
  <si>
    <t>[R166G25C/FILTREC]_ID64.5xOD130x400L_22micron_NBR,10bar,INORGANIC FIBERGLASS_FOR SCRAP PRESS RETURN FILTER</t>
  </si>
  <si>
    <t>R166G25C</t>
  </si>
  <si>
    <t>R166G25C_20260109161226126.pdf</t>
  </si>
  <si>
    <t>FILTREC R166G25C_20260109162207326.png</t>
  </si>
  <si>
    <t>2026-01-12 11:01:37</t>
  </si>
  <si>
    <t>Q4697955</t>
  </si>
  <si>
    <t>[P/N:608-749/LECO]_FILTER SCREEN,FOR AC500 CALORIMETER</t>
  </si>
  <si>
    <t>P/N:608-749</t>
  </si>
  <si>
    <t>FILTER SCREEN</t>
  </si>
  <si>
    <t>FOR AC500 CALORIMETER</t>
  </si>
  <si>
    <t>AC500 Calorimeter Page 56_20260108123604677.pdf</t>
  </si>
  <si>
    <t>608-749 LECO_20260108123807674.png</t>
  </si>
  <si>
    <t>2026-01-12 11:01:54</t>
  </si>
  <si>
    <t>Q4697956</t>
  </si>
  <si>
    <t>[VEEBAG FILTER/NANOS],610WX610LX560HX10P,SYNTHETIC,FOR NO-50</t>
  </si>
  <si>
    <t>VEEBAG FILTER</t>
  </si>
  <si>
    <t>FOR NO-50</t>
  </si>
  <si>
    <t>필터 사양서_20260108132934545.jpg</t>
  </si>
  <si>
    <t>http://www.i-nanos.co.kr/Product/product_view.php?pdcate1=50&amp;pdcate2=510&amp;pdcate3=&amp;pdix=77</t>
  </si>
  <si>
    <t>필터 사진(모습)_20260108133651553.jpg</t>
  </si>
  <si>
    <t>정대화</t>
  </si>
  <si>
    <t>majag1@poscofuturem.com</t>
  </si>
  <si>
    <t>2026-01-12 11:01:53</t>
  </si>
  <si>
    <t>Q4698068</t>
  </si>
  <si>
    <t>MAGNETIC FILTER DISK,[DISK150-D13161 P/N:05 FILTRA/FILTRA]</t>
  </si>
  <si>
    <t>DISK150-D13161 P/N:05 FILTRA</t>
  </si>
  <si>
    <t>FILTRA</t>
  </si>
  <si>
    <t>FILTRA PDF_20260112144724176.pdf</t>
  </si>
  <si>
    <t>PN 05_20260112144724040.png</t>
  </si>
  <si>
    <t>FILTRA 5_20260112144724085.png</t>
  </si>
  <si>
    <t>2026-01-12 16:01:58</t>
  </si>
  <si>
    <t>-Sample Form]Particular spec(Single Maker) Request_20260112144724255.pptx 자료는 더이상 작성하지 않으셔도 됩니다. 작성 폐지되어. 결재문서만 등록하시면 됩니다. 
-Sample Form] You don't need to fill out the Partial Spec (Single Maker) Request_20260112144724255.pptx data anymore. It has been written and abolished. You only need to register the approval document. Check the registration with specific specifications for compatibility of pre-installed items, Similar items have been searched, but they are approved after confirming that there is no similar/identical item. (Regarding the reduction of certain specifications) Please request us to review sketch, drawing through spot confirmation, general specification, and multiple conversion when receiving them in the future. Thank you.</t>
  </si>
  <si>
    <t>Q4698158</t>
  </si>
  <si>
    <t>MAGNETIC FILTER DISC,[DISK 150-D13155 Q.TY 8 (P/N:02)/FILTRA],150,FOR SPM ROLL SHOP COOLANT MAGNETIC FILTER</t>
  </si>
  <si>
    <t>DISK 150-D13155 Q.TY 8 (P/N:02)</t>
  </si>
  <si>
    <t>FOR SPM ROLL SHOP COOLANT MAGNETIC FILTER</t>
  </si>
  <si>
    <t>FILTRA PDF_20260112144102160.pdf</t>
  </si>
  <si>
    <t>https://www.filtra.it/en/index.htm</t>
  </si>
  <si>
    <t>PN 02_20260112144102048.png</t>
  </si>
  <si>
    <t>FILTRA 2_20260112144102085.png</t>
  </si>
  <si>
    <t>2026-01-13 08:01:13</t>
  </si>
  <si>
    <t xml:space="preserve">Check the registration with specific specifications for compatibility of pre-installed items, 
Similar items have been searched, but they are approved after confirming that there is no similar/identical item.
(Regarding the reduction of certain specifications) Please request us to review sketch, drawing through spot confirmation, general specification, and multiple conversion when receiving them in the future. Thank you.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
</t>
  </si>
  <si>
    <t>Q4698212</t>
  </si>
  <si>
    <t>MAGNETIC FILTER DISC,[DISK 150-D13162 (P/N: 06)/FILTRA],150,FOR SPM ROLL SHOP COOLANT MAGNETIC FILTER</t>
  </si>
  <si>
    <t>DISK 150-D13162 (P/N: 06)</t>
  </si>
  <si>
    <t>FILTRA PDF_20260112145211525.pdf</t>
  </si>
  <si>
    <t>PN 06_20260112145211385.png</t>
  </si>
  <si>
    <t>FILTRA 6_20260112145211423.png</t>
  </si>
  <si>
    <t>2026-01-13 13:01:19</t>
  </si>
  <si>
    <t>"SampleForm]Particular spec (Single Maker) Request_20260112145211621pptx" review has been abolished. Please submit approval documents only in the future.
Check the registration with specific specifications for compatibility of pre-installed items, 
Similar items have been searched, but they are approved after confirming that there is no similar/identical item.
(Regarding the reduction of certain specifications) Please request us to review sketch, drawing through spot confirmation, general specification, and multiple conversion when receiving them in the future. Thank you.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요청 부탁드립니다. 감사합니다.</t>
  </si>
  <si>
    <t>Q4698220</t>
  </si>
  <si>
    <t>MAGNETIC FILTER MAGNET,[DISK 150-D13165 Q.TY 18 (P/N: 07)/FILTRA],150,FOR SPM ROLL SHOP COOLANT MAGNETIC FILTER</t>
  </si>
  <si>
    <t>DISK 150-D13165 Q.TY 18 (P/N: 07)</t>
  </si>
  <si>
    <t>FILTRA PDF_20260112145736986.pdf</t>
  </si>
  <si>
    <t>PN 07_20260112145736795.png</t>
  </si>
  <si>
    <t>FILTRA 7_20260112145736849.png</t>
  </si>
  <si>
    <t>2026-01-13 13:01:59</t>
  </si>
  <si>
    <t xml:space="preserve">You do not need to fill out the "SampleForm]Particular Spec (Single Maker) Request_20260112145737079.pptx" material, which has been abolished. 
In the future, please submit only the written opinion. Check the registration with specific specifications for compatibility of pre-installed items, Similar items have been searched, but they are approved after confirming that there is no similar/identical item. (Regarding the reduction of certain specifications) Please review the conversion of sketching, drawing through spot confirmation, general specification, and pluralization when receiving them in the future. Thank you.
</t>
  </si>
  <si>
    <t>Q4698224</t>
  </si>
  <si>
    <t>MAGNETIC FILTER SHAFT,[DISK 150-D13222 (P/N: 14)/FILTRA],150,FOR SPM ROLL SHOP COOLANT MAGNETIC FILTER</t>
  </si>
  <si>
    <t>DISK 150-D13222 (P/N: 14)</t>
  </si>
  <si>
    <t>FILTRA PDF_20260112150220880.pdf</t>
  </si>
  <si>
    <t>PN 14_20260112150220746.png</t>
  </si>
  <si>
    <t>FILTRA 14_20260112150220783.png</t>
  </si>
  <si>
    <t>2026-01-13 14:01:15</t>
  </si>
  <si>
    <t xml:space="preserve">"SampleForm]Particular spec (Single Maker) Request_20260112150220999.pptx" This material is no longer required to be written, it has been abolished. In the future, please fill out and submit only a written statement.
Check the registration with specific specifications for compatibility of pre-installed items, Similar items have been searched, but they are approved after confirming that there is no similar/identical item.
(Regarding the reduction of certain specifications) Please review the conversion of sketching, drawing through spot confirmation, general specification, and pluralization when receiving them in the future. Thank you.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부탁드립니다. 감사합니다.
</t>
  </si>
  <si>
    <t>Q4698370</t>
  </si>
  <si>
    <t>POLYESTER,[MF-400/420/YHB ECO]xOD430x430Lx360W_INTERNAL FILTER,FOR YOC-400,OR EQUIVALENT</t>
  </si>
  <si>
    <t>MF-400/420</t>
  </si>
  <si>
    <t>INTERNAL FILTER</t>
  </si>
  <si>
    <t>FOR YOC-400</t>
  </si>
  <si>
    <t>내장필터_20260112092943174.png</t>
  </si>
  <si>
    <t>2026-01-14 13:01:43</t>
  </si>
  <si>
    <t xml:space="preserve">주식회사 와이에이치비에코(119-86-83634 / 윤홍범) 증류기, 열교환기 및 가스발생기 제조업 (C29177) 확인하였음.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부탁드립니다. 감사합니다.
</t>
  </si>
  <si>
    <t>Q4698638</t>
  </si>
  <si>
    <t>OIL MIST,[YMC-400/YHB ECO]x380Lx300W_FUME AFTER FILTER,FOR YMC-400 OIL MIST CLEANER,OR EQUIVALENT</t>
  </si>
  <si>
    <t>YMC-400</t>
  </si>
  <si>
    <t>FUME AFTER FILTER</t>
  </si>
  <si>
    <t>FOR YMC-400 OIL MIST CLEANER</t>
  </si>
  <si>
    <t>https://yhb.kr/blog/portfolio-item/cutting-oil-mist-cleaner/</t>
  </si>
  <si>
    <t>hum_after_fillter_01_20260114152556166.jpg</t>
  </si>
  <si>
    <t>2026-01-15 17:01:15</t>
  </si>
  <si>
    <t xml:space="preserve">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부탁드립니다. 감사합니다.
</t>
  </si>
  <si>
    <t>INFSHH16F241UB</t>
  </si>
  <si>
    <t>INFSH Filtering Unit_20251209132756718.pdf</t>
  </si>
  <si>
    <t>대표이미지_20251209132706369.jpg</t>
  </si>
  <si>
    <t>2026-01-19 09:01:40</t>
  </si>
  <si>
    <t>Q4698745</t>
  </si>
  <si>
    <t>[CARBON MAT FILTER/NANOS]+PRE FILTER,610WX610LX20T,POLYESTER,FOR NO-50 AND ETC</t>
  </si>
  <si>
    <t>CARBON MAT FILTER</t>
  </si>
  <si>
    <t>FOR NO-50 AND ETC</t>
  </si>
  <si>
    <t>3차필터 사양서_20260114094433172.jpg</t>
  </si>
  <si>
    <t>http://i-nanos.co.kr/Product/product_view.php?pdcate1=50&amp;pdcate2=510&amp;pdcate3=&amp;pdix=72</t>
  </si>
  <si>
    <t>3차필터 이미지_20260114094853526.jpg</t>
  </si>
  <si>
    <t>2026-01-19 10:01:25</t>
  </si>
  <si>
    <t>Q4698748</t>
  </si>
  <si>
    <t>[MEDIUM FILTER/NANOS]+HEPA FILTER,610WX610LX292T,GLASS FIBER,FOR NO-50</t>
  </si>
  <si>
    <t>2차필터 사양서_20260114093647891.jpg</t>
  </si>
  <si>
    <t>http://i-nanos.co.kr/Product/product_view.php?pdcate1=50&amp;pdcate2=510&amp;pdcate3=&amp;pdix=76</t>
  </si>
  <si>
    <t>2차필터 이미지_20260114094110839.jpg</t>
  </si>
  <si>
    <t>2026-01-19 11:01:09</t>
  </si>
  <si>
    <t xml:space="preserve">* 결재문서의 모델명과 입력하신 모델명은 항상 동일해야 합니다. 참고하시기 바랍니다.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부탁드립니다. 감사합니다.
</t>
  </si>
  <si>
    <t>Q4698802</t>
  </si>
  <si>
    <t>WATER,[BWLE-8040/SAMYANG TRILITE]_29Dx201Dx1016L_POLYESTER-POLYSULFONE-POLYAMIDE,10,500 GPD_150psi_REJECTION 99.7%_FOR RO MEMBRANE</t>
  </si>
  <si>
    <t>BWLE-8040</t>
  </si>
  <si>
    <t>SAMYANG TRILITE</t>
  </si>
  <si>
    <t>REJECTION 99.7%</t>
  </si>
  <si>
    <t>FOR RO MEMBRANE</t>
  </si>
  <si>
    <t>Samyang TRILITE RO 카탈로그_20260112131133680.pdf</t>
  </si>
  <si>
    <t>https://samyangtrilite.co.kr/kr/index</t>
  </si>
  <si>
    <t>RO MEMBRANE_20260112131356149.png</t>
  </si>
  <si>
    <t>2026-01-19 14:01:21</t>
  </si>
  <si>
    <t xml:space="preserve">(주)삼양사(101-86-66838) 설탕,배합사료,PET병,제분(소맥분),합섬섬유(폴리에스터 장/단섬유),화성(이온교환수지,엔지니어링플라스틱) 제조 업태 확인함.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부탁드립니다. 감사합니다.
</t>
  </si>
  <si>
    <t>Q4698804</t>
  </si>
  <si>
    <t>WATER,[BWHR-8040/SAMYANG TRILITE]_29Dx201Dx1016L_POLYESTER-POLYSULFONE-POLYAMIDE,10,500GPD_225psi_REJECTION99.7%_FOR RO MEMBRANE</t>
  </si>
  <si>
    <t>BWHR-8040</t>
  </si>
  <si>
    <t>REJECTION99.7%</t>
  </si>
  <si>
    <t>Samyang TRILITE RO 카탈로그_20260112094428923.pdf</t>
  </si>
  <si>
    <t>RO MEMBRANE_20260112101826150.png</t>
  </si>
  <si>
    <t>2026-01-19 14:01:05</t>
  </si>
  <si>
    <t xml:space="preserve">기 설치된 물품의 호환성을 위해 특정 사양으로 등록건 확인,
Q4261797등 유사 item 검색하였으나, 유사/동일품 없음 확인후 승인합니다.
(특정 사양품감축 관련) 차후 입고시 스케치, 현물 확인을 통한 도면화, 일반 사양화, 복수화 전환 검토 부탁드립니다. 감사합니다.
</t>
  </si>
  <si>
    <t>Q4698829</t>
  </si>
  <si>
    <t>[DI-NF-RO/HUMAS]x279L_SPECIFICATION: WATERPIA GOLD, 11", 3 SOCKETS_FOR DI 4000,OR EQUIVALENT</t>
  </si>
  <si>
    <t>DI-NF-RO</t>
  </si>
  <si>
    <t>HUMAS</t>
  </si>
  <si>
    <t>SPECIFICATION: WATERPIA GOLD, 11", 3 SOCKETS</t>
  </si>
  <si>
    <t>FOR DI 4000</t>
  </si>
  <si>
    <t>주휴마스 DI4000 부품리스트(4)_20260119090906435.pdf</t>
  </si>
  <si>
    <t>https://www.humas.co.kr/bbs/search.php?sfl=wr_subject%7C%7Cwr_content&amp;sop=and&amp;stx=DI+4000</t>
  </si>
  <si>
    <t>FILTER(4)_20260119091645658.jpg</t>
  </si>
  <si>
    <t>박중민</t>
  </si>
  <si>
    <t>min5@posco.co.kr</t>
  </si>
  <si>
    <t>하태식</t>
  </si>
  <si>
    <t>newstart@posco.co.kr</t>
  </si>
  <si>
    <t>2026-01-19 15:01:07</t>
  </si>
  <si>
    <t>Q4698831</t>
  </si>
  <si>
    <t>OIL,HYDRAULIC,[BE1018/ZINGA],10micron,CELLULOSE,FOR HYDRAULIC POWER PACK TENSILE MTS 300KN</t>
  </si>
  <si>
    <t>BE1018</t>
  </si>
  <si>
    <t>ZINGA</t>
  </si>
  <si>
    <t>FOR HYDRAULIC POWER PACK TENSILE MTS 300KN</t>
  </si>
  <si>
    <t>https://www.zinga.com/products/spin-on-filters/spin-on-filter-elements-be-zbe-series/</t>
  </si>
  <si>
    <t>OF TS300kN_20260114113614496.PNG</t>
  </si>
  <si>
    <t>2026-01-19 15:01:05</t>
  </si>
  <si>
    <t xml:space="preserve">Check the registration with specific specifications for compatibility of pre-installed items, Similar items have been searched, but they are approved after confirming that there is no similar/identical item. (Regarding the reduction of certain specifications) Please review the conversion of sketching, drawing through spot confirmation, general specification, and pluralization when receiving them in the future. Thank you.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부탁드립니다. 감사합니다.
</t>
  </si>
  <si>
    <t>Q4698962</t>
  </si>
  <si>
    <t>[DI-NF-UPW/HUMAS]x279L_SPECIFICATION: MR450 UPW, 11" MIXED RESIN, ONE DIRECTION_FOR DI 4000,OR EQUIVALENT</t>
  </si>
  <si>
    <t>DI-NF-UPW</t>
  </si>
  <si>
    <t>SPECIFICATION: MR450 UPW, 11" MIXED RESIN, ONE DIRECTION</t>
  </si>
  <si>
    <t>(주)휴마스 DI4000 부품리스트(5)_20260119155049930.pptx</t>
  </si>
  <si>
    <t>FILTER(5)_20260119092618944.jpg</t>
  </si>
  <si>
    <t>2026-01-20 10:01:23</t>
  </si>
  <si>
    <t>Q4698963</t>
  </si>
  <si>
    <t>DEMI WATER,[DI-NF-PC/HUMAS]x279L_SPECIFICATIONS: POST-TREATMENT FILTER, ACTIVATED CARBON (COCONUT), 11", ONE WAY_FOR DI 4000,OR EQUIVALENT</t>
  </si>
  <si>
    <t>DI-NF-PC</t>
  </si>
  <si>
    <t>SPECIFICATIONS: POST-TREATMENT FILTER, ACTIVATED CARBON (COCONUT), 11", ONE WAY</t>
  </si>
  <si>
    <t>주휴마스 DI4000 부품리스트(2)_20260116145904232.pdf</t>
  </si>
  <si>
    <t>FILTER(2)_20260116150458546.jpg</t>
  </si>
  <si>
    <t>2026-01-20 10:01:53</t>
  </si>
  <si>
    <t>Q4698969</t>
  </si>
  <si>
    <t>DEMI. WATER,[DI-NF-UF/HUMAS]x279L_SPECIFICATIONS: UF MEMBRANE, ULTRAFILTRATION MEMBRANE, 11", ONE DIRECTION_FOR DI 4000,OR EQUIVALENT</t>
  </si>
  <si>
    <t>DI-NF-UF</t>
  </si>
  <si>
    <t>SPECIFICATIONS: UF MEMBRANE, ULTRAFILTRATION MEMBRANE, 11", ONE DIRECTION</t>
  </si>
  <si>
    <t>(주)휴마스 DI4000 부품리스트(3)_20260119154813213.pptx</t>
  </si>
  <si>
    <t>FILTER(3)_20260116151317949.jpg</t>
  </si>
  <si>
    <t>2026-01-20 10:01:04</t>
  </si>
  <si>
    <t xml:space="preserve">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부탁드립니다. 감사합니다.
</t>
  </si>
  <si>
    <t>Q4698977</t>
  </si>
  <si>
    <t>[P/N:776-465/LECO]_FAN FILTER,FOR AC500 CALORIMETER</t>
  </si>
  <si>
    <t>P/N:776-465</t>
  </si>
  <si>
    <t xml:space="preserve">FAN FILTER </t>
  </si>
  <si>
    <t>AC500 Calorimeter Page 211_20260115105455174.pdf</t>
  </si>
  <si>
    <t>776-465 LECO_20260115105726310.png</t>
  </si>
  <si>
    <t>2026-01-20 11:01:25</t>
  </si>
  <si>
    <t xml:space="preserve">Check the registration with specific specifications for compatibility of pre-installed items, Similar items have been searched, but they are approved after confirming that there is no similar/identical item. (Regarding the reduction of certain specifications) Please review the conversion of sketching, drawing through spot confirmation, general specification, and pluralization when receiving them in the future. Thank you.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부탁드립니다. 감사합니다.
</t>
  </si>
  <si>
    <t>Q4699080</t>
  </si>
  <si>
    <t>DEMI. WATER,[DI-NF-SM/HUMAS]x279L_SPECIFICATIONS: PRECIPITATION FILTER, NON-WOVEN FABRIC, 11", ONE WAY_FOR DI 4000,OR EQUIVALENT</t>
  </si>
  <si>
    <t>DI-NF-SM</t>
  </si>
  <si>
    <t>SPECIFICATIONS: PRECIPITATION FILTER, NON-WOVEN FABRIC, 11", ONE WAY</t>
  </si>
  <si>
    <t>주휴마스 DI4000 부품리스트(1)_20260116141643453.pdf</t>
  </si>
  <si>
    <t>FILTER(1)_20260116145421410.jpg</t>
  </si>
  <si>
    <t>2026-01-20 17:01:12</t>
  </si>
  <si>
    <t>LF14000NN</t>
  </si>
  <si>
    <t>SPIN-ON, NANONET</t>
  </si>
  <si>
    <t>FOR CUMMINS ENGINE</t>
  </si>
  <si>
    <t>Product Specification - LF14000NN_20260121114658782.pdf</t>
  </si>
  <si>
    <t>LF14000NN_20260121114902821.jpg</t>
  </si>
  <si>
    <t>(광양)생산기술부 구내운송섹션</t>
  </si>
  <si>
    <t>ohsco@posco.co.kr</t>
  </si>
  <si>
    <t>2026-01-23 11:01:40</t>
  </si>
  <si>
    <t>FF5782NN</t>
  </si>
  <si>
    <t>Product Specification - FF5782NN_20260120172727369.pdf</t>
  </si>
  <si>
    <t>FF5782NN_20260120172850209.jpg</t>
  </si>
  <si>
    <t>2026-01-23 13:01:52</t>
  </si>
  <si>
    <t>FS53015</t>
  </si>
  <si>
    <t>CARTRIDGE, ELEMAX</t>
  </si>
  <si>
    <t>Product Specification - FS53015_20260120171612226.pdf</t>
  </si>
  <si>
    <t>FS53015_20260120172342816.jpg</t>
  </si>
  <si>
    <t>2026-01-23 14:01:06</t>
  </si>
  <si>
    <t xml:space="preserve">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부탁드립니다. 감사합니다.
</t>
  </si>
  <si>
    <t>Q4699669</t>
  </si>
  <si>
    <t>[V057-0000-008-00/SEFAR]xOD85.5x2670Lx134Wx0.8T,0.3CM3/CM2/SEC IN 125PA,5micron_POLYPROPYLENE_WELDED SEAM TYPE,FOR CANDLE FILTER</t>
  </si>
  <si>
    <t>V057-0000-008-00</t>
  </si>
  <si>
    <t>WELDED SEAM TYPE</t>
  </si>
  <si>
    <t xml:space="preserve"> FOR CANDLE FILTER</t>
  </si>
  <si>
    <t>표준제작도면_BAG FILTER_V057-0000-008-00_(260123)_20260123131420249.pdf</t>
  </si>
  <si>
    <t>1000014601_20250313153143605_20260123131420188.jpg</t>
  </si>
  <si>
    <t>2026-01-26 15:01:29</t>
  </si>
  <si>
    <t>Q1064373</t>
  </si>
  <si>
    <t>Protection Relay</t>
  </si>
  <si>
    <t>[RS4N-DE/FUJI],DC 24V,LOW VOLTAGE</t>
  </si>
  <si>
    <t>RS4N-DE</t>
  </si>
  <si>
    <t>FUJI</t>
  </si>
  <si>
    <t>https://www.fujielectric.com/products/control_relay/terminal_relay_rs.html</t>
  </si>
  <si>
    <t>RS4N_DE_20251010141724615.png</t>
  </si>
  <si>
    <t>2025-10-15 07:10:31</t>
  </si>
  <si>
    <t>Q1068352</t>
  </si>
  <si>
    <t>OCGR,[GCO-CI III D5/KYOUNG BO],DC 110V,0.5~2.0A,HIGH VOLTAGE</t>
  </si>
  <si>
    <t>GCO-CI III D5</t>
  </si>
  <si>
    <t>KYOUNG BO</t>
  </si>
  <si>
    <t>OCGR</t>
  </si>
  <si>
    <t>https://www.kyongbo.co.kr/product/product_list.jsp?flg1=A03&amp;flg2=A0301</t>
  </si>
  <si>
    <t>OCGR_20221020170509431.png</t>
  </si>
  <si>
    <t>2022-10-21 11:10:28</t>
  </si>
  <si>
    <t>Q2056158</t>
  </si>
  <si>
    <t>SGR,[3RP2505-1BW30/SIEMENS],DC 24V,1.5~30,LOW VOLTAGE,KC CERTIFICATE</t>
  </si>
  <si>
    <t>3RP2505-1BW30</t>
  </si>
  <si>
    <t>SGR</t>
  </si>
  <si>
    <t>https://mall.industry.siemens.com/mall/en/WW/Catalog/Product/3RP1505-1BP30</t>
  </si>
  <si>
    <t>3RP2505-BW30_20250402145536188.jpg</t>
  </si>
  <si>
    <t>(포)공무-전기제어-냉연전기정비</t>
  </si>
  <si>
    <t>2025-04-07 13:04:13</t>
  </si>
  <si>
    <t>Q2113452</t>
  </si>
  <si>
    <t>MULTI,[VAMP230/VAMP],DC 110V,HIGH VOLTAGE</t>
  </si>
  <si>
    <t>VAMP230</t>
  </si>
  <si>
    <t>VAMP</t>
  </si>
  <si>
    <t>MULTI</t>
  </si>
  <si>
    <t>https://www.se.com/kr/ko/product-range/62048-vamp-200-%EC%8B%9C%EB%A6%AC%EC%A6%88/?subNodeId=12146923337ko_KR</t>
  </si>
  <si>
    <t>Vamp230_20221008092118338.jpg</t>
  </si>
  <si>
    <t>(광양)전기제어설비부 제강전기정비과</t>
  </si>
  <si>
    <t>kim.hs@posco.co.kr</t>
  </si>
  <si>
    <t>이관용</t>
  </si>
  <si>
    <t xml:space="preserve"> (광)전기제어설비부 제강전기정비과 1연주정정 전기정비 S/V</t>
  </si>
  <si>
    <t>2022-10-19 10:10:55</t>
  </si>
  <si>
    <t>Q2147670</t>
  </si>
  <si>
    <t>EOCR,[EOCR-3MZ2-WRCUWZ/SCHNIDER ELECTRIC],100-240VAC,0.5~80A,LOW VOLTAGE,KC CERTIFICATE</t>
  </si>
  <si>
    <t>EOCR-3MZ2-WRCUWZ</t>
  </si>
  <si>
    <t>SCHNIDER ELECTRIC</t>
  </si>
  <si>
    <t>EOCR</t>
  </si>
  <si>
    <t>https://download.schneider-electric.com/files?p_enDocType=Catalog&amp;p_File_Name=Innovated-nEOCR_Catalog_0219.pdf&amp;p_Doc_Ref=Innovated-nEOCR_Catalog_0219</t>
  </si>
  <si>
    <t>EOCR_3MZ2_20220907134037971.jpg</t>
  </si>
  <si>
    <t>조삼주</t>
  </si>
  <si>
    <t>김인수</t>
  </si>
  <si>
    <t>2022-09-13 09:09:34</t>
  </si>
  <si>
    <t>Q2221327</t>
  </si>
  <si>
    <t>EOCR,[EOCR-FDM2-WRDUH/SAM HWA TECH],AC 220V,LOW VOLTAGE,CABLE-RJ45-002</t>
  </si>
  <si>
    <t>EOCR-FDM2-WRDUH</t>
  </si>
  <si>
    <t>SAM HWA TECH</t>
  </si>
  <si>
    <t>CABLE-RJ45-002</t>
  </si>
  <si>
    <t>EOCR_3DEFDE_1250559938719.pdf</t>
  </si>
  <si>
    <t>http://www.eocrsek.co.kr/customer/data.html?no=62&amp;bbs=view</t>
  </si>
  <si>
    <t>제목 없음_20230801091304068.jpg</t>
  </si>
  <si>
    <t>왕승호</t>
  </si>
  <si>
    <t>(포항)압연정비부 열연정비과</t>
  </si>
  <si>
    <t>wang@posco.co.kr</t>
  </si>
  <si>
    <t>서성봉</t>
  </si>
  <si>
    <t>2023-08-09 11:08:39</t>
  </si>
  <si>
    <t>Q3207245</t>
  </si>
  <si>
    <t>THERMAL,[MT32/2H3.3/2.5~4.0A/LS],LOW VOLTAGE,THERMAL OVERLOAD RELAY</t>
  </si>
  <si>
    <t>MT32/2H3.3/2.5~4.0A</t>
  </si>
  <si>
    <t>LS</t>
  </si>
  <si>
    <t>LOW VOLTAGE,THERMAL OVERLOAD RELAY</t>
  </si>
  <si>
    <t>Thermal</t>
  </si>
  <si>
    <t>https://kr.misumi-ec.com/vona2/detail/222005578539/?HissuCode=MT-32-2H-3.3A&amp;list=Compare</t>
  </si>
  <si>
    <t>GTH_20240422102051080.jpg</t>
  </si>
  <si>
    <t>2024-07-15 15:07:47</t>
  </si>
  <si>
    <t>Q3207265</t>
  </si>
  <si>
    <t>[SZR-LY2-N1/HONEYWELL],AC 220V,2A2B,10A</t>
  </si>
  <si>
    <t>SZR-LY2-N1</t>
  </si>
  <si>
    <t>HONEYWELL</t>
  </si>
  <si>
    <t>2A2B,10A</t>
  </si>
  <si>
    <t>https://blog.naver.com/sps2538/222681629478</t>
  </si>
  <si>
    <t>SZR-LY2-N1(AC220)_20230309094407331.jpg</t>
  </si>
  <si>
    <t>2023-03-10 13:03:01</t>
  </si>
  <si>
    <t>Q3902293</t>
  </si>
  <si>
    <t>EOCR,[EOCRSS-05S/SCHNEIDER ELECTRIC],AC 220V,LOW VOLTAGE,0.2~30SEC,0.5~6A,OR EQUIVALENT</t>
  </si>
  <si>
    <t>EOCRSS-05S</t>
  </si>
  <si>
    <t>SCHNEIDER ELECTRIC</t>
  </si>
  <si>
    <t>0.2~30SEC,0.5~6A</t>
  </si>
  <si>
    <t>https://www.se.com/kr/ko/product/EOCRSS-05S/%EC%A0%84%EC%9E%90-%EA%B3%BC%EC%A0%84%EB%A5%98-%EA%B3%84%EC%A0%84%EA%B8%B0-0-5-6-a-220v-ac/</t>
  </si>
  <si>
    <t>Protection Relay_EOCR_EOCRSS-05S_Image_20251113184209554.png</t>
  </si>
  <si>
    <t>2025-11-26 13:11:30</t>
  </si>
  <si>
    <t>SCHNIDER</t>
  </si>
  <si>
    <t>Q4013980</t>
  </si>
  <si>
    <t>EOCR,[FDM2-WRDUWZ/SCHNIDER ELECTRIC],AC 220V,LOW VOLTAGE,WITH CABLE(RJ45-002) &amp; 3CT-H1-100-Z,OR EQUIVALENT</t>
  </si>
  <si>
    <t>FDM2-WRDUWZ</t>
  </si>
  <si>
    <t>WITH CABLE(RJ45-002) &amp; 3CT-H1-100-Z</t>
  </si>
  <si>
    <t>1냉연 5BAF Protection Relay 카달로그_20100615154413302.pdf</t>
  </si>
  <si>
    <t>https://www.se.com/kr/ko/product/FDM2-WRDUWZ/%eb%94%94%ec%a7%80%ed%84%b8-%eb%b3%b4%ed%98%b8-%ea%b3%84%ec%a0%84%ea%b8%b0-eocrfdm2-wr-100240v-%ec%9c%88%eb%8f%84%ec%9a%b0-/</t>
  </si>
  <si>
    <t>EOCR FDM2-H1DUW(여홍규)_20251017143711076.jpg</t>
  </si>
  <si>
    <t>여홍규</t>
  </si>
  <si>
    <t>2025-10-17 16:10:27</t>
  </si>
  <si>
    <t>Q4022905</t>
  </si>
  <si>
    <t>MULTI,[GIPAM-2200FN/LS],DC 110V,HIGH VOLTAGE,MODBUS,RS485,50HZ,PT:110V,GPT:190V,190/1.73, CT:5A</t>
  </si>
  <si>
    <t>GIPAM-2200FN</t>
  </si>
  <si>
    <t>MODBUS,RS485,50HZ,PT:110V,GPT:190V,190/1.73, CT:5A</t>
  </si>
  <si>
    <t>https://www.lsis.co.kr/ls/product/product_detail.asp?product_code=P00432</t>
  </si>
  <si>
    <t>GIPAM2200_20221026102230329.jpg</t>
  </si>
  <si>
    <t>임정호</t>
  </si>
  <si>
    <t>2022-10-26 11:10:43</t>
  </si>
  <si>
    <t>Q4063726</t>
  </si>
  <si>
    <t>[RXM4AB2BD/SCHNEIDER],DC 24V,LOW VOLTAGE</t>
  </si>
  <si>
    <t>RXM4AB2BD</t>
  </si>
  <si>
    <t>SCHNEIDER</t>
  </si>
  <si>
    <t>https://www.mysekr.schneider-electric.com/mySchneider/pdp.uiaas.viewer.jsp?/kr/ko/product/RXM4AB2BD</t>
  </si>
  <si>
    <t>릴_20220718141950301.jpg</t>
  </si>
  <si>
    <t>王昭华</t>
  </si>
  <si>
    <t>冷轧电气设备科(二工厂)</t>
  </si>
  <si>
    <t>zpwangzh@posco.net</t>
  </si>
  <si>
    <t>陈广银</t>
  </si>
  <si>
    <t>chengy@posco.net</t>
  </si>
  <si>
    <t>2022-07-20 13:07:47</t>
  </si>
  <si>
    <t>Q4101209</t>
  </si>
  <si>
    <t>EOCR,[EOCR-DS3-30S/SCHNEIDER],AC 220V,LOW VOLTAGE</t>
  </si>
  <si>
    <t>EOCR-DS3-30S</t>
  </si>
  <si>
    <t>EOCR_DS[1]_20120524111124290.pdf</t>
  </si>
  <si>
    <t>https://thietbidienschneider.com.vn/ro-le-dien-tu-eocrds3-30s-schneider/</t>
  </si>
  <si>
    <t>EOCRDS3-30S_20250718113047700.jpg</t>
  </si>
  <si>
    <t>임치호</t>
  </si>
  <si>
    <t>전기정비팀</t>
  </si>
  <si>
    <t>김재익</t>
  </si>
  <si>
    <t>2025-07-28 13:07:30</t>
  </si>
  <si>
    <t>Q4111395</t>
  </si>
  <si>
    <t>EOCR,[DMP06I-SZ-220/LS],AC 220V,0.5-6A,LOW VOLTAGE</t>
  </si>
  <si>
    <t>DMP06I-SZ-220</t>
  </si>
  <si>
    <t>DMP_20120808145924119.pdf</t>
  </si>
  <si>
    <t>https://www.ls-electric.com/ko/product/view/P01054</t>
  </si>
  <si>
    <t>1246322157_20240415134905845.jpg</t>
  </si>
  <si>
    <t>付意</t>
  </si>
  <si>
    <t>fuy@posco.net</t>
  </si>
  <si>
    <t>2024-07-15 15:07:18</t>
  </si>
  <si>
    <t>Q4159527</t>
  </si>
  <si>
    <t>THERMAL,[MT-32/3H/LS],AC 440V,LOW VOLTAGE,1.0~1.6A</t>
  </si>
  <si>
    <t>MT-32/3H</t>
  </si>
  <si>
    <t>1.0~1.6A</t>
  </si>
  <si>
    <t>THERMAL</t>
  </si>
  <si>
    <t>GTH-22_20130704152056173.pdf</t>
  </si>
  <si>
    <t>https://www.ls-electric.com/ko/search/?k=MT-32%2F3H</t>
  </si>
  <si>
    <t>GTH-22_20230317113709182.jpg</t>
  </si>
  <si>
    <t>王微</t>
  </si>
  <si>
    <t>wangw1@posco.net</t>
  </si>
  <si>
    <t>2023-03-21 10:03:44</t>
  </si>
  <si>
    <t>Q4163470</t>
  </si>
  <si>
    <t>MULTI,[V230-3C7AHE/VAMP],80~250VAC/DC,HIGH VOLTAGE</t>
  </si>
  <si>
    <t>V230-3C7AHE</t>
  </si>
  <si>
    <t>VAMP_CATALOG_20130729114003728.pdf</t>
  </si>
  <si>
    <t>https://www.se.com/kr/ko/product-range/62048-vamp-200-%EC%8B%9C%EB%A6%AC%EC%A6%88/12146923126-vamp-200-series-protection-relays/?subNodeId=12146923516ko_KR</t>
  </si>
  <si>
    <t>vamp 230_20220105153842212.jpg</t>
  </si>
  <si>
    <t>강기전</t>
  </si>
  <si>
    <t>(포항)FINEX설비부 3FINEX정비과</t>
  </si>
  <si>
    <t>2022-01-10 13:01:01</t>
  </si>
  <si>
    <t>Q4190369</t>
  </si>
  <si>
    <t>[DGF-D11P/DEESYS],AC110-220V,0.1~10A,0.1~3S,LOW VOLTAGE,WITH ZCT RATING 200MA/100MV (DZR-100)</t>
  </si>
  <si>
    <t>DGF-D11P</t>
  </si>
  <si>
    <t>DEESYS</t>
  </si>
  <si>
    <t>WITH ZCT RATING 200MA/100MV (DZR-100)</t>
  </si>
  <si>
    <t>http://www.deesys.com/project/dgf-d11f/#1626422788801-725d82df-8910</t>
  </si>
  <si>
    <t>GFR-D11P (사용부서 소싱요청 用)_20231214131143551.jpg</t>
  </si>
  <si>
    <t>ZCT (DZR-100)_20231214130607076.png</t>
  </si>
  <si>
    <t>(광양)냉연부 냉연설비개선팀</t>
  </si>
  <si>
    <t>김경석</t>
  </si>
  <si>
    <t>kimsesang@posco.co.kr</t>
  </si>
  <si>
    <t>2024-01-12 17:01:57</t>
  </si>
  <si>
    <t>Q4195298</t>
  </si>
  <si>
    <t>[3SK1121-1CB42/SIEMENS],DC 24V,LOW VOLTAGE,SIRIUS SAFETY RELAY</t>
  </si>
  <si>
    <t>3SK1121-1CB42</t>
  </si>
  <si>
    <t>SIRIUS SAFETY RELAY</t>
  </si>
  <si>
    <t>https://mall.industry.siemens.com/mall/en/WW/Catalog/Product/3SK1121-1CB42</t>
  </si>
  <si>
    <t>G_IC03_XX_03958i_20240313101646259.jpg</t>
  </si>
  <si>
    <t>季浩</t>
  </si>
  <si>
    <t>制钢电气设备科</t>
  </si>
  <si>
    <t>jih@posco.net</t>
  </si>
  <si>
    <t>季鹏超</t>
  </si>
  <si>
    <t>2024-03-22 08:03:45</t>
  </si>
  <si>
    <t>Q4204457</t>
  </si>
  <si>
    <t>[K-PAM F10/KYONGBO]</t>
  </si>
  <si>
    <t>K-PAM F10</t>
  </si>
  <si>
    <t>KYONGBO</t>
  </si>
  <si>
    <t>继电器_20140428121919453.jpg</t>
  </si>
  <si>
    <t>http://www.kyongbo.co.kr/data/tech_view.jsp?bseq=A900119&amp;pageNo=1</t>
  </si>
  <si>
    <t>환경보_20220902084032294.jpg</t>
  </si>
  <si>
    <t>李昌日</t>
  </si>
  <si>
    <t>财务企划部</t>
  </si>
  <si>
    <t>gc200035@posco.net</t>
  </si>
  <si>
    <t>2022-09-13 08:09:10</t>
  </si>
  <si>
    <t>DFR</t>
  </si>
  <si>
    <t>Q4248692</t>
  </si>
  <si>
    <t>EOCR,[FBZ2-WRAUHZ/SCHNEIDER ELECTRIC],AC 220V,0.5-80A,LOW VOLTAGE</t>
  </si>
  <si>
    <t>FBZ2-WRAUHZ</t>
  </si>
  <si>
    <t>3BZ2_FBZ2_i3BZ_iFBZ_EN_20150304124950131.pdf</t>
  </si>
  <si>
    <t>https://www.se.com/ww/resources/sites/SCHNEIDER_ELECTRIC/content/live/FAQS/369000/FA369088/ko_KR/Innovated-nEOCR_Catalog_0219.pdf</t>
  </si>
  <si>
    <t>Schneider Electric_EOCR_FBZ2-WRAUHZ_20230614150503354.jpg</t>
  </si>
  <si>
    <t>AKHMAD FAUZI</t>
  </si>
  <si>
    <t>akhmad.f@krakatauposco.co.id</t>
  </si>
  <si>
    <t>2023-06-27 08:06:59</t>
  </si>
  <si>
    <t>Q4256007</t>
  </si>
  <si>
    <t>OCR,[AKC-01A/ENTES],AC110-220V,0.5-5A,0.5-2.5,5A,LOW VOLTAGE</t>
  </si>
  <si>
    <t>AKC-01A</t>
  </si>
  <si>
    <t>ENTES</t>
  </si>
  <si>
    <t>OCR</t>
  </si>
  <si>
    <t>AKC 01_03A_01D_ 03D_ TR-EN A2842_R5_20150427222627138.pdf</t>
  </si>
  <si>
    <t>ENTES AKC-01A_20220801153436178.jpg</t>
  </si>
  <si>
    <t>BAHRI AKGUN</t>
  </si>
  <si>
    <t>BAL-MCSHOP-VEHICLES (ELK)</t>
  </si>
  <si>
    <t>bahri.akgun@poscoassan.com</t>
  </si>
  <si>
    <t>2022-08-02 07:08:34</t>
  </si>
  <si>
    <t>Q4333353</t>
  </si>
  <si>
    <t>[WYGF-D06/WOONYOUNG],AC/DC110~220V 50HZ 0.1~10A/0.1~10SEC 200M , GROUND FAULT RELAY</t>
  </si>
  <si>
    <t>WYGF-D06</t>
  </si>
  <si>
    <t xml:space="preserve"> AC/DC110~220V 50HZ 0.1~10A/0.1~10Sec 200m , GROUND FAULT RELAY</t>
  </si>
  <si>
    <t>EIC-013_20161207103659874.JPG</t>
  </si>
  <si>
    <t>EIC013_20221007114408462.JPG</t>
  </si>
  <si>
    <t>Chutimon Singtana</t>
  </si>
  <si>
    <t>IR Team</t>
  </si>
  <si>
    <t>2022-10-13 07:10:13</t>
  </si>
  <si>
    <t>Q4341643</t>
  </si>
  <si>
    <t>MULTI,[GD3-CP11/KYOUNG BO],80~250VAC/DC,HIGH VOLTAGE</t>
  </si>
  <si>
    <t>GD3-CP11</t>
  </si>
  <si>
    <t>http://www.kyongbo.co.kr/data/guide_view.jsp?bseq=A600092&amp;pageNo=8</t>
  </si>
  <si>
    <t>GD3_CP11_20220216163835100.jpg</t>
  </si>
  <si>
    <t>이명우</t>
  </si>
  <si>
    <t>myongwoo01@posco.co.kr</t>
  </si>
  <si>
    <t>daemul@posco.co.kr</t>
  </si>
  <si>
    <t>2022-02-16 16:02:34</t>
  </si>
  <si>
    <t>Q4353476</t>
  </si>
  <si>
    <t>SGR,[DIPR-SG01/DEESYS],80~250VAC/DC,3A~40A/0.2A~5A ,10V~80V,0.10~60.0S,LOW VOLTAGE,67G/67N/64,OR EQUIVALENT</t>
  </si>
  <si>
    <t>DIPR-SG01</t>
  </si>
  <si>
    <t>67G/67N/64</t>
  </si>
  <si>
    <t>사양검증자료_DIPR-SG01_20170410100232335.jpg</t>
  </si>
  <si>
    <t>http://www.deesys.com/ko-KR/product/?A=1&amp;uid=41</t>
  </si>
  <si>
    <t>김종섭_dipr-sg01_20221208085008342.jpg</t>
  </si>
  <si>
    <t>(광양)도금부 도금정비섹션</t>
  </si>
  <si>
    <t>김종섭</t>
  </si>
  <si>
    <t>2022-12-08 09:12:52</t>
  </si>
  <si>
    <t>Q4386692</t>
  </si>
  <si>
    <t>EOCR,[EOCR-3EZ-80AUH/SCHNEIDER],0.5-80A,LOW VOLTAGE,AC/DC 100~240V</t>
  </si>
  <si>
    <t>EOCR-3EZ-80AUH</t>
  </si>
  <si>
    <t>schneider</t>
  </si>
  <si>
    <t>AC/DC 100~240V</t>
  </si>
  <si>
    <t>https://www.se.com/kr/ko/product/EOCR3EZ-WRAZ7A/%EC%A0%84%EB%A5%98%EA%B3%84%ED%98%95-%EB%94%94%EC%A7%80%ED%83%88-%EA%B3%BC%EC%A0%84%EB%A5%98-%EA%B3%84%EC%A0%84%EA%B8%B0-0-560-a-100-240-v-ac-dc/</t>
  </si>
  <si>
    <t>124515_20230807101828407.png</t>
  </si>
  <si>
    <t>캡처_20230807101828416.PNG</t>
  </si>
  <si>
    <t>윤재욱</t>
  </si>
  <si>
    <t>(포항)선재부 선재정비섹션</t>
  </si>
  <si>
    <t>정현준</t>
  </si>
  <si>
    <t>jkc1788@posco.co.kr</t>
  </si>
  <si>
    <t>2023-08-10 15:08:24</t>
  </si>
  <si>
    <t>Q4397233</t>
  </si>
  <si>
    <t>EOCR,[UYEG-SE80U/ITS],100-240VAC,0.5-80A,LOW VOLTAGE</t>
  </si>
  <si>
    <t>UYEG-SE80U</t>
  </si>
  <si>
    <t>ITS</t>
  </si>
  <si>
    <t>EOCR03_20180203191216651.jpg</t>
  </si>
  <si>
    <t>Q4397233_UYEG-SE_20230112162208727.jpg</t>
  </si>
  <si>
    <t>(광양)후판부 후판정비섹션</t>
  </si>
  <si>
    <t>2023-01-18 09:01:52</t>
  </si>
  <si>
    <t>Q4397911</t>
  </si>
  <si>
    <t>SGR,[GD10-L05A/KYONGBO],AC110-220V,LOW VOLTAGE</t>
  </si>
  <si>
    <t>GD10-L05A</t>
  </si>
  <si>
    <t>13_Nameplate_20180207123043996.jpg</t>
  </si>
  <si>
    <t>https://www.kyongbo.co.kr/data/guide_view.jsp?bseq=A600046&amp;pageNo=11</t>
  </si>
  <si>
    <t>GD10_20250310151212099.png</t>
  </si>
  <si>
    <t>DENNY PRABOWO</t>
  </si>
  <si>
    <t>MUHAMMAD MUNIF</t>
  </si>
  <si>
    <t>m.munif@krakatauposco.co.id</t>
  </si>
  <si>
    <t>2025-03-17 14:03:41</t>
  </si>
  <si>
    <t>Q4400697</t>
  </si>
  <si>
    <t>EOCR,[EVR-3P44/SCHNEIDER],340-480V,LOW VOLTAGE,PHASE MONITORING RELAY</t>
  </si>
  <si>
    <t>EVR-3P44</t>
  </si>
  <si>
    <t>phase monitoring relay</t>
  </si>
  <si>
    <t>EOCR_PMR440N7_20180305200318131.pdf</t>
  </si>
  <si>
    <t>https://www.se.com/kr/ko/about-us/company-purpose/?utm_source=naver&amp;utm_medium=BrandSearch&amp;utm_campaign=Naver+Brand+Search&amp;utm_term=life_is_on&amp;utm_purpose=marketo</t>
  </si>
  <si>
    <t>EVR3P44_20231221133244165.jpg</t>
  </si>
  <si>
    <t>Govind Parmar</t>
  </si>
  <si>
    <t>Common Maintenance</t>
  </si>
  <si>
    <t>2024-01-17 09:01:55</t>
  </si>
  <si>
    <t>Q4418553</t>
  </si>
  <si>
    <t>OVGR,[GVG-CD9/KYOUNG BO],ICS:DC0.5-2A,35-65V,HIGH VOLTAGE,RATING 190V</t>
  </si>
  <si>
    <t>GVG-CD9</t>
  </si>
  <si>
    <t>RATING 190V</t>
  </si>
  <si>
    <t>OVGR</t>
  </si>
  <si>
    <t>Re [그룹자재표준화] 물품등록 회송건 안내_20180720090906328.pdf</t>
  </si>
  <si>
    <t>http://www.kyongbo.co.kr/data/catalog_view.jsp?bseq=A300042&amp;pageNo=1</t>
  </si>
  <si>
    <t>물품등록_GVG-CD9_20221215100056548.jpg</t>
  </si>
  <si>
    <t>김종광</t>
  </si>
  <si>
    <t>(광양)냉연부 냉연정비2섹션</t>
  </si>
  <si>
    <t>jkk8749@posco.co.kr</t>
  </si>
  <si>
    <t>하성호</t>
  </si>
  <si>
    <t>bluesunrise@posco.co.kr</t>
  </si>
  <si>
    <t>2022-12-28 08:12:57</t>
  </si>
  <si>
    <t>Q4418554</t>
  </si>
  <si>
    <t>UVR,[GVU-CD169/KYOUNG BO],ICS:DC0.5-2A,60-90V,HIGH VOLTAGE,RATING 110V,OR EQUIVALENT</t>
  </si>
  <si>
    <t>GVU-CD169</t>
  </si>
  <si>
    <t>RATING 110V</t>
  </si>
  <si>
    <t>UVR</t>
  </si>
  <si>
    <t>Re [그룹자재표준화] 물품등록 회송건 안내_20180720090811688.pdf</t>
  </si>
  <si>
    <t>http://www.kyongbo.co.kr/product/product_view.jsp?flg1=A03&amp;flg2=A0302&amp;flg3=A030203</t>
  </si>
  <si>
    <t>물품등록_GVU-CD169_20221215100924501.jpg</t>
  </si>
  <si>
    <t>2022-12-28 07:12:14</t>
  </si>
  <si>
    <t>Q4427110</t>
  </si>
  <si>
    <t>OCR,[DOC-M32D/DEESYS],DC 110V,HIGH VOLTAGE,DRAW OUT TYPE, 2 PHASE</t>
  </si>
  <si>
    <t>DOC-M32D</t>
  </si>
  <si>
    <t>Draw out TYPE, 2 phase</t>
  </si>
  <si>
    <t>02_02_20181010153810639.pdf</t>
  </si>
  <si>
    <t>IMG_20180831_233303_20220620162709918.jpg</t>
  </si>
  <si>
    <t>朱惠峰</t>
  </si>
  <si>
    <t>zhuhf@posco.net</t>
  </si>
  <si>
    <t>陆晓华</t>
  </si>
  <si>
    <t>luxh@posco.net</t>
  </si>
  <si>
    <t>2022-06-21 10:06:20</t>
  </si>
  <si>
    <t>Q4437281</t>
  </si>
  <si>
    <t>EOCR,[DMP06I-TZ-220/LS],AC 220V,0.5-6A,LOW VOLTAGE</t>
  </si>
  <si>
    <t>DMP06I-TZ-220</t>
  </si>
  <si>
    <t>EMPR 사용설명서(국문)_DMP_20190114165245915.pdf</t>
  </si>
  <si>
    <t>img_20240415150032148.jpg</t>
  </si>
  <si>
    <t>은충환</t>
  </si>
  <si>
    <t>계전과</t>
  </si>
  <si>
    <t>HWAN0828@POSCOENERGY.COM</t>
  </si>
  <si>
    <t>2024-07-15 15:07:33</t>
  </si>
  <si>
    <t>Q4519009</t>
  </si>
  <si>
    <t>EOCR,[ISEMME-WRUH/SCHNEIDER ELECTRIC],100-240VAC,OR EQUIVALENT</t>
  </si>
  <si>
    <t xml:space="preserve">ISEMME-WRUH </t>
  </si>
  <si>
    <t>EOCR ISEMME-WRUH_20210412143956009.pdf</t>
  </si>
  <si>
    <t>https://www.se.com/kr/ko/download/document/EOCR_ISEMME-WRUH/</t>
  </si>
  <si>
    <t>ISEMME-WRUH_20240429162328770.png</t>
  </si>
  <si>
    <t>한우진</t>
  </si>
  <si>
    <t>hanwwjj@posco.co.kr</t>
  </si>
  <si>
    <t>2024-05-27 09:05:41</t>
  </si>
  <si>
    <t>Q4548036</t>
  </si>
  <si>
    <t>EOCR,[IFM420-WRDUWZ/SCHNEIDER ELECTRIC],LOW VOLTAGE,CT(3CT-H3-300-Z) + CABLE(RJ45-003)</t>
  </si>
  <si>
    <t>IFM420-WRDUWZ</t>
  </si>
  <si>
    <t>CT(3CT-H3-300-Z) + CABLE(RJ45-003)</t>
  </si>
  <si>
    <t>Schneider_EOCR_3CT_20211221102324452_20220103093000543.pdf</t>
  </si>
  <si>
    <t>https://www.se.com/kr/ko/download/range/60208-EOCR/</t>
  </si>
  <si>
    <t>EOCR_3CT_20211221100739496_20220103093000423.jpg</t>
  </si>
  <si>
    <t>이상영</t>
  </si>
  <si>
    <t>k2400@posco.co.kr</t>
  </si>
  <si>
    <t>2022-01-12 09:01:41</t>
  </si>
  <si>
    <t>Q4548136</t>
  </si>
  <si>
    <t>THERMAL,[3RN1010-1CB00/SIEMENS],LOW VOLTAGE</t>
  </si>
  <si>
    <t>3RN1010-1CB00</t>
  </si>
  <si>
    <t>SIRIUS_3RN1010_1CB00_Specification_Sheet_20220108004106115.pdf</t>
  </si>
  <si>
    <t xml:space="preserve">https://mall.industry.siemens.com/mall/en/ww/Catalog/Product/3RN1010-1CB00 </t>
  </si>
  <si>
    <t>IMG_20220101_195210_20220108005131752.jpg</t>
  </si>
  <si>
    <t>Prasad Nandgaonkar</t>
  </si>
  <si>
    <t>prasad.n@posco.net</t>
  </si>
  <si>
    <t>2022-01-12 16:01:56</t>
  </si>
  <si>
    <t>Q4548150</t>
  </si>
  <si>
    <t>EOCR,[3M420-HHDUW/SCHNEIDER ELECTRIC],100-240VAC,0.5~80,0~200</t>
  </si>
  <si>
    <t>3M420-HHDUW</t>
  </si>
  <si>
    <t>EOCR-i3M420_iFDM420_20211217130832490_20220103092000512.pdf</t>
  </si>
  <si>
    <t>https://www.se.com/kr/ko/</t>
  </si>
  <si>
    <t>eocr_20211217130808760_20220103092000466.jpg</t>
  </si>
  <si>
    <t>배준철</t>
  </si>
  <si>
    <t>baejc0605@poscofuturem.com</t>
  </si>
  <si>
    <t>2022-01-12 16:01:04</t>
  </si>
  <si>
    <t>Q4549645</t>
  </si>
  <si>
    <t>EOCR,[EOCRSE2-05RS/SCHNEIDER],AC 220V,0.5-6 A,1 - 15 SEC,LOW VOLTAGE,PROTECTION RELAY</t>
  </si>
  <si>
    <t>EOCRSE2-05RS</t>
  </si>
  <si>
    <t>PROTECTION RELAY</t>
  </si>
  <si>
    <t>EOCR-SE2 DATASHEET_20220125000805062.pdf</t>
  </si>
  <si>
    <t>https://download.schneider-electric.com/files?p_enDocType=Catalog&amp;p_File_Name=EOCR+catalog_EN.pdf&amp;p_Doc_Ref=1588-2630</t>
  </si>
  <si>
    <t>EOCRSE2-05RS_20220125000403142.jpg</t>
  </si>
  <si>
    <t>Bhupendra Kulkrni</t>
  </si>
  <si>
    <t>Stores</t>
  </si>
  <si>
    <t>Bhupendra.Kulkarni@posco.net</t>
  </si>
  <si>
    <t>2022-01-26 08:01:24</t>
  </si>
  <si>
    <t>Q4549657</t>
  </si>
  <si>
    <t>EOCR,[EOCRSE2-60RS/SCHNEIDER],AC 220V,5-60 A,1 - 15 SEC,LOW VOLTAGE,FOR PROTECTION RELAY</t>
  </si>
  <si>
    <t>EOCRSE2-60RS</t>
  </si>
  <si>
    <t>FOR PROTECTION RELAY</t>
  </si>
  <si>
    <t>EOCR-SE2 DATASHEET_20220125000631433.pdf</t>
  </si>
  <si>
    <t>EOCRSE2-60RS_20220125000443191.jpg</t>
  </si>
  <si>
    <t>2022-01-26 08:01:12</t>
  </si>
  <si>
    <t>Q4550199</t>
  </si>
  <si>
    <t>[VSP 3/MINILEC]+SYSTEM SUPPLY 415 V AC , 3 PHASE , 1 NO CONTACT,LOW VOLTAGE,FOR SINGLE PHASING PREVENTOR</t>
  </si>
  <si>
    <t>VSP 3</t>
  </si>
  <si>
    <t>MINILEC</t>
  </si>
  <si>
    <t>SYSTEM SUPPLY 415 V AC , 3 PHASE , 1 NO CONTACT</t>
  </si>
  <si>
    <t xml:space="preserve">FOR SINGLE PHASING PREVENTOR </t>
  </si>
  <si>
    <t>https://www.minilecgroup.com/products/vsp3/</t>
  </si>
  <si>
    <t>20220202_064617_20220203104734231.jpg</t>
  </si>
  <si>
    <t>2022-02-03 16:02:25</t>
  </si>
  <si>
    <t>Q4551322</t>
  </si>
  <si>
    <t>[MT-63/LS],100-240VAC,HIGH VOLTAGE</t>
  </si>
  <si>
    <t>MT-63</t>
  </si>
  <si>
    <t>MT-63 _20220210183619317.pdf</t>
  </si>
  <si>
    <t>https://www.seagatecontrols.com/wp-content/uploads/2014/11/AltechMC.pdf</t>
  </si>
  <si>
    <t>download_20220210183619384.jpg</t>
  </si>
  <si>
    <t>20220111_113226_20220210183619392.jpg</t>
  </si>
  <si>
    <t>Vrushikesh Vijay Mhamunkar</t>
  </si>
  <si>
    <t>vrushikesh.m2@posco.net</t>
  </si>
  <si>
    <t>2022-02-14 13:02:11</t>
  </si>
  <si>
    <t>Q4551657</t>
  </si>
  <si>
    <t>MULTI,[SEL-700G/SCHWEITZER ENGINEERING LABORATORIES],DC 24V,LOW VOLTAGE,OR EQUIVALENT</t>
  </si>
  <si>
    <t>SEL-700G</t>
  </si>
  <si>
    <t>SCHWEITZER ENGINEERING LABORATORIES</t>
  </si>
  <si>
    <t>https://cms-cdn.selinc.com/assets/Literature/Product%20Literature/Flyers/700G_PF00211.pdf?v=20200522-144851</t>
  </si>
  <si>
    <t>SEL-700G_20220209173408309.png</t>
  </si>
  <si>
    <t>정영균</t>
  </si>
  <si>
    <t>(광양)선강설비부 고로정비섹션</t>
  </si>
  <si>
    <t>김용직</t>
  </si>
  <si>
    <t>2022-02-16 09:02:13</t>
  </si>
  <si>
    <t>Q4552136</t>
  </si>
  <si>
    <t>EOCR,[DSP-CTM-10Z7-P/SAMWHA DSP],100-240VAC,0.5~10A,LOW VOLTAGE,4~20MA</t>
  </si>
  <si>
    <t>DSP-CTM-10Z7-P</t>
  </si>
  <si>
    <t>SAMWHA DSP</t>
  </si>
  <si>
    <t>4~20MA</t>
  </si>
  <si>
    <t>https://www.samwhadsp.com/products/detail/D93RP00181?page=1&amp;returnCate=127&amp;cate=127&amp;</t>
  </si>
  <si>
    <t>DSP-CTM_20220208151033604.png</t>
  </si>
  <si>
    <t>이상현</t>
  </si>
  <si>
    <t>cool5542@posco.co.kr</t>
  </si>
  <si>
    <t>2022-02-21 10:02:55</t>
  </si>
  <si>
    <t>Q4552144</t>
  </si>
  <si>
    <t>EOCR,[DSP-CTM-70Z7-P/SAMWHA DSP],100-240VAC,5~70A,LOW VOLTAGE,4~20MA</t>
  </si>
  <si>
    <t>DSP-CTM-70Z7-P</t>
  </si>
  <si>
    <t>DSP-CTM_20220208151629026.png</t>
  </si>
  <si>
    <t>2022-02-21 10:02:02</t>
  </si>
  <si>
    <t>Q4552174</t>
  </si>
  <si>
    <t>[K3ER-380C/KEM],AC380V,1A1B,LOW VOLTAGE,FOR NEGATIVE-PHASE RELAY</t>
  </si>
  <si>
    <t>K3ER-380C</t>
  </si>
  <si>
    <t>KEM</t>
  </si>
  <si>
    <t>FOR NEGATIVE-PHASE RELAY</t>
  </si>
  <si>
    <t>K3ER-380C-2_20220208142416998_20220221080356847.pdf</t>
  </si>
  <si>
    <t>http://kem.co/product/nagative-phase-relay/view.php?uid=57&amp;b_category1=5&amp;b_category2=22&amp;b_category3=</t>
  </si>
  <si>
    <t>K3ER-380C_20220208142137028_20220221080356898.jpg</t>
  </si>
  <si>
    <t>김성진</t>
  </si>
  <si>
    <t>설비기술그룹 설비1섹션</t>
  </si>
  <si>
    <t>copy212@poscomobility.com</t>
  </si>
  <si>
    <t>황의석</t>
  </si>
  <si>
    <t>hwangja@poscomobility.com</t>
  </si>
  <si>
    <t>2022-02-21 11:02:13</t>
  </si>
  <si>
    <t>Q4553979</t>
  </si>
  <si>
    <t>OVR,[3RB3026-2QB0/SIEMENS],HIGH VOLTAGE,690VAC,25A,50/60HZ</t>
  </si>
  <si>
    <t>3RB3026-2QB0</t>
  </si>
  <si>
    <t>690VAC,25A,50/60HZ</t>
  </si>
  <si>
    <t>OVR</t>
  </si>
  <si>
    <t>m402_3RB30262QB0_datasheet_en_20220308110408742.pdf</t>
  </si>
  <si>
    <t>https://mall.industry.siemens.com/mall/en/WW/Catalog/Product/3RB3026-2QB0</t>
  </si>
  <si>
    <t>m402_3RB3026-2QB0_G_NSA0_XX_92531J_20220308112536839.jpg</t>
  </si>
  <si>
    <t>m402_3RB3026-2QB0_G_NSA0_XX_92531J_1_20220308113200831.jpg</t>
  </si>
  <si>
    <t>AURINO PASADHA ADITYAWAN</t>
  </si>
  <si>
    <t>Facility Department</t>
  </si>
  <si>
    <t>aurino.pa@krakatauposco.co.id</t>
  </si>
  <si>
    <t>2022-03-14 08:03:53</t>
  </si>
  <si>
    <t>Q4554349</t>
  </si>
  <si>
    <t>POSCO-CHPC</t>
  </si>
  <si>
    <t>OVGR,[NJDC-17(D)/2Z/CHINT],DC 24V,LOW VOLTAGE</t>
  </si>
  <si>
    <t>NJDC-17(D)/2Z</t>
  </si>
  <si>
    <t>CHINT</t>
  </si>
  <si>
    <t>https://www.chint.net/zh/index.php/product/detail/id/306.html</t>
  </si>
  <si>
    <t>继电器_20220316122217888.jpg</t>
  </si>
  <si>
    <t>继电器参数_20220316122237791.jpg</t>
  </si>
  <si>
    <t>方琪</t>
  </si>
  <si>
    <t>支援2team</t>
  </si>
  <si>
    <t>fangqi@posco.net</t>
  </si>
  <si>
    <t>尹贤婷</t>
  </si>
  <si>
    <t>生产部</t>
  </si>
  <si>
    <t>yinxianting@posco.net</t>
  </si>
  <si>
    <t>2022-03-17 07:03:23</t>
  </si>
  <si>
    <t>Q4556122</t>
  </si>
  <si>
    <t>MULTI,[7UT85 (P/N:P1F580676)/SIEMENS],80~250VAC/DC,HIGH VOLTAGE,FOR PZSS SMP DEP SVG</t>
  </si>
  <si>
    <t>7UT85 (P/N:P1F580676)</t>
  </si>
  <si>
    <t>FOR PZSS SMP DEP SVG</t>
  </si>
  <si>
    <t>IMG_20220303_160738_20220315150110107.jpg</t>
  </si>
  <si>
    <t>IMG_20220303_160716_20220315145927938.jpg</t>
  </si>
  <si>
    <t>IMG_20220303_160819_20220315150209686.jpg</t>
  </si>
  <si>
    <t>智涛涛</t>
  </si>
  <si>
    <t>制钢整备科</t>
  </si>
  <si>
    <t>zhitt@posco.net</t>
  </si>
  <si>
    <t>栗小伟</t>
  </si>
  <si>
    <t>lixw@posco.net</t>
  </si>
  <si>
    <t>2022-04-04 10:04:27</t>
  </si>
  <si>
    <t>Q4557002</t>
  </si>
  <si>
    <t>OCR,[LT4706M7S/SCHNEIDER ELECTRIC],100-240VAC,0.5~6A,0~10SEG,LOW VOLTAGE</t>
  </si>
  <si>
    <t>LT4706M7S</t>
  </si>
  <si>
    <t>LT4706M7S DATASHEET_20220409013854061.pdf</t>
  </si>
  <si>
    <t>LT4730F7S_20220409014337209.png</t>
  </si>
  <si>
    <t>Ramirez Bazaldua Fernando</t>
  </si>
  <si>
    <t>fernando.bazaldua@posco.net</t>
  </si>
  <si>
    <t>2022-04-12 10:04:20</t>
  </si>
  <si>
    <t>Q4560832</t>
  </si>
  <si>
    <t>THERMAL,[MT-12/2H1.3/LS],AC 220V,1.0-1.6A,LOW VOLTAGE,THERMAL OVERLOAD RELAY</t>
  </si>
  <si>
    <t>MT-12/2H1.3</t>
  </si>
  <si>
    <t>THERMAL OVERLOAD RELAY</t>
  </si>
  <si>
    <t>MT-12주문형명_20220511162815152_20220512083000298.png</t>
  </si>
  <si>
    <t>https://www.ls-electric.com/ko/product/view/P01260</t>
  </si>
  <si>
    <t>MT-12_20220511162147152_20220512083000269.png</t>
  </si>
  <si>
    <t>이상봉</t>
  </si>
  <si>
    <t>권태관</t>
  </si>
  <si>
    <t>2022-05-23 14:05:53</t>
  </si>
  <si>
    <t>Q4561463</t>
  </si>
  <si>
    <t>[STP-K130/SANION],80~250VAC/DC,LOW VOLTAGE</t>
  </si>
  <si>
    <t>STP-K130</t>
  </si>
  <si>
    <t>SANION</t>
  </si>
  <si>
    <t>STP-2_20220512094253425_20220518092001170.JPG</t>
  </si>
  <si>
    <t>http://www.sanion.com/default/information/sub1.php</t>
  </si>
  <si>
    <t>STP-K130_20220512094241499_20220518092001136.JPG</t>
  </si>
  <si>
    <t>2022-05-30 09:05:50</t>
  </si>
  <si>
    <t>Q4561466</t>
  </si>
  <si>
    <t>MULTI,[DSP-AOM-ZCT/SAMWHADSP],100-240VAC,LOW VOLTAGE</t>
  </si>
  <si>
    <t>DSP-AOM-ZCT</t>
  </si>
  <si>
    <t>SAMWHADSP</t>
  </si>
  <si>
    <t>모터보호계전기-2_20220525134752216_20220525172000482.JPG</t>
  </si>
  <si>
    <t>https://www.samwhadsp.com/_uploadFiles/board/202012/3GliDOGonq.pdf</t>
  </si>
  <si>
    <t>모터보호계전기_20220525134557449_20220525172000448.JPG</t>
  </si>
  <si>
    <t>2022-05-30 09:05:13</t>
  </si>
  <si>
    <t>Q4563456</t>
  </si>
  <si>
    <t>MULTI,[HGMAPSTNRC5D1F6A1A5RT/HYUNDAI ELECTRIC],DC 110V,HIGH VOLTAGE</t>
  </si>
  <si>
    <t>HGMAPSTNRC5D1F6A1A5RT</t>
  </si>
  <si>
    <t>HGMAP-ST+Manual(Retrofit)_R02_211124_20211124130453_20220531102003434.pdf</t>
  </si>
  <si>
    <t>https://www.hyundai-electric.com/elec/ko/customer/downloadList.jsp?paging.pageNo=1&amp;boardCode=download&amp;code1=&amp;code2=&amp;code3=&amp;searchKey=all&amp;searchValue=HGMAP</t>
  </si>
  <si>
    <t>HGMAP-RT_외형도_20220531101926227.png</t>
  </si>
  <si>
    <t>박병주</t>
  </si>
  <si>
    <t>pbj0320@posco.co.kr</t>
  </si>
  <si>
    <t>2022-06-20 08:06:32</t>
  </si>
  <si>
    <t>Q4564385</t>
  </si>
  <si>
    <t>THERMAL,[MT-63 3H/LS]+220VAC ,50/60HZ,AC 220V,35-50A,LOW VOLTAGE,FOR CONTACTOR MC50A</t>
  </si>
  <si>
    <t>MT-63 3H</t>
  </si>
  <si>
    <t>220VAC ,50/60HZ</t>
  </si>
  <si>
    <t>FOR CONTACTOR MC50A</t>
  </si>
  <si>
    <t>mt_63_20220622110336720.pdf</t>
  </si>
  <si>
    <t>https://www.ls-electric.com/products/view/Smart_Power_Solution/Low_Voltage/Contactor_&amp;_Overload_Relay/Metasol_MS</t>
  </si>
  <si>
    <t>download (11)_20220622110841755.jpg</t>
  </si>
  <si>
    <t>2022-06-28 09:06:16</t>
  </si>
  <si>
    <t>Q4566634</t>
  </si>
  <si>
    <t>MULTI,[HGMAPSFZRC5D1F6A1A5RM/HYUNDAI ELECTRIC],DC 110V,HIGH VOLTAGE,OR EQUIVALENT</t>
  </si>
  <si>
    <t>HGMAPSFZRC5D1F6A1A5RM</t>
  </si>
  <si>
    <t>_HGMAP-R-SF+Manual_R03_211109_20211124082146_20220709100702842.pdf</t>
  </si>
  <si>
    <t xml:space="preserve">https://www.hyundai-electric.com/elec/ko/customer/downloadList.jsp?paging.pageNo=1&amp;boardCode=download&amp;code1=&amp;code2=&amp;code3=&amp;searchKey=all&amp;searchValue=HGMAP </t>
  </si>
  <si>
    <t>HGMAP-RT_외형도_20220709100625438.png</t>
  </si>
  <si>
    <t>홍기</t>
  </si>
  <si>
    <t>redflag@posco.co.kr</t>
  </si>
  <si>
    <t>2022-07-18 14:07:34</t>
  </si>
  <si>
    <t>Q4566692</t>
  </si>
  <si>
    <t>THERMAL,[LRD10/SCHNEIDER ELECTRIC],AC 220V,4-6,LOW VOLTAGE,FOR OVERLOAD BOILER</t>
  </si>
  <si>
    <t>LRD10</t>
  </si>
  <si>
    <t>FOR OVERLOAD BOILER</t>
  </si>
  <si>
    <t>TeSys LRD_LRD10_20220718120654270.pdf</t>
  </si>
  <si>
    <t>https://www.se.com/my/en/product/LRD10/tesys-lrd-thermal-overload-relays-4-6-a-class-10a/</t>
  </si>
  <si>
    <t>download_20220718121220091.jpg</t>
  </si>
  <si>
    <t>2022-07-19 07:07:03</t>
  </si>
  <si>
    <t>Q4566694</t>
  </si>
  <si>
    <t>THERMAL,[LRD350/SCHNEIDER ELECTRIC],AC 220V,37-50A,LOW VOLTAGE,FOR OVERLOAD BOILER</t>
  </si>
  <si>
    <t>LRD350</t>
  </si>
  <si>
    <t>TeSys Deca overload relays_LRD350_20220718122611921.pdf</t>
  </si>
  <si>
    <t>https://www.se.com/ww/en/product/LRD350/tesys-deca-thermal-overload-relays-37-50-a-class-10a/</t>
  </si>
  <si>
    <t>images (3)_20220718123107500.jpg</t>
  </si>
  <si>
    <t>2022-07-19 07:07:21</t>
  </si>
  <si>
    <t>Q4567735</t>
  </si>
  <si>
    <t>POSCO-TBPC</t>
  </si>
  <si>
    <t>THERMAL,[RM17TG00/SCHNEIDER],AC 440V,5 A</t>
  </si>
  <si>
    <t>RM17TG00</t>
  </si>
  <si>
    <t>5 A</t>
  </si>
  <si>
    <t>https://www.se.com/ww/en/product/RM17TG00/harmony-modular-3phase-supply-control-relay-5-a-1-co-208-480-v-ac/</t>
  </si>
  <si>
    <t>RM17TG00_20220720175933947.JPG</t>
  </si>
  <si>
    <t>PANITA  LEELASART</t>
  </si>
  <si>
    <t>MNT</t>
  </si>
  <si>
    <t>panita@posco.net</t>
  </si>
  <si>
    <t>KOSON  CHUSRI</t>
  </si>
  <si>
    <t>koson.c@posco.net</t>
  </si>
  <si>
    <t>2022-07-27 08:07:09</t>
  </si>
  <si>
    <t>Q4570665</t>
  </si>
  <si>
    <t>THERMAL,[TK26-012TN/FUJI],12~18A,THERMAL OVERLOAD RELAY, FOR PACKING MACHINE</t>
  </si>
  <si>
    <t>TK26-012TN</t>
  </si>
  <si>
    <t>THERMAL OVERLOAD RELAY, FOR PACKING MACHINE</t>
  </si>
  <si>
    <t>https://www.th.fujielectric.com/en/products/62C9-E-0120.pdf</t>
  </si>
  <si>
    <t>Fuji thermal overload relay TK26-012TN_20220822174905952.jpg</t>
  </si>
  <si>
    <t>2022-08-23 08:08:04</t>
  </si>
  <si>
    <t>Q4571128</t>
  </si>
  <si>
    <t>[3SK1211-2BB40/SIEMENS],DC 24V,LOW VOLTAGE</t>
  </si>
  <si>
    <t>3SK1211-2BB40</t>
  </si>
  <si>
    <t>Relay 3sk1211-2bb40_20220823050641721.pdf</t>
  </si>
  <si>
    <t>Relay 3sk1211-2bb40_20220823050743239.pdf</t>
  </si>
  <si>
    <t>https://mall.industry.siemens.com/mall/es/es/Catalog/Product/3SK1211-2BB40</t>
  </si>
  <si>
    <t>Relay 3sk1211-2bb40_20220823052717939.jpg</t>
  </si>
  <si>
    <t>2022-08-26 09:08:05</t>
  </si>
  <si>
    <t>Q4571139</t>
  </si>
  <si>
    <t>THERMAL,[3RU5146-4KB0/SIEMENS],AC 440V,57~75A,LOW VOLTAGE</t>
  </si>
  <si>
    <t>3RU5146-4KB0</t>
  </si>
  <si>
    <t>3RU51464KB0_datasheet_20220825013753365.pdf</t>
  </si>
  <si>
    <t>3RU5146-4KB0 Proteccion relay_20220825014100135.png</t>
  </si>
  <si>
    <t>2022-08-26 10:08:55</t>
  </si>
  <si>
    <t>Q4572319</t>
  </si>
  <si>
    <t>THERMAL,[3UA50 00-0K/SIEMENS],0.8-1.25A,LOW VOLTAGE,OVER LOAD RELAY</t>
  </si>
  <si>
    <t>3UA50 00-0K</t>
  </si>
  <si>
    <t>OVER LOAD RELAY</t>
  </si>
  <si>
    <t>https://assets.new.siemens.com/siemens/assets/api/uuid:a783fca9-0d1a-4991-8176-ac6f135a7d89/sicop-datasheet-2017.pdf?ste_sid=a469c73b17409008b4523133065ed908</t>
  </si>
  <si>
    <t>siemens relay_20220908085711834.jpg</t>
  </si>
  <si>
    <t>2022-09-13 10:09:36</t>
  </si>
  <si>
    <t>Q4572320</t>
  </si>
  <si>
    <t>THERMAL,[3UA50 00-1A/SIEMENS],1-1.6A,LOW VOLTAGE,OVER LOAD RELAY</t>
  </si>
  <si>
    <t>3UA50 00-1A</t>
  </si>
  <si>
    <t>siemens relay_20220909041835775.jpg</t>
  </si>
  <si>
    <t>2022-09-13 10:09:51</t>
  </si>
  <si>
    <t>Q4573379</t>
  </si>
  <si>
    <t>THERMAL,[3RU2146-4KB0/SIEMENS],AC 440V,57~75A,LOW VOLTAGE</t>
  </si>
  <si>
    <t>3RU2146-4KB0</t>
  </si>
  <si>
    <t>3RU21464KB0_datasheet_es_20220922030936132.pdf</t>
  </si>
  <si>
    <t>3RU2146-4KB0_20220922031241576.jpg</t>
  </si>
  <si>
    <t>2022-09-22 13:09:48</t>
  </si>
  <si>
    <t>Q4575670</t>
  </si>
  <si>
    <t>[EMG10OV-24VDC/24VDC/1/PHOENIX CONTACT],DC 24V,OUTPUT:5-36V DC, MAX.1A</t>
  </si>
  <si>
    <t>EMG10OV-24VDC/24VDC/1</t>
  </si>
  <si>
    <t>PHOENIX CONTACT</t>
  </si>
  <si>
    <t>OUTPUT:5-36V DC, MAX.1A</t>
  </si>
  <si>
    <t>phoenix-contact-2944229-en_20221013060833251.pdf</t>
  </si>
  <si>
    <t>Solid State Relay_20221013061237025.jpg</t>
  </si>
  <si>
    <t>2022-10-17 07:10:09</t>
  </si>
  <si>
    <t>Q4576017</t>
  </si>
  <si>
    <t>MULTI,[HGMAPSFNRC5D1F6A1A5RM/HYUNDAI ELECTRIC],DC 110V,HIGH VOLTAGE</t>
  </si>
  <si>
    <t>HGMAPSFNRC5D1F6A1A5RM</t>
  </si>
  <si>
    <t>_HGMAP-R-SF+Manual_R03_211109_20211124082146_20221018084224347.pdf</t>
  </si>
  <si>
    <t>HGMAP-RT_외형도_20221018084224634.png</t>
  </si>
  <si>
    <t>임동규</t>
  </si>
  <si>
    <t>dklim2002@posco.co.kr</t>
  </si>
  <si>
    <t>김진우</t>
  </si>
  <si>
    <t>jinuya77@posco.co.kr</t>
  </si>
  <si>
    <t>2022-10-18 15:10:55</t>
  </si>
  <si>
    <t>Q4576355</t>
  </si>
  <si>
    <t>[CM-PFS.S/ABB]+RATED VTG-200-500VAC, FREQUENCY-50/60HZ,HIGH VOLTAGE</t>
  </si>
  <si>
    <t>CM-PFS.S</t>
  </si>
  <si>
    <t>RATED VTG-200-500VAC, FREQUENCY-50/60HZ</t>
  </si>
  <si>
    <t>CM-PFS_data_sheet_20221015174733285.pdf</t>
  </si>
  <si>
    <t>CM-PFS_20221015174602710.jpg</t>
  </si>
  <si>
    <t>Manish Purav</t>
  </si>
  <si>
    <t>manish.purav@posco.net</t>
  </si>
  <si>
    <t>2022-10-21 08:10:49</t>
  </si>
  <si>
    <t>Q4576857</t>
  </si>
  <si>
    <t>THERMAL,[MT-32/3H1.3/LS],AC 220V,1.0~1.6A,LOW VOLTAGE</t>
  </si>
  <si>
    <t>MT-32/3H1.3</t>
  </si>
  <si>
    <t>캡처_20221020131404170_20221021094000800.JPG</t>
  </si>
  <si>
    <t>윤창기</t>
  </si>
  <si>
    <t>(광양)압연설비부 냉연정비1섹션</t>
  </si>
  <si>
    <t>ckyoon@posco.co.kr</t>
  </si>
  <si>
    <t>양승학</t>
  </si>
  <si>
    <t>(K)열연정비</t>
  </si>
  <si>
    <t>pd299596@posco.com</t>
  </si>
  <si>
    <t>2022-10-26 08:10:16</t>
  </si>
  <si>
    <t>Q4577725</t>
  </si>
  <si>
    <t>UVR,[SL-92265/LARSEN &amp; TOUBRO],AC 220V,LOW VOLTAGE,FOR UNDER VOLTAGE RELEASE</t>
  </si>
  <si>
    <t>SL-92265</t>
  </si>
  <si>
    <t>LARSEN &amp; TOUBRO</t>
  </si>
  <si>
    <t>FOR UNDER VOLTAGE RELEASE</t>
  </si>
  <si>
    <t>C-Power-Catalogue L&amp;T ACB_20220929133948555.pdf</t>
  </si>
  <si>
    <t>L&amp;T UVR SL92265_20220929134512617.png</t>
  </si>
  <si>
    <t>2022-11-02 13:11:44</t>
  </si>
  <si>
    <t>Q4578479</t>
  </si>
  <si>
    <t>[EVL350A-24S/H/YM TECH],DC 24V,LOW VOLTAGE,OR EQUIVALENT</t>
  </si>
  <si>
    <t>EVL350A-24S/H</t>
  </si>
  <si>
    <t>YM TECH</t>
  </si>
  <si>
    <t>EVL350A(ALTURAM내부LatchRelay)_20221028161950444_20221031145000413.pdf</t>
  </si>
  <si>
    <t>http://www.goodymt.com/bbs/content.php?co_id=high_volt_relay02</t>
  </si>
  <si>
    <t>1냉연_2.3호기_alturam_b_rroo09_20221028_102116_20221028162138985_20221031145000204.jpg</t>
  </si>
  <si>
    <t>EVL350 RELAY 이미지_20221105144849344.jpg</t>
  </si>
  <si>
    <t>(포항)EIC기술부 자동화설비섹션</t>
  </si>
  <si>
    <t>강민균</t>
  </si>
  <si>
    <t>2022-11-08 13:11:26</t>
  </si>
  <si>
    <t>Q4579131</t>
  </si>
  <si>
    <t>THERMAL,[LRD04/SCHNEIDER],0.4 -0.63A,LOW VOLTAGE</t>
  </si>
  <si>
    <t>LRD04</t>
  </si>
  <si>
    <t>Datasheet_20221109095542265.pdf</t>
  </si>
  <si>
    <t>https://www.se.com/ww/en/product/LRD04/tesys-deca-thermal-overload-relays0-4-0-63aclass-10a/</t>
  </si>
  <si>
    <t>Image_20221109100057867.png</t>
  </si>
  <si>
    <t>Trần Hoài Đức</t>
  </si>
  <si>
    <t>hoaiduc1209@posco-ssvina.com</t>
  </si>
  <si>
    <t>2022-11-14 11:11:30</t>
  </si>
  <si>
    <t>Q4579167</t>
  </si>
  <si>
    <t>[05RM7M/SCHNIDER ELECTRIC],AC 220V,LOW VOLTAGE</t>
  </si>
  <si>
    <t>05RM7M</t>
  </si>
  <si>
    <t xml:space="preserve">SCHNIDER ELECTRIC </t>
  </si>
  <si>
    <t>EOCR_EUCR-05RM7M_20221109202452560.pdf</t>
  </si>
  <si>
    <t>www.se.com/kr/ko/product/EUCR-05RM7M/전자식부족전류-계전기-0-56-a-220-v-ac/</t>
  </si>
  <si>
    <t>Capture_20221109203512867.PNG</t>
  </si>
  <si>
    <t>Mithun Patil</t>
  </si>
  <si>
    <t>2022-11-14 13:11:49</t>
  </si>
  <si>
    <t>Q4579418</t>
  </si>
  <si>
    <t>[EVR400A-24S/YM TECH],DC 24V,HIGH VOLTAGE,OR EQUIVALENT</t>
  </si>
  <si>
    <t>EVR400A-24S</t>
  </si>
  <si>
    <t>http://www.goodymt.com/theme/basic/pdf/EVR400.pdf</t>
  </si>
  <si>
    <t>POWERRELAY_20221107133225667_20221111090000687.png</t>
  </si>
  <si>
    <t>2022-11-15 11:11:19</t>
  </si>
  <si>
    <t>Q4580302</t>
  </si>
  <si>
    <t>[GMP60-TD/LS],AC110-220V,0.5-60A,LOW VOLTAGE,OR EQUIVALENT</t>
  </si>
  <si>
    <t>GMP60-TD</t>
  </si>
  <si>
    <t>[물품분류]모터보호계전기-GMP60T_20221111163048925_20221115164001503.pdf</t>
  </si>
  <si>
    <t>https://2sk.co.kr/shop_view/?idx=2318</t>
  </si>
  <si>
    <t>[물품분류]모터보호계전기실물_20221111162914243_20221115164001389.png</t>
  </si>
  <si>
    <t>2022-11-22 10:11:23</t>
  </si>
  <si>
    <t>Q4583220</t>
  </si>
  <si>
    <t>EOCR,[WYGF-D16NC/WOON YOUNG],ICS:AC220V,NORMAL 0.1-10.0A , HIGH 0.03-1.0A,0.05SEC, 0.1~10.0SEC,MODBUS,OR EQUIVALENT</t>
  </si>
  <si>
    <t>WYGF-D16NC</t>
  </si>
  <si>
    <t>WOON YOUNG</t>
  </si>
  <si>
    <t>MODBUS</t>
  </si>
  <si>
    <t>https://woonyoung.com/page/s0201_mid.php?gcatecode=1337921322&amp;gcname=%EC%A7%80%EB%9D%BD%EA%B2%80%EC%B6%9C%EA%B3%84%EC%A0%84%EA%B8%B0&amp;gn_sub=GFR</t>
  </si>
  <si>
    <t>지락검출계전기_20221202110755424_20221209135001189.jpg</t>
  </si>
  <si>
    <t>김성대</t>
  </si>
  <si>
    <t>ksdno1@posco.co.kr</t>
  </si>
  <si>
    <t>2022-12-14 17:12:24</t>
  </si>
  <si>
    <t>Q4585830</t>
  </si>
  <si>
    <t>EOCR,[DZ 60R220/NQQK],AC 220V,5-60A,0.5S-15S,LOW VOLTAGE,FOR RECTIFIER PLATING COOLING PANEL</t>
  </si>
  <si>
    <t>DZ 60R220</t>
  </si>
  <si>
    <t>NQQK</t>
  </si>
  <si>
    <t>FOR RECTIFIER PLATING COOLING PANEL</t>
  </si>
  <si>
    <t>EOCR PDF_20230106092415428.pdf</t>
  </si>
  <si>
    <t>https://www.nqqkelc.com/electronic-overload-relay/empr-dz-mcu-based-electronic-ground-fault-relay</t>
  </si>
  <si>
    <t>download (3)_20230106093631388.jpg</t>
  </si>
  <si>
    <t>2023-01-06 13:01:21</t>
  </si>
  <si>
    <t>Q4585951</t>
  </si>
  <si>
    <t>EOCR,[EOCRPMZ-WRDUH/SCHNEIDER],100-240VAC,LOW VOLTAGE</t>
  </si>
  <si>
    <t>EOCRPMZ-WRDUH</t>
  </si>
  <si>
    <t>PMZ_PFZ Brochure _30Aug_2021_final (2)_20221011150041848.pdf</t>
  </si>
  <si>
    <t>https://www.se.com/kr/ko/product/EOCRPMZ-WRDUH/multifunction-overload-relay-0-5-60-a-85-250-v-ac-dc/</t>
  </si>
  <si>
    <t>PMZ_20221011145654497.png</t>
  </si>
  <si>
    <t>조민</t>
  </si>
  <si>
    <t>qartmdtla@posco.co.kr</t>
  </si>
  <si>
    <t>2023-01-09 10:01:29</t>
  </si>
  <si>
    <t>Q4587411</t>
  </si>
  <si>
    <t>THERMAL,[TK-13/FUJI],AC110-220V,4-6A,LOW VOLTAGE,OVERLOAD RELAY</t>
  </si>
  <si>
    <t>TK-13</t>
  </si>
  <si>
    <t>OVERLOAD RELAY</t>
  </si>
  <si>
    <t>overload relay_20230119152539713.jpg</t>
  </si>
  <si>
    <t>https://documents.pub/document/thermal-overload-relay-tk13-tk26-fuji-electric.html?page=1</t>
  </si>
  <si>
    <t>overload relay_20230119152519981.jpg</t>
  </si>
  <si>
    <t>2023-01-20 14:01:29</t>
  </si>
  <si>
    <t>Q4588028</t>
  </si>
  <si>
    <t>MULTI,[EMG 10REL/KSR-G 24/24-LCU/PHOENIX CONTACT],DC 24V,LOW VOLTAGE</t>
  </si>
  <si>
    <t>EMG 10REL/KSR-G 24/24-LCU</t>
  </si>
  <si>
    <t>phoenix-contact-2940359-es_20230127061944213.pdf</t>
  </si>
  <si>
    <t>EMG 10-REL-KSR-G 24-21-LCU_20230127062348919.png</t>
  </si>
  <si>
    <t>2023-01-30 09:01:17</t>
  </si>
  <si>
    <t>Q4588029</t>
  </si>
  <si>
    <t>MULTI,[EMG 17-REL/KSR-24/21-21-LC AU/PHOENIX CONTACT],DC 24V,LOW VOLTAGE</t>
  </si>
  <si>
    <t>EMG 17-REL/KSR-24/21-21-LC AU</t>
  </si>
  <si>
    <t>phoenix-contact-2941439-en_20230127063735507.pdf</t>
  </si>
  <si>
    <t>EMG 17-REL-KSR-24-21-21-LC AU_20230127064253663.png</t>
  </si>
  <si>
    <t>2023-01-30 09:01:34</t>
  </si>
  <si>
    <t>Q4588458</t>
  </si>
  <si>
    <t>EOCR,[DSP-AOL-C2Z7-ZCT/SAMHWA DSP],100-240VAC,20~200A,OR EQUIVALENT</t>
  </si>
  <si>
    <t>DSP-AOL-C2Z7-ZCT</t>
  </si>
  <si>
    <t>SAMHWA DSP</t>
  </si>
  <si>
    <t>2제강_자재_Catalog_DSPAOL_20230127112735954_20230201084003651.pdf</t>
  </si>
  <si>
    <t>https://www.samwhadsp.com/products/detail/D93RP00169?page=1&amp;returnCate=127&amp;cate=127&amp;</t>
  </si>
  <si>
    <t>dspaol_20230127112901504_20230201084003595.jpg</t>
  </si>
  <si>
    <t>2023-02-02 10:02:28</t>
  </si>
  <si>
    <t>Q4588504</t>
  </si>
  <si>
    <t>EOCR,[DSP30-ES2-RY/SAMWHA DSP],100-260VAC,3~30A,LOW VOLTAGE</t>
  </si>
  <si>
    <t>DSP30-ES2-RY</t>
  </si>
  <si>
    <t>MotorProtectionRelay_20230118092413718_20230201085001935.pdf</t>
  </si>
  <si>
    <t>https://www.samwhadsp.com/products/detail/D93RP00160?page=1&amp;returnCate=131&amp;cate=131&amp;</t>
  </si>
  <si>
    <t>EOCR_20230118092349728_20230201085001624.png</t>
  </si>
  <si>
    <t>조현기</t>
  </si>
  <si>
    <t>fm@poscointl.com</t>
  </si>
  <si>
    <t>2023-02-02 15:02:27</t>
  </si>
  <si>
    <t>Q4588782</t>
  </si>
  <si>
    <t>THERMAL,[TA200DU200/ABB],AC 110V,LOW VOLTAGE,OVERLOAD RELAY 380A</t>
  </si>
  <si>
    <t>TA200DU200</t>
  </si>
  <si>
    <t>OVERLOAD RELAY 380A</t>
  </si>
  <si>
    <t>https://new.abb.com/products/1SAZ421201R1006/ta200du-200</t>
  </si>
  <si>
    <t>IMG-20230129-WA0014_20230204145441713.jpg</t>
  </si>
  <si>
    <t>Chinmay Sen</t>
  </si>
  <si>
    <t>Q4589064</t>
  </si>
  <si>
    <t>EOCR,[EOCR-SS/SCHNEIDER],AC 220V,3-30A,D-TIME:0.2-30S,O-TIME:0.2-10S,LOW VOLTAGE</t>
  </si>
  <si>
    <t>EOCR-SS</t>
  </si>
  <si>
    <t>EOCR-SS_20230203002808694.pdf</t>
  </si>
  <si>
    <t>http://www.eocr.com.mx/pro01_01.htm</t>
  </si>
  <si>
    <t>QX000581_20230203002808760.gif</t>
  </si>
  <si>
    <t>2023-02-08 09:02:25</t>
  </si>
  <si>
    <t>Q4590145</t>
  </si>
  <si>
    <t>[SENTRY SSR10MP (P/N:2TLA010050R0101)/ABB],80~250VAC/DC,SAFETY RELAY WITH RELAY OUTPUTS 3NO+1NC</t>
  </si>
  <si>
    <t>SENTRY SSR10MP (P/N:2TLA010050R0101)</t>
  </si>
  <si>
    <t>SAFETY RELAY WITH RELAY OUTPUTS 3NO+1NC</t>
  </si>
  <si>
    <t>2TLA010050R0101-sentry-ssr10mp_20230215185137340.pdf</t>
  </si>
  <si>
    <t>https://new.abb.com/products/2TLA010050R0101/sentry-ssr10mp</t>
  </si>
  <si>
    <t>Image_20230215185806816.jpg</t>
  </si>
  <si>
    <t>2023-02-16 15:02:07</t>
  </si>
  <si>
    <t>Q4592716</t>
  </si>
  <si>
    <t>EOCR,[GMP22-2T(1C)/LS],100-260VAC,4.4~22A,HIGH VOLTAGE</t>
  </si>
  <si>
    <t>GMP22-2T(1C)</t>
  </si>
  <si>
    <t>https://www.ls-electric.com/ko/product/view/P01053</t>
  </si>
  <si>
    <t>GMP22-2T(1C)캡처_20230210145519593_20230308084000494.PNG</t>
  </si>
  <si>
    <t>2023-03-10 13:03:39</t>
  </si>
  <si>
    <t>Q4593353</t>
  </si>
  <si>
    <t>EOCR,[GMP60T/LS],AC110-220V,3-60A,0-30S,LOW VOLTAGE</t>
  </si>
  <si>
    <t>GMP60T</t>
  </si>
  <si>
    <t>EMPR_20230214102713840_20230311113431044.pdf</t>
  </si>
  <si>
    <t>https://www.ls-electric.com/ko/download/?dc_id=2</t>
  </si>
  <si>
    <t>EMPR_20230214093816314_20250917112306143.JPG</t>
  </si>
  <si>
    <t>2025-11-16 17:11:15</t>
  </si>
  <si>
    <t>Q4593355</t>
  </si>
  <si>
    <t>EOCR,[LUCB05BL/SCHNIDER],DC 24V,1.25-5A,LOW VOLTAGE</t>
  </si>
  <si>
    <t>LUCB05BL</t>
  </si>
  <si>
    <t>https://www.se.com/ww/en/product/LUCB05BL/advanced-control-unit-tesys-ultra-3p-1-25-to-5a-690vac-protection-diagnostic-class-10-24vdc-coil/</t>
  </si>
  <si>
    <t>05BL_20230310104540828.PNG</t>
  </si>
  <si>
    <t>2023-03-15 15:03:28</t>
  </si>
  <si>
    <t>Q4593356</t>
  </si>
  <si>
    <t>EOCR,[LUCB12BL/SCHNIDER],DC 24V,3~12A,LOW VOLTAGE</t>
  </si>
  <si>
    <t>LUCB12BL</t>
  </si>
  <si>
    <t>https://www.se.com/vn/vi/product/LUCB12BL/advanced-control-unit-tesys-ultra-3p-3-to-12a-690vac-protection-diagnostic-class-10-24vdc-coil/</t>
  </si>
  <si>
    <t>12BL_20230310104945628.PNG</t>
  </si>
  <si>
    <t>2023-03-15 15:03:03</t>
  </si>
  <si>
    <t>Q4593357</t>
  </si>
  <si>
    <t>EOCR,[LUCB32BL/SCHNIDER],DC 24V,8~32A,LOW VOLTAGE</t>
  </si>
  <si>
    <t>LUCB32BL</t>
  </si>
  <si>
    <t>https://www.se.com/ww/en/product/LUCB32BL/advanced-control-unit-tesys-ultra-3p-8-to-32a-690vac-protection-diagnostic-class-10-24vdc-coil/</t>
  </si>
  <si>
    <t>32bl_20230310105239873.PNG</t>
  </si>
  <si>
    <t>Q4593358</t>
  </si>
  <si>
    <t>EOCR,[LUCBX6BL/SCHNIDER],DC 24V,0.15~0.6A,LOW VOLTAGE</t>
  </si>
  <si>
    <t>LUCBX6BL</t>
  </si>
  <si>
    <t>https://www.se.com/ww/en/product/LUCBX6BL/advanced-control-unit-tesys-ultra-3p-0-15-to-0-6a-690vac-protection-diagnostic-class-10-24vdc-coil/</t>
  </si>
  <si>
    <t>x6bl_20230310110734864.PNG</t>
  </si>
  <si>
    <t>2023-03-15 15:03:04</t>
  </si>
  <si>
    <t>Q4593748</t>
  </si>
  <si>
    <t>EOCR,[GMP22-2PD-22A-220-1C/LS],AC 220V,4.4~22A,D-TIME 0~60SEC,O-TIME 5SEC,LOW VOLTAGE</t>
  </si>
  <si>
    <t>GMP22-2PD-22A-220-1C</t>
  </si>
  <si>
    <t>GMP22-2PD-22A-220-1A1B_20230227190513863_20250708130950663.JPG</t>
  </si>
  <si>
    <t>2025-07-30 17:07:24</t>
  </si>
  <si>
    <t>Q4593749</t>
  </si>
  <si>
    <t>EOCR,[GMP22-2PD-5A-220-1A1B/LS],AC 220V,1~5A,D-TIME 0~60SEC,O-TIME 5SEC,LOW VOLTAGE</t>
  </si>
  <si>
    <t>GMP22-2PD-5A-220-1A1B</t>
  </si>
  <si>
    <t>GMP22-2PD-22A-220-1A1B_20230227190800799_20230313084003267.JPG</t>
  </si>
  <si>
    <t>2023-03-20 09:03:12</t>
  </si>
  <si>
    <t>Q4593750</t>
  </si>
  <si>
    <t>[DMPS-DELD-08/DAEMYUNGENT],AC110-220V,0.2-0.5-1.0A,LOW VOLTAGE</t>
  </si>
  <si>
    <t>DMPS-DELD-08</t>
  </si>
  <si>
    <t>DAEMYUNGENT</t>
  </si>
  <si>
    <t>DELD-08_20230227185139399_20230313083001964.pdf</t>
  </si>
  <si>
    <t>http://edaemyung.com/ELDS</t>
  </si>
  <si>
    <t>DELD-08_20230227185122846_20230313083001932.JPG</t>
  </si>
  <si>
    <t>2023-03-20 09:03:01</t>
  </si>
  <si>
    <t>Q4593751</t>
  </si>
  <si>
    <t>EOCR,[FMZ2-WRAUW/SCHNEIDER],100-240VAC,0.5~60A,LOW VOLTAGE</t>
  </si>
  <si>
    <t>FMZ2-WRAUW</t>
  </si>
  <si>
    <t>FMZ2-H1CUW_20230303171752544_20230313090000928.pdf</t>
  </si>
  <si>
    <t>https://www.se.com/kr/ko/download/document/FMZ2-WRAUW_REACH_DECLARATION/</t>
  </si>
  <si>
    <t>FMZ2-H1CUW_20230303171805907_20230313090000898.JPG</t>
  </si>
  <si>
    <t>2023-03-20 09:03:51</t>
  </si>
  <si>
    <t>Q4593753</t>
  </si>
  <si>
    <t>[DMPS-DELD-16/DAEMYUNG ENT],AC110-220V,0.2-0.5-1.0A,LOW VOLTAGE</t>
  </si>
  <si>
    <t>DMPS-DELD-16</t>
  </si>
  <si>
    <t>DAEMYUNG ENT</t>
  </si>
  <si>
    <t>DELD-08_20230303165655429_20230313090003160.pdf</t>
  </si>
  <si>
    <t>DELD-08_20230303165638564_20230313090003125.JPG</t>
  </si>
  <si>
    <t>2023-03-20 09:03:00</t>
  </si>
  <si>
    <t>Q4593963</t>
  </si>
  <si>
    <t>DFR,[DSP-VPR44/SAMWHA DSP],AC 440V,LOW VOLTAGE</t>
  </si>
  <si>
    <t>DSP-VPR44</t>
  </si>
  <si>
    <t>https://www.samwhadsp.com/_uploadFiles/board/202012/VLLWOPKDhi.pdf</t>
  </si>
  <si>
    <t>3HCL_Pump_panel_전장품_hscgood_20230222_094232_20230222101658721_20230313082002145.jpg</t>
  </si>
  <si>
    <t>홍순창</t>
  </si>
  <si>
    <t>hscgood@posco.co.kr</t>
  </si>
  <si>
    <t>2023-03-21 10:03:20</t>
  </si>
  <si>
    <t>Q4593965</t>
  </si>
  <si>
    <t>THERMAL,[3RN2023-2DW30/SIEMENS],80~250VAC/DC,0.85~1.05,0.1~50SEC,LOW VOLTAGE,OR EQUIVALENT,KC CERTIFICATE</t>
  </si>
  <si>
    <t>3RN2023-2DW30</t>
  </si>
  <si>
    <t>https://mall.industry.siemens.com/mall/en/en/Catalog/product?mlfb=3RN2023-2DW30</t>
  </si>
  <si>
    <t>3RN2023-2DW30_20230307091326679_20230313091000259.png</t>
  </si>
  <si>
    <t>박진한</t>
  </si>
  <si>
    <t>handsome1@posco.co.kr</t>
  </si>
  <si>
    <t>2023-03-21 10:03:40</t>
  </si>
  <si>
    <t>Q4593979</t>
  </si>
  <si>
    <t>EOCR,[RM35JA/SCHNEIDER],80~250VAC/DC,LOW VOLTAGE</t>
  </si>
  <si>
    <t>RM35JA</t>
  </si>
  <si>
    <t>Harmony Control Relays_RM35JA32MR_20230306145502614.pdf</t>
  </si>
  <si>
    <t>https://www.se.com/ww/en/product/RM35JA32MR/harmony-modular-1phase-current-control-relay-5-a-2-co-0-1515-a-24240-v-ac-dc/</t>
  </si>
  <si>
    <t>RM35JA_20230306150351885.png</t>
  </si>
  <si>
    <t>2023-03-21 11:03:46</t>
  </si>
  <si>
    <t>Q4593998</t>
  </si>
  <si>
    <t>4E,[RXM4LB1P7/SCHNEIDER],AC 220V,LOW VOLTAGE</t>
  </si>
  <si>
    <t>RXM4LB1P7</t>
  </si>
  <si>
    <t>4E</t>
  </si>
  <si>
    <t>RXM4LB1P7 Harmony _20230320153546550.pdf</t>
  </si>
  <si>
    <t>https://www.schneider-electric.cn/zh/product/RXM4LB1P7/rxm%E5%B0%8F%E5%9E%8B%E7%BB%A7%E7%94%B5%E5%99%A84-c-o-230-v-ac-3-a-%E4%B8%8D%E5%B8%A6led/</t>
  </si>
  <si>
    <t>RXM4LB1P7캡처_20230302163422512_20230313085004129.PNG</t>
  </si>
  <si>
    <t>2023-03-21 13:03:38</t>
  </si>
  <si>
    <t>Q4594005</t>
  </si>
  <si>
    <t>MULTI,[K-PAM-T3300/KYOUNG BO],AC110-220V,HIGH VOLTAGE,OVGR,NSOCR,OCR,OCGR,HOC,RDR,DIFF ALM,REF</t>
  </si>
  <si>
    <t>K-PAM-T3300</t>
  </si>
  <si>
    <t>OVGR,NSOCR,OCR,OCGR,HOC,RDR,DIFF ALM,REF</t>
  </si>
  <si>
    <t>K-PAM_T3300카탈로그_20230228005654483_20230313084001034.pdf</t>
  </si>
  <si>
    <t>https://www.kyongbo.co.kr/</t>
  </si>
  <si>
    <t>K-PAM-T3300캡처_20230228005643878_20230313084000994.PNG</t>
  </si>
  <si>
    <t>2023-03-21 14:03:33</t>
  </si>
  <si>
    <t>Q4594006</t>
  </si>
  <si>
    <t>EOCR,[EOCRSS-05RU/SCHNEIDER],AC 220V,LOW VOLTAGE,1NO+1NCOL</t>
  </si>
  <si>
    <t>EOCRSS-05RU</t>
  </si>
  <si>
    <t>1NO+1NCOL</t>
  </si>
  <si>
    <t>EOCRSS-05RU_20230302100701826_20230313085003150.pdf</t>
  </si>
  <si>
    <t>https://www.se.com/kr/ko/product/EOCRSS-05RU/%EC%A0%84%EC%9E%90-%EA%B3%BC%EC%A0%84%EB%A5%98-%EA%B3%84%EC%A0%84%EA%B8%B0-0-5-6-a-220v-ac/</t>
  </si>
  <si>
    <t>EOCRSS-05RU캡처_20230302100652511_20230313085003104.PNG</t>
  </si>
  <si>
    <t>2023-03-21 14:03:01</t>
  </si>
  <si>
    <t>Q4594007</t>
  </si>
  <si>
    <t>EOCR,[DMP06ITB/LS],AC 220V,LOW VOLTAGE,0~6.5A,BUILT IN ZCT</t>
  </si>
  <si>
    <t>DMP06ITB</t>
  </si>
  <si>
    <t>0~6.5A,BUILT IN ZCT</t>
  </si>
  <si>
    <t>DMP06ITB캡처_20230302095429706_20230313085001971.PNG</t>
  </si>
  <si>
    <t>2023-03-21 14:03:34</t>
  </si>
  <si>
    <t>Q4594008</t>
  </si>
  <si>
    <t>EOCR,[DMP65ITB/LS],AC 220V,LOW VOLTAGE</t>
  </si>
  <si>
    <t>DMP65ITB</t>
  </si>
  <si>
    <t>DMP65ITB캡처_20230302095959615_20230313085001357.PNG</t>
  </si>
  <si>
    <t>2023-03-21 14:03:51</t>
  </si>
  <si>
    <t>Q4594010</t>
  </si>
  <si>
    <t>[GF-T1/KYOUNG BO],AC110-220V,LOW VOLTAGE,GROUND FAULT RELAY,FLUSH MOUNTED TYPE</t>
  </si>
  <si>
    <t>GF-T1</t>
  </si>
  <si>
    <t>GROUND FAULT RELAY,FLUSH MOUNTED TYPE</t>
  </si>
  <si>
    <t>GF-T1카탈로그_20230228034649944_20230313085003390.pdf</t>
  </si>
  <si>
    <t>GF-T1캡처_20230228034639252_20230313085003347.PNG</t>
  </si>
  <si>
    <t>2023-03-21 14:03:47</t>
  </si>
  <si>
    <t>Q4594181</t>
  </si>
  <si>
    <t>EOCR,[EOCRSS-60RU/SCHNEIDER],AC 220V,LOW VOLTAGE</t>
  </si>
  <si>
    <t>EOCRSS-60RU</t>
  </si>
  <si>
    <t>EOCR_EOCRSS-60RU_20230321170739779.pdf</t>
  </si>
  <si>
    <t>https://www.se.com/kr/ko/product/EOCRSS-60RU/%EC%A0%84%EC%9E%90-%EA%B3%BC%EC%A0%84%EB%A5%98-%EA%B3%84%EC%A0%84%EA%B8%B0-0-5-6-a-220v-ac/</t>
  </si>
  <si>
    <t>EOCRSS-60RU캡처_20230302101021298_20230321170739831.PNG</t>
  </si>
  <si>
    <t>2023-03-22 10:03:19</t>
  </si>
  <si>
    <t>Q4594710</t>
  </si>
  <si>
    <t>[WYER-D16NC/WOONYOUNG],DC 24V,LOW VOLTAGE,ELD,EARTH LEAKAGE DETECTOR</t>
  </si>
  <si>
    <t>WYER-D16NC</t>
  </si>
  <si>
    <t>ELD,EARTH LEAKAGE DETECTOR</t>
  </si>
  <si>
    <t>WYER-D16NC_20230307163614118_20230327083927369.pdf</t>
  </si>
  <si>
    <t>https://www.woonyoung.com/page/search_list.php?sercatecode1=&amp;sercatecode2=&amp;itemsearchStr=WYER-D16NC&amp;searchitem=itemname&amp;note5=&amp;catetopcode=&amp;ocatecode=&amp;gnsub=&amp;ogcname=&amp;gcate2code=&amp;stype=&amp;note2=&amp;note3=&amp;note4=</t>
  </si>
  <si>
    <t>WYER-D16NC캡처_20230307163602557_20230327083927496.PNG</t>
  </si>
  <si>
    <t>2023-03-27 10:03:58</t>
  </si>
  <si>
    <t>Q4596685</t>
  </si>
  <si>
    <t>[GD6-L05R/KYONGBO ELECTRIC],AC110-220V,0.2-0.5-1.0A,1OR5A,LOW VOLTAGE</t>
  </si>
  <si>
    <t>GD6-L05R</t>
  </si>
  <si>
    <t>KYONGBO ELECTRIC</t>
  </si>
  <si>
    <t>GD6-L05A.R사양서(V1.20)_20230405165034547_20230410103002520.pdf</t>
  </si>
  <si>
    <t>캡처22_20230405164918684_20230410103002477.JPG</t>
  </si>
  <si>
    <t>이승재</t>
  </si>
  <si>
    <t>lsj5293@poscofuturem.com</t>
  </si>
  <si>
    <t>2023-04-12 15:04:43</t>
  </si>
  <si>
    <t>Q4597294</t>
  </si>
  <si>
    <t>EOCR,[DMP65I-TZ-12-2A1B/LS],5~65A,1~60SEC,LOW VOLTAGE,4 DIGIT,7-SEGMENT,AC/DC85~260V(50HZ/60HZ),2W</t>
  </si>
  <si>
    <t>DMP65I-TZ-12-2A1B</t>
  </si>
  <si>
    <t>4 DIGIT,7-SEGMENT,AC/DC85~260V(50HZ/60HZ),2W</t>
  </si>
  <si>
    <t>[EMPR]_DMP65I-TZ_20230414080540844.pdf</t>
  </si>
  <si>
    <t>DMP65ITZ캡처_20230316131916390_20230811082052769.PNG</t>
  </si>
  <si>
    <t>2023-08-18 13:08:00</t>
  </si>
  <si>
    <t>Q4598407</t>
  </si>
  <si>
    <t>EOCR,[DSP-AOM-70Z7-ZCT-T/SAMWHA DSP],100-240VAC,LOW VOLTAGE,WITH TEMINAL TYPE</t>
  </si>
  <si>
    <t>DSP-AOM-70Z7-ZCT-T</t>
  </si>
  <si>
    <t>WITH TEMINAL TYPE</t>
  </si>
  <si>
    <t>DSP-AOM.AOL Catalog_20230413110310047.pdf</t>
  </si>
  <si>
    <t>https://www.samwhadsp.com/products/detail/D93RP00168?page=1&amp;returnCate=127&amp;cate=127&amp;</t>
  </si>
  <si>
    <t>DSP-AOM_20230413110155803.jpg</t>
  </si>
  <si>
    <t>김동충</t>
  </si>
  <si>
    <t>dc1483@posco.co.kr</t>
  </si>
  <si>
    <t>tmdghsla5@posco.co.kr</t>
  </si>
  <si>
    <t>2023-04-28 17:04:48</t>
  </si>
  <si>
    <t>Q4598529</t>
  </si>
  <si>
    <t>EOCR,[DSP-AOL-10Z7-A/SAMWHA DSP],100-240VAC,LOW VOLTAGE,OR EQUIVALENT</t>
  </si>
  <si>
    <t>DSP-AOL-10Z7-A</t>
  </si>
  <si>
    <t>DSP-AOL-AOM_20230317163805387.pdf</t>
  </si>
  <si>
    <t>DSP-AOL_20230317163129592.jpg</t>
  </si>
  <si>
    <t>2023-05-03 10:05:50</t>
  </si>
  <si>
    <t>Q4598796</t>
  </si>
  <si>
    <t>MULTI,[7UT86/SIEMENS],HIGH VOLTAGE,SHORT CODE: P1F535199</t>
  </si>
  <si>
    <t>7UT86</t>
  </si>
  <si>
    <t>SHORT CODE: P1F535199</t>
  </si>
  <si>
    <t>P1F535199_20230503150526137.pdf</t>
  </si>
  <si>
    <t>P1F535199_20230503150526010.pdf</t>
  </si>
  <si>
    <t>https://www.siemens.com/global/en/products/energy/energy-automation-and-smart-grid/protection-relays-and-control/siprotec-5/transformer-differential-protection/transformer-differential-protection-siprotec-7ut86.html</t>
  </si>
  <si>
    <t>7ut86_20230503150526173.PNG</t>
  </si>
  <si>
    <t>7ut86-2_20230503150526190.png</t>
  </si>
  <si>
    <t>2023-05-08 07:05:45</t>
  </si>
  <si>
    <t>Q4599154</t>
  </si>
  <si>
    <t>EOCR,[GMP60T-30A-110-1C(N)/LS],AC 110V,3~30A,0~30S,0~15S,LOW VOLTAGE,OR EQUIVALENT</t>
  </si>
  <si>
    <t>GMP60T-30A-110-1C(N)</t>
  </si>
  <si>
    <t>230403_A2_광)제선설비부원료정비_GMP60T-30A-110-1C(N)-카탈로그_20230403162929344_20230428163740582.pdf</t>
  </si>
  <si>
    <t>230403_A2_광)제선설비부원료정비_GMP60T-30A-110-1C(N)-사진_20230403162554947_20230428163740635.png</t>
  </si>
  <si>
    <t>김진태</t>
  </si>
  <si>
    <t>(광양)제선설비부 원료정비섹션</t>
  </si>
  <si>
    <t>박혁</t>
  </si>
  <si>
    <t>parkh1203@posco.co.kr</t>
  </si>
  <si>
    <t>2023-05-10 09:05:05</t>
  </si>
  <si>
    <t>Q4599155</t>
  </si>
  <si>
    <t>EOCR,[EOCRFEZ-80AUH/SCHNEIDER ELECTRIC],100-240VAC,5~80A,LOW VOLTAGE,CABLE-RJ45-005</t>
  </si>
  <si>
    <t>EOCRFEZ-80AUH</t>
  </si>
  <si>
    <t>CABLE-RJ45-005</t>
  </si>
  <si>
    <t>https://www.se.com/kr/ko/product-range/60208-eocr/?parent-subcategory-id=1520&amp;filter=business-1-%EC%9E%90%EB%8F%99%ED%99%94-%EB%B0%8F-%EC%A0%9C%EC%96%B4#documents</t>
  </si>
  <si>
    <t>230330_A2_광)제선설비부원료정비_EOCRFEZ-80AUH사진_20230330132654701_20230822171147222.jpg</t>
  </si>
  <si>
    <t>2023-08-29 08:08:43</t>
  </si>
  <si>
    <t>Q4600479</t>
  </si>
  <si>
    <t>[GIMAC-2PLUS-NO-RS-M-5A-60HZ-AC/DC110V-DI_AC/DC110V/LS],LOW VOLTAGE,AC/DC110V</t>
  </si>
  <si>
    <t>GIMAC-2PLUS-NO-RS-M-5A-60HZ-AC/DC110V-DI_AC/DC110V</t>
  </si>
  <si>
    <t>AC/DC110V</t>
  </si>
  <si>
    <t>www.ls-electric.com/ko/product/view/P01081</t>
  </si>
  <si>
    <t>GIMAC-2PLUS_20230510105959690_20230519172000854.JPG</t>
  </si>
  <si>
    <t>황성욱</t>
  </si>
  <si>
    <t>음극소재사업소(사용중지)</t>
  </si>
  <si>
    <t>2023-05-22 14:05:54</t>
  </si>
  <si>
    <t>Q4600509</t>
  </si>
  <si>
    <t>EOCR,[MT-32/2H7.5/LS],AC 220V,6-9A,LOW VOLTAGE,IP20</t>
  </si>
  <si>
    <t>MT-32/2H7.5</t>
  </si>
  <si>
    <t>IP20</t>
  </si>
  <si>
    <t>MT-32_Catalog_20230511113144845_20230519172001159.pdf</t>
  </si>
  <si>
    <t>MT-32_20230511112824763_20230519172001123.PNG</t>
  </si>
  <si>
    <t>안경민</t>
  </si>
  <si>
    <t>설비기술그룹 설비2섹션</t>
  </si>
  <si>
    <t>rudals1659@poscomobility.com</t>
  </si>
  <si>
    <t>김민오</t>
  </si>
  <si>
    <t>mino7557@poscomobility.com</t>
  </si>
  <si>
    <t>2023-05-22 16:05:40</t>
  </si>
  <si>
    <t>Q4601286</t>
  </si>
  <si>
    <t>MULTI,[SUR-K110-FI/SANION],DC 110V,HIGH VOLTAGE,DC125/250V</t>
  </si>
  <si>
    <t>SUR-K110-FI</t>
  </si>
  <si>
    <t>DC125/250V</t>
  </si>
  <si>
    <t>http://sanion.com/default/information/sub1.php?com_board_basic=read_form&amp;com_board_idx=20&amp;&amp;com_board_search_code=&amp;com_board_search_value1=&amp;com_board_search_value2=&amp;com_board_page=&amp;&amp;com_board_id=11&amp;&amp;com_board_id=11</t>
  </si>
  <si>
    <t>SUR-K110-FI이미지_20230403133124827_20230410103000801.jpg</t>
  </si>
  <si>
    <t>박상욱</t>
  </si>
  <si>
    <t>qtd0928@posco.co.kr</t>
  </si>
  <si>
    <t>2023-05-30 16:05:16</t>
  </si>
  <si>
    <t>Q4601288</t>
  </si>
  <si>
    <t>MULTI,[SBP-K110-CU/SANION],DC 110V,HIGH VOLTAGE,DC125/250V,OR EQUIVALENT</t>
  </si>
  <si>
    <t>SBP-K110-CU</t>
  </si>
  <si>
    <t>http://sanion.com/default/product1/sub2_32.php</t>
  </si>
  <si>
    <t>세니온SBP-K110-CU_20230403100302026_20230410103001806.jpg</t>
  </si>
  <si>
    <t>2023-05-30 16:05:52</t>
  </si>
  <si>
    <t>Q4601376</t>
  </si>
  <si>
    <t>MULTI,[SBP-K110-BU/SANION],DC 110V,HIGH VOLTAGE,DC125V,OR EQUIVALENT</t>
  </si>
  <si>
    <t>SBP-K110-BU</t>
  </si>
  <si>
    <t>DC125V</t>
  </si>
  <si>
    <t>세니온-K110-BU 사양_20230531083753761.jpg</t>
  </si>
  <si>
    <t>http://sanion.com/default/product1/sub2_33.php</t>
  </si>
  <si>
    <t>세니온SBP-K110-BU_20230403093554026_20230531083753834.jpg</t>
  </si>
  <si>
    <t>2023-05-31 11:05:51</t>
  </si>
  <si>
    <t>dc250v 정현효 요청</t>
  </si>
  <si>
    <t>Q4602364</t>
  </si>
  <si>
    <t>MULTI,[AQ-F215-PH0AABA-CDA/ARCTEQ],80~250VAC/DC,HIGH VOLTAGE,DIGITAL OUTPUT MODULE &amp; ARC PROTECTION MODULE,OR EQUIVALENT,KC CERTIFICATE</t>
  </si>
  <si>
    <t>AQ-F215-PH0AABA-CDA</t>
  </si>
  <si>
    <t>ARCTEQ</t>
  </si>
  <si>
    <t>DIGITAL OUTPUT MODULE &amp; ARC PROTECTION MODULE</t>
  </si>
  <si>
    <t>https://www.arcteq.fi/wp-content/uploads/2023/03/AQ-F215-Feeder-protection-device-instruction-manual-v2.09-English.pdf</t>
  </si>
  <si>
    <t>aq-f215-web-1-v2_20230517152042904.jpg</t>
  </si>
  <si>
    <t>김정웅</t>
  </si>
  <si>
    <t>kimju@posco.co.kr</t>
  </si>
  <si>
    <t>2023-06-09 11:06:32</t>
  </si>
  <si>
    <t>Q4602365</t>
  </si>
  <si>
    <t>MULTI,[AQ-F210-PH8AABA-DAAA/ARCTEQ],80~250VAC/DC,HIGH VOLTAGE,ARC PROTECTION MODULE,OR EQUIVALENT,KC CERTIFICATE</t>
  </si>
  <si>
    <t>AQ-F210-PH8AABA-DAAA</t>
  </si>
  <si>
    <t>ARC PROTECTION MODULE</t>
  </si>
  <si>
    <t>https://www.arcteq.fi/wp-content/uploads/2023/03/AQ-F210-Feeder-protection-device-instruction-manual-v2.09-English.pdf</t>
  </si>
  <si>
    <t>AQ-F210_web_20230517150827344.jpg</t>
  </si>
  <si>
    <t>2023-06-09 11:06:43</t>
  </si>
  <si>
    <t>Q4602541</t>
  </si>
  <si>
    <t>EOCR,[GMP60T/LS],AC 220V,0.5~6A,0-30S,LOW VOLTAGE</t>
  </si>
  <si>
    <t>EOCR_20230531132949716_20230601120002583.pdf</t>
  </si>
  <si>
    <t>https://www.ls-electric.com/ko/search/?k=gmp</t>
  </si>
  <si>
    <t>GMP60T이미지_20230531132935820_20230601120002492.JPG</t>
  </si>
  <si>
    <t>2023-06-12 08:06:34</t>
  </si>
  <si>
    <t>Q4603145</t>
  </si>
  <si>
    <t>EOCR,[3BZ2-WRAUHZ/SCHNEIDER],AC 220V,0.5~60A,LOW VOLTAGE</t>
  </si>
  <si>
    <t>3BZ2-WRAUHZ</t>
  </si>
  <si>
    <t>3BZ2-WRAUHZ_20230227191609300_20230313084001792.pdf</t>
  </si>
  <si>
    <t>https://www.se.com/kr/ko/product/3BZ2-WRAUHZ/eocr3bz2-wr-aa-100240v-/</t>
  </si>
  <si>
    <t>3BZ2-WRAUHZ_20230227191557329_20230313084001728.JPG</t>
  </si>
  <si>
    <t>2023-06-15 15:06:21</t>
  </si>
  <si>
    <t>Q4605188</t>
  </si>
  <si>
    <t>EOCR,[3EBZ-80AUH/SCHNEIDER],AC 220V,LOW VOLTAGE,OR EQUIVALENT</t>
  </si>
  <si>
    <t>3EBZ-80AUH</t>
  </si>
  <si>
    <t>https://www.se.com/kr/ko/faqs/FAQ000240556/</t>
  </si>
  <si>
    <t>EOCR슈나이더_20230627151144321_20230704111001633.png</t>
  </si>
  <si>
    <t>정은재</t>
  </si>
  <si>
    <t>2023-07-05 15:07:25</t>
  </si>
  <si>
    <t>Q4605189</t>
  </si>
  <si>
    <t>EOCR,[3EZ-05AUH/SCHNEIDER],AC 220V,LOW VOLTAGE</t>
  </si>
  <si>
    <t>3EZ-05AUH</t>
  </si>
  <si>
    <t>EOCR슈나이더_20230627151210321_20230705112000318.png</t>
  </si>
  <si>
    <t>2023-07-05 15:07:46</t>
  </si>
  <si>
    <t>Q4606029</t>
  </si>
  <si>
    <t>MULTI,[REF615 ( O/N HBFFAFAGNDA3BNA11G )/ABB],80~250VAC/DC,HIGH VOLTAGE</t>
  </si>
  <si>
    <t xml:space="preserve">REF615 ( O/N HBFFAFAGNDA3BNA11G ) </t>
  </si>
  <si>
    <t>ordering-code-abb-ref615_compress_20230707110736302.pdf</t>
  </si>
  <si>
    <t xml:space="preserve">https://new.abb.com/medium-voltage/digital-substations/protection-relays/feeder-protection-and-control/feeder-protection-and-control-ref615-iec </t>
  </si>
  <si>
    <t>ocr andhika_20230706094420976.png</t>
  </si>
  <si>
    <t>ANDHIKA SAPUTRA AMIR</t>
  </si>
  <si>
    <t>andhika.saputra@krakatauposco.co.id</t>
  </si>
  <si>
    <t>2023-07-14 10:07:15</t>
  </si>
  <si>
    <t>Q4606058</t>
  </si>
  <si>
    <t>[EMR5-W500-1-D/ETN]+ON- AND OFF-DELAYED,LOW VOLTAGE,POWER SUPPLY:AC300~500V,50/60 HZ</t>
  </si>
  <si>
    <t>EMR5-W500-1-D</t>
  </si>
  <si>
    <t>ETN</t>
  </si>
  <si>
    <t>ON- AND OFF-DELAYED</t>
  </si>
  <si>
    <t>POWER SUPPLY:AC300~500V,50/60 HZ</t>
  </si>
  <si>
    <t>Name plate_20230712110447219.PNG</t>
  </si>
  <si>
    <t>eaton.com</t>
  </si>
  <si>
    <t>Image_20230712110431334.PNG</t>
  </si>
  <si>
    <t>2023-07-14 11:07:01</t>
  </si>
  <si>
    <t>Q4606149</t>
  </si>
  <si>
    <t>EOCR,[DSP-VIP-RTM-70Z7-ZCT-E-F/SAMWHADSP],100-240VAC,0.2~70A,0.1~60SEC,LOW VOLTAGE,ETHERNET</t>
  </si>
  <si>
    <t>DSP-VIP-RTM-70Z7-ZCT-E-F</t>
  </si>
  <si>
    <t xml:space="preserve"> SAMWHADSP</t>
  </si>
  <si>
    <t>ETHERNET</t>
  </si>
  <si>
    <t>DSP-VIP-RTM-70Z7-ZCT-F  카다로그_20230622100806387.pdf</t>
  </si>
  <si>
    <t>https://www.samwhadsp.com/products/detail/D93RP00199?page=1&amp;returnCate=127&amp;cate=127&amp;keyword=rtm&amp;</t>
  </si>
  <si>
    <t>EOCR1_20250925133140558.png</t>
  </si>
  <si>
    <t>2025-09-29 16:09:34</t>
  </si>
  <si>
    <t>Q4606150</t>
  </si>
  <si>
    <t>EOCR,[DSP-CCM-E-100Z7-ZCT-F/SAMWHA DSP],100-240VAC,0.2~100A,0.2~60SEC,LOW VOLTAGE,ETHERNET,OR EQUIVALENT</t>
  </si>
  <si>
    <t>DSP-CCM-E-100Z7-ZCT-F</t>
  </si>
  <si>
    <t>DSP-CCM-E-100Z7-ZCT-F 카다로그_20230622101450659.pdf</t>
  </si>
  <si>
    <t>https://www.samwhadsp.com/products/detail/D93RP00176?page=1&amp;returnCate=127&amp;cate=127&amp;keyword=ccm-e&amp;</t>
  </si>
  <si>
    <t>DSP-CCM-E-100Z7-ZCT-F_20230621135417669.png</t>
  </si>
  <si>
    <t>2023-07-14 16:07:02</t>
  </si>
  <si>
    <t>Q4608169</t>
  </si>
  <si>
    <t>[EOCRFDE-80DUH/SCHNIDER ELECTRIC],AC110-220V,5-80A,1-30,80A/100-240-OL(1B1A)+AL(1A)-HOLE-PDM,KC CERTIFICATE</t>
  </si>
  <si>
    <t>EOCRFDE-80DUH</t>
  </si>
  <si>
    <t>80A/100-240-OL(1B1A)+AL(1A)-HOLE-PDM</t>
  </si>
  <si>
    <t>https://www.se.com/kr/ko/product/EOCRFDE-80DUH/electronic-overcurrent-relay-80a-100240-v-overloaded-with-alarm-and-panel-display-meter-hole-type/</t>
  </si>
  <si>
    <t>112_20230803114516038.jpg</t>
  </si>
  <si>
    <t>한필권</t>
  </si>
  <si>
    <t>2segaama@posco.co.kr</t>
  </si>
  <si>
    <t>2023-08-03 14:08:13</t>
  </si>
  <si>
    <t>Q4610676</t>
  </si>
  <si>
    <t>[G9B-12/OMRON],AC 110V,LOW VOLTAGE</t>
  </si>
  <si>
    <t xml:space="preserve">G9B-12 </t>
  </si>
  <si>
    <t>OMRON</t>
  </si>
  <si>
    <t>https://www.ia.omron.com/products/family/967/lineup.html</t>
  </si>
  <si>
    <t>G9B_20230821171412825.jpg</t>
  </si>
  <si>
    <t>2023-08-28 08:08:13</t>
  </si>
  <si>
    <t>Q4613107</t>
  </si>
  <si>
    <t>EOCR,[DSP-AOM -10Z7-ZCT-T/SAMWHADSP],100-240VAC,0.5~10A,LOW VOLTAGE,FOR TEMINAL TYPE</t>
  </si>
  <si>
    <t>DSP-AOM -10Z7-ZCT-T</t>
  </si>
  <si>
    <t>FOR TEMINAL TYPE</t>
  </si>
  <si>
    <t>DSP-AOL-AOM_20230721104331822.pdf</t>
  </si>
  <si>
    <t>DSP-AOM-T_20231016153010092.jpg</t>
  </si>
  <si>
    <t>2023-10-31 09:10:08</t>
  </si>
  <si>
    <t>Q4615940</t>
  </si>
  <si>
    <t>MULTI,[SEL-787-3E/SEL(SCHWEITZER ENGINEERING LABORATORIES)],80~250VAC/DC,HIGH VOLTAGE,OR EQUIVALENT</t>
  </si>
  <si>
    <t>SEL-787-3E</t>
  </si>
  <si>
    <t>SEL(SCHWEITZER ENGINEERING LABORATORIES)</t>
  </si>
  <si>
    <t>787-2-3-4_PF00325 (1)_20230816153403973.pdf</t>
  </si>
  <si>
    <t>https://selinc.com/api/download/110044/</t>
  </si>
  <si>
    <t>787-2-3-4_-1_20230623161836849.jpg</t>
  </si>
  <si>
    <t>전병관</t>
  </si>
  <si>
    <t>rhskdl@posco.co.kr</t>
  </si>
  <si>
    <t>2023-10-13 07:10:09</t>
  </si>
  <si>
    <t>Q4615942</t>
  </si>
  <si>
    <t>MULTI,[SEL-700G/SEL(SCHWEITZER ENGINEERING LABORATORIES)],80~250VAC/DC,HIGH VOLTAGE,OR EQUIVALENT</t>
  </si>
  <si>
    <t>700G_PF00211 (1)_20230816153449075.pdf</t>
  </si>
  <si>
    <t>https://selinc.com/api/download/6340/</t>
  </si>
  <si>
    <t>700g-1_20230623160230319.jpg</t>
  </si>
  <si>
    <t>2023-10-13 07:10:33</t>
  </si>
  <si>
    <t>Q4616180</t>
  </si>
  <si>
    <t>THERMAL,[GTH-12M-0.63/LS],0.4~0.63A,LOW VOLTAGE</t>
  </si>
  <si>
    <t>GTH-12M-0.63</t>
  </si>
  <si>
    <t>minimc카탈로그_20231012135256945_20231012170001639.pdf</t>
  </si>
  <si>
    <t>https://www.ls-electric.com/ko/#</t>
  </si>
  <si>
    <t>gth-12m_20231012135249266_20231012170001558.jpg</t>
  </si>
  <si>
    <t>2023-10-16 11:10:32</t>
  </si>
  <si>
    <t>Q4616187</t>
  </si>
  <si>
    <t>THERMAL,[GTH-12M-1.6/LS],1~1.6A,LOW VOLTAGE</t>
  </si>
  <si>
    <t>GTH-12M-1.6</t>
  </si>
  <si>
    <t>minimc카탈로그_20231012135739868_20231012170001022.pdf</t>
  </si>
  <si>
    <t>gth-12m_20231012135732012_20231012170000946.jpg</t>
  </si>
  <si>
    <t>2023-10-16 11:10:27</t>
  </si>
  <si>
    <t>Q4616424</t>
  </si>
  <si>
    <t>THERMAL,[GTH-12M-0.4/LS],0.25~0.4A,LOW VOLTAGE</t>
  </si>
  <si>
    <t>GTH-12M-0.4</t>
  </si>
  <si>
    <t>minimc카탈로그_20231012134834595_20231016130658281.pdf</t>
  </si>
  <si>
    <t>gth-12m_20231012134825964_20231016130658892.jpg</t>
  </si>
  <si>
    <t>2023-10-18 08:10:10</t>
  </si>
  <si>
    <t>Q4616425</t>
  </si>
  <si>
    <t>THERMAL,[GTH-12M-0.16/LS],0.1~0.16A,LOW VOLTAGE</t>
  </si>
  <si>
    <t>GTH-12M-0.16</t>
  </si>
  <si>
    <t>minimc카탈로그_20231012134350605_20231016130731616.pdf</t>
  </si>
  <si>
    <t>gth-12m_20231012134338632_20231016130731888.jpg</t>
  </si>
  <si>
    <t>2023-10-18 08:10:30</t>
  </si>
  <si>
    <t>Q4619622</t>
  </si>
  <si>
    <t>MULTI,[IRI-PRO-V2-3IEI-5-5/C&amp;S ELECTRIC LTD],HIGH VOLTAGE</t>
  </si>
  <si>
    <t>IRI-PRO-V2-3IEI-5-5</t>
  </si>
  <si>
    <t>C&amp;S ELECTRIC LTD</t>
  </si>
  <si>
    <t>https://cselectric.co.in/wp-content/uploads/2016/03/IRI-PRO-V2.pdf</t>
  </si>
  <si>
    <t>PROTECTION RELAY_20231030205032751.jpg</t>
  </si>
  <si>
    <t>2023-11-16 13:11:53</t>
  </si>
  <si>
    <t>Approval after searching for similar products and confirming data for specification verification._x000D_
유사품 검색 및 사양 검증용 자료 확인후 승인.</t>
  </si>
  <si>
    <t>Q4620542</t>
  </si>
  <si>
    <t>EOCR,[DSP-VIP-5TL-70Z7-ZCT-P/SAMWHA DSP],100-240VAC,0.2~70A,LOW VOLTAGE,OUTPUT 4~20MA,OR EQUIVALENT</t>
  </si>
  <si>
    <t>DSP-VIP-5TL-70Z7-ZCT-P</t>
  </si>
  <si>
    <t>OUTPUT 4~20MA</t>
  </si>
  <si>
    <t>DSP-5EL.5TL.5CL_20231114165928890.pdf</t>
  </si>
  <si>
    <t>https://www.samwhadsp.com/products/detail/D93RP00196?page=3&amp;returnCate=127&amp;cate=127&amp;</t>
  </si>
  <si>
    <t>DSP-5EL.5TL.5CL_20231114165857502.png</t>
  </si>
  <si>
    <t>임은재</t>
  </si>
  <si>
    <t>kokokok@posco.co.kr</t>
  </si>
  <si>
    <t>2023-11-27 11:11:38</t>
  </si>
  <si>
    <t>Q4621712</t>
  </si>
  <si>
    <t>THERMAL,[MT-32/2H1.3/LS ELECTRIC],1~1.6,LOW VOLTAGE,THERMAL OVERLOAD RELAY</t>
  </si>
  <si>
    <t>MT-32/2H1.3</t>
  </si>
  <si>
    <t>LS ELECTRIC</t>
  </si>
  <si>
    <t>3,4단계 PTK 열동형 과부하계전기 사양참고_20231201081646865.JPG</t>
  </si>
  <si>
    <t>3,4단계 PTK 열동형 과부하계전기 이미지_20231201081646966.JPG</t>
  </si>
  <si>
    <t>이관영</t>
  </si>
  <si>
    <t>2ky@poscofuturem.com</t>
  </si>
  <si>
    <t>오진성</t>
  </si>
  <si>
    <t>jsoh12@poscofuturem.com</t>
  </si>
  <si>
    <t>2023-12-07 09:12:53</t>
  </si>
  <si>
    <t xml:space="preserve">MRO e-Caltalog시스템 경유건으로 대체 Maker 미 발굴건, 배압 유니트에 사용하는 제품으로 기 설치된 Relay의 호환성을 위해 특정 사양으로 등록건 확인 후 승인, _x000D_
(특정 사양품감축 관련) 차후 입고시 스케치, 현물 확인을 통한 도면화,일반 사양화, 복수화 전환 검토 요청 필히 부탁드립니다. 감사합니다. _x000D_
</t>
  </si>
  <si>
    <t>Q4621714</t>
  </si>
  <si>
    <t>THERMAL,[MT-32/2H0.33/LS ELECTRIC],0.25~0.4,LOW VOLTAGE,THERMAL OVERLOAD RELAY</t>
  </si>
  <si>
    <t>MT-32/2H0.33</t>
  </si>
  <si>
    <t>3,4단계 PTK 열동형 과부하계전기 사양참고_20231201081708675.JPG</t>
  </si>
  <si>
    <t>3,4단계 PTK 열동형 과부하계전기 이미지_20231201081708709.JPG</t>
  </si>
  <si>
    <t>2023-12-07 09:12:44</t>
  </si>
  <si>
    <t>Q4621715</t>
  </si>
  <si>
    <t>THERMAL,[MT-32/2H0.21/LS ELECTRIC],0.16~0.25,LOW VOLTAGE,THERMAL OVERLOAD RELAY</t>
  </si>
  <si>
    <t>MT-32/2H0.21</t>
  </si>
  <si>
    <t>3,4단계 PTK 열동형 과부하계전기0.16~0.25 사양참고_20231201081807517.JPG</t>
  </si>
  <si>
    <t>3,4단계 PTK 열동형 과부하계전기0.16~0.25 이미지_20231201081807598.JPG</t>
  </si>
  <si>
    <t>2023-12-07 09:12:09</t>
  </si>
  <si>
    <t>Q4622112</t>
  </si>
  <si>
    <t>OCGR,[GD10-L01A/KYOUNG BO],80~250VAC/DC,LOW VOLTAGE</t>
  </si>
  <si>
    <t>GD10-L01A</t>
  </si>
  <si>
    <t>디지털_누전경보기(10회로)_카탈로그_20231211080808895.pdf</t>
  </si>
  <si>
    <t>https://www.kyongbo.co.kr/data/catalog_view.jsp?bseq=A300051&amp;pageNo=2</t>
  </si>
  <si>
    <t>2기_19M_MCC_디지털_누전경보기_표준화_20231211080809026.png</t>
  </si>
  <si>
    <t>홍준용</t>
  </si>
  <si>
    <t>jyhong1@snnc.co.kr</t>
  </si>
  <si>
    <t>2023-12-11 10:12:48</t>
  </si>
  <si>
    <t xml:space="preserve">MRO e-Caltalog시스템 경유건으로 대체 Maker 미 발굴건, 기 설치된 디지털 누전경보기의 호환성을 위해 특정 사양으로 등록건 확인 후 승인, _x000D_
</t>
  </si>
  <si>
    <t>Q4622406</t>
  </si>
  <si>
    <t>EOCR,[IFBZ-WRAUHZ/SCHNEIDER],80~250VAC/DC,0.5-80A,LOW VOLTAGE,WITH CT(3CT-H1-100-Z)+CABLE(RJ45-003),100~240VAC/DC,OR EQUIVALENT,KC CERTIFICATE</t>
  </si>
  <si>
    <t>IFBZ-WRAUHZ</t>
  </si>
  <si>
    <t>WITH CT(3CT-H1-100-Z)+CABLE(RJ45-003),100~240VAC/DC</t>
  </si>
  <si>
    <t>https://www.se.com/kr/ko/search/?q=IFBZ-WRAUHZ&amp;submit=Search</t>
  </si>
  <si>
    <t>EOCR 물품등록_20240103131556250.jpg</t>
  </si>
  <si>
    <t>이승엽</t>
  </si>
  <si>
    <t>carios0128@posco.co.kr</t>
  </si>
  <si>
    <t>2024-02-05 08:02:21</t>
  </si>
  <si>
    <t xml:space="preserve">MRO e-Caltalog시스템 경유건으로 대체 Motor미 발굴건, 기 설치된 과전류계전기의 호환성을 위해 특정 사양으로 등록건 확인 후 승인,_x000D_
</t>
  </si>
  <si>
    <t>Q4622699</t>
  </si>
  <si>
    <t>EOCR,[EOCRSP-40RM/SCHNEIDER],AC 220V,8~40,0.5-15S,LOW VOLTAGE</t>
  </si>
  <si>
    <t>EOCRSP-40RM</t>
  </si>
  <si>
    <t>EOCR-SP_R1_Manual_20231212085603790.pdf</t>
  </si>
  <si>
    <t>https://www.se.com/kr/ko/product/EOCRSP40RM/eocrsp-40-r-220-/</t>
  </si>
  <si>
    <t>EOCRSP-40RM 사진_20231212085603864.JPG</t>
  </si>
  <si>
    <t>2023-12-14 11:12:35</t>
  </si>
  <si>
    <t>Q4622916</t>
  </si>
  <si>
    <t>EOCR,[3MZ2-WRAUWZ/SCHNEIDER],0.5~80A,LOW VOLTAGE,COIL VOLTAGE:AC/DC100~240V</t>
  </si>
  <si>
    <t>3MZ2-WRAUWZ</t>
  </si>
  <si>
    <t>COIL VOLTAGE:AC/DC100~240V</t>
  </si>
  <si>
    <t>EOCR_3MZ2-WRAUWZ_20231213081553013.pptx</t>
  </si>
  <si>
    <t>https://www.se.com/kr/ko/download/document/Digitial-nEOCR_Catalog/</t>
  </si>
  <si>
    <t>EOCR_3MZ2-WRAUWZ_20231213081553085.jpg</t>
  </si>
  <si>
    <t>이건용</t>
  </si>
  <si>
    <t>2023-12-15 11:12:49</t>
  </si>
  <si>
    <t>Q4624059</t>
  </si>
  <si>
    <t>[GD16-L05A/KYOUNG BO],LOW VOLTAGE</t>
  </si>
  <si>
    <t>GD16-L05A</t>
  </si>
  <si>
    <t>GD16_12_10_8_6-L_EarthLeakageDetector_20231220123734335.pdf</t>
  </si>
  <si>
    <t>3d8dbaac-4893-4ae8-97ef-cd86b9955a52_20231220123734500.jpg</t>
  </si>
  <si>
    <t>ANDIKA</t>
  </si>
  <si>
    <t>andika@krakatauposco.co.id</t>
  </si>
  <si>
    <t>2023-12-27 08:12:00</t>
  </si>
  <si>
    <t>Q4624235</t>
  </si>
  <si>
    <t>EOCR,[IFM420-WRDUTZ/SCHNEIDER],100-240VAC,0.5~60A,0.2~60SEC,LOW VOLTAGE,WITH CABLE-RJ45-001,OR EQUIVALENT</t>
  </si>
  <si>
    <t>IFM420-WRDUTZ</t>
  </si>
  <si>
    <t>WITH CABLE-RJ45-001</t>
  </si>
  <si>
    <t>EOCR_IFM420-WRDUT_20231221153606384.pdf</t>
  </si>
  <si>
    <t>https://www.se.com/kr/ko/product/IFM420-WRDUTZ/%EB%94%94%EC%A7%80%ED%84%B8-%EB%B3%B4%ED%98%B8-%EA%B3%84%EC%A0%84%EA%B8%B0-eocrifm420-wr-100240v-%ED%84%B0%EB%AF%B8%EB%84%90-/</t>
  </si>
  <si>
    <t>IFM420-WRDUTZ 이미지_20260116105007342.png</t>
  </si>
  <si>
    <t>김다인</t>
  </si>
  <si>
    <t>kdi@poscofuturem.com</t>
  </si>
  <si>
    <t>2026-01-26 11:01:34</t>
  </si>
  <si>
    <t xml:space="preserve">MRO e-Caltalog시스템 경유건으로 대체 Maker 미 발굴건, 기 설치된 EOCR의 호환성을 위해 특정 사양으로 등록건 확인 후 승인, _x000D_
</t>
  </si>
  <si>
    <t>Q4624492</t>
  </si>
  <si>
    <t>[3RB3026-2SB0/SIEMENS],AC 220V,LOW VOLTAGE,OVERLOAD RELAY 3-12 A</t>
  </si>
  <si>
    <t>3RB3026-2SB0</t>
  </si>
  <si>
    <t>OVERLOAD RELAY 3-12 A</t>
  </si>
  <si>
    <t>3RB30262SB0_datasheet_en_20231225154918513.pdf</t>
  </si>
  <si>
    <t>https://mall.industry.siemens.com/mall/en/ww/Catalog/Product/3RB3026-2SB0</t>
  </si>
  <si>
    <t>3RB3026-2SB0_20231225155136084.PNG</t>
  </si>
  <si>
    <t>2024-01-02 14:01:30</t>
  </si>
  <si>
    <t>Q4625596</t>
  </si>
  <si>
    <t>EOCR,[DSP-CCM-E-100Z7-F/SAMWHA DSP],100-240VAC,LOW VOLTAGE,OR EQUIVALENT</t>
  </si>
  <si>
    <t>DSP-CCM-E-100Z7-F</t>
  </si>
  <si>
    <t>https://www.samwhadsp.com/products/detail/D93RP00176?page=2&amp;returnCate=127&amp;cate=127&amp;</t>
  </si>
  <si>
    <t>CCM-E _20231225152058474.png</t>
  </si>
  <si>
    <t>박재훈</t>
  </si>
  <si>
    <t>(광양)제강설비부 선강크레인정비섹션</t>
  </si>
  <si>
    <t>2024-01-11 11:01:05</t>
  </si>
  <si>
    <t xml:space="preserve">MRO e-Caltalog시스템 경유건으로 대체 Maker 미 발굴건, 기 설치된 Relay의 호환성을 위해 특정 사양으로 등록건 확인 후 승인, _x000D_
</t>
  </si>
  <si>
    <t>Q4625874</t>
  </si>
  <si>
    <t>EOCR,[EOCRFEZ-05AUH/SCHNEIDER ELECTRIC],100-240VAC,0.5~7A,LOW VOLTAGE,CABLE-RJ45-005,KC CERTIFICATE</t>
  </si>
  <si>
    <t>EOCRFEZ-05AUH</t>
  </si>
  <si>
    <t>240102_A2_광)제선설비부 원료정비_EOCRFEZ-05AUH 카탈로그_20240109083105104.pdf</t>
  </si>
  <si>
    <t>240109_A2_광)제선설비부 원료정비_EOCRFEZ-05AUH 사진_20240109163122386.jpg</t>
  </si>
  <si>
    <t>2024-01-15 09:01:43</t>
  </si>
  <si>
    <t>Q4625949</t>
  </si>
  <si>
    <t>THERMAL,[MT-32 18-25A/LS],ICS:0.5-2A,LOW VOLTAGE,THERMAL OVERLOAD RELAY</t>
  </si>
  <si>
    <t>MT-32 18-25A</t>
  </si>
  <si>
    <t>thermal_20240109174928616.jpg</t>
  </si>
  <si>
    <t>https://www.tme.eu/en/details/mt-32-18-25a/contactors-accessories/ls-electric/mt-32-18-25a/</t>
  </si>
  <si>
    <t>thermal_20240109175327370.jpg</t>
  </si>
  <si>
    <t>2024-01-15 14:01:26</t>
  </si>
  <si>
    <t>Q4626350</t>
  </si>
  <si>
    <t>[K-PAM S10/KYONGBO],AC 110V,LOW VOLTAGE</t>
  </si>
  <si>
    <t>K-PAM S10</t>
  </si>
  <si>
    <t>https://www.manualslib.com/products/Kyongbo-Electric-K-Pam-S10-12756022.html</t>
  </si>
  <si>
    <t>aa_20240115101603936.png</t>
  </si>
  <si>
    <t>SYIFA ABDILLAH</t>
  </si>
  <si>
    <t>syifa.a@krakatauposco.co.id</t>
  </si>
  <si>
    <t>2024-01-18 11:01:22</t>
  </si>
  <si>
    <t>Q4627862</t>
  </si>
  <si>
    <t>THERMAL,[MT-32/2H3.3/LS],2.5~4,LOW VOLTAGE,THERMAL OVERLOAD RELAY</t>
  </si>
  <si>
    <t>MT-32/2H3.3</t>
  </si>
  <si>
    <t>과부하계전기 사양참고_20240117075755439.JPG</t>
  </si>
  <si>
    <t>MT-32_20240117075755573.JPG</t>
  </si>
  <si>
    <t>김주환</t>
  </si>
  <si>
    <t>kjh239@poscofuturem.com</t>
  </si>
  <si>
    <t>2024-01-31 13:01:37</t>
  </si>
  <si>
    <t xml:space="preserve">MRO e-Caltalog시스템 경유건으로 대체 Maker 미 발굴건, 기 설치된 Protection Relay의 호환성을 위해 특정 사양으로 등록건 확인,  _x000D_
Q4362296유사사양 확인 후 차이 있어 승인_x000D_
</t>
  </si>
  <si>
    <t>Q4627892</t>
  </si>
  <si>
    <t>EOCR,[SE-KP2N/OMRON],AC 220V,LOW VOLTAGE,OR EQUIVALENT</t>
  </si>
  <si>
    <t>SE-KP2N</t>
  </si>
  <si>
    <t>cataloge-복사본_20240126132120693_20240129110000356.pdf</t>
  </si>
  <si>
    <t>https://www.ia.omron.co.kr/products/search.asp?keyword=SE+KP2n</t>
  </si>
  <si>
    <t>MOTORRELAY2-복사본_20240126132103718_20240129110000167.png</t>
  </si>
  <si>
    <t>이성민</t>
  </si>
  <si>
    <t>2024-01-31 15:01:23</t>
  </si>
  <si>
    <t xml:space="preserve">MRO e-Caltalog시스템 엔투비 경유건으로 대체 Maker 미 발굴건, 기 설치된 Protection Relay의 호환성을 위해 특정 사양으로 등록건 확인, _x000D_
유사사양 확인 후 승인,_x000D_
</t>
  </si>
  <si>
    <t>Q4629362</t>
  </si>
  <si>
    <t>[M-PRO II ZA/ELECSON],AC110-220V,LOW VOLTAGE,OR EQUIVALENT</t>
  </si>
  <si>
    <t>M-PRO II ZA</t>
  </si>
  <si>
    <t>ELECSON</t>
  </si>
  <si>
    <t>9999</t>
  </si>
  <si>
    <t>m-PRO_2_Catalog_20240208092455294_20240213142000295.pdf</t>
  </si>
  <si>
    <t>http://www.elecson.co.kr/data_sheet/data_sheet_m2.htm</t>
  </si>
  <si>
    <t>m-PRO_2_20240208092435701_20240305170814339.jpg</t>
  </si>
  <si>
    <t>2024-03-20 14:03:35</t>
  </si>
  <si>
    <t xml:space="preserve">* 향후에는결재내용의 '품명'은 꼭 기입 바랍니다. _x000D_
_x000D_
MRO e-Caltalog시스템 경유건으로 대체 Maker 미 발굴건, 기 설치된 Protection Relay의 호환성을 위해 특정 사양으로 등록건 확인,  _x000D_
유사사양 확인 후 승인_x000D_
</t>
  </si>
  <si>
    <t>Q4629428</t>
  </si>
  <si>
    <t>[VPA 3CG/SCHNEIDER ELECTRIC],DC 12V,LOW VOLTAGE,OR EQUIVALENT</t>
  </si>
  <si>
    <t>VPA 3CG</t>
  </si>
  <si>
    <t>VPA 3CG_Profibus_20240105105818956.pdf</t>
  </si>
  <si>
    <t>http://nexpo.kr/detail/file/catalog/VPA%203CG_Profibus.pdf</t>
  </si>
  <si>
    <t>VPA3CG1_20240105105558706.jpg</t>
  </si>
  <si>
    <t>오정혁</t>
  </si>
  <si>
    <t>netmania@posco.co.kr</t>
  </si>
  <si>
    <t>유종화</t>
  </si>
  <si>
    <t>yoojh6352@posco.co.kr</t>
  </si>
  <si>
    <t>2024-02-15 13:02:15</t>
  </si>
  <si>
    <t xml:space="preserve">MRO e-Caltalog시스템 경유건으로 대체 Maker 미 발굴건, 기 설치된Protection Relay의 호환성을 위해 특정 사양으로 등록건 확인,_x000D_
유사사양 확인 후 승인_x000D_
</t>
  </si>
  <si>
    <t>Q4630504</t>
  </si>
  <si>
    <t>MULTI,[K-PAM S10 D/KYOUNG BO],100-240VAC,HIGH VOLTAGE,OCR,OCGR,DOCGR,SGR,OVR,UVR,OVGR,DPR,UPR,OR EQUIVALENT</t>
  </si>
  <si>
    <t>K-PAM S10 D</t>
  </si>
  <si>
    <t>OCR,OCGR,DOCGR,SGR,OVR,UVR,OVGR,DPR,UPR</t>
  </si>
  <si>
    <t>https://www.kyongbo.co.kr/product/product_view.jsp?flg1=A02&amp;flg2=A0202&amp;flg3=A020201</t>
  </si>
  <si>
    <t>사진-1_20240207171439366.png</t>
  </si>
  <si>
    <t>주석 2024-02-14 102405_20240214103514655.png</t>
  </si>
  <si>
    <t>채영근</t>
  </si>
  <si>
    <t>임우준</t>
  </si>
  <si>
    <t>lwj2013@posco.co.kr</t>
  </si>
  <si>
    <t>2024-02-27 09:02:43</t>
  </si>
  <si>
    <t xml:space="preserve">** 추후에는 1. (11)특허등록 번호(해당시): 에 해당 없으시면  ' 해당없음'으로 기재 부탁드립니다. _x000D_
</t>
  </si>
  <si>
    <t>Q4630627</t>
  </si>
  <si>
    <t>EOCR,[EOCRDS3-60S/SCHNEIDERELECTRIC]</t>
  </si>
  <si>
    <t>EOCRDS3-60S</t>
  </si>
  <si>
    <t>SCHNEIDERELECTRIC</t>
  </si>
  <si>
    <t>EOCRDS3-60S사양_20240220145938866_20240221180000696.JPG</t>
  </si>
  <si>
    <t>https://www.se.com/kr/ko/product/EOCRDS3-60S/%EC%A0%84%EC%9E%90-%EA%B3%BC%EC%A0%84%EB%A5%98-%EA%B3%84%EC%A0%84%EA%B8%B0-0-5-6-a-220v-ac/</t>
  </si>
  <si>
    <t>EOCRDS3-60S실물_20240220144200347_20240221180000580.JPG</t>
  </si>
  <si>
    <t>김하림</t>
  </si>
  <si>
    <t>patrickstar@poscofuturem.com</t>
  </si>
  <si>
    <t>2024-02-28 08:02:54</t>
  </si>
  <si>
    <t>Q4630819</t>
  </si>
  <si>
    <t>MULTI,[BU1AC230/SEG],AC 220V,LOW VOLTAGE</t>
  </si>
  <si>
    <t>BU1AC230</t>
  </si>
  <si>
    <t>SEG</t>
  </si>
  <si>
    <t>DOK-TD-BU1-ACD_20240229113433906.pdf</t>
  </si>
  <si>
    <t>https://segelectronics.de/en/BU1AC-Voltage-Relay/BU1AC230</t>
  </si>
  <si>
    <t>BU1 AC230_20240228122644098.jpg</t>
  </si>
  <si>
    <t>Wilai Rattanapasert</t>
  </si>
  <si>
    <t>TBPC</t>
  </si>
  <si>
    <t>wilai@posco.net</t>
  </si>
  <si>
    <t>2024-02-29 11:02:49</t>
  </si>
  <si>
    <t>Q4631078</t>
  </si>
  <si>
    <t>EOCR,[DMP06I-T/LS],100-260VAC,LOW VOLTAGE</t>
  </si>
  <si>
    <t>DMP06I-T</t>
  </si>
  <si>
    <t>[DMPi]_KO_C15021-04-202311_20240227080423475.pdf</t>
  </si>
  <si>
    <t>DMP06i-t 사진_20240227080423613.JPG</t>
  </si>
  <si>
    <t>2024-03-04 16:03:44</t>
  </si>
  <si>
    <t>Q4594007등 유사품 확인하고, 표준기종일람표에 형명별 사양이 다름(첨부pdf) 확인후 승인합니다.</t>
  </si>
  <si>
    <t>Q4631580</t>
  </si>
  <si>
    <t>EOCR,[DSP-VIP-5TM-70-Z-7-SZ-P/SAMWHA DSP]+DSP-CABLE-30,80~250VAC/DC,0.2~70A,0.1~300SEC,LOW VOLTAGE,OUTPUT:4~20MA,FOR SCR UINT ZERO-CROSSING,OR EQUIVALENT</t>
  </si>
  <si>
    <t>DSP-VIP-5TM-70-Z-7-SZ-P</t>
  </si>
  <si>
    <t>DSP-CABLE-30</t>
  </si>
  <si>
    <t>OUTPUT:4~20MA,FOR SCR UINT ZERO-CROSSING</t>
  </si>
  <si>
    <t>5시리즈 주문표_20240223165223069.jpg</t>
  </si>
  <si>
    <t>https://www.samwhadsp.com/products/detail/D93RP00195?page=3&amp;returnCate=127&amp;cate=127&amp;</t>
  </si>
  <si>
    <t>DSP-VIP-5TM_20240223165129864.jpg</t>
  </si>
  <si>
    <t>김정윤</t>
  </si>
  <si>
    <t>포항생산부 정비섹션</t>
  </si>
  <si>
    <t>조규원</t>
  </si>
  <si>
    <t>gallep@posco.co.kr</t>
  </si>
  <si>
    <t>2024-03-07 13:03:35</t>
  </si>
  <si>
    <t>유사품 검색시 없음 확인후 승인합니다.</t>
  </si>
  <si>
    <t>Q4632800</t>
  </si>
  <si>
    <t>[3SK1121-2CB42/SIEMENS],DC 24V,SIRIUS SAFETY RELAY,LOW VOLTAGE</t>
  </si>
  <si>
    <t>3SK1121-2CB42</t>
  </si>
  <si>
    <t>3SK11212CB42_datasheet_en_20240313105209608.pdf</t>
  </si>
  <si>
    <t>https://mall.industry.siemens.com/mall/en/WW/Catalog/Product/3SK1121-2CB42</t>
  </si>
  <si>
    <t>G_IC03_XX_03958i_20240313105529176.jpg</t>
  </si>
  <si>
    <t>王金佣</t>
  </si>
  <si>
    <t>wangjiny@posco.net</t>
  </si>
  <si>
    <t>刘亚林</t>
  </si>
  <si>
    <t>zpliuyl@posco.net</t>
  </si>
  <si>
    <t>2024-03-19 09:03:33</t>
  </si>
  <si>
    <t>Q4633008</t>
  </si>
  <si>
    <t>EOCR,[IFMZ-WRDUWZ/SCHNEIDER],100-240VAC,LOW VOLTAGE,OR EQUIVALENT</t>
  </si>
  <si>
    <t>IFMZ-WRDUWZ</t>
  </si>
  <si>
    <t>https://www.se.com/kr/ko/product/IFMZ-WRDUWZ/eocrifmz-wr-ba-100240v-wind-/</t>
  </si>
  <si>
    <t>EOCR_20240313075420843.jpg</t>
  </si>
  <si>
    <t>장원재</t>
  </si>
  <si>
    <t>as2825@posco.co.kr</t>
  </si>
  <si>
    <t>2024-03-20 10:03:58</t>
  </si>
  <si>
    <t>유사품 없음 확인후 승인합니다.</t>
  </si>
  <si>
    <t>Q4633221</t>
  </si>
  <si>
    <t>EOCR,[DSP-POL-CC-Z-7-P/SAMHWADSP],LOW VOLTAGE,3CT 15~150A, 50/60HZ,85~260VAC(90VDC~370VDC),FOR 56 LOP MOTOR EOCR</t>
  </si>
  <si>
    <t>DSP-POL-CC-Z-7-P</t>
  </si>
  <si>
    <t>SAMHWADSP</t>
  </si>
  <si>
    <t>3CT 15~150A, 50/60HZ,85~260VAC(90VDC~370VDC),FOR 56 LOP MOTOR EOCR</t>
  </si>
  <si>
    <t>삼화dsp 상세 주문표_20240320142726148.png</t>
  </si>
  <si>
    <t>https://www.samwhadsp.com/products/detail/D93RP00191?page=2&amp;returnCate=127&amp;cate=127&amp;</t>
  </si>
  <si>
    <t>DSP-POL 사진_20240320142726252.jpg</t>
  </si>
  <si>
    <t>김영진</t>
  </si>
  <si>
    <t>1124youngjin@poscointl.com</t>
  </si>
  <si>
    <t>2024-03-21 13:03:43</t>
  </si>
  <si>
    <t xml:space="preserve">Q4204708등 유사item 검색하였으나, 없음 확인후 승인합니다. </t>
  </si>
  <si>
    <t>Q4634612</t>
  </si>
  <si>
    <t>MULTI,[GIPAM-3000FI TE M/LS],LOW VOLTAGE,5A, 60HZ,AC/DC 110V, AC/DC 110V, 100/10 BASE-T ETHERNET, MODBUS,OR EQUIVALENT,KC CERTIFICATE</t>
  </si>
  <si>
    <t>GIPAM-3000FI TE M</t>
  </si>
  <si>
    <t>5A, 60HZ,AC/DC 110V, AC/DC 110V, 100/10 BASE-T ETHERNET, MODBUS</t>
  </si>
  <si>
    <t>https://2sk.co.kr/GIPAM3000</t>
  </si>
  <si>
    <t>GIPAM3000_20240403073251364.jpg</t>
  </si>
  <si>
    <t>2024-04-03 11:04:37</t>
  </si>
  <si>
    <t>Q4636655</t>
  </si>
  <si>
    <t>EOCR,[LR3D 106/SCHNEIDER],AC 220V,LOW VOLTAGE</t>
  </si>
  <si>
    <t>LR3D 106</t>
  </si>
  <si>
    <t>1672545-07_20240411083117258.pdf</t>
  </si>
  <si>
    <t>https://www.se.com/kr/ko/product/LR3D106/tesys-deca-%EC%97%B4%EB%8F%99%ED%98%95-%EA%B3%BC%EB%B6%80%ED%95%98-%EA%B3%84%EC%A0%84%EA%B8%B0-4-6-a-%EB%93%B1%EA%B8%89-10a/</t>
  </si>
  <si>
    <t>eoc_20240411083117348.JPG_20240411083117348.JPG</t>
  </si>
  <si>
    <t>rhkdals1839@poscofuturem.com</t>
  </si>
  <si>
    <t>2024-04-25 08:04:29</t>
  </si>
  <si>
    <t>유사item 검색후, 없음 확인후 승인합니다.</t>
  </si>
  <si>
    <t>Q4636656</t>
  </si>
  <si>
    <t>EOCR,[K8DS-PH1/OMRON],LOW VOLTAGE,200-480V, SCREW</t>
  </si>
  <si>
    <t>K8DS-PH1</t>
  </si>
  <si>
    <t>200-480V, SCREW</t>
  </si>
  <si>
    <t>k8ds-ph1_20240411085132242.JPG</t>
  </si>
  <si>
    <t>https://industrial.omron.eu/en/products/K8DS-PH1</t>
  </si>
  <si>
    <t>릴레이_20240411085132297.jpg</t>
  </si>
  <si>
    <t xml:space="preserve">Q4566507등 유사item 검색후 없음 확인하고 승인합니다. </t>
  </si>
  <si>
    <t>Q4637591</t>
  </si>
  <si>
    <t>MULTI,[PROMET-5300F/NEOPIS],AC110-220V,LOW VOLTAGE,OR EQUIVALENT</t>
  </si>
  <si>
    <t>PROMET-5300F</t>
  </si>
  <si>
    <t>NEOPIS</t>
  </si>
  <si>
    <t>네오피스_PROMET5300_카달로그_2014_ver1.24_20240502143836114.pdf</t>
  </si>
  <si>
    <t>PROMET-5300_1_20240502143816845.png</t>
  </si>
  <si>
    <t>이해준</t>
  </si>
  <si>
    <t>2024-05-08 14:05:39</t>
  </si>
  <si>
    <t>Q4639474</t>
  </si>
  <si>
    <t>THERMAL,[MT-63/2H55S/L/LS],45~60A,LOW VOLTAGE,690V</t>
  </si>
  <si>
    <t>MT-63/2H55S/L</t>
  </si>
  <si>
    <t>690V</t>
  </si>
  <si>
    <t>mt카타로그_20240527073128894.JPG</t>
  </si>
  <si>
    <t>MT63_20240527073129024.JPG</t>
  </si>
  <si>
    <t>이정태</t>
  </si>
  <si>
    <t>lks1589@poscofuturem.com</t>
  </si>
  <si>
    <t>2024-05-30 11:05:36</t>
  </si>
  <si>
    <t xml:space="preserve">Q4560832등 유사 item 검색하였으나, 동일모델 없음 확인하고 승인합니다. _x000D_
</t>
  </si>
  <si>
    <t>Q4640998</t>
  </si>
  <si>
    <t>EOCR,[GMP60-3TN/LS],0.5-60A,0.2~60SEC,LOW VOLTAGE</t>
  </si>
  <si>
    <t>GMP60-3TN</t>
  </si>
  <si>
    <t>GMP60-3TN CAT_20240613110957184.GIF</t>
  </si>
  <si>
    <t>https://pfinder.ls-electric.com/IEC/product/list.do</t>
  </si>
  <si>
    <t>GMP60-3TN IMG_20240613110957223.GIF</t>
  </si>
  <si>
    <t>2024-06-14 15:06:47</t>
  </si>
  <si>
    <t xml:space="preserve">Q4580302등 유사item 검색하였으나, 없음 확인후 승인합니다. </t>
  </si>
  <si>
    <t>Q4641086</t>
  </si>
  <si>
    <t>SGR,[GD12-L05A/KYONGBO],AC110-220V,60HZ</t>
  </si>
  <si>
    <t>GD12-L05A</t>
  </si>
  <si>
    <t>60HZ</t>
  </si>
  <si>
    <t>누전경보기(6,+8,10,12,16회로)_카탈로그_20240614082226751.pdf</t>
  </si>
  <si>
    <t>https://www.kyongbo.co.kr/product/product_view.jsp?flg1=A05&amp;flg2=A0501&amp;flg3=A050102</t>
  </si>
  <si>
    <t>누전경보기_20240614082226867.JPG</t>
  </si>
  <si>
    <t>2024-06-17 10:06:12</t>
  </si>
  <si>
    <t xml:space="preserve">Q4397911등 유사item 검색하였으나, 없음 확인후 승인합니다. </t>
  </si>
  <si>
    <t>Q4641464</t>
  </si>
  <si>
    <t>EOCR,[3MZ2-WRCBWZ/SCHNEIDER],DC 24V,LOW VOLTAGE,OR EQUIVALENT</t>
  </si>
  <si>
    <t>3MZ2-WRCBWZ</t>
  </si>
  <si>
    <t>https://www.se.com/kr/ko/product/3MZ2-WRCBWZ/eocr3mz2-wr-1a1b-24v-window-/?range=60208-eocr&amp;parent-subcategory-id=1520&amp;filter=business-1-%EC%9E%90%EB%8F%99%ED%99%94-%EB%B0%8F-%EC%A0%9C%EC%96%B4&amp;selectedNodeId=12368076030</t>
  </si>
  <si>
    <t>EOCR_20240617073042792.jpg</t>
  </si>
  <si>
    <t>전영락</t>
  </si>
  <si>
    <t>yljeon@posco.co.kr</t>
  </si>
  <si>
    <t>2024-06-19 11:06:43</t>
  </si>
  <si>
    <t xml:space="preserve">Q4622916등 유사item 검색하였고, 동일품 없음 확인하고 승인합니다. </t>
  </si>
  <si>
    <t>Q4642054</t>
  </si>
  <si>
    <t>THERMAL,[TR-100/NAMIL ENGINEERING],AC85~265</t>
  </si>
  <si>
    <t>TR-100</t>
  </si>
  <si>
    <t>NAMIL ENGINEERING</t>
  </si>
  <si>
    <t xml:space="preserve">AC85~265 </t>
  </si>
  <si>
    <t>명판(TR-100)_20240620084048017.JPG</t>
  </si>
  <si>
    <t>https://www.namileng.net/bbs/board.php?bo_table=03_04&amp;wr_id=2</t>
  </si>
  <si>
    <t>TR-100_20240620084048068.JPG</t>
  </si>
  <si>
    <t>김용경</t>
  </si>
  <si>
    <t>hydrogen96@poscofuturem.com</t>
  </si>
  <si>
    <t>이기호</t>
  </si>
  <si>
    <t>gkdl2483@poscofuturem.com</t>
  </si>
  <si>
    <t>2024-06-25 17:06:34</t>
  </si>
  <si>
    <t>Q4642086</t>
  </si>
  <si>
    <t>[WYGF-D12N/WOONYOUNG],0.1~10S,LOW VOLTAGE,AC/DC 110~220V</t>
  </si>
  <si>
    <t>WYGF-D12N</t>
  </si>
  <si>
    <t>AC/DC 110~220V</t>
  </si>
  <si>
    <t>명판(WYGF-D12N)_20240620084753573.JPG</t>
  </si>
  <si>
    <t>https://www.woonyoung.com/page/s0201_view.php?idx=491&amp;ocatecode=1337921322&amp;gcatecode=1477352522&amp;gnsub=&amp;ogcname=%EC%A7%80%EB%9D%BD%EA%B2%80%EC%B6%9C%EA%B3%84%EC%A0%84%EA%B8%B0</t>
  </si>
  <si>
    <t>WYGF-D12N_20240620084753792.JPG</t>
  </si>
  <si>
    <t>이정선</t>
  </si>
  <si>
    <t>diddms78@poscofuturem.com</t>
  </si>
  <si>
    <t>2024-06-26 08:06:02</t>
  </si>
  <si>
    <t>Q4642087</t>
  </si>
  <si>
    <t>[GIMAC1000/LS ELECTRIC],100-240VAC,LOW VOLTAGE,4.5W/0.05~6A(5A), 0.01~1.2A(1A)</t>
  </si>
  <si>
    <t>GIMAC1000</t>
  </si>
  <si>
    <t>4.5W/0.05~6A(5A), 0.01~1.2A(1A)</t>
  </si>
  <si>
    <t>명판(GIMAC1000)_20240620090545835.JPG</t>
  </si>
  <si>
    <t>https://www.ls-electric.com/ko/product/view/P01255</t>
  </si>
  <si>
    <t>GIMAC1000_20240620090546029.JPG</t>
  </si>
  <si>
    <t>2024-06-26 08:06:17</t>
  </si>
  <si>
    <t>Q4643534</t>
  </si>
  <si>
    <t>[KGD-08CR/LIGHT STAR],100-260VAC,LOW VOLTAGE</t>
  </si>
  <si>
    <t>KGD-08CR</t>
  </si>
  <si>
    <t>LIGHT STAR</t>
  </si>
  <si>
    <t>카탈로그_누전경보기(KGD)_광성계측기_20240708074753745.pdf</t>
  </si>
  <si>
    <t>https://www.vaw.co.kr/product/view&amp;idx=216</t>
  </si>
  <si>
    <t>광성계측기 누전경보기_20240708074753839.JPG</t>
  </si>
  <si>
    <t>2024-07-10 08:07:11</t>
  </si>
  <si>
    <t>Q4262630등 유사item 검색하였으나, 없음 확인후 승인합니다.</t>
  </si>
  <si>
    <t>Q4644984</t>
  </si>
  <si>
    <t>[SAFARI-S2/SANION],HIGH VOLTAGE,50/51, 50N/51N, LOW VOLTAGE, 67/67N/67G 47P/47N, 81U/81O, 48/51LR, 66</t>
  </si>
  <si>
    <t>SAFARI-S2</t>
  </si>
  <si>
    <t>50/51, 50N/51N, LOW VOLTAGE, 67/67N/67G 47P/47N, 81U/81O, 48/51LR, 66</t>
  </si>
  <si>
    <t>SAFARI-S2 브로슈어_20240709073503427.pdf</t>
  </si>
  <si>
    <t>https://www.sanion.com/default/information/sub1.php</t>
  </si>
  <si>
    <t>SAFARI-S2_20240709073503515.jpg</t>
  </si>
  <si>
    <t>2024-07-22 14:07:45</t>
  </si>
  <si>
    <t>Q4644996</t>
  </si>
  <si>
    <t>[LRD05/SCHNEIDER],0.63-1A,LOW VOLTAGE</t>
  </si>
  <si>
    <t>LRD05</t>
  </si>
  <si>
    <t>LRD05 사양_20240718094433824.pdf</t>
  </si>
  <si>
    <t>https://www.se.com/kr/ko/product/LRD05/%EC%97%B4%EB%8F%99%ED%98%95-%EA%B3%BC%EB%B6%80%ED%95%98-%EA%B3%84%EC%A0%84%EA%B8%B0-tesys-0-63-1-a-class-10a/</t>
  </si>
  <si>
    <t>1_20240718094433922.JPG</t>
  </si>
  <si>
    <t>이양곤</t>
  </si>
  <si>
    <t>iiyngon@poscofuturem.com</t>
  </si>
  <si>
    <t>2024-07-22 15:07:18</t>
  </si>
  <si>
    <t xml:space="preserve">Q4305038등 유사item 검색했으나, 동일 메이커의 다른 형번임 확인후 승인합니다. </t>
  </si>
  <si>
    <t>Q4645991</t>
  </si>
  <si>
    <t>[YSLR2201-110DTEBD/YOUNGSUNG ELEC],DC 110V,LOW VOLTAGE,LOCKOUT RELAY</t>
  </si>
  <si>
    <t>YSLR2201-110DTEBD</t>
  </si>
  <si>
    <t>YOUNGSUNG ELEC</t>
  </si>
  <si>
    <t>LOCKOUT RELAY</t>
  </si>
  <si>
    <t>형식 구분도_20240730074534721.jpg</t>
  </si>
  <si>
    <t>http://www.yongsungelec.co.kr/kor/02product1.html?ptype=view&amp;prdcode=1907090038&amp;catcode=100100109&amp;page=1&amp;searchopt=&amp;searchkey=</t>
  </si>
  <si>
    <t>YSLR2201-110ATEBD_20240730074534806.jpg</t>
  </si>
  <si>
    <t>김경남</t>
  </si>
  <si>
    <t>전기정비섹션</t>
  </si>
  <si>
    <t>najoo0513@poscomobility.com</t>
  </si>
  <si>
    <t>강병헌</t>
  </si>
  <si>
    <t>krbykan@poscomobility.com</t>
  </si>
  <si>
    <t>2024-07-31 11:07:28</t>
  </si>
  <si>
    <t>Q4646917</t>
  </si>
  <si>
    <t>EOCR,[ISEMZ-WRUH/SCHNEIDER ELECTRIC],100-240VAC,0.5~100A,0.2~120S,LOW VOLTAGE,WITH SPDM DISPLAY, THROUGH BOTTOM-HOLE TYPE</t>
  </si>
  <si>
    <t>ISEMZ-WRUH</t>
  </si>
  <si>
    <t>WITH SPDM DISPLAY, THROUGH BOTTOM-HOLE TYPE</t>
  </si>
  <si>
    <t>Digitial-iSEM_Modbus_Manual_R2 (2)_20240731101351781.pdf</t>
  </si>
  <si>
    <t>https://www.se.com/kr/ko/product/ISEMZ-WRUH/%EB%AA%A8%ED%84%B0-%EB%B3%B4%ED%98%B8-%EA%B3%84%EC%A0%84%EA%B8%B0-%EC%A1%B0%ED%95%A9-3ct100-0-5-100-a-100-240-v-ac/</t>
  </si>
  <si>
    <t>ISEMM-WRUH_IMG_web_20240731101351885.JPG</t>
  </si>
  <si>
    <t>2024-08-08 13:08:25</t>
  </si>
  <si>
    <t>Q4646918</t>
  </si>
  <si>
    <t>EOCR,[I3BZ-WRCUHZ/SCHNEIDER],100-240VAC,0~80A,0~30S,LOW VOLTAGE,THROUGH BOTTOM-HOLE TYPE</t>
  </si>
  <si>
    <t>I3BZ-WRCUHZ</t>
  </si>
  <si>
    <t>THROUGH BOTTOM-HOLE TYPE</t>
  </si>
  <si>
    <t>Digitial-nEOCR_Manual_R2_20240801074946847.pdf</t>
  </si>
  <si>
    <t>https://www.se.com/kr/ko/product/I3BZ-WRCUHZ/eocri3bz-wr-1a1b-100240v-/</t>
  </si>
  <si>
    <t>I3DM-WRDUHZ_IMG_web_20240801074946988.JPG</t>
  </si>
  <si>
    <t>2024-08-08 13:08:45</t>
  </si>
  <si>
    <t>Q4647334</t>
  </si>
  <si>
    <t>SGR,[GPS-CD9/KYOUNG BO],DC 110V,ICS DC0.5-2.0A,LOW VOLTAGE,SELECTIVE GROUND RELAY,RATING 190V</t>
  </si>
  <si>
    <t>GPS-CD9</t>
  </si>
  <si>
    <t>SELECTIVE GROUND RELAY,RATING 190V</t>
  </si>
  <si>
    <t>GPS-CD9_20240812075025961.jpg</t>
  </si>
  <si>
    <t>GPS- CD9_20240812075026132.jpg</t>
  </si>
  <si>
    <t>2024-08-13 11:08:19</t>
  </si>
  <si>
    <t>Q4647623</t>
  </si>
  <si>
    <t>EOCR,[DSP-3SS-10-Z7/SAMHWA DSP],5,24~240VAC/DC, 0.3A~12A</t>
  </si>
  <si>
    <t>DSP-3SS-10-Z7</t>
  </si>
  <si>
    <t>24~240VAC/DC, 0.3A~12A</t>
  </si>
  <si>
    <t>DSP-3SS CAT_20240813084734580.pdf</t>
  </si>
  <si>
    <t>https://samwhadsp.com/products/detail/D93RP00228?page=1&amp;returnCate=131&amp;cate=131&amp;keyword=DSP-3SS&amp;</t>
  </si>
  <si>
    <t>DSP3SS IMG_20240813084734700.GIF</t>
  </si>
  <si>
    <t>2024-08-19 10:08:42</t>
  </si>
  <si>
    <t xml:space="preserve">Q4249273등 유사item 검색하였으나, 동일품 없음 확인후 승인합니다. </t>
  </si>
  <si>
    <t>Q4647652</t>
  </si>
  <si>
    <t>포스코스틸리온</t>
  </si>
  <si>
    <t>EOCR,[DSP-AOM-10Z7-A-P/SAMWHADSP],100-240VAC,LOW VOLTAGE,FOR CT</t>
  </si>
  <si>
    <t>DSP-AOM-10Z7-A-P</t>
  </si>
  <si>
    <t>FOR CT</t>
  </si>
  <si>
    <t>DSP-AOM Reference code_20240716170007168.png</t>
  </si>
  <si>
    <t>DSP-AOM_20240716165934320.jpg</t>
  </si>
  <si>
    <t>조결</t>
  </si>
  <si>
    <t>도금공장</t>
  </si>
  <si>
    <t>blessedjoo@poscocnc.com</t>
  </si>
  <si>
    <t>임국엽</t>
  </si>
  <si>
    <t>po105217@poscocnc.com</t>
  </si>
  <si>
    <t>2024-08-19 11:08:30</t>
  </si>
  <si>
    <t xml:space="preserve">Q4613107등 유사item 검색하였으나, 동일 메이커의 다른 형번 물품임 확인 후 승인합니다. _x000D_
</t>
  </si>
  <si>
    <t>Q4649379</t>
  </si>
  <si>
    <t>[DMP65I-TBM 2A1B/LS],LOW VOLTAGE</t>
  </si>
  <si>
    <t>DMP65I-TBM 2A1B</t>
  </si>
  <si>
    <t>DMPI CAT ENG_20240902080222615.GIF</t>
  </si>
  <si>
    <t>https://www.ls-electric.com/products/view/Smart_Power_Solution/Low_Voltage/EMPR/DMPi</t>
  </si>
  <si>
    <t>DMPI IMG_20240902080222797.GIF</t>
  </si>
  <si>
    <t>2024-09-04 11:09:29</t>
  </si>
  <si>
    <t xml:space="preserve">Q4067091등 유사item 검색하였으나, 동일 메이커의 다른 형번임 확인후 승인합니다. </t>
  </si>
  <si>
    <t>Q4649807</t>
  </si>
  <si>
    <t>[3UG5514-1BR20/SIEMENS],LOW VOLTAGE,3X 160-690 V AC, 15-70 HZ, ANALOG ADJUSTMENT MONITORING RELAY PHASE FAILURE</t>
  </si>
  <si>
    <t>3UG5514-1BR20</t>
  </si>
  <si>
    <t>3X 160-690 V AC, 15-70 HZ, ANALOG ADJUSTMENT MONITORING RELAY PHASE FAILURE</t>
  </si>
  <si>
    <t>3UG55141BR20_datasheet_en_20240715131545451.pdf</t>
  </si>
  <si>
    <t>https://mall.industry.siemens.com/mall/en/WW/Catalog/Product/3UG5514-1BR20</t>
  </si>
  <si>
    <t>G_IC03_XX_31659I_20240715160044103.jpg</t>
  </si>
  <si>
    <t>2024-09-09 10:09:06</t>
  </si>
  <si>
    <t xml:space="preserve">Q4397737등 유사item 검색하였으나, 동일메이커의 다른 형번임을 확인후 승인합니다. </t>
  </si>
  <si>
    <t>Q4652088</t>
  </si>
  <si>
    <t>EOCR,[DSP-3SS-60-Z7/SAMHWA DSP],24-240V/AC/DC, 2A-60A</t>
  </si>
  <si>
    <t>DSP-3SS-60-Z7</t>
  </si>
  <si>
    <t>24-240V/AC/DC, 2A-60A</t>
  </si>
  <si>
    <t>3SS, -RG 개별 카다로그 (1)_20240926081528993.pdf</t>
  </si>
  <si>
    <t>https://www.samwhadsp.com/storage/catalog?cate=&amp;keyword=3ss</t>
  </si>
  <si>
    <t>dsp img_20240926081529086.GIF</t>
  </si>
  <si>
    <t>2024-10-07 08:10:18</t>
  </si>
  <si>
    <t>Q4647623등 유사item 검색하였으나, 동일 메이커의 다른 형번 물품임 확인후 승인합니다.</t>
  </si>
  <si>
    <t>Q4652099</t>
  </si>
  <si>
    <t>EOCR,[IMP-C-NO-100A-110/220/LS],5-100A,AC/DC85-245V</t>
  </si>
  <si>
    <t>IMP-C-NO-100A-110/220</t>
  </si>
  <si>
    <t>5-100A,AC/DC85-245V</t>
  </si>
  <si>
    <t>A7-3. 지능형모터보호계전기 (IMP)_20240926073749084.pdf</t>
  </si>
  <si>
    <t>https://www.ls-electric.com/</t>
  </si>
  <si>
    <t>ls img_20240926073749232.GIF</t>
  </si>
  <si>
    <t>2024-10-07 09:10:15</t>
  </si>
  <si>
    <t xml:space="preserve">유사item 검색하였으나, 유사/동일 사양품 없음 확인후 승인합니다. </t>
  </si>
  <si>
    <t>Q4653305</t>
  </si>
  <si>
    <t>EOCR,[I3M420-WRDUWZ/SCHNEIDER],AC 220V,LOW VOLTAGE</t>
  </si>
  <si>
    <t>I3M420-WRDUWZ</t>
  </si>
  <si>
    <t>Digitial-nEOCR_Catalog_20241014073238077.pdf</t>
  </si>
  <si>
    <t>https://www.se.com/kr/ko/product/I3M420-WRDUWZ/eocri3m420-wr-100240v-window-/</t>
  </si>
  <si>
    <t>I3M420 실물_20241014073238203.JPG</t>
  </si>
  <si>
    <t>최상원</t>
  </si>
  <si>
    <t>csw677@poscofuturem.com</t>
  </si>
  <si>
    <t>2024-10-17 14:10:07</t>
  </si>
  <si>
    <t xml:space="preserve">Q4119179 등 유사item 있으나, 옵션값 상이함 확인하고 승인합니다. </t>
  </si>
  <si>
    <t>Q4653306</t>
  </si>
  <si>
    <t>[K-PAM M10/KYONGBO ELECTRIC],0.02~20.00PU,0.04~60.00S,0.01~10.00,LOW VOLTAGE</t>
  </si>
  <si>
    <t>K-PAM M10</t>
  </si>
  <si>
    <t>K-PAM M10 사양서(V1.00)_20241015073133513.pdf</t>
  </si>
  <si>
    <t>KPAM M10 이미지_20241015073133636.JPG</t>
  </si>
  <si>
    <t>sungmin4575@poscofuturem.com</t>
  </si>
  <si>
    <t>2024-10-17 15:10:03</t>
  </si>
  <si>
    <t xml:space="preserve">Q4626350등 유사item 검색하였으나, 동일 메이커의 다른 형번 물품임 확인후 승인합니다. </t>
  </si>
  <si>
    <t>Q4656140</t>
  </si>
  <si>
    <t>EOCR,[I3BZ-WRAUHZ/SCHNEIDER],100-240VAC,0.5-80A,0~200SEC,LOW VOLTAGE</t>
  </si>
  <si>
    <t>I3BZ-WRAUHZ</t>
  </si>
  <si>
    <t>I3BZ-WRAUHZ1_20241113112913572.jpg</t>
  </si>
  <si>
    <t>https://www.se.com/kr/ko/product/I3BZ-WRAUHZ/digital-motor-protection-relay-i3bz-zct-builtin-type-0-580-a-100240-v-ac-dc/</t>
  </si>
  <si>
    <t>I3BZ-WRAUHZ_20241113112913718.jpg</t>
  </si>
  <si>
    <t>전봉현</t>
  </si>
  <si>
    <t>hcj4035@poscofuturem.com</t>
  </si>
  <si>
    <t>2024-11-15 14:11:06</t>
  </si>
  <si>
    <t>Q4656172</t>
  </si>
  <si>
    <t>THERMAL,[TK13-P64TN/FUJI],0.64-0.96A,THERMAL OVERLOAD RELAY, FOR SLITTER AND LEVELLER MACHINE</t>
  </si>
  <si>
    <t>TK13-P64TN</t>
  </si>
  <si>
    <t>THERMAL OVERLOAD RELAY, FOR SLITTER AND LEVELLER MACHINE</t>
  </si>
  <si>
    <t>Fuji thermal overload relay TK13-P64TN_20241115112027436.jpg</t>
  </si>
  <si>
    <t>2024-11-15 16:11:25</t>
  </si>
  <si>
    <t xml:space="preserve">Q4570665등 유사item 검색하였으나, 동일 메이커의 타 형번의 물품임 확인하고 승인합니다. _x000D_
</t>
  </si>
  <si>
    <t>Q4657312</t>
  </si>
  <si>
    <t>[DMP65I-TZ/LS],80~250VAC/DC,OR EQUIVALENT</t>
  </si>
  <si>
    <t>DMP65I-TZ</t>
  </si>
  <si>
    <t>[DMPi]_KO_C15021-05-202409 (2)_20241125074107374.pdf</t>
  </si>
  <si>
    <t>캡처_20241125074107517.jpg</t>
  </si>
  <si>
    <t>2024-11-29 07:11:01</t>
  </si>
  <si>
    <t>Q4658982</t>
  </si>
  <si>
    <t>[P343 21QA6M0B48M/SCHNEIDER],DC 110V,LOW VOLTAGE,DC 48~110V, WITH  SOFTWARE SETTING,OR EQUIVALENT</t>
  </si>
  <si>
    <t>P343 21QA6M0B48M</t>
  </si>
  <si>
    <t>DC 48~110V, WITH  SOFTWARE SETTING</t>
  </si>
  <si>
    <t>GCP_보호계전기_acehuni_20241211_083839_20241216074201205.jpg</t>
  </si>
  <si>
    <t>www.schneider-electric.com/ccc</t>
  </si>
  <si>
    <t>계전기_20241216074201263.jpg</t>
  </si>
  <si>
    <t>조장훈</t>
  </si>
  <si>
    <t>acehuni@posco.co.kr</t>
  </si>
  <si>
    <t>2024-12-17 15:12:04</t>
  </si>
  <si>
    <t>Q4658991</t>
  </si>
  <si>
    <t>[MT-32/2H27/LS],AC 220V,22~32</t>
  </si>
  <si>
    <t>MT-32/2H27</t>
  </si>
  <si>
    <t>MT-32_2H27_Catalog_20241216075924155.pdf</t>
  </si>
  <si>
    <t>https://pfinder.ls-electric.com/IEC/product/tor.do</t>
  </si>
  <si>
    <t>MT-32_2H27_Image_20241216075924225.JPG</t>
  </si>
  <si>
    <t>이동건</t>
  </si>
  <si>
    <t>설비(천안)섹션</t>
  </si>
  <si>
    <t>dkdk1744@poscomobility.com</t>
  </si>
  <si>
    <t>2024-12-17 16:12:26</t>
  </si>
  <si>
    <t xml:space="preserve">Q4362296 등 유사item 검색하였으나, 유사품 없음 확인후 승인합니다. </t>
  </si>
  <si>
    <t>Q4660032</t>
  </si>
  <si>
    <t>EOCR,[FMZ2-WRAUTZ/SCHNEIDER],100-220VAC/DC,50/60HZ</t>
  </si>
  <si>
    <t>FMZ2-WRAUTZ</t>
  </si>
  <si>
    <t>100-220VAC/DC,50/60HZ</t>
  </si>
  <si>
    <t>Schneider Electric_EOCR_FMZ2-WRAUTZ_20241211163421563.pdf</t>
  </si>
  <si>
    <t>http://www.skeocr.com/home/product/productshow/id/81.html</t>
  </si>
  <si>
    <t>FMZ2-WRAUTZ_20241211163125510.png</t>
  </si>
  <si>
    <t>2024-12-30 09:12:29</t>
  </si>
  <si>
    <t xml:space="preserve">Q4430766등 유사item 검색하였으나, 동일 메이커의 다른 형번임 확인후 승인합니다. </t>
  </si>
  <si>
    <t>Q4662951</t>
  </si>
  <si>
    <t>EOCR,[IMP-C A420-10A-220/LS],80~250VAC/DC,LOW VOLTAGE,OR EQUIVALENT</t>
  </si>
  <si>
    <t>IMP-C A420-10A-220</t>
  </si>
  <si>
    <t>[IMP]_KO_C15051-04-202409_20250123093837825.pdf</t>
  </si>
  <si>
    <t>https://www.ls-electric.com/ko/product/view/P01055</t>
  </si>
  <si>
    <t>silo_sub_LS-IMP-C A420 10A_eocr_ideal_20241212_094115_20241218080635906.jpg</t>
  </si>
  <si>
    <t>2025-01-24 10:01:05</t>
  </si>
  <si>
    <t xml:space="preserve">MRO e-Caltalog시스템 경유건으로 대체 Maker 미 발굴건, 기 설치된 Protection Relay의 호환성을 위해 특정 사양으로 등록건 확인,_x000D_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</si>
  <si>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Q4663872</t>
  </si>
  <si>
    <t>EOCR,[FEZ-WRAM7WA/SCHNEIDER],AC 220V,0.5-60A,50/60HZ</t>
  </si>
  <si>
    <t>FEZ-WRAM7WA</t>
  </si>
  <si>
    <t>ac7dbe0bfc5cfb431a136584f2d9321e_20250206180730836.pdf</t>
  </si>
  <si>
    <t>http://www.skeocr.com/home/product/productshow/id/48.html</t>
  </si>
  <si>
    <t>EOCR-FEZ-WRAM7WA_20250205223336597.png</t>
  </si>
  <si>
    <t>2025-02-07 11:02:15</t>
  </si>
  <si>
    <t xml:space="preserve">유사사양 검색결과, Q4386445 은 옵션(W/3-CT 300/5A)이 다르고, Q4386570도 옵션이 다름 확인후 승인합니다. _x000D_
</t>
  </si>
  <si>
    <t>Q4664421</t>
  </si>
  <si>
    <t>EOCR,[IFMZ-WRAUWZ/SCHNEIDER],0.5~60A,LOW VOLTAGE,RJ45-003,OR EQUIVALENT</t>
  </si>
  <si>
    <t>IFMZ-WRAUWZ</t>
  </si>
  <si>
    <t>RJ45-003</t>
  </si>
  <si>
    <t>Digitial-nEOCR_Catalog_20241105073144119.pdf</t>
  </si>
  <si>
    <t>https://www.se.com/kr/ko/product/IFMZ-WRAUWZ/eocrifmz-wr-aa-100240v-wind-/</t>
  </si>
  <si>
    <t>제목 없음_20241105073144241.jpg</t>
  </si>
  <si>
    <t>2025-02-12 15:02:59</t>
  </si>
  <si>
    <t xml:space="preserve">MRO e-Caltalog시스템 경유건으로 대체 Maker 미 발굴건, 기 설치된 Relay의 호환성을 위해 특정 사양으로 등록건 확인,_x000D_
Q4593751등 유사item 검색하였으나, 유사/동일품 없음 확인후 승인합니다._x000D_
(특정 사양품감축 관련) 차후 입고시 스케치, 현물 확인을 통한 도면화,일반 사양화, 복수화 전환 검토 요청 필히 부탁드립니다. 감사합니다._x000D_
_x000D_
</t>
  </si>
  <si>
    <t>Q4665726</t>
  </si>
  <si>
    <t>EOCR,[DSP-CTL-70Z7-P/SAM HWA TECH]+5~70A,85~260VAC,4~20MA</t>
  </si>
  <si>
    <t>DSP-CTL-70Z7-P</t>
  </si>
  <si>
    <t>5~70A,85~260VAC,4~20MA</t>
  </si>
  <si>
    <t>https://www.samwhadsp.com/products/detail/D93RP00183?page=1&amp;returnCate=127&amp;cate=127&amp;</t>
  </si>
  <si>
    <t>DSP-CTL_20250219195819804.png</t>
  </si>
  <si>
    <t>BAGOES ARISTYA MUNARDI</t>
  </si>
  <si>
    <t>bagoes.aristya@krakatauposco.co.id</t>
  </si>
  <si>
    <t>2025-02-26 10:02:36</t>
  </si>
  <si>
    <t xml:space="preserve">Q4129353등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</si>
  <si>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Q4665915</t>
  </si>
  <si>
    <t>EOCR,[ISEM2-WRUHP/SCHNEIDER ELECTRIC],100-240VAC,0.5-100A,LOW VOLTAGE,SPDM,CABLE-RJ45X-003,OR EQUIVALENT</t>
  </si>
  <si>
    <t>ISEM2-WRUHP</t>
  </si>
  <si>
    <t>SPDM,CABLE-RJ45X-003</t>
  </si>
  <si>
    <t>https://www.se.com/kr/ko/product/ISEM2-WRUHP</t>
  </si>
  <si>
    <t>ISEM2-WRUHP_20250211111354487.jpg</t>
  </si>
  <si>
    <t>김정훈</t>
  </si>
  <si>
    <t>kjhoon1231@posco.co.kr</t>
  </si>
  <si>
    <t>2025-02-27 16:02:20</t>
  </si>
  <si>
    <t xml:space="preserve">MRO e-Caltalog시스템 경유건으로 대체 Maker 미 발굴건, 기 설치된 Protection Relay의 호환성을 위해 특정 사양으로 등록건 확인,_x000D_
Q4639560등 유사item 검색하였으나, 유사/동일품 없음 확인후 승인합니다._x000D_
(특정 사양품감축 관련) 차후 입고시 스케치, 현물 확인을 통한 도면화,일반 사양화, 복수화 전환 검토 요청 필히 부탁드립니다. 감사합니다._x000D_
_x000D_
</t>
  </si>
  <si>
    <t>Q4665994</t>
  </si>
  <si>
    <t>EOCR,[DSP-COM-10-Z-7-P/SAMHWA TECH],CABLE(DSP-CABLE-1.8M),0.5~10A,85~260VAC</t>
  </si>
  <si>
    <t>DSP-COM-10-Z-7-P</t>
  </si>
  <si>
    <t>SAMHWA TECH</t>
  </si>
  <si>
    <t>CABLE(DSP-CABLE-1.8M),0.5~10A,85~260VAC</t>
  </si>
  <si>
    <t>COM 10Z_20250228160241241.jpg</t>
  </si>
  <si>
    <t>DSP-COM_20250225110925271.png</t>
  </si>
  <si>
    <t>COM 10Z_20250225110925309.jpg</t>
  </si>
  <si>
    <t>2025-03-04 08:03:49</t>
  </si>
  <si>
    <t>Q4666232</t>
  </si>
  <si>
    <t>EOCR,[DSP-AOM-02Z7-ZCT-F/SAMWHADSP],100-240VAC,LOW VOLTAGE,OR EQUIVALENT</t>
  </si>
  <si>
    <t>DSP-AOM-02Z7-ZCT-F</t>
  </si>
  <si>
    <t>A시리즈 개별 카다로그 (1)_20250210132526349.pdf</t>
  </si>
  <si>
    <t>www.samwhadsp.com/products/detail/D93RP00168?page=1&amp;returnCate=127&amp;cate=127&amp;keyword=AOM&amp;</t>
  </si>
  <si>
    <t>AOM_20250210132227778.png</t>
  </si>
  <si>
    <t>김선우</t>
  </si>
  <si>
    <t>seounwu@posco.co.kr</t>
  </si>
  <si>
    <t>2025-03-05 09:03:16</t>
  </si>
  <si>
    <t xml:space="preserve">MRO e-Caltalog시스템 경유건으로 대체 Maker 미 발굴건, 기 설치된 Relay의 호환성을 위해 특정 사양으로 등록건 확인,_x000D_
Q4613107등 유사item 검색하였으나, 유사/동일품 없음 확인후 승인합니다._x000D_
(특정 사양품감축 관련) 차후 입고시 스케치, 현물 확인을 통한 도면화,일반 사양화, 복수화 전환 검토 요청 필히 부탁드립니다. 감사합니다._x000D_
_x000D_
</t>
  </si>
  <si>
    <t>Q4666236</t>
  </si>
  <si>
    <t>EOCR,[DSP-AOM-10Z7-ZCT-F/SAMWHADSP],100-240VAC,LOW VOLTAGE,OR EQUIVALENT</t>
  </si>
  <si>
    <t>DSP-AOM-10Z7-ZCT-F</t>
  </si>
  <si>
    <t>AOM_20250210133058235.png</t>
  </si>
  <si>
    <t>2025-03-05 09:03:07</t>
  </si>
  <si>
    <t xml:space="preserve">MRO e-Caltalog시스템 경유건으로 대체 Maker 미 발굴건, 기 설치된 Relay의 호환성을 위해 특정 사양으로 등록건 확인,_x000D_
Q4647652등 유사item 검색하였으나 동일 메이커의 다른 형번 물품임 확인하였으며, 유사/동일품 없음 확인후 승인합니다._x000D_
(특정 사양품감축 관련) 차후 입고시 스케치, 현물 확인을 통한 도면화,일반 사양화, 복수화 전환 검토 요청 필히 부탁드립니다. 감사합니다._x000D_
_x000D_
</t>
  </si>
  <si>
    <t>Q4666301</t>
  </si>
  <si>
    <t>EOCR,[DSP-AOM-70Z7-ZCT-F/SAMWHADSP],100-240VAC,LOW VOLTAGE,OR EQUIVALENT</t>
  </si>
  <si>
    <t>DSP-AOM-70Z7-ZCT-F</t>
  </si>
  <si>
    <t>AOM_20250210133636123.png</t>
  </si>
  <si>
    <t>2025-03-05 13:03:32</t>
  </si>
  <si>
    <t xml:space="preserve">MRO e-Caltalog시스템 경유건으로 대체 Maker 미 발굴건, 기 설치된 Relay의 호환성을 위해 특정 사양으로 등록건 확인,_x000D_
Q4598407등 유사item 검색하였으나 동일 메이커의 다른 형번 물품임 확인하였으며, 유사/동일품 없음 확인후 승인합니다._x000D_
(특정 사양품감축 관련) 차후 입고시 스케치, 현물 확인을 통한 도면화,일반 사양화, 복수화 전환 검토 요청 필히 부탁드립니다. 감사합니다._x000D_
</t>
  </si>
  <si>
    <t>Q4667710</t>
  </si>
  <si>
    <t>EOCR,[DSP-DCR-B/SAMWHA DSP],DC 24V,LOW VOLTAGE,FOR 3CC 3,4M/C TCM MOTOR BRAKE,OR EQUIVALENT</t>
  </si>
  <si>
    <t>DSP-DCR-B</t>
  </si>
  <si>
    <t>FOR 3CC 3,4M/C TCM MOTOR BRAKE</t>
  </si>
  <si>
    <t>DCR, -M 개별 카다로그_20250313075121155.pdf</t>
  </si>
  <si>
    <t>https://www.samwhadsp.com/products/detail/D93RP00146/?returnCate=130&amp;cate=130&amp;</t>
  </si>
  <si>
    <t>물품등록ㅋㅋㅋ_20250313075121242.png</t>
  </si>
  <si>
    <t>2025-03-17 14:03:51</t>
  </si>
  <si>
    <t xml:space="preserve">MRO e-Caltalog시스템 경유건으로 대체 Maker 미 발굴건, 기 설치된 Protection Relay의 호환성을 위해 특정 사양으로 등록건 확인,_x000D_
Q4287999등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</si>
  <si>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Q4668200</t>
  </si>
  <si>
    <t>EOCR,[DSP-CTM-10Z7-ZCT-T-P/SAMWHA DSP],100-240VAC,0.5-10A,LOW VOLTAGE,4~20MA FOR TEMINAL TYPE,OR EQUIVALENT</t>
  </si>
  <si>
    <t>DSP-CTM-10Z7-ZCT-T-P</t>
  </si>
  <si>
    <t>4~20MA FOR TEMINAL TYPE</t>
  </si>
  <si>
    <t>DSP-CTM-T_20250131163055759.jpg</t>
  </si>
  <si>
    <t>박종범</t>
  </si>
  <si>
    <t>kaizia4252@posco.co.kr</t>
  </si>
  <si>
    <t>2025-03-20 09:03:56</t>
  </si>
  <si>
    <t xml:space="preserve">MRO e-Caltalog시스템 경유건으로 대체 Maker 미 발굴건, 기 설치된 Relay의 호환성을 위해 특정 사양으로 등록건 확인,_x000D_
Q4552136등 유사item 검색하였으나, 유사/동일품 없음 확인후 승인합니다._x000D_
(특정 사양품감축 관련) 차후 입고시 스케치, 현물 확인을 통한 도면화,일반 사양화, 복수화 전환 검토 요청 필히 부탁드립니다. 감사합니다._x000D_
</t>
  </si>
  <si>
    <t>Q4668350</t>
  </si>
  <si>
    <t>THERMAL,[3UA50-00-1D/SIEMENS]+2~3.2A,LOW VOLTAGE,THERMAL OVERLOAD RELAY</t>
  </si>
  <si>
    <t>3UA50-00-1D</t>
  </si>
  <si>
    <t>2~3.2A</t>
  </si>
  <si>
    <t>https://assets.new.siemens.com/siemens/assets/api/uuid:a783fca9-0d1a-4991-8176-ac6f135a7d89/SICOP-Datasheet-2017.pdf</t>
  </si>
  <si>
    <t>Thermal relay_20250320175659772.png</t>
  </si>
  <si>
    <t>Neeraj Tank</t>
  </si>
  <si>
    <t>neerajt@posco.net</t>
  </si>
  <si>
    <t>2025-03-21 11:03:20</t>
  </si>
  <si>
    <t>Q4668915</t>
  </si>
  <si>
    <t>OCR,[GDR-AB01/KYOUNG BO],DC 110V,HIGH VOLTAGE,OR EQUIVALENT</t>
  </si>
  <si>
    <t>GDR-AB01</t>
  </si>
  <si>
    <t>GDR_Series_일반공통사양_20250319080345499.pdf</t>
  </si>
  <si>
    <t>https://www.kyongbo.co.kr/data/catalog_view.jsp?bseq=A300227&amp;pageNo=1</t>
  </si>
  <si>
    <t>GDR-AB01_20250319080345615.png</t>
  </si>
  <si>
    <t>손억조</t>
  </si>
  <si>
    <t>ssoneokjo@posco.co.kr</t>
  </si>
  <si>
    <t>2025-03-26 13:03:13</t>
  </si>
  <si>
    <t xml:space="preserve">MRO e-Caltalog시스템 경유건으로 대체 Maker 미 발굴건, 기 설치된 Protection Relay   의 호환성을 위해 특정 사양으로 등록건 확인,_x000D_
Q4319778등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</si>
  <si>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Q4669050</t>
  </si>
  <si>
    <t>MULTI,[REC670/HITACHI ENERGY],DC 110V,LOW VOLTAGE,OR EQUIVALENT</t>
  </si>
  <si>
    <t>REC670</t>
  </si>
  <si>
    <t>HITACHI ENERGY</t>
  </si>
  <si>
    <t>https://www.hitachienergy.com/products-and-solutions/substation-automation-protection-and-control/products/protection-and-control/bay-control/rec6700</t>
  </si>
  <si>
    <t>REC670_HITACHI ENERGY KOREA_20250311073156262.jpg</t>
  </si>
  <si>
    <t>전준휘</t>
  </si>
  <si>
    <t>jjh@posco.co.kr</t>
  </si>
  <si>
    <t>2025-03-27 09:03:44</t>
  </si>
  <si>
    <t xml:space="preserve">MRO e-Caltalog시스템 경유건으로 대체 Maker 미 발굴건, 기 설치된 Protection Relay의 호환성을 위해 특정 사양으로 등록건 확인,_x000D_
Q4003887등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</si>
  <si>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Q4669440</t>
  </si>
  <si>
    <t>Used Goods</t>
  </si>
  <si>
    <t>[USED GOODS],[PST1260A/GUODIANNANZI],V2.2 CRC:0855 DC:110V CT:5A PCB:AC,COM,CPU,TRIP,SIGNAL,POWER</t>
  </si>
  <si>
    <t>PST1260A</t>
  </si>
  <si>
    <t>GUODIANNANZI</t>
  </si>
  <si>
    <t>V2.2 CRC:0855 DC:110V CT:5A PCB:AC,COM,CPU,TRIP,SIGNAL,POWER</t>
  </si>
  <si>
    <t>PST1260A_20250328170948287.jpg</t>
  </si>
  <si>
    <t>mmexport1742452192861_20250328172854636.jpg</t>
  </si>
  <si>
    <t>mmexport1742452197514_20250328172931709.jpg</t>
  </si>
  <si>
    <t>2025-04-02 13:04:48</t>
  </si>
  <si>
    <t>Q4669456</t>
  </si>
  <si>
    <t>MULTI,[P54331Q77M0K18M/SCHNEIDER],100-240VAC,HIGH VOLTAGE,MICOM P543 CURRENT DIFFERENTIAL RELAY</t>
  </si>
  <si>
    <t>P54331Q77M0K18M</t>
  </si>
  <si>
    <t>MICOM P543 CURRENT DIFFERENTIAL RELAY</t>
  </si>
  <si>
    <t>P543 Order sheet_20250331163727716.xls</t>
  </si>
  <si>
    <t>https://www.se.com/vn/vi/product-range/60747-easergy-micom-p54x/#overview</t>
  </si>
  <si>
    <t>P543_20250331163915900.jpg</t>
  </si>
  <si>
    <t>2025-04-02 13:04:10</t>
  </si>
  <si>
    <t xml:space="preserve">I searched for similar items like Q4325643 etc , but I approve it after checking that there is no similar/identical item._x000D_
(Regarding the reduction of certain specifications) Please request to review sketch, drawing through spot confirmation, general specification, and multiple conversion when receiving it in the future. Thank you._x000D_
</t>
  </si>
  <si>
    <t>Q4669460</t>
  </si>
  <si>
    <t>[USED GOODS],[PST 1261A/GUODIANNANZI],V2.02 CRC:146E DC:110V CT:5A PCB:AC,COM,CPU,TRIP,SIGNAL,POWER</t>
  </si>
  <si>
    <t>PST 1261A</t>
  </si>
  <si>
    <t>V2.02 CRC:146E DC:110V CT:5A PCB:AC,COM,CPU,TRIP,SIGNAL,POWER</t>
  </si>
  <si>
    <t>PST1261A_20250401092416293.jpg</t>
  </si>
  <si>
    <t>mmexport1742452470010_20250401093439547.jpg</t>
  </si>
  <si>
    <t>mmexport1742452651035_edit_3021209349181705_20250401093513501.jpg</t>
  </si>
  <si>
    <t>2025-04-02 14:04:09</t>
  </si>
  <si>
    <t>Q4669604</t>
  </si>
  <si>
    <t>[USED GOODS],[PST1210C/GUODIANNANZI],DC:110V PCB:HIGH-SIDE OPERATING BOX,LOW-PRESSURE SIDE OPERATING BOX,AGL*2, BT*4,CK</t>
  </si>
  <si>
    <t>PST1210C</t>
  </si>
  <si>
    <t>DC:110V PCB:HIGH-SIDE OPERATING BOX,LOW-PRESSURE SIDE OPERATING BOX,AGL*2, BT*4,CK</t>
  </si>
  <si>
    <t>PST1210C_20250401151818476.jpg</t>
  </si>
  <si>
    <t>mmexport1742453675332_20250401151818587.jpg</t>
  </si>
  <si>
    <t>2025-04-03 11:04:49</t>
  </si>
  <si>
    <t>Q4669605</t>
  </si>
  <si>
    <t>[PSR661U/GUODIANNANZI],V2.2 CRC:59CD AND 59 OTHER CRC CODES,DC:110V CT5A,PCB:POWER,DOA,DI*3,LDIO,TDCA,MMI,TDIO,AC-1*2</t>
  </si>
  <si>
    <t>PSR661U</t>
  </si>
  <si>
    <t>V2.2 CRC:59CD AND 59 OTHER CRC CODES,DC:110V CT5A,PCB:POWER,DOA,DI*3,LDIO,TDCA,MMI,TDIO,AC-1*2</t>
  </si>
  <si>
    <t>PSR661U_20250401152103745.jpg</t>
  </si>
  <si>
    <t>http://www.sac-china.com/webfront/common/info/productInfoList/cplxbm/1df4c97a5fb049749c0cfe5e0e8c13e1/pageNo/2</t>
  </si>
  <si>
    <t>mmexport1742454958193_20250401152103864.jpg</t>
  </si>
  <si>
    <t>2025-04-03 11:04:47</t>
  </si>
  <si>
    <t xml:space="preserve">USED GOODS 물품 등록임 확인후 승인합니다. </t>
  </si>
  <si>
    <t>Q4670403</t>
  </si>
  <si>
    <t>EOCR,[EOCRFEZ-WRAM7WA/SCHNEIDER ELECTRIC],AC 220V,0.5 ~ 60A,LOW VOLTAGE,MAIN CIRCUIT:690V,AUX CONTACT:5A/250VAC,50HZ</t>
  </si>
  <si>
    <t>EOCRFEZ-WRAM7WA</t>
  </si>
  <si>
    <t>MAIN CIRCUIT:690V,AUX CONTACT:5A/250VAC,50HZ</t>
  </si>
  <si>
    <t>Schneider Electric_EOCR_EOCRFEZ-WRAM7WA_20250409145614851.pdf</t>
  </si>
  <si>
    <t>IMG_20250409_112458_20250409150309470.jpg</t>
  </si>
  <si>
    <t>Ashish Dhupkar</t>
  </si>
  <si>
    <t>CAL/ACL Elect. Maint.</t>
  </si>
  <si>
    <t>a.dhupkar@posco.net</t>
  </si>
  <si>
    <t>2025-04-10 10:04:21</t>
  </si>
  <si>
    <t xml:space="preserve">I searched for similar items such as Q4365488, but I approve it after checking that there are no similar/identical items._x000D_
(Regarding the reduction of certain specifications) Please request to review sketch, drawing through spot confirmation, general specification, and multiple conversion when receiving the goods in the future. Thank you._x000D_
Q4365488등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</si>
  <si>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Q4670965</t>
  </si>
  <si>
    <t>[WYGF-D11T/WOONYOUNG],AC110-220V,HIGH VOLTAGE</t>
  </si>
  <si>
    <t>WYGF-D11T</t>
  </si>
  <si>
    <t>WYGF-D11T_20250410074617910.pdf</t>
  </si>
  <si>
    <t>WYGF-D11T_20250410074618025.PNG</t>
  </si>
  <si>
    <t>2025-04-16 08:04:52</t>
  </si>
  <si>
    <t xml:space="preserve">MRO e-Caltalog시스템 경유건으로 대체 Maker 미 발굴건, 기 설치된  Protection Relay의 호환성을 위해 특정 사양으로 등록건 확인,_x000D_
Q4247503등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</si>
  <si>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Q4671316</t>
  </si>
  <si>
    <t>THERMAL,[MT-32/3H0.52/LS],AC 220V,0.4~0.63A,LOW VOLTAGE</t>
  </si>
  <si>
    <t>MT-32/3H0.52</t>
  </si>
  <si>
    <t>https://tbs.ls-electric.com/tbsdata/FileRepository/CTLG/%5BMetasol_MS%5D_EN_C04002-32-202304.pdf</t>
  </si>
  <si>
    <t>MT-32_20250417075833966.PNG</t>
  </si>
  <si>
    <t>이성진</t>
  </si>
  <si>
    <t>sjlee99@poscointl.com</t>
  </si>
  <si>
    <t>2025-04-18 16:04:29</t>
  </si>
  <si>
    <t>Q4671428</t>
  </si>
  <si>
    <t>THERMAL,[MT-32/3H6.5/LS],AC 220V,5~8A,LOW VOLTAGE</t>
  </si>
  <si>
    <t>MT-32/3H6.5</t>
  </si>
  <si>
    <t>MT-32(2)_20250417075619395.PNG</t>
  </si>
  <si>
    <t>MT-32_20250417075619451.PNG</t>
  </si>
  <si>
    <t>2025-04-21 11:04:34</t>
  </si>
  <si>
    <t>Q4671429</t>
  </si>
  <si>
    <t>THERMAL,[MT-32/3H5/LS],AC 220V,4~6A,LOW VOLTAGE</t>
  </si>
  <si>
    <t>MT-32/3H5</t>
  </si>
  <si>
    <t>MT-32(2)_20250417075742766.PNG</t>
  </si>
  <si>
    <t>MT-32_20250417075742834.PNG</t>
  </si>
  <si>
    <t>2025-04-21 11:04:00</t>
  </si>
  <si>
    <t>Q4671430</t>
  </si>
  <si>
    <t>THERMAL,[MT-32/3H3.3/LS],AC 220V,2.5~4A,LOW VOLTAGE</t>
  </si>
  <si>
    <t>MT-32/3H3.3</t>
  </si>
  <si>
    <t>MT-32_20250417075800570.PNG</t>
  </si>
  <si>
    <t>2025-04-21 11:04:20</t>
  </si>
  <si>
    <t>Q4671431</t>
  </si>
  <si>
    <t>THERMAL,[MT-32/3H2.1/LS],AC 220V,1.6~2.5A,LOW VOLTAGE</t>
  </si>
  <si>
    <t>MT-32/3H2.1</t>
  </si>
  <si>
    <t>MT-32_20250417075816411.PNG</t>
  </si>
  <si>
    <t>2025-04-21 11:04:29</t>
  </si>
  <si>
    <t>Q4671998</t>
  </si>
  <si>
    <t>MULTI,[GIPAM-2200 T3/LS],DC 110V,HIGH VOLTAGE,FREQUENCY 50HZ</t>
  </si>
  <si>
    <t>GIPAM-2200 T3</t>
  </si>
  <si>
    <t>FREQUENCY 50HZ</t>
  </si>
  <si>
    <t>N1_GIPAM2000.2200_20250424153742804.pdf</t>
  </si>
  <si>
    <t>https://www.ls-electric.com/jp/product/view/P00095</t>
  </si>
  <si>
    <t>gipam_20250422171400215.jpg</t>
  </si>
  <si>
    <t>2025-04-24 15:04:03</t>
  </si>
  <si>
    <t>Q4672377</t>
  </si>
  <si>
    <t>EOCR,[EVRPD-44U/SCHNEIDER],100-240VAC,LOW VOLTAGE,50/60HZ, 1&amp;3 PHASE, DIGITAL VOLTAGE RELAY, AC 100-480V</t>
  </si>
  <si>
    <t>EVRPD-44U</t>
  </si>
  <si>
    <t>50/60HZ, 1&amp;3 PHASE, DIGITAL VOLTAGE RELAY, AC 100-480V</t>
  </si>
  <si>
    <t>maker statement and drawing EVRPD_20250423100705321.pdf</t>
  </si>
  <si>
    <t>eocr-evrpd-44u_20250423100727367.jpg</t>
  </si>
  <si>
    <t>HARRY EKA PUTRA</t>
  </si>
  <si>
    <t>harry.ep@krakatauposco.co.id</t>
  </si>
  <si>
    <t>2025-04-29 15:04:38</t>
  </si>
  <si>
    <t xml:space="preserve">기 설치된 물품의 호환성을 위해 특정 사양으로 등록건 확인,_x000D_
Q4289144등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</si>
  <si>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Q4672463</t>
  </si>
  <si>
    <t>MULTI,[HGMAPSFNVC1D1F6A1A5NO/HYUNDAI ELECTRIC],DC 110V,HIGH VOLTAGE</t>
  </si>
  <si>
    <t>HGMAPSFNVC1D1F6A1A5NO</t>
  </si>
  <si>
    <t>https://www.hd-hyundaielectric.com/elect/ko/product/product8.jsp</t>
  </si>
  <si>
    <t>보호계전기 이미지_20250425131033976.png</t>
  </si>
  <si>
    <t>포항라임정비섹션</t>
  </si>
  <si>
    <t>skym1024s@poscofuturem.com</t>
  </si>
  <si>
    <t>김 경수</t>
  </si>
  <si>
    <t>포)기술영업그룹(사용중지)</t>
  </si>
  <si>
    <t>suya1394@poscofuturem.com</t>
  </si>
  <si>
    <t>2025-04-30 10:04:57</t>
  </si>
  <si>
    <t xml:space="preserve">** 추후 사양검증자료 위치를 신청자 메모란에 기재 부탁드립니다. _x000D_
국문 제품 총람 브로슈어 946페이지 모델 확인후 승인합니다. _x000D_
기 설치된 물품의 호환성을 위해 특정 사양으로 등록건 확인,유사item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</si>
  <si>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Q4676465</t>
  </si>
  <si>
    <t>OVR,[EVR-1P22/SCHNEIDER],AC 220V,LOW VOLTAGE</t>
  </si>
  <si>
    <t>EVR-1P22</t>
  </si>
  <si>
    <t>Catalog-EVR-1P22-Schneider_20250610183021297.pdf</t>
  </si>
  <si>
    <t>https://www.scribd.com/document/827656904/Catalog-EVR-1P22-Schneider</t>
  </si>
  <si>
    <t>Image_20250610183750624.PNG</t>
  </si>
  <si>
    <t>2025-06-11 17:06:30</t>
  </si>
  <si>
    <t>Q4676533</t>
  </si>
  <si>
    <t>EOCR,[EOCRDZ-10RM7/SCHNEIDER],AC 220V,LOW VOLTAGE</t>
  </si>
  <si>
    <t>EOCRDZ-10RM7</t>
  </si>
  <si>
    <t>1_20250609161832109.PNG</t>
  </si>
  <si>
    <t>https://www.se.com/kr/ko/download/document/EOCR%20Analg_KR_1007/</t>
  </si>
  <si>
    <t>eocrdz-10rm7_20250609161433232.PNG</t>
  </si>
  <si>
    <t>2025-06-12 13:06:40</t>
  </si>
  <si>
    <t xml:space="preserve">기 설치된 물품의 호환성을 위해 특정 사양으로 등록건 확인,_x000D_
Q4386572 유사item 검색하였으나, 유사/동일품 없음 확인후 승인합니다._x000D_
(특정 사양품감축 관련) 차후 입고시 스케치, 현물 확인을 통한 도면화, 일반 사양화, 복수화 전환 검토 요청 필히 부탁드립니다. 감사합니다._x000D_
</t>
  </si>
  <si>
    <t>Q4676627</t>
  </si>
  <si>
    <t>[GIPAM10 VO/LS ELECTRIC],DC 110V</t>
  </si>
  <si>
    <t>GIPAM10 VO</t>
  </si>
  <si>
    <t>https://www.ls-electric.com/products/view/Smart_Power_Solution/Protection!Measurement!Meter/Protection/GIPAM10</t>
  </si>
  <si>
    <t>GIPAM 10_20250612104844760.jpg</t>
  </si>
  <si>
    <t>2025-06-13 09:06:13</t>
  </si>
  <si>
    <t>Q4677381</t>
  </si>
  <si>
    <t>EOCR,[IMP-C-A420-640A-110/220/LS],100-240VAC,LOW VOLTAGE</t>
  </si>
  <si>
    <t>IMP-C-A420-640A-110/220</t>
  </si>
  <si>
    <t>[IMP]_EN_C15052-04-202409aaaaaaaaaaaaaaa_20250618204418676.pdf</t>
  </si>
  <si>
    <t>https://www.ls-electric.com/products/view/Smart_Power_Solution/Low_Voltage/EMPR/IMP</t>
  </si>
  <si>
    <t>LS Capture_20250618204418813.PNG</t>
  </si>
  <si>
    <t>ACL Maint.</t>
  </si>
  <si>
    <t>2025-06-19 17:06:28</t>
  </si>
  <si>
    <t>Q4677461</t>
  </si>
  <si>
    <t>EOCR,[DSP-AOL-02Z7-F/SAMWHADSP],100-240VAC,HIGH VOLTAGE</t>
  </si>
  <si>
    <t>DSP-AOL-02Z7-F</t>
  </si>
  <si>
    <t>DSP-AOL-02Z7-F_20250617142644883.PNG</t>
  </si>
  <si>
    <t>ksm8202@poscofuturem.com</t>
  </si>
  <si>
    <t>2025-06-23 09:06:08</t>
  </si>
  <si>
    <t>Q4677465</t>
  </si>
  <si>
    <t>OCR,[DSP-SS1-10-Z7/SAMWHADSP],80~250VAC/DC,LOW VOLTAGE</t>
  </si>
  <si>
    <t>DSP-SS1-10-Z7</t>
  </si>
  <si>
    <t>SS1, -AR 개별 카다로그_20250617143107191.pdf</t>
  </si>
  <si>
    <t>https://www.samwhadsp.com/products/detail/D93RP00229?page=1&amp;returnCate=131&amp;cate=131&amp;</t>
  </si>
  <si>
    <t>DSP-SS1-10-Z7_20250617143122147.PNG</t>
  </si>
  <si>
    <t>2025-06-23 09:06:22</t>
  </si>
  <si>
    <t>Q4677466</t>
  </si>
  <si>
    <t>[DMP65I-T/LS],100-260VAC,HIGH VOLTAGE</t>
  </si>
  <si>
    <t>DMP65I-T</t>
  </si>
  <si>
    <t>DMP65I-T_20250618093753972.PNG</t>
  </si>
  <si>
    <t>2025-06-23 09:06:24</t>
  </si>
  <si>
    <t>Q4677978</t>
  </si>
  <si>
    <t>[DSP-IR-Z7-C-F/SAM WHA DSP]+PANEL MOUNTING TYPE,DC 24V,LOW VOLTAGE,OR EQUIVALENT</t>
  </si>
  <si>
    <t>DSP-IR-Z7-C-F</t>
  </si>
  <si>
    <t>SAM WHA DSP</t>
  </si>
  <si>
    <t>PANEL MOUNTING TYPE</t>
  </si>
  <si>
    <t>IR(M) 개별 카다로그_20250619155054558.pdf</t>
  </si>
  <si>
    <t>https://samwhadsp.com/</t>
  </si>
  <si>
    <t>DSP-IR-Z7-C-F_20250619155535810.jpg</t>
  </si>
  <si>
    <t>정웅탁</t>
  </si>
  <si>
    <t>jeong3985@posco.co.kr</t>
  </si>
  <si>
    <t>2025-06-25 16:06:32</t>
  </si>
  <si>
    <t>Q4677979</t>
  </si>
  <si>
    <t>[DSP-IRM-Z7-C-F/SAM WHA DSP]+PANEL FLUSH MOUNTING TYPE,DC 24V,LOW VOLTAGE,OR EQUIVALENT</t>
  </si>
  <si>
    <t>DSP-IRM-Z7-C-F</t>
  </si>
  <si>
    <t>PANEL FLUSH MOUNTING TYPE</t>
  </si>
  <si>
    <t>DSP-IRM-Z7-C-F_20250619161307515.jpg</t>
  </si>
  <si>
    <t>2025-06-25 16:06:57</t>
  </si>
  <si>
    <t>Q4678010</t>
  </si>
  <si>
    <t>[DPR-400/DATAKOM]+IP65, RS485,DC 110V,LOW VOLTAGE,PROTECTION RELAY FOR LV PANELS, 164G X 164Y X 69D</t>
  </si>
  <si>
    <t>DPR-400</t>
  </si>
  <si>
    <t>DATAKOM</t>
  </si>
  <si>
    <t>IP65, RS485</t>
  </si>
  <si>
    <t>PROTECTION RELAY FOR LV PANELS, 164G X 164Y X 69D</t>
  </si>
  <si>
    <t>400_TAN_20250624140939557.pdf</t>
  </si>
  <si>
    <t>https://datakom.com.tr/</t>
  </si>
  <si>
    <t>DATAKOM DPR400_20250624142950837.png</t>
  </si>
  <si>
    <t>2025-06-26 08:06:18</t>
  </si>
  <si>
    <t xml:space="preserve">I searched for similar items, but I approve it after checking that there is no similar/identical item._x000D_
(Regarding the reduction of certain specifications) Please request to review sketch, drawing through spot confirmation, general specification, and multiple conversion when receiving it in the future. Thank you.DATAKOM은 전자 제어 장치 및 모니터링 시스템 등을 제조하는 제조사임 확인하였음. _x000D_
기 설치된 물품의 호환성을 위해 특정 사양으로 등록건 확인, 유사item 검색하였으나, 유사/동일품 없음 확인후 승인합니다._x000D_
(특정 사양품감축 관련) 차후 입고시 스케치, 현물 확인을 통한 도면화, 일반 사양화, 복수화 전환 검토 요청 필히 부탁드립니다. 감사합니다._x000D_
_x000D_
</t>
  </si>
  <si>
    <t>Q4678256</t>
  </si>
  <si>
    <t>EOCR,[EOCRDS3-30S/SCHNEIDER ELECTIRC]</t>
  </si>
  <si>
    <t>EOCRDS3-30S</t>
  </si>
  <si>
    <t>SCHNEIDER ELECTIRC</t>
  </si>
  <si>
    <t>EOCRDS3-60S사양_20240220145938866_20250626153236288.JPG</t>
  </si>
  <si>
    <t>캡처_20250626153615569.PNG</t>
  </si>
  <si>
    <t>2025-06-27 15:06:46</t>
  </si>
  <si>
    <t>Q4680117</t>
  </si>
  <si>
    <t>EOCR,[3ESS-120-440/DACO],AC 440V,LOW VOLTAGE</t>
  </si>
  <si>
    <t>3ESS-120-440</t>
  </si>
  <si>
    <t>DACO</t>
  </si>
  <si>
    <t>eocr 1_20250709131106821.JPG</t>
  </si>
  <si>
    <t>https://e-daco.com/product/view.php?cat=3&amp;cat_no=26&amp;idx=22</t>
  </si>
  <si>
    <t>eocr_20250709131134145.JPG</t>
  </si>
  <si>
    <t>2025-07-15 07:07:11</t>
  </si>
  <si>
    <t xml:space="preserve">기 설치된 물품의 호환성을 위해 특정 사양으로 등록건 확인,_x000D_
Q4181823등 유사item 검색하였으나, 유사/동일품 없음 확인후 승인합니다._x000D_
(특정 사양품감축 관련) 차후 입고시 스케치, 현물 확인을 통한 도면화, 일반 사양화, 복수화 전환 검토 요청 부탁드립니다. 감사합니다._x000D_
</t>
  </si>
  <si>
    <t>Q4681221</t>
  </si>
  <si>
    <t>EOCR,[EOCR3EZ-80CUH/SCHNEIDER ELECTRIC],5-80A,0.03~10A (TRIPPING THRESHOLD, DEFINITE - EARTH FAULT CURRENT),LOW VOLTAGE,1NC+1NO(OL), 1NO(AL), DIN RAIL MOUNT, PHASE LOSS/REVERSE/UNBALANCE</t>
  </si>
  <si>
    <t>EOCR3EZ-80CUH</t>
  </si>
  <si>
    <t xml:space="preserve">1NC+1NO(OL), 1NO(AL), DIN RAIL MOUNT, PHASE LOSS/REVERSE/UNBALANCE </t>
  </si>
  <si>
    <t>https://www.se.com/eg/en/product/EOCR3EZ-80CUH/electronic-overcurrent-relay-eocr-5-to-80a-100-to-240v-overloaded-with-grounded-built-in-ct-and-pdm-hole-type/</t>
  </si>
  <si>
    <t>EOCR_20250723163824092.jpg</t>
  </si>
  <si>
    <t>2025-07-24 13:07:02</t>
  </si>
  <si>
    <t>Q4681584</t>
  </si>
  <si>
    <t>[CWU2450/CRYDOM],20-48VDC OR 20-280VAC,24-280VAC,50A,FOR SOLID STATE RELAY</t>
  </si>
  <si>
    <t>CWU2450</t>
  </si>
  <si>
    <t>CRYDOM</t>
  </si>
  <si>
    <t>20-48VDC OR 20-280VAC,24-280VAC,50A,FOR SOLID STATE RELAY</t>
  </si>
  <si>
    <t>카탈로그_20250721134039786.pdf</t>
  </si>
  <si>
    <t>https://www.sensata.com/products/relays/cw-series-240-vac-panel-mount-solid-state-relay-cwu2450</t>
  </si>
  <si>
    <t>사진_20250721134358464.PNG</t>
  </si>
  <si>
    <t>2025-07-28 11:07:09</t>
  </si>
  <si>
    <t>Q4682879</t>
  </si>
  <si>
    <t>EOCR,[DSP-VIP-RTM-70Z7-E-F/SAMWHA DSP],100-240VAC,LOW VOLTAGE,OR EQUIVALENT</t>
  </si>
  <si>
    <t>DSP-VIP-RTM-70Z7-E-F</t>
  </si>
  <si>
    <t>DSP-VIP-RTM-70Z7-C-F  카다로그 (1)_20250724094152229.pdf</t>
  </si>
  <si>
    <t xml:space="preserve">https://www.samwhadsp.com/products/detail/D93RP00199?page=1&amp;returnCate=127&amp;cate=127&amp;keyword=rtm&amp;	</t>
  </si>
  <si>
    <t>RTM_20250924111243315.png</t>
  </si>
  <si>
    <t>정우석</t>
  </si>
  <si>
    <t>seok1105@posco.co.kr</t>
  </si>
  <si>
    <t>2025-09-25 16:09:50</t>
  </si>
  <si>
    <t xml:space="preserve">기 설치된 물품의 호환성을 위해 특정 사양으로 등록건 확인, 유사item 검색하였으나, 유사/동일품 없음 확인후 승인합니다._x000D_
(특정 사양품감축 관련) 차후 입고시 스케치, 현물 확인을 통한 도면화, 일반 사양화, 복수화 전환 검토 요청 부탁드립니다. _x000D_
_x000D_
** 추후 변경된 결재방법 참고하시기 바랍니다. 공지 #359  및 검토의뢰서 폐지 #355. 감사합니다._x000D_
</t>
  </si>
  <si>
    <t>Q4683133</t>
  </si>
  <si>
    <t>EOCR,[IFM420-WRDBHZ/SCHNEIDER],LOW VOLTAGE,WR 0.5~25A, POWER AC/DC 24V, THROUGH BOTTOM-HOLE TYPE</t>
  </si>
  <si>
    <t>IFM420-WRDBHZ</t>
  </si>
  <si>
    <t>WR 0.5~25A, POWER AC/DC 24V, THROUGH BOTTOM-HOLE TYPE</t>
  </si>
  <si>
    <t>Schneider Electric_EOCR_IFM420-WRDBHZ (1)_20250808094201395.pdf</t>
  </si>
  <si>
    <t>https://www.se.com/kr/ko/product/IFM420-WRDBHZ/eocrifm420-wr-24v-bottom-/</t>
  </si>
  <si>
    <t>IFM420_20250808094302894.JPG</t>
  </si>
  <si>
    <t>2025-08-11 10:08:39</t>
  </si>
  <si>
    <t>Q4683488</t>
  </si>
  <si>
    <t>[EOCR-IFM420 WRDUWZ/SCHNEIDER ELECTRIC],AC 220V,LOW VOLTAGE,OR EQUIVALENT</t>
  </si>
  <si>
    <t>EOCR-IFM420 WRDUWZ</t>
  </si>
  <si>
    <t>Protection Relay_SCHNEIDER ELECTRIC_EOCR-iFM420_Catalog_20250807161238709.pdf</t>
  </si>
  <si>
    <t>https://www.se.com/kr/ko/product/IFM420-WRDUWZ/%EB%94%94%EC%A7%80%ED%84%B8-%EB%B3%B4%ED%98%B8-%EA%B3%84%EC%A0%84%EA%B8%B0-eocrifm420-wr-100240v-%EC%9C%88%EB%8F%84%EC%9A%B0-/</t>
  </si>
  <si>
    <t>Protection Relay_SCHNEIDER ELECTRIC_EOCR-iFM420 WRDUWZ_Image_20250903163413116.png</t>
  </si>
  <si>
    <t>전진하</t>
  </si>
  <si>
    <t>855190@posco.co.kr</t>
  </si>
  <si>
    <t>2025-09-15 08:09:32</t>
  </si>
  <si>
    <t>Q4683693</t>
  </si>
  <si>
    <t>MULTI,[WYER-D12NC/WOONYOUNG],0.1~1A(0.01A STEP),LOW VOLTAGE,POWER SUPPLY VOLTAGE AC, DC110~220V</t>
  </si>
  <si>
    <t>WYER-D12NC</t>
  </si>
  <si>
    <t xml:space="preserve">POWER SUPPLY VOLTAGE AC, DC110~220V </t>
  </si>
  <si>
    <t>2943611486_gAmxe0VG_26429d6b71945954fc0b3e85220c986536ca128e_20250814071242060.pdf</t>
  </si>
  <si>
    <t>https://www.woonyoung.com/page/s0201_view.php?ocatecode=1337921250&amp;idx=489&amp;gcname=%EC%88%98%EB%B0%B0%EC%A0%84%EB%B0%98+%EC%A0%84%EB%A0%A5%EA%B8%B0%EA%B8%B0+Solution&amp;gnsub=&amp;gcatecode=1476936846&amp;ogcname=%EB%88%84%EC%A0%84%EA%B2%BD%EB%B3%B4%EA%B8%B0</t>
  </si>
  <si>
    <t>eld_20250814071402266.png</t>
  </si>
  <si>
    <t>2025-08-18 07:08:26</t>
  </si>
  <si>
    <t>Q4683814</t>
  </si>
  <si>
    <t>EOCR,[DSP-COM-10Z7-ZCT-F/SAMWHA DSP]+DSP-CABLE-3M,100-240VAC,LOW VOLTAGE,OR EQUIVALENT</t>
  </si>
  <si>
    <t xml:space="preserve">DSP-COM-10Z7-ZCT-F </t>
  </si>
  <si>
    <t>DSP-CABLE-3M</t>
  </si>
  <si>
    <t>C시리즈 카다로그 (1)_20250809114440911.pdf</t>
  </si>
  <si>
    <t>https://www.samwhadsp.com/products/detail/D93RP00183?page=2&amp;returnCate=127&amp;cate=127&amp;keyword=COM&amp;</t>
  </si>
  <si>
    <t>COM_20250809114227006.png</t>
  </si>
  <si>
    <t>2025-08-18 17:08:27</t>
  </si>
  <si>
    <t>Q4683815</t>
  </si>
  <si>
    <t>EOCR,[DSP-COM-70Z7-ZCT-F/SAMWHA DSP]+DSP-CABLE-3M,100-240VAC,LOW VOLTAGE,OR EQUIVALENT</t>
  </si>
  <si>
    <t>DSP-COM-70Z7-ZCT-F</t>
  </si>
  <si>
    <t>C시리즈 카다로그 (1)_20250818094515217.pdf</t>
  </si>
  <si>
    <t>COM_20250809114805367.png</t>
  </si>
  <si>
    <t>2025-08-18 17:08:58</t>
  </si>
  <si>
    <t>Q4684055</t>
  </si>
  <si>
    <t>[WYGF-D12NC/WOONYOUNG],0.1 ~ 10S,LOW VOLTAGE,AC/DC110~220V</t>
  </si>
  <si>
    <t>WYGF-D12NC</t>
  </si>
  <si>
    <t xml:space="preserve"> AC/DC110~220V</t>
  </si>
  <si>
    <t>1988180643_6CRWwJIA_57f03df1f2bc2c9eeb0695196fb7f84ecde0c91b_20250731104824240.pdf</t>
  </si>
  <si>
    <t>https://woonyoung.com/bbs/board.php?bo_table=manual&amp;wr_id=18</t>
  </si>
  <si>
    <t>캡처_20250731105225023.PNG</t>
  </si>
  <si>
    <t>2025-08-20 08:08:07</t>
  </si>
  <si>
    <t>Q4687540</t>
  </si>
  <si>
    <t>EOCR,[EOCR-SSD60S/SCHNEIDER ELECTRIC],100-240VAC,LOW VOLTAGE,OR EQUIVALENT</t>
  </si>
  <si>
    <t>EOCR-SSD60S</t>
  </si>
  <si>
    <t>EOCR_SSD_01_20250917074435886.pdf</t>
  </si>
  <si>
    <t>https://www.se.com/kr/ko/product/EOCRSSD-60S/%EB%94%94%EC%A7%80%ED%84%B8-%EA%B3%BC%EC%A0%84%EB%A5%98-%EA%B3%84%EC%A0%84%EA%B8%B0-eocrssd-60-24240-v-ac-dc-/</t>
  </si>
  <si>
    <t>EOCR_20251017144453922.jpg</t>
  </si>
  <si>
    <t>이장훈</t>
  </si>
  <si>
    <t>lwe0514@posco.co.kr</t>
  </si>
  <si>
    <t>2025-10-17 16:10:14</t>
  </si>
  <si>
    <t>Q4687766</t>
  </si>
  <si>
    <t>EOCR,[FDM2-WRDUWZ/SCHNIDER ELECTRIC]+CABLE(RJ45-002),AC 220V,LOW VOLTAGE,3CT-HH-150-Z,OR EQUIVALENT</t>
  </si>
  <si>
    <t>CABLE(RJ45-002)</t>
  </si>
  <si>
    <t>3CT-HH-150-Z</t>
  </si>
  <si>
    <t>EOCRFDM2_20250918094249823.pdf</t>
  </si>
  <si>
    <t>https://www.eocrsek.co.kr/eocr/EOCR-3DM2FDM2.html</t>
  </si>
  <si>
    <t>EOCR_20251017144105511.png</t>
  </si>
  <si>
    <t>2025-10-17 16:10:01</t>
  </si>
  <si>
    <t>Q4688236</t>
  </si>
  <si>
    <t>[TR210/ZIEHL],LOW VOLTAGE,2 RELAY OUTPUTS_1 ANALOGUE OUTPUT DC 0-10 V OR 0/4-20 MA</t>
  </si>
  <si>
    <t>TR210</t>
  </si>
  <si>
    <t>ZIEHL</t>
  </si>
  <si>
    <t>2 RELAY OUTPUTS_1 ANALOGUE OUTPUT DC 0-10 V OR 0/4-20 MA</t>
  </si>
  <si>
    <t>TR210_OM_ZIEHL_22022-12-01_20250918170720436.pdf</t>
  </si>
  <si>
    <t>https://www.ziehl.com/en/TR210</t>
  </si>
  <si>
    <t>t224071_tr210_1920x1920_20250918171151973.png</t>
  </si>
  <si>
    <t>MOHAMAD RENDI RAMDANI SARAGIH</t>
  </si>
  <si>
    <t>m.rendi@krakatauposco.co.id</t>
  </si>
  <si>
    <t>2025-09-25 09:09:32</t>
  </si>
  <si>
    <t>Q4688328</t>
  </si>
  <si>
    <t>EOCR,[DSP-POM-10Z7-ZCT-T-P/SAMHWADSP],0.5~10A,LOW VOLTAGE,TEMINAL TYPE,OR EQUIVALENT</t>
  </si>
  <si>
    <t>DSP-POM-10Z7-ZCT-T-P</t>
  </si>
  <si>
    <t>TEMINAL TYPE</t>
  </si>
  <si>
    <t>POL-POM 주문표_20250923121548793.pdf</t>
  </si>
  <si>
    <t>https://www.samwhadsp.com/products/detail/D93RP00190?page=3&amp;returnCate=127&amp;cate=127&amp;</t>
  </si>
  <si>
    <t>DSP-POM-T_20250919164009453.jpg</t>
  </si>
  <si>
    <t>최평강</t>
  </si>
  <si>
    <t>cpg1989@posco.co.kr</t>
  </si>
  <si>
    <t>2025-09-25 16:09:58</t>
  </si>
  <si>
    <t>Q4689289</t>
  </si>
  <si>
    <t>[SPT1-160S 440V/LS ELECTRIC],AC 440V,LOW VOLTAGE,IP20</t>
  </si>
  <si>
    <t>SPT1-160S 440V</t>
  </si>
  <si>
    <t>캡처_20251003105149585.PNG</t>
  </si>
  <si>
    <t>https://www.ls-electric.com/ko/product/category/AAA014008</t>
  </si>
  <si>
    <t>캡처_20251003105450118.PNG</t>
  </si>
  <si>
    <t>2025-10-13 14:10:10</t>
  </si>
  <si>
    <t>Q4691331</t>
  </si>
  <si>
    <t>OVGR,[DGF-D08I/DEESYS],80~250VAC/DC,LOW VOLTAGE,OR EQUIVALENT</t>
  </si>
  <si>
    <t>DGF-D08I</t>
  </si>
  <si>
    <t>DGF-D08RD16R 카탈로그_20251028093325145.pdf</t>
  </si>
  <si>
    <t>http://www.deesys.com/project/dgf-d08i/</t>
  </si>
  <si>
    <t>ELD 이미지_20251028093653974.png</t>
  </si>
  <si>
    <t>이경석</t>
  </si>
  <si>
    <t>leegs2169@posco.co.kr</t>
  </si>
  <si>
    <t>2025-10-31 07:10:08</t>
  </si>
  <si>
    <t>Q4691332</t>
  </si>
  <si>
    <t>OVGR,[DGF-D16I/DEESYS],80~250VAC/DC,LOW VOLTAGE,OR EQUIVALENT</t>
  </si>
  <si>
    <t>DGF-D16I</t>
  </si>
  <si>
    <t>DGF-D08RD16R 카탈로그_20251028100812016.pdf</t>
  </si>
  <si>
    <t>ELD 이미지_20251028101153280.png</t>
  </si>
  <si>
    <t>2025-10-31 07:10:39</t>
  </si>
  <si>
    <t>Q4692007</t>
  </si>
  <si>
    <t>EOCR,[IFM420-WRDUHZ/SCHNEIDER ELECTRIC],AC 220V,LOW VOLTAGE,CABLE-RJ45-003,OR EQUIVALENT</t>
  </si>
  <si>
    <t>IFM420-WRDUHZ</t>
  </si>
  <si>
    <t>CABLE-RJ45-003</t>
  </si>
  <si>
    <t>Protection Relay_SCHNEIDER ELECTRIC_EOCR-iFM420 WRDUHZ_Catalog_20251105092250236.pdf</t>
  </si>
  <si>
    <t>https://www.se.com/kr/ko/product/IFM420-WRDUHZ/%EB%94%94%EC%A7%80%ED%84%B8-%EB%B3%B4%ED%98%B8-%EA%B3%84%EC%A0%84%EA%B8%B0-eocrifm420-wr-100240v-%EB%B0%94%ED%85%80-%EC%BB%A4%EB%84%A5%ED%8A%B8/</t>
  </si>
  <si>
    <t>Protection Relay_SCHNEIDER ELECTRIC_EOCR-iFM420 WRDUHZ_Image_20251105082855878.png</t>
  </si>
  <si>
    <t>박수환</t>
  </si>
  <si>
    <t>shpark012@posco.co.kr</t>
  </si>
  <si>
    <t>2025-11-06 10:11:29</t>
  </si>
  <si>
    <t>Q4692011</t>
  </si>
  <si>
    <t>EOCR,[DSP-VIP-RTM-70Z7-ZCT-F/SAMWHA DSP],100-240VAC,0.2~70A,0.1~60SEC,1A/1B 2 TRIP RELAY,LOW VOLTAGE,ETHERNET-TCP IP/MODBUS RTU,OR EQUIVALENT</t>
  </si>
  <si>
    <t>DSP-VIP-RTM-70Z7-ZCT-F</t>
  </si>
  <si>
    <t>ETHERNET-TCP IP/MODBUS RTU</t>
  </si>
  <si>
    <t>DSP-VIP-RTM-70Z7-ZCT-F  카다로그 (1)_20251028152856521.pdf</t>
  </si>
  <si>
    <t>VIP-RTM_20251028152801345.png</t>
  </si>
  <si>
    <t>정효현</t>
  </si>
  <si>
    <t>awayshyo@posco.co.kr</t>
  </si>
  <si>
    <t>2025-11-06 10:11:31</t>
  </si>
  <si>
    <t>Q4692362</t>
  </si>
  <si>
    <t>EOCR,[GMP22-3SR-5A/LS ELECTRIC],AC 220V,LOW VOLTAGE,OR EQUIVALENT</t>
  </si>
  <si>
    <t>GMP22-3SR-5A</t>
  </si>
  <si>
    <t>GMP22-3SR_20251110132518941.jpg</t>
  </si>
  <si>
    <t>2025-11-11 09:11:30</t>
  </si>
  <si>
    <t>Q4693436</t>
  </si>
  <si>
    <t>THERMAL,[LRD 06/SCHNEIDER ELECTRIC],AC 440V,LOW VOLTAGE,OR EQUIVALENT</t>
  </si>
  <si>
    <t>LRD 06</t>
  </si>
  <si>
    <t>https://www.se.com/kr/ko/product/LRD06/%EC%97%B4%EB%8F%99%ED%98%95-%EA%B3%BC%EB%B6%80%ED%95%98-%EA%B3%84%EC%A0%84%EA%B8%B0-tesys-1-1-7-a-class-10a/</t>
  </si>
  <si>
    <t>LRD06_Image_369_20251118113656140.jpg</t>
  </si>
  <si>
    <t>이완희</t>
  </si>
  <si>
    <t>ninano@posco.co.kr</t>
  </si>
  <si>
    <t>gustnsla12@posco.co.kr</t>
  </si>
  <si>
    <t>2025-11-24 09:11:12</t>
  </si>
  <si>
    <t>Q4693447</t>
  </si>
  <si>
    <t>[PROMET-G/NEOPIS],OR EQUIVALENT</t>
  </si>
  <si>
    <t>PROMET-G</t>
  </si>
  <si>
    <t>PROMET-G 메뉴얼_20251119074720007.pdf</t>
  </si>
  <si>
    <t>http://www.neopis.com/bbs/board.php?bo_table=s2_1&amp;wr_id=6</t>
  </si>
  <si>
    <t>promet-g_20251119080826704.jpg</t>
  </si>
  <si>
    <t>김재헌</t>
  </si>
  <si>
    <t>randonn@posco.co.kr</t>
  </si>
  <si>
    <t>2025-11-24 09:11:41</t>
  </si>
  <si>
    <t>Q4693475</t>
  </si>
  <si>
    <t>EOCR,[GMP60-TE/LS],AC 220V,0.5~6A,0-30S,LOW VOLTAGE</t>
  </si>
  <si>
    <t>GMP60-TE</t>
  </si>
  <si>
    <t>캡처_20251119105709123.PNG</t>
  </si>
  <si>
    <t>전찬혁</t>
  </si>
  <si>
    <t>jch9948@poscomcm.com</t>
  </si>
  <si>
    <t>2025-11-24 10:11:45</t>
  </si>
  <si>
    <t>Q4693930</t>
  </si>
  <si>
    <t>[3RN2012-1BA30/SIEMENS]+THERMAL MOTOR PROTECTION RELAY,24V</t>
  </si>
  <si>
    <t>3RN2012-1BA30</t>
  </si>
  <si>
    <t>THERMAL MOTOR PROTECTION RELAY</t>
  </si>
  <si>
    <t>24V</t>
  </si>
  <si>
    <t>Siemens 3RN2012-1BA30_Thermistor motor protection relay_20251124173236564.pdf</t>
  </si>
  <si>
    <t>R1752285-01_20251124174319940.JPG</t>
  </si>
  <si>
    <t>2025-11-27 09:11:27</t>
  </si>
  <si>
    <t>Q4696875</t>
  </si>
  <si>
    <t>EOCR,[GMP22-2PD-1.5A-220-1C(N)/LS],AC 220V,0.3~1.5A,0-600SEC,LOW VOLTAGE</t>
  </si>
  <si>
    <t>GMP22-2PD-1.5A-220-1C(N)</t>
  </si>
  <si>
    <t>GMP22-2PD Name Plate_20251229170116227.jpg</t>
  </si>
  <si>
    <t>GMP22-2PD View_20251229170930968.jpg</t>
  </si>
  <si>
    <t>서행석</t>
  </si>
  <si>
    <t>seohs3057@poscomcm.com</t>
  </si>
  <si>
    <t>2025-12-30 14:12:11</t>
  </si>
  <si>
    <t>Q4699666</t>
  </si>
  <si>
    <t>[M-PRO II ZMA/ELECSON],AC110-220V,LOW VOLTAGE,OR EQUIVALENT</t>
  </si>
  <si>
    <t>M-PRO II ZMA</t>
  </si>
  <si>
    <t>https://mproone.creatorlink.net/index/view/2528751</t>
  </si>
  <si>
    <t>260122_물품등록_M-PRO II ZMA+ZMCT_20260122105557756.png</t>
  </si>
  <si>
    <t>이민혁</t>
  </si>
  <si>
    <t>minhyouk@posco.co.kr</t>
  </si>
  <si>
    <t>2026-01-26 14:01:29</t>
  </si>
  <si>
    <t>일렉슨(Elecson Co., Ltd.)은 모터 보호 및 제어 기기를 전문으로 제조하는 대한민국 제조회사(소분류 : 반도체 제조업)로 확인
https://www.elecson.co.kr/data_sheet/data_sheet.htm  에서 im-pro 2 카타로그 다운로드 하여 확인결과 모델명 확인함. 
* 추후에는 카타로그 다운로드하여 등록 부탁드립니다. (URL 열람 안될시)
기 설치된 물품의 호환성을 위해 특정 사양으로 등록건 확인, 유사 item 검색하였으나, 유사/동일품 없음 확인후 승인합니다.
(특정 사양품감축 관련) 차후 입고시 스케치, 현물 확인을 통한 도면화, 일반 사양화, 복수화 전환 검토 부탁드립니다. 감사합니다.</t>
  </si>
  <si>
    <t>Q4675326</t>
    <phoneticPr fontId="2" type="noConversion"/>
  </si>
  <si>
    <t>Q4683457</t>
    <phoneticPr fontId="2" type="noConversion"/>
  </si>
  <si>
    <t>CS1CN160-100-CJAD0046(업그레이드 품)[1CGL 5.6.7 TB]_20220114112323273.pdf</t>
  </si>
  <si>
    <t>Pneumatic cylinder CDA2T80-KRT09KO-200Z-A54L3 SMC_20241112142525736.pdf</t>
  </si>
  <si>
    <t>CA2-KRT 품명자료_20230816110159236.jpg, CA2F100-KRT10KO-115Z-W-XC5_20230816110208727.jpg</t>
    <phoneticPr fontId="2" type="noConversion"/>
  </si>
  <si>
    <t>13. RPH_0.75KW_4P_50_1 (효성중공업)_20250929103559629.pdf</t>
  </si>
  <si>
    <t>15. RPH_1.5KW_4P_60_1 (효성중공업)_20250929103706073.pdf</t>
  </si>
  <si>
    <t>220928_APL 1ERT, 1DSRT, 2DSRT -AGM 3set(1.5kW)_P-건설(브레이크)_20240110103813827.pdf</t>
    <phoneticPr fontId="2" type="noConversion"/>
  </si>
  <si>
    <t>220928_APL EDS, DDS-AGM-04,01 2set(3.7kW)_P-건설(브레이크)_20240109150839397.pdf</t>
  </si>
  <si>
    <t>220928_APL EDS-AGM-01 1set(5.5kW)_P-건설(브레이크)_20240110110841287.pdf</t>
  </si>
  <si>
    <t>220928_APL EDS-AGM-02,03 2set(7.5kW)_P-건설(브레이크)_20240110111348538.pdf</t>
  </si>
  <si>
    <t>220928_APL FLT-AGM-02,03 6set(2.2kW)_P-건설(브레이크)_20240110111127081.pdf</t>
  </si>
  <si>
    <t>221011_APL ESR-AM-01,02 2set(3.7KW)_P-건설(브레이크)_20240110110451185.pdf</t>
  </si>
  <si>
    <t>2ACL PHS Hearth Roll Geared  Motor 명판 (4.32)_20250717084039749.jpg_20250717084039749.jpg</t>
  </si>
  <si>
    <t>30kw4p 1.6.56승인도1_20240516114250482.jpg, 30kw4p 1.6.56승인도2_20240516114258319.jpg</t>
    <phoneticPr fontId="2" type="noConversion"/>
  </si>
  <si>
    <t>6기 Oven Bucket Car Turntable Geared Motor (100_KA87TDRN100L4BE5HF)_20250514164756548.pdf, Fwd [엔투비] SEW GEARED MOTOR 사양 수정 요청_20250908144836056.pdf</t>
    <phoneticPr fontId="2" type="noConversion"/>
  </si>
  <si>
    <t>INF Catalog _20250618162726271.pdf</t>
  </si>
  <si>
    <t>INF Catalog _20250618155529143.pdf</t>
  </si>
  <si>
    <t>INF Catalog _20250618155831172.pdf</t>
  </si>
  <si>
    <t>[Untitled]_2023082415350919_20230829232846392.pdf, 3HAC038564-001_20230829232846418.pdf</t>
    <phoneticPr fontId="2" type="noConversion"/>
  </si>
  <si>
    <t>4105HDW_20250930075615252 .pdf</t>
  </si>
  <si>
    <t>[DMPi]_KO_C15021-06-202504_20250618093528225.pdf, DMP65I-T_20250619100637129.pdf</t>
    <phoneticPr fontId="2" type="noConversion"/>
  </si>
  <si>
    <t>ITEM코드</t>
  </si>
  <si>
    <t>해당여부</t>
  </si>
  <si>
    <t>물품(Leaf Class)명</t>
  </si>
  <si>
    <t>사양/규격</t>
  </si>
  <si>
    <t>개정차수</t>
  </si>
  <si>
    <t>조달구분</t>
  </si>
  <si>
    <t>신청자</t>
  </si>
  <si>
    <t>도면번호</t>
  </si>
  <si>
    <t>행번호</t>
  </si>
  <si>
    <t>첨부URL1</t>
  </si>
  <si>
    <t>첨부URL2</t>
  </si>
  <si>
    <t>첨부URL3</t>
  </si>
  <si>
    <t>SPEC_TITLE_1</t>
  </si>
  <si>
    <t>SPEC_VALUE_1</t>
  </si>
  <si>
    <t>SPEC_TITLE_2</t>
  </si>
  <si>
    <t>SPEC_VALUE_2</t>
  </si>
  <si>
    <t>SPEC_TITLE_3</t>
  </si>
  <si>
    <t>SPEC_VALUE_3</t>
  </si>
  <si>
    <t>SPEC_TITLE_4</t>
  </si>
  <si>
    <t>SPEC_VALUE_4</t>
  </si>
  <si>
    <t>SPEC_TITLE_5</t>
  </si>
  <si>
    <t>SPEC_VALUE_5</t>
  </si>
  <si>
    <t>SPEC_TITLE_6</t>
  </si>
  <si>
    <t>SPEC_VALUE_6</t>
  </si>
  <si>
    <t>SPEC_TITLE_7</t>
  </si>
  <si>
    <t>SPEC_VALUE_7</t>
  </si>
  <si>
    <t>SPEC_TITLE_8</t>
  </si>
  <si>
    <t>SPEC_VALUE_8</t>
  </si>
  <si>
    <t>SPEC_TITLE_9</t>
  </si>
  <si>
    <t>SPEC_VALUE_9</t>
  </si>
  <si>
    <t>SPEC_TITLE_10</t>
  </si>
  <si>
    <t>SPEC_VALUE_10</t>
  </si>
  <si>
    <t>SPEC_TITLE_11</t>
  </si>
  <si>
    <t>SPEC_VALUE_11</t>
  </si>
  <si>
    <t>SPEC_TITLE_12</t>
  </si>
  <si>
    <t>SPEC_VALUE_12</t>
  </si>
  <si>
    <t>SPEC_TITLE_13</t>
  </si>
  <si>
    <t>SPEC_VALUE_13</t>
  </si>
  <si>
    <t>SPEC_TITLE_14</t>
  </si>
  <si>
    <t>SPEC_VALUE_14</t>
  </si>
  <si>
    <t>SPEC_TITLE_15</t>
  </si>
  <si>
    <t>SPEC_VALUE_15</t>
  </si>
  <si>
    <t>SPEC_TITLE_16</t>
  </si>
  <si>
    <t>SPEC_VALUE_16</t>
  </si>
  <si>
    <t>SPEC_TITLE_17</t>
  </si>
  <si>
    <t>SPEC_VALUE_17</t>
  </si>
  <si>
    <t>SPEC_TITLE_18</t>
  </si>
  <si>
    <t>SPEC_VALUE_18</t>
  </si>
  <si>
    <t>SPEC_TITLE_19</t>
  </si>
  <si>
    <t>SPEC_VALUE_19</t>
  </si>
  <si>
    <t>SPEC_TITLE_20</t>
  </si>
  <si>
    <t>SPEC_VALUE_20</t>
  </si>
  <si>
    <t>SPEC_TITLE_21</t>
  </si>
  <si>
    <t>SPEC_VALUE_21</t>
  </si>
  <si>
    <t>SPEC_TITLE_22</t>
  </si>
  <si>
    <t>SPEC_VALUE_22</t>
  </si>
  <si>
    <t>SPEC_TITLE_23</t>
  </si>
  <si>
    <t>SPEC_VALUE_23</t>
  </si>
  <si>
    <t>SPEC_TITLE_24</t>
  </si>
  <si>
    <t>SPEC_VALUE_24</t>
  </si>
  <si>
    <t>SPEC_TITLE_25</t>
  </si>
  <si>
    <t>SPEC_VALUE_25</t>
  </si>
  <si>
    <t>SPEC_TITLE_26</t>
  </si>
  <si>
    <t>SPEC_VALUE_26</t>
  </si>
  <si>
    <t>SPEC_TITLE_27</t>
  </si>
  <si>
    <t>SPEC_VALUE_27</t>
  </si>
  <si>
    <t>SPEC_TITLE_28</t>
  </si>
  <si>
    <t>SPEC_VALUE_28</t>
  </si>
  <si>
    <t>SPEC_TITLE_29</t>
  </si>
  <si>
    <t>SPEC_VALUE_29</t>
  </si>
  <si>
    <t>SPEC_TITLE_30</t>
  </si>
  <si>
    <t>SPEC_VALUE_30</t>
  </si>
  <si>
    <t>SPEC_TITLE_31</t>
  </si>
  <si>
    <t>SPEC_VALUE_31</t>
  </si>
  <si>
    <t>SPEC_TITLE_32</t>
  </si>
  <si>
    <t>SPEC_VALUE_32</t>
  </si>
  <si>
    <t>SPEC_TITLE_33</t>
  </si>
  <si>
    <t>SPEC_VALUE_33</t>
  </si>
  <si>
    <t>SPEC_TITLE_34</t>
  </si>
  <si>
    <t>SPEC_VALUE_34</t>
  </si>
  <si>
    <t>1</t>
  </si>
  <si>
    <t>Green Purchase</t>
  </si>
  <si>
    <t>Safety Management</t>
  </si>
  <si>
    <t>Posco Patent</t>
  </si>
  <si>
    <t>Or Equivalent</t>
  </si>
  <si>
    <t>OR EQUIVALENT</t>
  </si>
  <si>
    <t>Cylinder Type</t>
  </si>
  <si>
    <t>CWC(DA)</t>
  </si>
  <si>
    <t>Mounting Type</t>
  </si>
  <si>
    <t>CA</t>
  </si>
  <si>
    <t>Bore Size</t>
  </si>
  <si>
    <t>160</t>
  </si>
  <si>
    <t>Rod Diameter</t>
  </si>
  <si>
    <t>40</t>
  </si>
  <si>
    <t>Stroke Length</t>
  </si>
  <si>
    <t>900</t>
  </si>
  <si>
    <t>Pressure Rating</t>
  </si>
  <si>
    <t>10</t>
  </si>
  <si>
    <t>Maker Name-1</t>
  </si>
  <si>
    <t>Maker Name-2</t>
  </si>
  <si>
    <t>Maker Name-3</t>
  </si>
  <si>
    <t>FA</t>
  </si>
  <si>
    <t>50</t>
  </si>
  <si>
    <t>20</t>
  </si>
  <si>
    <t>80</t>
  </si>
  <si>
    <t>25</t>
  </si>
  <si>
    <t>100</t>
  </si>
  <si>
    <t>2</t>
  </si>
  <si>
    <t>이오근</t>
  </si>
  <si>
    <t>TC</t>
  </si>
  <si>
    <t>180</t>
  </si>
  <si>
    <t>45</t>
  </si>
  <si>
    <t>800</t>
  </si>
  <si>
    <t>30</t>
  </si>
  <si>
    <t>125</t>
  </si>
  <si>
    <t>14</t>
  </si>
  <si>
    <t>CB</t>
  </si>
  <si>
    <t>320</t>
  </si>
  <si>
    <t>LC</t>
  </si>
  <si>
    <t>SD</t>
  </si>
  <si>
    <t>700</t>
  </si>
  <si>
    <t>CC</t>
  </si>
  <si>
    <t>63</t>
  </si>
  <si>
    <t>110</t>
  </si>
  <si>
    <t>350</t>
  </si>
  <si>
    <t>550</t>
  </si>
  <si>
    <t>425</t>
  </si>
  <si>
    <t>LB</t>
  </si>
  <si>
    <t>16</t>
  </si>
  <si>
    <t>575</t>
  </si>
  <si>
    <t>3</t>
  </si>
  <si>
    <t>TE</t>
  </si>
  <si>
    <t>32</t>
  </si>
  <si>
    <t>12</t>
  </si>
  <si>
    <t>165</t>
  </si>
  <si>
    <t>3.0</t>
  </si>
  <si>
    <t>450</t>
  </si>
  <si>
    <t>1100</t>
  </si>
  <si>
    <t>300</t>
  </si>
  <si>
    <t>CTC</t>
  </si>
  <si>
    <t>70</t>
  </si>
  <si>
    <t>7</t>
  </si>
  <si>
    <t>2350</t>
  </si>
  <si>
    <t>CF</t>
  </si>
  <si>
    <t>115</t>
  </si>
  <si>
    <t>CWD</t>
  </si>
  <si>
    <t>420</t>
  </si>
  <si>
    <t>0</t>
  </si>
  <si>
    <t>500</t>
  </si>
  <si>
    <t>71</t>
  </si>
  <si>
    <t>FH</t>
  </si>
  <si>
    <t>10.2</t>
  </si>
  <si>
    <t>220</t>
  </si>
  <si>
    <t>150</t>
  </si>
  <si>
    <t>CSA</t>
  </si>
  <si>
    <t>750</t>
  </si>
  <si>
    <t>10.1</t>
  </si>
  <si>
    <t>690</t>
  </si>
  <si>
    <t>727</t>
  </si>
  <si>
    <t>9.7</t>
  </si>
  <si>
    <t>TA</t>
  </si>
  <si>
    <t>170</t>
  </si>
  <si>
    <t>250</t>
  </si>
  <si>
    <t xml:space="preserve"> 10</t>
  </si>
  <si>
    <t>140</t>
  </si>
  <si>
    <t>9.9</t>
  </si>
  <si>
    <t>FL</t>
  </si>
  <si>
    <t>22</t>
  </si>
  <si>
    <t>75</t>
  </si>
  <si>
    <t>850</t>
  </si>
  <si>
    <t>10.197162</t>
  </si>
  <si>
    <t>전봉걸</t>
  </si>
  <si>
    <t>370</t>
  </si>
  <si>
    <t>8</t>
  </si>
  <si>
    <t>90</t>
  </si>
  <si>
    <t>15</t>
  </si>
  <si>
    <t>TD</t>
  </si>
  <si>
    <t>35</t>
  </si>
  <si>
    <t>710</t>
  </si>
  <si>
    <t>Q4675326</t>
  </si>
  <si>
    <t>64</t>
  </si>
  <si>
    <t>Q4683457</t>
  </si>
  <si>
    <t>600</t>
  </si>
  <si>
    <t>CSB</t>
  </si>
  <si>
    <t>1800</t>
  </si>
  <si>
    <t>246</t>
  </si>
  <si>
    <t xml:space="preserve">해당 여부 </t>
  </si>
  <si>
    <t>Model-4</t>
  </si>
  <si>
    <t>Maker Name-4</t>
  </si>
  <si>
    <t>Option-4</t>
  </si>
  <si>
    <t>Insulation Class</t>
  </si>
  <si>
    <t>F</t>
  </si>
  <si>
    <t>IP Class</t>
  </si>
  <si>
    <t>Number of Poles</t>
  </si>
  <si>
    <t>4</t>
  </si>
  <si>
    <t>Capacity</t>
  </si>
  <si>
    <t>3.7</t>
  </si>
  <si>
    <t>Voltage</t>
  </si>
  <si>
    <t>440</t>
  </si>
  <si>
    <t>Frequency</t>
  </si>
  <si>
    <t>60</t>
  </si>
  <si>
    <t>Speed Rating</t>
  </si>
  <si>
    <t>1755</t>
  </si>
  <si>
    <t>Speed Reduction Ratio</t>
  </si>
  <si>
    <t>1/90</t>
  </si>
  <si>
    <t>Gear Side Shaft Height</t>
  </si>
  <si>
    <t>270</t>
  </si>
  <si>
    <t>Gear Side Shaft Diameter</t>
  </si>
  <si>
    <t>Base Size</t>
  </si>
  <si>
    <t>350X360</t>
  </si>
  <si>
    <t>Explosion Proof</t>
  </si>
  <si>
    <t>AC Motor Type</t>
  </si>
  <si>
    <t>Efficiency</t>
  </si>
  <si>
    <t>IE3</t>
  </si>
  <si>
    <t>Compliance Item</t>
  </si>
  <si>
    <t>5.5</t>
  </si>
  <si>
    <t>1775</t>
  </si>
  <si>
    <t>1/100</t>
  </si>
  <si>
    <t>2.2</t>
  </si>
  <si>
    <t>1765</t>
  </si>
  <si>
    <t>1/30</t>
  </si>
  <si>
    <t>172</t>
  </si>
  <si>
    <t>172X232</t>
  </si>
  <si>
    <t>7.5</t>
  </si>
  <si>
    <t>1770</t>
  </si>
  <si>
    <t>1/60</t>
  </si>
  <si>
    <t>1.5</t>
  </si>
  <si>
    <t>1750</t>
  </si>
  <si>
    <t>1/15</t>
  </si>
  <si>
    <t>153</t>
  </si>
  <si>
    <t>38</t>
  </si>
  <si>
    <t>150X215</t>
  </si>
  <si>
    <t>1/120</t>
  </si>
  <si>
    <t>H</t>
  </si>
  <si>
    <t>1776</t>
  </si>
  <si>
    <t>1/15.52</t>
  </si>
  <si>
    <t>390X400MM</t>
  </si>
  <si>
    <t>VVVF</t>
  </si>
  <si>
    <t xml:space="preserve"> IP55</t>
  </si>
  <si>
    <t>1/2.83</t>
  </si>
  <si>
    <t>334X234</t>
  </si>
  <si>
    <t>1780</t>
  </si>
  <si>
    <t>1/43</t>
  </si>
  <si>
    <t>380X275</t>
  </si>
  <si>
    <t>CAGE</t>
  </si>
  <si>
    <t>IP54</t>
  </si>
  <si>
    <t>1/150.78</t>
  </si>
  <si>
    <t>225</t>
  </si>
  <si>
    <t>250X310</t>
  </si>
  <si>
    <t>155F</t>
  </si>
  <si>
    <t>254/440</t>
  </si>
  <si>
    <t>1765/174</t>
  </si>
  <si>
    <t>1/10.15</t>
  </si>
  <si>
    <t>165X135</t>
  </si>
  <si>
    <t>380</t>
  </si>
  <si>
    <t>1/6.56</t>
  </si>
  <si>
    <t>265</t>
  </si>
  <si>
    <t>370X340</t>
  </si>
  <si>
    <t>1/87</t>
  </si>
  <si>
    <t>330X195</t>
  </si>
  <si>
    <t>K</t>
  </si>
  <si>
    <t>E</t>
  </si>
  <si>
    <t>IP44</t>
  </si>
  <si>
    <t>0.1</t>
  </si>
  <si>
    <t>1730</t>
  </si>
  <si>
    <t>36</t>
  </si>
  <si>
    <t>95X95</t>
  </si>
  <si>
    <t>IE1</t>
  </si>
  <si>
    <t xml:space="preserve"> F</t>
  </si>
  <si>
    <t>202</t>
  </si>
  <si>
    <t>55</t>
  </si>
  <si>
    <t>PCD340(6-D19)</t>
  </si>
  <si>
    <t>0.75</t>
  </si>
  <si>
    <t>1751</t>
  </si>
  <si>
    <t>1/191</t>
  </si>
  <si>
    <t>120X140</t>
  </si>
  <si>
    <t>6</t>
  </si>
  <si>
    <t>1200</t>
  </si>
  <si>
    <t>470X480</t>
  </si>
  <si>
    <t>장지훈</t>
  </si>
  <si>
    <t xml:space="preserve"> 1/22</t>
  </si>
  <si>
    <t>1769</t>
  </si>
  <si>
    <t>1/4.32</t>
  </si>
  <si>
    <t>110 X 130</t>
  </si>
  <si>
    <t>0.09</t>
  </si>
  <si>
    <t>1600</t>
  </si>
  <si>
    <t xml:space="preserve"> 1/60</t>
  </si>
  <si>
    <t>18</t>
  </si>
  <si>
    <t>F Class</t>
  </si>
  <si>
    <t xml:space="preserve">IP54 </t>
  </si>
  <si>
    <t>1/3.41</t>
  </si>
  <si>
    <t>110X130</t>
  </si>
  <si>
    <t>254-266/440-460</t>
  </si>
  <si>
    <t>1768/412</t>
  </si>
  <si>
    <t>1/4.29</t>
  </si>
  <si>
    <t>130</t>
  </si>
  <si>
    <t>1735/35</t>
  </si>
  <si>
    <t>1/50</t>
  </si>
  <si>
    <t>120</t>
  </si>
  <si>
    <t>145X190</t>
  </si>
  <si>
    <t>1750/29.2</t>
  </si>
  <si>
    <t>135</t>
  </si>
  <si>
    <t>190X235</t>
  </si>
  <si>
    <t>Operation Voltage Type</t>
  </si>
  <si>
    <t>HIGH VOLTAGE</t>
  </si>
  <si>
    <t>Coil Voltage</t>
  </si>
  <si>
    <t>DC 110V</t>
  </si>
  <si>
    <t>Setting Tap Range</t>
  </si>
  <si>
    <t>Setting Time Range</t>
  </si>
  <si>
    <t>Setting Lever</t>
  </si>
  <si>
    <t>LOW VOLTAGE</t>
  </si>
  <si>
    <t>AC 220V</t>
  </si>
  <si>
    <t>1.0-1.6A</t>
  </si>
  <si>
    <t>DC 24V</t>
  </si>
  <si>
    <t>AC 440V</t>
  </si>
  <si>
    <t>57~75A</t>
  </si>
  <si>
    <t>0.5~2.0A</t>
  </si>
  <si>
    <t>ICS:AC220V</t>
  </si>
  <si>
    <t>NORMAL 0.1-10.0A , HIGH 0.03-1.0A</t>
  </si>
  <si>
    <t>0.05SEC, 0.1~10.0SEC</t>
  </si>
  <si>
    <t>80~250VAC/DC</t>
  </si>
  <si>
    <t>0.85~1.05</t>
  </si>
  <si>
    <t>0.1~50SEC</t>
  </si>
  <si>
    <t>KC CERTIFICATE</t>
  </si>
  <si>
    <t>AC110-220V</t>
  </si>
  <si>
    <t>5-80A</t>
  </si>
  <si>
    <t>1-30</t>
  </si>
  <si>
    <t>0.1~10A</t>
  </si>
  <si>
    <t>0.1~3S</t>
  </si>
  <si>
    <t>100-240VAC</t>
  </si>
  <si>
    <t>0.5-80A</t>
  </si>
  <si>
    <t>100-260VAC</t>
  </si>
  <si>
    <t>5</t>
  </si>
  <si>
    <t>조중열</t>
  </si>
  <si>
    <t>0.5~80A</t>
  </si>
  <si>
    <t>5~8A</t>
  </si>
  <si>
    <t>4~6A</t>
  </si>
  <si>
    <t>2.5~4A</t>
  </si>
  <si>
    <t>1.6~2.5A</t>
  </si>
  <si>
    <t>0.4~0.63A</t>
  </si>
  <si>
    <t>김현만</t>
  </si>
  <si>
    <t>1.5~30</t>
  </si>
  <si>
    <t>0.1 ~ 10S</t>
  </si>
  <si>
    <t>Applied Material</t>
  </si>
  <si>
    <t>PP</t>
  </si>
  <si>
    <t>Inner Diameter</t>
  </si>
  <si>
    <t>Outer Diameter</t>
  </si>
  <si>
    <t>112</t>
  </si>
  <si>
    <t>Length</t>
  </si>
  <si>
    <t>177</t>
  </si>
  <si>
    <t>Width</t>
  </si>
  <si>
    <t>Thickness</t>
  </si>
  <si>
    <t>Mesh Size</t>
  </si>
  <si>
    <t>Element Material</t>
  </si>
  <si>
    <t>CELLULOSE</t>
  </si>
  <si>
    <t>Working Pressure</t>
  </si>
  <si>
    <t>Filtration Capacity</t>
  </si>
  <si>
    <t>DEMI. WATER</t>
  </si>
  <si>
    <t>279</t>
  </si>
  <si>
    <t>WATER</t>
  </si>
  <si>
    <t>Material</t>
  </si>
  <si>
    <t>360</t>
  </si>
  <si>
    <t>1040</t>
  </si>
  <si>
    <t>400</t>
  </si>
  <si>
    <t>POLYESTER</t>
  </si>
  <si>
    <t>OIL MIST</t>
  </si>
  <si>
    <t>285</t>
  </si>
  <si>
    <t>240</t>
  </si>
  <si>
    <t>HEPA</t>
  </si>
  <si>
    <t>CHEMICAL GAS</t>
  </si>
  <si>
    <t>CARBON</t>
  </si>
  <si>
    <t>145</t>
  </si>
  <si>
    <t>MEMBRANE</t>
  </si>
  <si>
    <t>FRAME STS304</t>
  </si>
  <si>
    <t>1099</t>
  </si>
  <si>
    <t>STS304</t>
  </si>
  <si>
    <t xml:space="preserve"> AIR</t>
  </si>
  <si>
    <t>0.01</t>
  </si>
  <si>
    <t>SUS304</t>
  </si>
  <si>
    <t>650</t>
  </si>
  <si>
    <t xml:space="preserve"> AIR FILTER </t>
  </si>
  <si>
    <t>488</t>
  </si>
  <si>
    <t>521</t>
  </si>
  <si>
    <t>47</t>
  </si>
  <si>
    <t>PAPER</t>
  </si>
  <si>
    <t>388</t>
  </si>
  <si>
    <t>292</t>
  </si>
  <si>
    <t>330</t>
  </si>
  <si>
    <t>OIL</t>
  </si>
  <si>
    <t>Type</t>
  </si>
  <si>
    <t>IRON POWDER DUST</t>
  </si>
  <si>
    <t>0.6</t>
  </si>
  <si>
    <t>6200</t>
  </si>
  <si>
    <t>PTFE MEMBRANE/SS275</t>
  </si>
  <si>
    <t>AIR/GAS/DUST</t>
  </si>
  <si>
    <t>BOROSILICATE GLASS MICROFIBRES BONDED WITH SILICA INORGANIC RESIN ONLY</t>
  </si>
  <si>
    <t>BOROSILICATE GLASS MICROFIBERS</t>
  </si>
  <si>
    <t>AIR/GAS</t>
  </si>
  <si>
    <t>SS304</t>
  </si>
  <si>
    <t>CERAMIC</t>
  </si>
  <si>
    <t>SYNTHETIC MICRO-GLASS FIBER/STEEL</t>
  </si>
  <si>
    <t>CELLULOSE WITH POLYESTER AND GLASS FIBERS</t>
  </si>
  <si>
    <t>INORGANIC FIBERS</t>
  </si>
  <si>
    <t>HYDRAULIC</t>
  </si>
  <si>
    <t>PROBE FILTER</t>
  </si>
  <si>
    <t>1.7</t>
  </si>
  <si>
    <t>STS316</t>
  </si>
  <si>
    <t>ALUMINIUM</t>
  </si>
  <si>
    <t>HYDRAULIC OIL</t>
  </si>
  <si>
    <t>PLUG STEEL</t>
  </si>
  <si>
    <t>CARBON STEEL</t>
  </si>
  <si>
    <t>580</t>
  </si>
  <si>
    <t>340</t>
  </si>
  <si>
    <t>Application Type</t>
  </si>
  <si>
    <t>ELECTRONIC</t>
  </si>
  <si>
    <t>Phase</t>
  </si>
  <si>
    <t>AC 3PHASE</t>
  </si>
  <si>
    <t>Current</t>
  </si>
  <si>
    <t>AC 1PHASE</t>
  </si>
  <si>
    <t>AC300-520</t>
  </si>
  <si>
    <t>INVERTER</t>
  </si>
  <si>
    <t>Q4371330</t>
    <phoneticPr fontId="2" type="noConversion"/>
  </si>
  <si>
    <t>Q4371330_CQ2-Z.pdf</t>
    <phoneticPr fontId="2" type="noConversion"/>
  </si>
  <si>
    <t>Q4037566_CS1.pdf</t>
    <phoneticPr fontId="2" type="noConversion"/>
  </si>
  <si>
    <t>Q4280848_C95_large.pdf</t>
    <phoneticPr fontId="2" type="noConversion"/>
  </si>
  <si>
    <t xml:space="preserve">http://www.smckorea.co.kr/ppis/data/catalog/CA2-Z.pdf </t>
    <phoneticPr fontId="2" type="noConversion"/>
  </si>
  <si>
    <t>Q4511190</t>
    <phoneticPr fontId="2" type="noConversion"/>
  </si>
  <si>
    <t>Q4511190_CA2-Z.pdf</t>
    <phoneticPr fontId="2" type="noConversion"/>
  </si>
  <si>
    <t>Q4520279</t>
    <phoneticPr fontId="2" type="noConversion"/>
  </si>
  <si>
    <t>Q4520279_CG1-Z.pdf</t>
    <phoneticPr fontId="2" type="noConversion"/>
  </si>
  <si>
    <t>Q4508586</t>
    <phoneticPr fontId="2" type="noConversion"/>
  </si>
  <si>
    <t>Q4508586_CM2-Z.pdf</t>
    <phoneticPr fontId="2" type="noConversion"/>
  </si>
  <si>
    <t>Q4507377</t>
    <phoneticPr fontId="2" type="noConversion"/>
  </si>
  <si>
    <t>Q4507377_CQM.pdf</t>
    <phoneticPr fontId="2" type="noConversion"/>
  </si>
  <si>
    <t>Q4520278</t>
    <phoneticPr fontId="2" type="noConversion"/>
  </si>
  <si>
    <t>Q4520278_CM2-Z.pdf</t>
    <phoneticPr fontId="2" type="noConversion"/>
  </si>
  <si>
    <t>품명</t>
    <phoneticPr fontId="2" type="noConversion"/>
  </si>
  <si>
    <t>속성2</t>
    <phoneticPr fontId="2" type="noConversion"/>
  </si>
  <si>
    <t>속성1</t>
    <phoneticPr fontId="2" type="noConversion"/>
  </si>
  <si>
    <t>속성3</t>
  </si>
  <si>
    <t>속성4</t>
  </si>
  <si>
    <t>속성5</t>
  </si>
  <si>
    <t>속성6</t>
  </si>
  <si>
    <t>속성7</t>
  </si>
  <si>
    <t>속성8</t>
  </si>
  <si>
    <t>속성9</t>
  </si>
  <si>
    <t>속성10</t>
  </si>
  <si>
    <t>컬럼정하기</t>
  </si>
  <si>
    <t>220928_APL 1ERT, 1DSRT, 2DSRT -AGM 3set(1.5kW)_P-건설(브레이크)_20240110103813827.pdf</t>
  </si>
  <si>
    <t>[DMPi]_KO_C15021-06-202504_20250618093528225.pdf, DMP65I-T_20250619100637129.pdf</t>
  </si>
  <si>
    <t>Q3507377</t>
    <phoneticPr fontId="2" type="noConversion"/>
  </si>
  <si>
    <t>Q3507378</t>
  </si>
  <si>
    <t>Q3507379</t>
  </si>
  <si>
    <t>Q3507380</t>
  </si>
  <si>
    <t>Q3507381</t>
  </si>
  <si>
    <t>Q3507382</t>
  </si>
  <si>
    <t>Q3507383</t>
  </si>
  <si>
    <t>CDS2T3200-250-CJCD0239</t>
    <phoneticPr fontId="2" type="noConversion"/>
  </si>
  <si>
    <t>CPS2T3200-250-CJCD0235</t>
    <phoneticPr fontId="2" type="noConversion"/>
  </si>
  <si>
    <t>CDS2T3200-250-CJCD0240</t>
  </si>
  <si>
    <t>CPS2T3200-250-CJCD0236</t>
  </si>
  <si>
    <t>CDS2T3200-250-CJCD0241</t>
  </si>
  <si>
    <t>CPS2T3200-250-CJCD0237</t>
  </si>
  <si>
    <t>CDS2T3200-250-CJCD0242</t>
  </si>
  <si>
    <t>SMC</t>
    <phoneticPr fontId="2" type="noConversion"/>
  </si>
  <si>
    <t>오류치</t>
    <phoneticPr fontId="2" type="noConversion"/>
  </si>
  <si>
    <t>Q3507384</t>
  </si>
  <si>
    <t>Q3507385</t>
  </si>
  <si>
    <t>Q3507386</t>
  </si>
  <si>
    <t>Q3507387</t>
  </si>
  <si>
    <t>Q3507388</t>
  </si>
  <si>
    <t>Q3507389</t>
  </si>
  <si>
    <t>HMA01080000561</t>
  </si>
  <si>
    <t>HMA01080000562</t>
  </si>
  <si>
    <t>HMA01080000563</t>
  </si>
  <si>
    <t>Q3507390</t>
  </si>
  <si>
    <t>Q3507391</t>
  </si>
  <si>
    <t>Q3507392</t>
  </si>
  <si>
    <t>Q3507393</t>
  </si>
  <si>
    <t>Q3507394</t>
  </si>
  <si>
    <t>Q3507395</t>
  </si>
  <si>
    <t>Q3507396</t>
  </si>
  <si>
    <t>Q3507397</t>
  </si>
  <si>
    <t>Q3507398</t>
  </si>
  <si>
    <t>DSP-AOM-69Z7-ZCT-F</t>
    <phoneticPr fontId="2" type="noConversion"/>
  </si>
  <si>
    <t>DSP-AOM-65Z7-ZCT-F</t>
    <phoneticPr fontId="2" type="noConversion"/>
  </si>
  <si>
    <t>DSP-AOM-69Z8-ZCT-F</t>
  </si>
  <si>
    <t>DSP-AOM-65Z8-ZCT-F</t>
  </si>
  <si>
    <t>DSP-AOM-69Z9-ZCT-F</t>
  </si>
  <si>
    <t>DSP-AOM-65Z9-ZCT-F</t>
  </si>
  <si>
    <t>DSP-AOM-69Z10-ZCT-F</t>
  </si>
  <si>
    <t>DSP-AOM-65Z10-ZCT-F</t>
  </si>
  <si>
    <t>DSP-AOM-69Z11-ZCT-F</t>
  </si>
  <si>
    <t>정답</t>
    <phoneticPr fontId="2" type="noConversion"/>
  </si>
  <si>
    <t>정답여부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</si>
</sst>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0_ "/>
    <numFmt numFmtId="177" formatCode="yy&quot;-&quot;m&quot;-&quot;d\ h:mm;@"/>
  </numFmts>
  <fonts count="36" x14ac:knownFonts="1">
    <font>
      <sz val="11"/>
      <color theme="1"/>
      <name val="맑은 고딕"/>
      <family val="2"/>
      <charset val="129"/>
    </font>
    <font>
      <sz val="11"/>
      <color theme="1"/>
      <name val="맑은 고딕"/>
      <family val="2"/>
      <charset val="129"/>
      <scheme val="minor"/>
    </font>
    <font>
      <sz val="8"/>
      <name val="맑은 고딕"/>
      <family val="2"/>
      <charset val="129"/>
    </font>
    <font>
      <sz val="11"/>
      <color theme="1"/>
      <name val="맑은 고딕"/>
      <family val="2"/>
      <charset val="129"/>
      <scheme val="minor"/>
    </font>
    <font>
      <sz val="10"/>
      <color theme="1"/>
      <name val="굴림"/>
      <family val="2"/>
      <charset val="129"/>
    </font>
    <font>
      <sz val="10"/>
      <color theme="0"/>
      <name val="맑은 고딕"/>
      <family val="2"/>
      <charset val="129"/>
      <scheme val="minor"/>
    </font>
    <font>
      <sz val="10"/>
      <name val="맑은 고딕"/>
      <family val="2"/>
      <charset val="129"/>
      <scheme val="minor"/>
    </font>
    <font>
      <b/>
      <sz val="11"/>
      <color theme="0"/>
      <name val="맑은 고딕"/>
      <family val="3"/>
      <charset val="129"/>
      <scheme val="minor"/>
    </font>
    <font>
      <b/>
      <sz val="11"/>
      <color rgb="FF0000FF"/>
      <name val="맑은 고딕"/>
      <family val="3"/>
      <charset val="129"/>
      <scheme val="minor"/>
    </font>
    <font>
      <sz val="11"/>
      <color rgb="FF0000FF"/>
      <name val="맑은 고딕"/>
      <family val="2"/>
      <charset val="129"/>
      <scheme val="minor"/>
    </font>
    <font>
      <sz val="11"/>
      <color rgb="FF0000FF"/>
      <name val="맑은 고딕"/>
      <family val="3"/>
      <charset val="129"/>
      <scheme val="minor"/>
    </font>
    <font>
      <u/>
      <sz val="8"/>
      <color rgb="FF3C3C3C"/>
      <name val="Arial"/>
      <family val="2"/>
    </font>
    <font>
      <sz val="11"/>
      <color rgb="FF0929B1"/>
      <name val="맑은 고딕"/>
      <family val="3"/>
      <charset val="129"/>
      <scheme val="minor"/>
    </font>
    <font>
      <sz val="11"/>
      <color theme="1"/>
      <name val="맑은 고딕"/>
      <family val="2"/>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u/>
      <sz val="11"/>
      <color theme="10"/>
      <name val="맑은 고딕"/>
      <family val="2"/>
      <charset val="129"/>
    </font>
    <font>
      <sz val="10"/>
      <color theme="1"/>
      <name val="맑은 고딕"/>
      <family val="3"/>
      <charset val="129"/>
    </font>
    <font>
      <b/>
      <sz val="11"/>
      <color theme="1"/>
      <name val="맑은 고딕"/>
      <family val="3"/>
      <charset val="129"/>
      <scheme val="minor"/>
    </font>
    <font>
      <sz val="11"/>
      <color rgb="FFFF0000"/>
      <name val="맑은 고딕"/>
      <family val="3"/>
      <charset val="129"/>
      <scheme val="minor"/>
    </font>
    <font>
      <sz val="11"/>
      <color rgb="FFFF0000"/>
      <name val="맑은 고딕"/>
      <family val="2"/>
      <charset val="129"/>
    </font>
    <font>
      <sz val="11"/>
      <color rgb="FFFF0000"/>
      <name val="맑은 고딕"/>
      <family val="3"/>
      <charset val="129"/>
    </font>
  </fonts>
  <fills count="44">
    <fill>
      <patternFill patternType="none"/>
    </fill>
    <fill>
      <patternFill patternType="gray125"/>
    </fill>
    <fill>
      <patternFill patternType="solid">
        <fgColor rgb="FFE7EDF5"/>
        <bgColor indexed="64"/>
      </patternFill>
    </fill>
    <fill>
      <patternFill patternType="solid">
        <fgColor rgb="FFFFFFFF"/>
        <bgColor indexed="64"/>
      </patternFill>
    </fill>
    <fill>
      <patternFill patternType="solid">
        <fgColor rgb="FFDBDBDB"/>
        <bgColor indexed="64"/>
      </patternFill>
    </fill>
    <fill>
      <patternFill patternType="solid">
        <fgColor rgb="FFE3EAF1"/>
        <bgColor indexed="64"/>
      </patternFill>
    </fill>
    <fill>
      <patternFill patternType="solid">
        <fgColor theme="3" tint="0.79998168889431442"/>
        <bgColor indexed="64"/>
      </patternFill>
    </fill>
    <fill>
      <patternFill patternType="solid">
        <fgColor theme="3" tint="0.59996337778862885"/>
        <bgColor indexed="64"/>
      </patternFill>
    </fill>
    <fill>
      <patternFill patternType="solid">
        <fgColor theme="3" tint="0.39994506668294322"/>
        <bgColor indexed="64"/>
      </patternFill>
    </fill>
    <fill>
      <patternFill patternType="solid">
        <fgColor theme="3" tint="-0.24994659260841701"/>
        <bgColor indexed="64"/>
      </patternFill>
    </fill>
    <fill>
      <patternFill patternType="solid">
        <fgColor theme="1"/>
        <bgColor theme="1"/>
      </patternFill>
    </fill>
    <fill>
      <patternFill patternType="solid">
        <fgColor theme="4" tint="0.79998168889431442"/>
        <bgColor theme="1"/>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8CDD9"/>
      </left>
      <right style="thin">
        <color rgb="FFB8CDD9"/>
      </right>
      <top style="thin">
        <color rgb="FFB8CDD9"/>
      </top>
      <bottom style="thin">
        <color rgb="FFB8CDD9"/>
      </bottom>
      <diagonal/>
    </border>
    <border>
      <left style="thin">
        <color theme="1"/>
      </left>
      <right style="thin">
        <color theme="1"/>
      </right>
      <top/>
      <bottom style="medium">
        <color theme="1"/>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04">
    <xf numFmtId="0" fontId="0" fillId="0" borderId="0">
      <alignment vertical="center"/>
    </xf>
    <xf numFmtId="0" fontId="3" fillId="0" borderId="0">
      <alignment vertical="center"/>
    </xf>
    <xf numFmtId="0" fontId="3" fillId="2" borderId="0" applyNumberFormat="0" applyFont="0" applyBorder="0" applyAlignment="0" applyProtection="0">
      <alignment vertical="center"/>
    </xf>
    <xf numFmtId="0" fontId="3" fillId="3" borderId="0" applyNumberFormat="0" applyFont="0" applyBorder="0" applyAlignment="0" applyProtection="0">
      <alignment vertical="center"/>
    </xf>
    <xf numFmtId="0" fontId="3" fillId="4" borderId="0" applyNumberFormat="0" applyFont="0" applyBorder="0" applyAlignment="0" applyProtection="0">
      <alignment vertical="center"/>
    </xf>
    <xf numFmtId="0" fontId="3" fillId="4" borderId="0" applyNumberFormat="0" applyFont="0" applyBorder="0" applyAlignment="0" applyProtection="0">
      <alignment vertical="center"/>
    </xf>
    <xf numFmtId="0" fontId="3" fillId="5" borderId="0" applyNumberFormat="0" applyFont="0" applyBorder="0" applyAlignment="0" applyProtection="0">
      <alignment vertical="center"/>
    </xf>
    <xf numFmtId="0" fontId="3" fillId="2" borderId="0" applyNumberFormat="0" applyFont="0" applyBorder="0" applyAlignment="0" applyProtection="0">
      <alignment vertical="center"/>
    </xf>
    <xf numFmtId="0" fontId="3" fillId="2" borderId="0" applyNumberFormat="0" applyFont="0" applyBorder="0" applyAlignment="0" applyProtection="0">
      <alignment vertical="center"/>
    </xf>
    <xf numFmtId="0" fontId="3" fillId="2" borderId="0" applyNumberFormat="0" applyFont="0" applyBorder="0" applyAlignment="0" applyProtection="0">
      <alignment vertical="center"/>
    </xf>
    <xf numFmtId="0" fontId="3" fillId="2" borderId="0" applyNumberFormat="0" applyFont="0" applyBorder="0" applyAlignment="0" applyProtection="0">
      <alignment vertical="center"/>
    </xf>
    <xf numFmtId="0" fontId="3" fillId="2" borderId="0" applyNumberFormat="0" applyFont="0" applyBorder="0" applyAlignment="0" applyProtection="0">
      <alignment vertical="center"/>
    </xf>
    <xf numFmtId="0" fontId="3" fillId="2" borderId="0" applyNumberFormat="0" applyFont="0" applyBorder="0" applyAlignment="0" applyProtection="0">
      <alignment vertical="center"/>
    </xf>
    <xf numFmtId="0" fontId="3" fillId="2" borderId="0" applyNumberFormat="0" applyFont="0" applyBorder="0" applyAlignment="0" applyProtection="0">
      <alignment vertical="center"/>
    </xf>
    <xf numFmtId="0" fontId="3" fillId="2" borderId="0" applyNumberFormat="0" applyFont="0" applyBorder="0" applyAlignment="0" applyProtection="0">
      <alignment vertical="center"/>
    </xf>
    <xf numFmtId="0" fontId="3" fillId="2" borderId="0" applyNumberFormat="0" applyFont="0" applyBorder="0" applyAlignment="0" applyProtection="0">
      <alignment vertical="center"/>
    </xf>
    <xf numFmtId="0" fontId="3" fillId="6" borderId="0" applyNumberFormat="0" applyFont="0" applyAlignment="0" applyProtection="0">
      <alignment vertical="center"/>
    </xf>
    <xf numFmtId="0" fontId="3" fillId="7" borderId="0" applyNumberFormat="0" applyFont="0" applyBorder="0" applyAlignment="0" applyProtection="0">
      <alignment vertical="center"/>
    </xf>
    <xf numFmtId="0" fontId="3" fillId="8" borderId="0" applyNumberFormat="0" applyFont="0" applyBorder="0" applyAlignment="0" applyProtection="0">
      <alignment vertical="center"/>
    </xf>
    <xf numFmtId="0" fontId="5" fillId="9" borderId="0" applyNumberFormat="0" applyBorder="0" applyAlignment="0" applyProtection="0">
      <alignment vertical="center"/>
    </xf>
    <xf numFmtId="0" fontId="6" fillId="2" borderId="1" applyNumberFormat="0" applyAlignment="0" applyProtection="0">
      <alignment vertical="center"/>
    </xf>
    <xf numFmtId="176" fontId="3" fillId="3" borderId="0" applyFon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4" fillId="0" borderId="0">
      <alignment vertical="center"/>
    </xf>
    <xf numFmtId="0" fontId="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3"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7" applyNumberFormat="0" applyAlignment="0" applyProtection="0">
      <alignment vertical="center"/>
    </xf>
    <xf numFmtId="0" fontId="22" fillId="17" borderId="8" applyNumberFormat="0" applyAlignment="0" applyProtection="0">
      <alignment vertical="center"/>
    </xf>
    <xf numFmtId="0" fontId="23" fillId="17" borderId="7" applyNumberFormat="0" applyAlignment="0" applyProtection="0">
      <alignment vertical="center"/>
    </xf>
    <xf numFmtId="0" fontId="24" fillId="0" borderId="9" applyNumberFormat="0" applyFill="0" applyAlignment="0" applyProtection="0">
      <alignment vertical="center"/>
    </xf>
    <xf numFmtId="0" fontId="25" fillId="18" borderId="10" applyNumberFormat="0" applyAlignment="0" applyProtection="0">
      <alignment vertical="center"/>
    </xf>
    <xf numFmtId="0" fontId="26" fillId="0" borderId="0" applyNumberFormat="0" applyFill="0" applyBorder="0" applyAlignment="0" applyProtection="0">
      <alignment vertical="center"/>
    </xf>
    <xf numFmtId="0" fontId="3" fillId="19" borderId="11" applyNumberFormat="0" applyFont="0" applyAlignment="0" applyProtection="0">
      <alignment vertical="center"/>
    </xf>
    <xf numFmtId="0" fontId="27" fillId="0" borderId="0" applyNumberFormat="0" applyFill="0" applyBorder="0" applyAlignment="0" applyProtection="0">
      <alignment vertical="center"/>
    </xf>
    <xf numFmtId="0" fontId="28" fillId="0" borderId="12" applyNumberFormat="0" applyFill="0" applyAlignment="0" applyProtection="0">
      <alignment vertical="center"/>
    </xf>
    <xf numFmtId="0" fontId="29"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 fillId="29" borderId="0" applyNumberFormat="0" applyBorder="0" applyAlignment="0" applyProtection="0">
      <alignment vertical="center"/>
    </xf>
    <xf numFmtId="0" fontId="3"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 fillId="33" borderId="0" applyNumberFormat="0" applyBorder="0" applyAlignment="0" applyProtection="0">
      <alignment vertical="center"/>
    </xf>
    <xf numFmtId="0" fontId="3"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29" fillId="39" borderId="0" applyNumberFormat="0" applyBorder="0" applyAlignment="0" applyProtection="0">
      <alignment vertical="center"/>
    </xf>
    <xf numFmtId="0" fontId="29" fillId="40"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29" fillId="43" borderId="0" applyNumberFormat="0" applyBorder="0" applyAlignment="0" applyProtection="0">
      <alignment vertical="center"/>
    </xf>
    <xf numFmtId="0" fontId="13"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3" fillId="0" borderId="0" applyFont="0" applyFill="0" applyBorder="0" applyAlignment="0" applyProtection="0">
      <alignment vertical="center"/>
    </xf>
    <xf numFmtId="41" fontId="4" fillId="0" borderId="0" applyFont="0" applyFill="0" applyBorder="0" applyAlignment="0" applyProtection="0">
      <alignment vertical="center"/>
    </xf>
    <xf numFmtId="0" fontId="13"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3" fillId="0" borderId="0" applyFont="0" applyFill="0" applyBorder="0" applyAlignment="0" applyProtection="0">
      <alignment vertical="center"/>
    </xf>
    <xf numFmtId="41" fontId="4" fillId="0" borderId="0" applyFont="0" applyFill="0" applyBorder="0" applyAlignment="0" applyProtection="0">
      <alignment vertical="center"/>
    </xf>
    <xf numFmtId="0" fontId="13"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3" fillId="0" borderId="0" applyFont="0" applyFill="0" applyBorder="0" applyAlignment="0" applyProtection="0">
      <alignment vertical="center"/>
    </xf>
    <xf numFmtId="41" fontId="4" fillId="0" borderId="0" applyFont="0" applyFill="0" applyBorder="0" applyAlignment="0" applyProtection="0">
      <alignment vertical="center"/>
    </xf>
    <xf numFmtId="0" fontId="30" fillId="0" borderId="0" applyNumberFormat="0" applyFill="0" applyBorder="0" applyAlignment="0" applyProtection="0">
      <alignment vertical="center"/>
    </xf>
  </cellStyleXfs>
  <cellXfs count="58">
    <xf numFmtId="0" fontId="0" fillId="0" borderId="0" xfId="0">
      <alignment vertical="center"/>
    </xf>
    <xf numFmtId="0" fontId="3" fillId="0" borderId="0" xfId="1">
      <alignment vertical="center"/>
    </xf>
    <xf numFmtId="177" fontId="3" fillId="0" borderId="0" xfId="1" applyNumberFormat="1">
      <alignment vertical="center"/>
    </xf>
    <xf numFmtId="0" fontId="7" fillId="10" borderId="2" xfId="1" applyFont="1" applyFill="1" applyBorder="1" applyAlignment="1">
      <alignment horizontal="center" vertical="center"/>
    </xf>
    <xf numFmtId="177" fontId="7" fillId="10" borderId="2" xfId="1" applyNumberFormat="1" applyFont="1" applyFill="1" applyBorder="1" applyAlignment="1">
      <alignment horizontal="center" vertical="center"/>
    </xf>
    <xf numFmtId="0" fontId="8" fillId="11" borderId="2" xfId="1" applyFont="1" applyFill="1" applyBorder="1" applyAlignment="1">
      <alignment horizontal="center" vertical="center"/>
    </xf>
    <xf numFmtId="0" fontId="9" fillId="0" borderId="0" xfId="1" applyFont="1">
      <alignment vertical="center"/>
    </xf>
    <xf numFmtId="0" fontId="9" fillId="0" borderId="3" xfId="1" applyFont="1" applyBorder="1">
      <alignment vertical="center"/>
    </xf>
    <xf numFmtId="0" fontId="10" fillId="0" borderId="3" xfId="1" applyFont="1" applyBorder="1">
      <alignment vertical="center"/>
    </xf>
    <xf numFmtId="0" fontId="8" fillId="0" borderId="0" xfId="1" applyFont="1">
      <alignment vertical="center"/>
    </xf>
    <xf numFmtId="0" fontId="3" fillId="0" borderId="0" xfId="1" applyAlignment="1">
      <alignment horizontal="center" vertical="center"/>
    </xf>
    <xf numFmtId="0" fontId="9" fillId="0" borderId="0" xfId="1" applyFont="1" applyAlignment="1">
      <alignment horizontal="center" vertical="center"/>
    </xf>
    <xf numFmtId="0" fontId="0" fillId="0" borderId="0" xfId="0" applyAlignment="1">
      <alignment horizontal="center" vertical="center"/>
    </xf>
    <xf numFmtId="0" fontId="11" fillId="0" borderId="0" xfId="0" applyFont="1">
      <alignment vertical="center"/>
    </xf>
    <xf numFmtId="0" fontId="12" fillId="12" borderId="0" xfId="1" applyFont="1" applyFill="1">
      <alignment vertical="center"/>
    </xf>
    <xf numFmtId="0" fontId="11" fillId="3" borderId="0" xfId="0" applyFont="1" applyFill="1" applyAlignment="1">
      <alignment horizontal="center" vertical="center"/>
    </xf>
    <xf numFmtId="0" fontId="11" fillId="3" borderId="0" xfId="0" applyFont="1" applyFill="1" applyAlignment="1">
      <alignment horizontal="left" vertical="center"/>
    </xf>
    <xf numFmtId="0" fontId="3" fillId="0" borderId="0" xfId="1">
      <alignment vertical="center"/>
    </xf>
    <xf numFmtId="0" fontId="3" fillId="12" borderId="0" xfId="1" applyFill="1">
      <alignment vertical="center"/>
    </xf>
    <xf numFmtId="0" fontId="3" fillId="0" borderId="0" xfId="1" applyNumberFormat="1">
      <alignment vertical="center"/>
    </xf>
    <xf numFmtId="0" fontId="3" fillId="12" borderId="0" xfId="1" applyNumberFormat="1" applyFill="1">
      <alignment vertical="center"/>
    </xf>
    <xf numFmtId="0" fontId="3" fillId="0" borderId="0" xfId="1">
      <alignment vertical="center"/>
    </xf>
    <xf numFmtId="0" fontId="3" fillId="12" borderId="0" xfId="1" applyFill="1">
      <alignment vertical="center"/>
    </xf>
    <xf numFmtId="0" fontId="3" fillId="0" borderId="0" xfId="1" applyNumberFormat="1">
      <alignment vertical="center"/>
    </xf>
    <xf numFmtId="0" fontId="3" fillId="0" borderId="0" xfId="1">
      <alignment vertical="center"/>
    </xf>
    <xf numFmtId="0" fontId="3" fillId="12" borderId="0" xfId="1" applyFill="1">
      <alignment vertical="center"/>
    </xf>
    <xf numFmtId="0" fontId="3" fillId="0" borderId="0" xfId="1" applyNumberFormat="1">
      <alignment vertical="center"/>
    </xf>
    <xf numFmtId="0" fontId="3" fillId="0" borderId="0" xfId="1">
      <alignment vertical="center"/>
    </xf>
    <xf numFmtId="0" fontId="3" fillId="12" borderId="0" xfId="1" applyFill="1">
      <alignment vertical="center"/>
    </xf>
    <xf numFmtId="0" fontId="3" fillId="0" borderId="0" xfId="1" applyNumberFormat="1">
      <alignment vertical="center"/>
    </xf>
    <xf numFmtId="0" fontId="3" fillId="0" borderId="0" xfId="1">
      <alignment vertical="center"/>
    </xf>
    <xf numFmtId="0" fontId="3" fillId="12" borderId="0" xfId="1" applyFill="1">
      <alignment vertical="center"/>
    </xf>
    <xf numFmtId="0" fontId="3" fillId="0" borderId="0" xfId="1" applyNumberFormat="1">
      <alignment vertical="center"/>
    </xf>
    <xf numFmtId="0" fontId="3" fillId="0" borderId="0" xfId="1">
      <alignment vertical="center"/>
    </xf>
    <xf numFmtId="0" fontId="3" fillId="12" borderId="0" xfId="1" applyFill="1">
      <alignment vertical="center"/>
    </xf>
    <xf numFmtId="0" fontId="3" fillId="0" borderId="0" xfId="1">
      <alignment vertical="center"/>
    </xf>
    <xf numFmtId="0" fontId="3" fillId="0" borderId="0" xfId="1" applyNumberFormat="1">
      <alignment vertical="center"/>
    </xf>
    <xf numFmtId="0" fontId="9" fillId="0" borderId="0" xfId="1" applyFont="1" applyBorder="1">
      <alignment vertical="center"/>
    </xf>
    <xf numFmtId="0" fontId="3" fillId="0" borderId="0" xfId="1">
      <alignment vertical="center"/>
    </xf>
    <xf numFmtId="0" fontId="3" fillId="12" borderId="0" xfId="1" applyFill="1">
      <alignment vertical="center"/>
    </xf>
    <xf numFmtId="0" fontId="3" fillId="0" borderId="0" xfId="1" applyNumberFormat="1">
      <alignment vertical="center"/>
    </xf>
    <xf numFmtId="0" fontId="3" fillId="0" borderId="0" xfId="1">
      <alignment vertical="center"/>
    </xf>
    <xf numFmtId="0" fontId="3" fillId="12" borderId="0" xfId="1" applyFill="1">
      <alignment vertical="center"/>
    </xf>
    <xf numFmtId="0" fontId="3" fillId="0" borderId="0" xfId="1" applyNumberFormat="1">
      <alignment vertical="center"/>
    </xf>
    <xf numFmtId="0" fontId="3" fillId="0" borderId="0" xfId="1">
      <alignment vertical="center"/>
    </xf>
    <xf numFmtId="0" fontId="3" fillId="12" borderId="0" xfId="1" applyFill="1">
      <alignment vertical="center"/>
    </xf>
    <xf numFmtId="0" fontId="3" fillId="0" borderId="0" xfId="1" applyNumberFormat="1">
      <alignment vertical="center"/>
    </xf>
    <xf numFmtId="0" fontId="1" fillId="0" borderId="0" xfId="1" applyFont="1">
      <alignment vertical="center"/>
    </xf>
    <xf numFmtId="0" fontId="30" fillId="0" borderId="3" xfId="103" applyBorder="1">
      <alignment vertical="center"/>
    </xf>
    <xf numFmtId="0" fontId="0" fillId="0" borderId="3" xfId="0" applyBorder="1">
      <alignment vertical="center"/>
    </xf>
    <xf numFmtId="0" fontId="3" fillId="0" borderId="3" xfId="1" applyNumberFormat="1" applyBorder="1">
      <alignment vertical="center"/>
    </xf>
    <xf numFmtId="0" fontId="31" fillId="0" borderId="0" xfId="0" applyFont="1">
      <alignment vertical="center"/>
    </xf>
    <xf numFmtId="0" fontId="32" fillId="0" borderId="3" xfId="1" applyNumberFormat="1" applyFont="1" applyBorder="1">
      <alignment vertical="center"/>
    </xf>
    <xf numFmtId="0" fontId="32" fillId="0" borderId="3" xfId="1" applyFont="1" applyBorder="1">
      <alignment vertical="center"/>
    </xf>
    <xf numFmtId="0" fontId="26" fillId="0" borderId="0" xfId="1" applyFont="1">
      <alignment vertical="center"/>
    </xf>
    <xf numFmtId="0" fontId="33" fillId="0" borderId="0" xfId="1" applyFont="1">
      <alignment vertical="center"/>
    </xf>
    <xf numFmtId="0" fontId="34" fillId="0" borderId="0" xfId="0" applyFont="1" applyAlignment="1">
      <alignment horizontal="center" vertical="center"/>
    </xf>
    <xf numFmtId="0" fontId="35" fillId="0" borderId="0" xfId="0" applyFont="1" applyAlignment="1">
      <alignment horizontal="center" vertical="center"/>
    </xf>
  </cellXfs>
  <cellStyles count="104">
    <cellStyle name="20% - 강조색1 2" xfId="65" xr:uid="{28FB6C26-FD56-416F-9B50-F2270D003405}"/>
    <cellStyle name="20% - 강조색2 2" xfId="69" xr:uid="{49C18B5B-3866-46B3-AB5B-0B5F765BF843}"/>
    <cellStyle name="20% - 강조색3 2" xfId="73" xr:uid="{AC511FA2-DD44-4376-BB15-303A958177D0}"/>
    <cellStyle name="20% - 강조색4 2" xfId="77" xr:uid="{73AED20B-EBE7-4AA0-87F0-D5E203263F06}"/>
    <cellStyle name="20% - 강조색5 2" xfId="81" xr:uid="{294812C7-44E0-4A60-9893-B4409DB7811A}"/>
    <cellStyle name="20% - 강조색6 2" xfId="85" xr:uid="{7198B6A4-ACB7-4283-9466-D379C3C88CDE}"/>
    <cellStyle name="40% - 강조색1 2" xfId="66" xr:uid="{05DAEB22-1223-4FAD-B2AC-0C9FF34D3F54}"/>
    <cellStyle name="40% - 강조색2 2" xfId="70" xr:uid="{10180D61-6A73-4F60-BF89-5334DBC8AB48}"/>
    <cellStyle name="40% - 강조색3 2" xfId="74" xr:uid="{F1C9949B-8AF8-455A-A829-378DB56ABEEF}"/>
    <cellStyle name="40% - 강조색4 2" xfId="78" xr:uid="{428B12D1-9D31-4522-9913-19DBFE3F2C96}"/>
    <cellStyle name="40% - 강조색5 2" xfId="82" xr:uid="{556CA295-6D1D-4588-93C2-1E5B54E4010F}"/>
    <cellStyle name="40% - 강조색6 2" xfId="86" xr:uid="{C526C7A8-6743-4149-B88A-F2F5700B78F1}"/>
    <cellStyle name="60% - 강조색1 2" xfId="67" xr:uid="{CB978FE4-5501-448A-AD30-37210DB18F67}"/>
    <cellStyle name="60% - 강조색2 2" xfId="71" xr:uid="{5AFA6814-0E63-4EF8-8214-567AEC91FEDC}"/>
    <cellStyle name="60% - 강조색3 2" xfId="75" xr:uid="{91C4F6C4-8AD7-4AED-AA99-A628A15A3B60}"/>
    <cellStyle name="60% - 강조색4 2" xfId="79" xr:uid="{55BEBD44-652F-4AF4-8346-52C43DF7A815}"/>
    <cellStyle name="60% - 강조색5 2" xfId="83" xr:uid="{299A0116-9F92-48CA-AC00-FB379C00BA04}"/>
    <cellStyle name="60% - 강조색6 2" xfId="87" xr:uid="{99129ECE-5CD0-493C-947A-872AF287907B}"/>
    <cellStyle name="FirstColumn" xfId="2" xr:uid="{2F852BF3-E302-46A0-9AA5-EE4FCFBC7D0C}"/>
    <cellStyle name="FirstHeaderCell" xfId="3" xr:uid="{4DADBB0F-ADF6-475F-A331-55D10EDA3630}"/>
    <cellStyle name="GrandTotalColumn" xfId="4" xr:uid="{739F6C4F-0AE8-4DA0-808E-C66E79116496}"/>
    <cellStyle name="GrandTotalRow" xfId="5" xr:uid="{BAADFE5A-19AF-4AE0-A292-9770880E1222}"/>
    <cellStyle name="HeaderRow" xfId="6" xr:uid="{AF94848D-84AB-463A-9684-70EF8B5A5EBD}"/>
    <cellStyle name="RowSubheading1" xfId="7" xr:uid="{06D699C6-A8E6-4D34-8635-BBB3FEA1D2C9}"/>
    <cellStyle name="RowSubheading2" xfId="8" xr:uid="{D182D2B0-4E6B-410E-925B-4353D8913F7F}"/>
    <cellStyle name="RowSubheading3" xfId="9" xr:uid="{975B3206-8BCB-47AE-BE98-80BFE778E469}"/>
    <cellStyle name="SubtotalColumn1" xfId="10" xr:uid="{EA12EF3C-B5C3-4195-A44D-ACC28CD2DFB8}"/>
    <cellStyle name="SubtotalColumn2" xfId="11" xr:uid="{B7567F91-697F-4726-A808-B9709B0C7567}"/>
    <cellStyle name="SubtotalColumn3" xfId="12" xr:uid="{988B9C67-4EDD-4BD0-87E1-A06EC2463712}"/>
    <cellStyle name="SubtotalRow1" xfId="13" xr:uid="{03501C4C-E8A1-48A6-9A96-546E8587AB19}"/>
    <cellStyle name="SubtotalRow2" xfId="14" xr:uid="{E7934387-D13A-4CA7-9AB3-059C928FCF74}"/>
    <cellStyle name="SubtotalRow3" xfId="15" xr:uid="{ECD9C67B-C4D5-4B7C-A31D-716D140552F4}"/>
    <cellStyle name="UserCustom1" xfId="16" xr:uid="{C099B799-328A-4F7F-9648-904B15FCDE42}"/>
    <cellStyle name="UserCustom2" xfId="17" xr:uid="{3A72E6FE-2A4C-456D-B9EF-65C6327F8881}"/>
    <cellStyle name="UserCustom3" xfId="18" xr:uid="{150E868C-93E2-4686-A741-305477A0634E}"/>
    <cellStyle name="UserCustom4" xfId="19" xr:uid="{4BDBF819-6BCC-4BCA-B70E-0E46A80E0775}"/>
    <cellStyle name="UserCustom5" xfId="20" xr:uid="{420CD4EF-EF9E-4993-A33B-359AFD01218C}"/>
    <cellStyle name="WholeTable" xfId="21" xr:uid="{98ABAF83-E19E-4797-B578-2B4FF7554F46}"/>
    <cellStyle name="강조색1 2" xfId="64" xr:uid="{919E7CE1-A3CA-436D-89A8-2CE241C1AC16}"/>
    <cellStyle name="강조색2 2" xfId="68" xr:uid="{B6ED425C-B365-428D-A052-6AE32DAE23ED}"/>
    <cellStyle name="강조색3 2" xfId="72" xr:uid="{1AD8C762-D41F-4F16-AF75-14942D5B20D1}"/>
    <cellStyle name="강조색4 2" xfId="76" xr:uid="{D7FE4B5A-E3F2-46EA-AB10-6EA8799D4714}"/>
    <cellStyle name="강조색5 2" xfId="80" xr:uid="{CFEFADE8-966E-4C0E-A3D1-13E7185CEFDA}"/>
    <cellStyle name="강조색6 2" xfId="84" xr:uid="{8755B346-A1BF-43CD-B40C-F9B9F6D940E9}"/>
    <cellStyle name="경고문 2" xfId="60" xr:uid="{3D6DEEDE-0BFD-49D7-8183-55F95962CF2F}"/>
    <cellStyle name="계산 2" xfId="57" xr:uid="{02655194-3A7F-4610-9A37-C746C951934A}"/>
    <cellStyle name="나쁨 2" xfId="53" xr:uid="{18A7F407-46D2-4401-98EA-2131D1CC9D9B}"/>
    <cellStyle name="메모 2" xfId="61" xr:uid="{695938C8-5618-4433-9C61-EB59BD85EDF0}"/>
    <cellStyle name="백분율 2" xfId="28" xr:uid="{CBE0A1F9-A24A-43AE-B87D-4A58C4D95818}"/>
    <cellStyle name="백분율 2 2" xfId="37" xr:uid="{636E07D7-C395-44AF-89C1-F8E2D8DF398A}"/>
    <cellStyle name="백분율 2 3" xfId="46" xr:uid="{1D4B9EC9-A9AD-4B90-87A1-5208DD9DA194}"/>
    <cellStyle name="보통 2" xfId="54" xr:uid="{6FC20C70-E9D7-4E55-BCD1-D433FA782DC6}"/>
    <cellStyle name="설명 텍스트 2" xfId="62" xr:uid="{6C52D3B3-6C4D-438E-874A-F8D5CB980B18}"/>
    <cellStyle name="셀 확인 2" xfId="59" xr:uid="{46DA3CCB-1594-4FE3-B493-7CB2B6D3005C}"/>
    <cellStyle name="쉼표 [0] 2" xfId="27" xr:uid="{AC15DBCC-9AE8-4358-B25B-1849261E4185}"/>
    <cellStyle name="쉼표 [0] 2 2" xfId="36" xr:uid="{655BDC93-9A3A-4C4E-B687-66CB9AB69E29}"/>
    <cellStyle name="쉼표 [0] 2 2 2" xfId="90" xr:uid="{27AEEE85-A4F6-467E-A4D2-C1504E284F6D}"/>
    <cellStyle name="쉼표 [0] 2 2 2 2" xfId="100" xr:uid="{02190D4D-8D69-4ADA-AC4E-A16CD660F480}"/>
    <cellStyle name="쉼표 [0] 2 2 3" xfId="95" xr:uid="{C86ED63C-674B-42AA-8874-079B379D45F9}"/>
    <cellStyle name="쉼표 [0] 2 3" xfId="45" xr:uid="{6BC46352-A412-46FD-960B-C53FFFA9508F}"/>
    <cellStyle name="쉼표 [0] 2 3 2" xfId="92" xr:uid="{6B1B6DC6-B962-46CB-AA38-3A5EFB6B7074}"/>
    <cellStyle name="쉼표 [0] 2 3 2 2" xfId="102" xr:uid="{4AD501F1-656C-40BB-A2DB-EA2C9FF03C78}"/>
    <cellStyle name="쉼표 [0] 2 3 3" xfId="97" xr:uid="{8F42CB37-0A6C-495F-BA47-AB709D91E79A}"/>
    <cellStyle name="쉼표 [0] 2 4" xfId="89" xr:uid="{C9C63D5F-67EB-4E8E-BD6B-3AEF42330F88}"/>
    <cellStyle name="쉼표 [0] 2 4 2" xfId="99" xr:uid="{85EFBD4A-1163-45E5-A4CF-695750543AAA}"/>
    <cellStyle name="쉼표 [0] 2 5" xfId="94" xr:uid="{DF22CAF2-8719-46C4-8475-6B957D46311E}"/>
    <cellStyle name="쉼표 [0] 3" xfId="38" xr:uid="{E8C8CCAE-88E6-4B93-9104-51CD5C5A6890}"/>
    <cellStyle name="쉼표 [0] 3 2" xfId="91" xr:uid="{4E386008-B1A5-4532-BEBB-3CFD3672C726}"/>
    <cellStyle name="쉼표 [0] 3 2 2" xfId="101" xr:uid="{55ACCF8D-0AA6-45B9-A210-566BF2401D55}"/>
    <cellStyle name="쉼표 [0] 3 3" xfId="96" xr:uid="{8C3F562C-4B0D-4BC6-A97E-B7694B4F968E}"/>
    <cellStyle name="연결된 셀 2" xfId="58" xr:uid="{B82A658A-C7E8-49AF-9172-0833F7E132C7}"/>
    <cellStyle name="요약 2" xfId="63" xr:uid="{7111486A-2D0F-4BFE-8F7E-0A9371C89CFD}"/>
    <cellStyle name="입력 2" xfId="55" xr:uid="{CF0485F7-B906-4BBE-BD2B-A2482C005B03}"/>
    <cellStyle name="제목 1 2" xfId="48" xr:uid="{5181E9FF-B371-4367-85A0-F4230DE17B18}"/>
    <cellStyle name="제목 2 2" xfId="49" xr:uid="{4D24208B-32CF-419A-91AC-86E2B512BC82}"/>
    <cellStyle name="제목 3 2" xfId="50" xr:uid="{D6AAAED9-705F-443E-B9F7-541CF73E9C92}"/>
    <cellStyle name="제목 4 2" xfId="51" xr:uid="{263F1C0A-075C-4316-86C4-8996B0E2FCB6}"/>
    <cellStyle name="제목 5" xfId="47" xr:uid="{D1D5861E-0DEA-4E00-B2FA-358C6F82FD1C}"/>
    <cellStyle name="좋음 2" xfId="52" xr:uid="{342B500A-20B6-4066-822E-4E2BA66E9C27}"/>
    <cellStyle name="출력 2" xfId="56" xr:uid="{2AB41BCD-34DA-4581-8467-77570D171052}"/>
    <cellStyle name="표준" xfId="0" builtinId="0"/>
    <cellStyle name="표준 10" xfId="1" xr:uid="{B07A95BB-DF27-441B-92B1-1B267C1CEB7C}"/>
    <cellStyle name="표준 11" xfId="88" xr:uid="{E1F3EB37-0621-4141-AF45-289B08D15643}"/>
    <cellStyle name="표준 11 2" xfId="98" xr:uid="{7ECA69BD-2619-4CD0-97B2-E6038110BF62}"/>
    <cellStyle name="표준 12" xfId="93" xr:uid="{40A181E0-D943-44B1-B818-77CEAF402764}"/>
    <cellStyle name="표준 2" xfId="22" xr:uid="{4F80A695-53E5-43B0-ADF3-34CB2530ED5B}"/>
    <cellStyle name="표준 2 2" xfId="31" xr:uid="{8327EA82-F8CD-44FF-86B1-5165C18A8858}"/>
    <cellStyle name="표준 2 3" xfId="40" xr:uid="{4F72617D-5A60-4E25-965C-8ADBC59FE1A7}"/>
    <cellStyle name="표준 3" xfId="23" xr:uid="{B326A8D6-E2CF-4351-A087-1F9A958CAB5C}"/>
    <cellStyle name="표준 3 2" xfId="32" xr:uid="{98770BE9-04AF-4F4D-89EF-3B9912CB913B}"/>
    <cellStyle name="표준 3 3" xfId="41" xr:uid="{8DB6508E-6BBA-4137-9F47-7D0A71AC76AE}"/>
    <cellStyle name="표준 4" xfId="24" xr:uid="{7C4FC6B3-1BE9-4BC1-ADCE-366FA802B580}"/>
    <cellStyle name="표준 4 2" xfId="33" xr:uid="{2808C48A-2686-400F-A661-CFAA9CFD46A0}"/>
    <cellStyle name="표준 4 3" xfId="42" xr:uid="{D3B22214-877C-43AB-9ED7-35FA5835EF57}"/>
    <cellStyle name="표준 5" xfId="25" xr:uid="{6C216E2A-862E-4EA7-984A-A355B68F8F68}"/>
    <cellStyle name="표준 5 2" xfId="34" xr:uid="{2F3E6E72-D04B-4875-8DC5-8D277916C9D2}"/>
    <cellStyle name="표준 5 3" xfId="43" xr:uid="{E465D908-8FBF-44DB-ACB8-1132765F5364}"/>
    <cellStyle name="표준 6" xfId="26" xr:uid="{8D5D586E-E758-4FA9-BE66-875925D718E3}"/>
    <cellStyle name="표준 6 2" xfId="35" xr:uid="{445CCAAA-4F15-45A3-AE34-D71EB6A23CDC}"/>
    <cellStyle name="표준 6 3" xfId="44" xr:uid="{FB389045-A6BC-4DDD-9B69-D65C0C2819B3}"/>
    <cellStyle name="표준 7" xfId="30" xr:uid="{9357CBAA-604A-47D9-AF75-3221D0223067}"/>
    <cellStyle name="표준 8" xfId="29" xr:uid="{A73C0C8C-20B8-4962-B86E-4C7300565F41}"/>
    <cellStyle name="표준 9" xfId="39" xr:uid="{E98B9308-9D3D-410F-8338-51F97E048EB3}"/>
    <cellStyle name="하이퍼링크" xfId="103" builtinId="8"/>
  </cellStyles>
  <dxfs count="0"/>
  <tableStyles count="0" defaultTableStyle="TableStyleMedium2" defaultPivotStyle="PivotStyleLight16"/>
  <colors>
    <mruColors>
      <color rgb="FF0929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27</xdr:col>
          <xdr:colOff>228600</xdr:colOff>
          <xdr:row>6</xdr:row>
          <xdr:rowOff>205740</xdr:rowOff>
        </xdr:to>
        <xdr:sp macro="" textlink="">
          <xdr:nvSpPr>
            <xdr:cNvPr id="3073" name="Control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27</xdr:col>
          <xdr:colOff>228600</xdr:colOff>
          <xdr:row>6</xdr:row>
          <xdr:rowOff>205740</xdr:rowOff>
        </xdr:to>
        <xdr:sp macro="" textlink="">
          <xdr:nvSpPr>
            <xdr:cNvPr id="3074" name="Control 2" hidden="1">
              <a:extLst>
                <a:ext uri="{63B3BB69-23CF-44E3-9099-C40C66FF867C}">
                  <a14:compatExt spid="_x0000_s3074"/>
                </a:ext>
                <a:ext uri="{FF2B5EF4-FFF2-40B4-BE49-F238E27FC236}">
                  <a16:creationId xmlns:a16="http://schemas.microsoft.com/office/drawing/2014/main" id="{00000000-0008-0000-0500-000002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mckorea.co.kr/ppis/data/catalog/CA2-Z.pdf" TargetMode="External"/></Relationships>
</file>

<file path=xl/worksheets/_rels/sheet6.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ntrol" Target="../activeX/activeX2.xml"/><Relationship Id="rId4" Type="http://schemas.openxmlformats.org/officeDocument/2006/relationships/image" Target="../media/image1.emf"/></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3852C-AE57-4831-BC4A-156FD8008A19}">
  <sheetPr>
    <tabColor rgb="FFFFFF00"/>
  </sheetPr>
  <dimension ref="A1:N12"/>
  <sheetViews>
    <sheetView workbookViewId="0"/>
  </sheetViews>
  <sheetFormatPr defaultRowHeight="17.399999999999999" x14ac:dyDescent="0.4"/>
  <cols>
    <col min="1" max="2" width="17.5" bestFit="1" customWidth="1"/>
    <col min="3" max="3" width="16.3984375" bestFit="1" customWidth="1"/>
    <col min="4" max="4" width="18.09765625" bestFit="1" customWidth="1"/>
    <col min="5" max="5" width="14.19921875" bestFit="1" customWidth="1"/>
  </cols>
  <sheetData>
    <row r="1" spans="1:14" x14ac:dyDescent="0.4">
      <c r="A1" s="51" t="s">
        <v>14732</v>
      </c>
    </row>
    <row r="2" spans="1:14" x14ac:dyDescent="0.4">
      <c r="A2" s="49" t="s">
        <v>14721</v>
      </c>
      <c r="B2" s="52" t="s">
        <v>17</v>
      </c>
      <c r="C2" s="52" t="s">
        <v>1158</v>
      </c>
      <c r="D2" s="53" t="s">
        <v>11999</v>
      </c>
    </row>
    <row r="3" spans="1:14" x14ac:dyDescent="0.4">
      <c r="A3" s="49" t="s">
        <v>14723</v>
      </c>
      <c r="B3" s="50" t="s">
        <v>1119</v>
      </c>
      <c r="C3" s="50" t="s">
        <v>1119</v>
      </c>
      <c r="D3" s="50" t="s">
        <v>1119</v>
      </c>
      <c r="E3" s="46"/>
      <c r="F3" s="46"/>
      <c r="G3" s="46"/>
      <c r="H3" s="46"/>
      <c r="I3" s="46"/>
      <c r="J3" s="46"/>
      <c r="K3" s="46"/>
      <c r="L3" s="46"/>
      <c r="M3" s="46"/>
      <c r="N3" s="46"/>
    </row>
    <row r="4" spans="1:14" x14ac:dyDescent="0.4">
      <c r="A4" s="49" t="s">
        <v>14722</v>
      </c>
      <c r="B4" s="50" t="s">
        <v>14383</v>
      </c>
      <c r="C4" s="50" t="s">
        <v>14383</v>
      </c>
      <c r="D4" s="50" t="s">
        <v>14383</v>
      </c>
    </row>
    <row r="5" spans="1:14" x14ac:dyDescent="0.4">
      <c r="A5" s="49" t="s">
        <v>14724</v>
      </c>
      <c r="B5" s="50" t="s">
        <v>14375</v>
      </c>
      <c r="C5" s="50" t="s">
        <v>14475</v>
      </c>
      <c r="D5" s="50" t="s">
        <v>14590</v>
      </c>
      <c r="E5" s="46"/>
      <c r="F5" s="46"/>
      <c r="G5" s="46"/>
    </row>
    <row r="6" spans="1:14" x14ac:dyDescent="0.4">
      <c r="A6" s="49" t="s">
        <v>14725</v>
      </c>
      <c r="B6" s="50" t="s">
        <v>14377</v>
      </c>
      <c r="C6" s="50" t="s">
        <v>14477</v>
      </c>
      <c r="D6" s="50" t="s">
        <v>14592</v>
      </c>
    </row>
    <row r="7" spans="1:14" x14ac:dyDescent="0.4">
      <c r="A7" s="49" t="s">
        <v>14726</v>
      </c>
      <c r="B7" s="50" t="s">
        <v>14379</v>
      </c>
      <c r="C7" s="50" t="s">
        <v>14478</v>
      </c>
      <c r="D7" s="50" t="s">
        <v>14593</v>
      </c>
    </row>
    <row r="8" spans="1:14" x14ac:dyDescent="0.4">
      <c r="A8" s="49" t="s">
        <v>14727</v>
      </c>
      <c r="B8" s="50" t="s">
        <v>14381</v>
      </c>
      <c r="C8" s="50" t="s">
        <v>14480</v>
      </c>
      <c r="D8" s="49"/>
    </row>
    <row r="9" spans="1:14" x14ac:dyDescent="0.4">
      <c r="A9" s="49" t="s">
        <v>14728</v>
      </c>
      <c r="B9" s="49"/>
      <c r="C9" s="50" t="s">
        <v>14482</v>
      </c>
      <c r="D9" s="50"/>
    </row>
    <row r="10" spans="1:14" x14ac:dyDescent="0.4">
      <c r="A10" s="49" t="s">
        <v>14729</v>
      </c>
      <c r="B10" s="49"/>
      <c r="C10" s="50" t="s">
        <v>14484</v>
      </c>
      <c r="D10" s="49"/>
    </row>
    <row r="11" spans="1:14" x14ac:dyDescent="0.4">
      <c r="A11" s="49" t="s">
        <v>14730</v>
      </c>
      <c r="B11" s="49"/>
      <c r="C11" s="50" t="s">
        <v>14486</v>
      </c>
      <c r="D11" s="49"/>
    </row>
    <row r="12" spans="1:14" x14ac:dyDescent="0.4">
      <c r="A12" s="49" t="s">
        <v>14731</v>
      </c>
      <c r="B12" s="49"/>
      <c r="C12" s="50" t="s">
        <v>14488</v>
      </c>
      <c r="D12" s="49"/>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70649-42D8-4E2A-8BBD-51A31223B5AA}">
  <dimension ref="A1:D73"/>
  <sheetViews>
    <sheetView topLeftCell="A58" workbookViewId="0">
      <selection activeCell="D75" sqref="D75"/>
    </sheetView>
  </sheetViews>
  <sheetFormatPr defaultRowHeight="17.399999999999999" x14ac:dyDescent="0.4"/>
  <cols>
    <col min="3" max="3" width="18.69921875" customWidth="1"/>
    <col min="4" max="4" width="56.69921875" customWidth="1"/>
  </cols>
  <sheetData>
    <row r="1" spans="1:4" ht="18" thickBot="1" x14ac:dyDescent="0.45">
      <c r="A1" s="3" t="s">
        <v>1107</v>
      </c>
      <c r="B1" s="3" t="s">
        <v>1108</v>
      </c>
      <c r="C1" s="3" t="s">
        <v>1109</v>
      </c>
      <c r="D1" s="5" t="s">
        <v>1133</v>
      </c>
    </row>
    <row r="2" spans="1:4" x14ac:dyDescent="0.4">
      <c r="A2" s="44" t="s">
        <v>994</v>
      </c>
      <c r="B2" s="44" t="s">
        <v>0</v>
      </c>
      <c r="C2" s="44" t="s">
        <v>17</v>
      </c>
      <c r="D2" s="44" t="s">
        <v>998</v>
      </c>
    </row>
    <row r="3" spans="1:4" x14ac:dyDescent="0.4">
      <c r="A3" s="44" t="s">
        <v>986</v>
      </c>
      <c r="B3" s="44" t="s">
        <v>0</v>
      </c>
      <c r="C3" s="44" t="s">
        <v>17</v>
      </c>
      <c r="D3" s="44" t="s">
        <v>990</v>
      </c>
    </row>
    <row r="4" spans="1:4" x14ac:dyDescent="0.4">
      <c r="A4" s="44" t="s">
        <v>14263</v>
      </c>
      <c r="B4" s="44" t="s">
        <v>0</v>
      </c>
      <c r="C4" s="44" t="s">
        <v>17</v>
      </c>
      <c r="D4" s="44" t="s">
        <v>1013</v>
      </c>
    </row>
    <row r="5" spans="1:4" x14ac:dyDescent="0.4">
      <c r="A5" s="44" t="s">
        <v>1002</v>
      </c>
      <c r="B5" s="44" t="s">
        <v>0</v>
      </c>
      <c r="C5" s="44" t="s">
        <v>17</v>
      </c>
      <c r="D5" s="44" t="s">
        <v>1006</v>
      </c>
    </row>
    <row r="6" spans="1:4" x14ac:dyDescent="0.4">
      <c r="A6" s="44" t="s">
        <v>14264</v>
      </c>
      <c r="B6" s="44" t="s">
        <v>0</v>
      </c>
      <c r="C6" s="44" t="s">
        <v>17</v>
      </c>
      <c r="D6" s="44" t="s">
        <v>1031</v>
      </c>
    </row>
    <row r="7" spans="1:4" x14ac:dyDescent="0.4">
      <c r="A7" s="44" t="s">
        <v>297</v>
      </c>
      <c r="B7" s="44" t="s">
        <v>0</v>
      </c>
      <c r="C7" s="44" t="s">
        <v>17</v>
      </c>
      <c r="D7" s="44" t="s">
        <v>14265</v>
      </c>
    </row>
    <row r="8" spans="1:4" x14ac:dyDescent="0.4">
      <c r="A8" s="44" t="s">
        <v>457</v>
      </c>
      <c r="B8" s="44" t="s">
        <v>0</v>
      </c>
      <c r="C8" s="44" t="s">
        <v>17</v>
      </c>
      <c r="D8" s="44" t="s">
        <v>460</v>
      </c>
    </row>
    <row r="9" spans="1:4" x14ac:dyDescent="0.4">
      <c r="A9" s="44" t="s">
        <v>449</v>
      </c>
      <c r="B9" s="44" t="s">
        <v>0</v>
      </c>
      <c r="C9" s="44" t="s">
        <v>17</v>
      </c>
      <c r="D9" s="44" t="s">
        <v>453</v>
      </c>
    </row>
    <row r="10" spans="1:4" x14ac:dyDescent="0.4">
      <c r="A10" s="44" t="s">
        <v>851</v>
      </c>
      <c r="B10" s="44" t="s">
        <v>0</v>
      </c>
      <c r="C10" s="44" t="s">
        <v>17</v>
      </c>
      <c r="D10" s="13" t="s">
        <v>14266</v>
      </c>
    </row>
    <row r="11" spans="1:4" x14ac:dyDescent="0.4">
      <c r="A11" s="44" t="s">
        <v>769</v>
      </c>
      <c r="B11" s="44" t="s">
        <v>0</v>
      </c>
      <c r="C11" s="44" t="s">
        <v>17</v>
      </c>
      <c r="D11" s="44" t="s">
        <v>773</v>
      </c>
    </row>
    <row r="12" spans="1:4" x14ac:dyDescent="0.4">
      <c r="A12" s="44" t="s">
        <v>960</v>
      </c>
      <c r="B12" s="44" t="s">
        <v>0</v>
      </c>
      <c r="C12" s="44" t="s">
        <v>17</v>
      </c>
      <c r="D12" s="44" t="s">
        <v>964</v>
      </c>
    </row>
    <row r="13" spans="1:4" x14ac:dyDescent="0.4">
      <c r="A13" s="44" t="s">
        <v>792</v>
      </c>
      <c r="B13" s="44" t="s">
        <v>0</v>
      </c>
      <c r="C13" s="44" t="s">
        <v>17</v>
      </c>
      <c r="D13" s="44" t="s">
        <v>796</v>
      </c>
    </row>
    <row r="14" spans="1:4" x14ac:dyDescent="0.4">
      <c r="A14" s="44" t="s">
        <v>762</v>
      </c>
      <c r="B14" s="44" t="s">
        <v>0</v>
      </c>
      <c r="C14" s="44" t="s">
        <v>17</v>
      </c>
      <c r="D14" s="44" t="s">
        <v>765</v>
      </c>
    </row>
    <row r="15" spans="1:4" x14ac:dyDescent="0.4">
      <c r="A15" s="44" t="s">
        <v>807</v>
      </c>
      <c r="B15" s="44" t="s">
        <v>0</v>
      </c>
      <c r="C15" s="44" t="s">
        <v>17</v>
      </c>
      <c r="D15" s="44" t="s">
        <v>811</v>
      </c>
    </row>
    <row r="16" spans="1:4" x14ac:dyDescent="0.4">
      <c r="A16" s="44" t="s">
        <v>1018</v>
      </c>
      <c r="B16" s="44" t="s">
        <v>0</v>
      </c>
      <c r="C16" s="44" t="s">
        <v>17</v>
      </c>
      <c r="D16" s="44" t="s">
        <v>1023</v>
      </c>
    </row>
    <row r="17" spans="1:4" x14ac:dyDescent="0.4">
      <c r="A17" s="44" t="s">
        <v>1101</v>
      </c>
      <c r="B17" s="44" t="s">
        <v>0</v>
      </c>
      <c r="C17" s="44" t="s">
        <v>17</v>
      </c>
      <c r="D17" s="44" t="s">
        <v>1104</v>
      </c>
    </row>
    <row r="18" spans="1:4" x14ac:dyDescent="0.4">
      <c r="A18" s="7" t="s">
        <v>14706</v>
      </c>
      <c r="B18" s="44" t="s">
        <v>0</v>
      </c>
      <c r="C18" s="44" t="s">
        <v>17</v>
      </c>
      <c r="D18" s="47" t="s">
        <v>14707</v>
      </c>
    </row>
    <row r="19" spans="1:4" x14ac:dyDescent="0.4">
      <c r="A19" s="7" t="s">
        <v>109</v>
      </c>
      <c r="B19" s="44" t="s">
        <v>0</v>
      </c>
      <c r="C19" s="44" t="s">
        <v>17</v>
      </c>
      <c r="D19" s="47" t="s">
        <v>14708</v>
      </c>
    </row>
    <row r="20" spans="1:4" x14ac:dyDescent="0.4">
      <c r="A20" s="7" t="s">
        <v>366</v>
      </c>
      <c r="B20" s="44" t="s">
        <v>0</v>
      </c>
      <c r="C20" s="44" t="s">
        <v>17</v>
      </c>
      <c r="D20" s="47" t="s">
        <v>14709</v>
      </c>
    </row>
    <row r="21" spans="1:4" x14ac:dyDescent="0.4">
      <c r="A21" s="7" t="s">
        <v>14711</v>
      </c>
      <c r="B21" s="44" t="s">
        <v>0</v>
      </c>
      <c r="C21" s="44" t="s">
        <v>17</v>
      </c>
      <c r="D21" s="47" t="s">
        <v>14712</v>
      </c>
    </row>
    <row r="22" spans="1:4" x14ac:dyDescent="0.4">
      <c r="A22" s="7" t="s">
        <v>14713</v>
      </c>
      <c r="B22" s="44" t="s">
        <v>0</v>
      </c>
      <c r="C22" s="44" t="s">
        <v>17</v>
      </c>
      <c r="D22" s="47" t="s">
        <v>14714</v>
      </c>
    </row>
    <row r="23" spans="1:4" x14ac:dyDescent="0.4">
      <c r="A23" s="7" t="s">
        <v>14715</v>
      </c>
      <c r="B23" s="44" t="s">
        <v>0</v>
      </c>
      <c r="C23" s="44" t="s">
        <v>17</v>
      </c>
      <c r="D23" s="47" t="s">
        <v>14716</v>
      </c>
    </row>
    <row r="24" spans="1:4" x14ac:dyDescent="0.4">
      <c r="A24" s="7" t="s">
        <v>14719</v>
      </c>
      <c r="B24" s="44" t="s">
        <v>0</v>
      </c>
      <c r="C24" s="44" t="s">
        <v>17</v>
      </c>
      <c r="D24" s="47" t="s">
        <v>14720</v>
      </c>
    </row>
    <row r="25" spans="1:4" x14ac:dyDescent="0.4">
      <c r="A25" s="7" t="s">
        <v>14717</v>
      </c>
      <c r="B25" s="44" t="s">
        <v>0</v>
      </c>
      <c r="C25" s="44" t="s">
        <v>17</v>
      </c>
      <c r="D25" s="47" t="s">
        <v>14718</v>
      </c>
    </row>
    <row r="26" spans="1:4" x14ac:dyDescent="0.4">
      <c r="A26" s="44" t="s">
        <v>1409</v>
      </c>
      <c r="B26" s="44" t="s">
        <v>0</v>
      </c>
      <c r="C26" s="44" t="s">
        <v>1158</v>
      </c>
      <c r="D26" t="s">
        <v>1414</v>
      </c>
    </row>
    <row r="27" spans="1:4" x14ac:dyDescent="0.4">
      <c r="A27" s="44" t="s">
        <v>1437</v>
      </c>
      <c r="B27" s="44" t="s">
        <v>0</v>
      </c>
      <c r="C27" s="44" t="s">
        <v>1158</v>
      </c>
      <c r="D27" t="s">
        <v>1440</v>
      </c>
    </row>
    <row r="28" spans="1:4" x14ac:dyDescent="0.4">
      <c r="A28" s="44" t="s">
        <v>1939</v>
      </c>
      <c r="B28" s="44" t="s">
        <v>0</v>
      </c>
      <c r="C28" s="44" t="s">
        <v>1158</v>
      </c>
      <c r="D28" t="s">
        <v>14268</v>
      </c>
    </row>
    <row r="29" spans="1:4" x14ac:dyDescent="0.4">
      <c r="A29" s="44" t="s">
        <v>1952</v>
      </c>
      <c r="B29" s="44" t="s">
        <v>0</v>
      </c>
      <c r="C29" s="44" t="s">
        <v>1158</v>
      </c>
      <c r="D29" t="s">
        <v>14269</v>
      </c>
    </row>
    <row r="30" spans="1:4" x14ac:dyDescent="0.4">
      <c r="A30" s="44" t="s">
        <v>1306</v>
      </c>
      <c r="B30" s="44" t="s">
        <v>0</v>
      </c>
      <c r="C30" s="44" t="s">
        <v>1158</v>
      </c>
      <c r="D30" t="s">
        <v>14733</v>
      </c>
    </row>
    <row r="31" spans="1:4" x14ac:dyDescent="0.4">
      <c r="A31" s="44" t="s">
        <v>1302</v>
      </c>
      <c r="B31" s="44" t="s">
        <v>0</v>
      </c>
      <c r="C31" s="44" t="s">
        <v>1158</v>
      </c>
      <c r="D31" t="s">
        <v>14271</v>
      </c>
    </row>
    <row r="32" spans="1:4" x14ac:dyDescent="0.4">
      <c r="A32" s="44" t="s">
        <v>1289</v>
      </c>
      <c r="B32" s="44" t="s">
        <v>0</v>
      </c>
      <c r="C32" s="44" t="s">
        <v>1158</v>
      </c>
      <c r="D32" t="s">
        <v>14272</v>
      </c>
    </row>
    <row r="33" spans="1:4" x14ac:dyDescent="0.4">
      <c r="A33" s="44" t="s">
        <v>1272</v>
      </c>
      <c r="B33" s="44" t="s">
        <v>0</v>
      </c>
      <c r="C33" s="44" t="s">
        <v>1158</v>
      </c>
      <c r="D33" t="s">
        <v>14273</v>
      </c>
    </row>
    <row r="34" spans="1:4" x14ac:dyDescent="0.4">
      <c r="A34" s="44" t="s">
        <v>1283</v>
      </c>
      <c r="B34" s="44" t="s">
        <v>0</v>
      </c>
      <c r="C34" s="44" t="s">
        <v>1158</v>
      </c>
      <c r="D34" t="s">
        <v>14274</v>
      </c>
    </row>
    <row r="35" spans="1:4" x14ac:dyDescent="0.4">
      <c r="A35" s="44" t="s">
        <v>1296</v>
      </c>
      <c r="B35" s="44" t="s">
        <v>0</v>
      </c>
      <c r="C35" s="44" t="s">
        <v>1158</v>
      </c>
      <c r="D35" t="s">
        <v>14275</v>
      </c>
    </row>
    <row r="36" spans="1:4" x14ac:dyDescent="0.4">
      <c r="A36" s="44" t="s">
        <v>1640</v>
      </c>
      <c r="B36" s="44" t="s">
        <v>0</v>
      </c>
      <c r="C36" s="44" t="s">
        <v>1158</v>
      </c>
      <c r="D36" t="s">
        <v>1644</v>
      </c>
    </row>
    <row r="37" spans="1:4" x14ac:dyDescent="0.4">
      <c r="A37" s="44" t="s">
        <v>13377</v>
      </c>
      <c r="B37" s="44" t="s">
        <v>93</v>
      </c>
      <c r="C37" s="44" t="s">
        <v>11999</v>
      </c>
      <c r="D37" t="s">
        <v>13380</v>
      </c>
    </row>
    <row r="38" spans="1:4" x14ac:dyDescent="0.4">
      <c r="A38" s="44" t="s">
        <v>13685</v>
      </c>
      <c r="B38" s="44" t="s">
        <v>0</v>
      </c>
      <c r="C38" s="44" t="s">
        <v>11999</v>
      </c>
      <c r="D38" t="s">
        <v>13688</v>
      </c>
    </row>
    <row r="39" spans="1:4" x14ac:dyDescent="0.4">
      <c r="A39" s="44" t="s">
        <v>14007</v>
      </c>
      <c r="B39" s="44" t="s">
        <v>93</v>
      </c>
      <c r="C39" s="44" t="s">
        <v>11999</v>
      </c>
      <c r="D39" t="s">
        <v>14734</v>
      </c>
    </row>
    <row r="40" spans="1:4" x14ac:dyDescent="0.4">
      <c r="A40" s="44" t="s">
        <v>14121</v>
      </c>
      <c r="B40" s="44" t="s">
        <v>93</v>
      </c>
      <c r="C40" s="44" t="s">
        <v>11999</v>
      </c>
      <c r="D40" t="s">
        <v>14125</v>
      </c>
    </row>
    <row r="41" spans="1:4" x14ac:dyDescent="0.4">
      <c r="A41" s="44" t="s">
        <v>12594</v>
      </c>
      <c r="B41" s="44" t="s">
        <v>2494</v>
      </c>
      <c r="C41" s="44" t="s">
        <v>11999</v>
      </c>
      <c r="D41" t="s">
        <v>12597</v>
      </c>
    </row>
    <row r="42" spans="1:4" x14ac:dyDescent="0.4">
      <c r="A42" s="44" t="s">
        <v>12576</v>
      </c>
      <c r="B42" s="44" t="s">
        <v>2494</v>
      </c>
      <c r="C42" s="44" t="s">
        <v>11999</v>
      </c>
      <c r="D42" t="s">
        <v>12579</v>
      </c>
    </row>
    <row r="43" spans="1:4" x14ac:dyDescent="0.4">
      <c r="A43" s="44" t="s">
        <v>13775</v>
      </c>
      <c r="B43" s="44" t="s">
        <v>0</v>
      </c>
      <c r="C43" s="44" t="s">
        <v>11999</v>
      </c>
      <c r="D43" t="s">
        <v>13778</v>
      </c>
    </row>
    <row r="44" spans="1:4" x14ac:dyDescent="0.4">
      <c r="A44" s="44" t="s">
        <v>13785</v>
      </c>
      <c r="B44" s="44" t="s">
        <v>0</v>
      </c>
      <c r="C44" s="44" t="s">
        <v>11999</v>
      </c>
      <c r="D44" t="s">
        <v>13778</v>
      </c>
    </row>
    <row r="45" spans="1:4" x14ac:dyDescent="0.4">
      <c r="A45" s="44" t="s">
        <v>13791</v>
      </c>
      <c r="B45" s="44" t="s">
        <v>0</v>
      </c>
      <c r="C45" s="44" t="s">
        <v>11999</v>
      </c>
      <c r="D45" t="s">
        <v>13778</v>
      </c>
    </row>
    <row r="46" spans="1:4" x14ac:dyDescent="0.4">
      <c r="A46" s="44" t="s">
        <v>13994</v>
      </c>
      <c r="B46" s="44" t="s">
        <v>93</v>
      </c>
      <c r="C46" s="44" t="s">
        <v>11999</v>
      </c>
      <c r="D46" t="s">
        <v>13778</v>
      </c>
    </row>
    <row r="47" spans="1:4" x14ac:dyDescent="0.4">
      <c r="A47" s="44" t="s">
        <v>14012</v>
      </c>
      <c r="B47" s="44" t="s">
        <v>0</v>
      </c>
      <c r="C47" s="44" t="s">
        <v>11999</v>
      </c>
      <c r="D47" t="s">
        <v>14017</v>
      </c>
    </row>
    <row r="48" spans="1:4" x14ac:dyDescent="0.4">
      <c r="A48" s="44" t="s">
        <v>14023</v>
      </c>
      <c r="B48" s="44" t="s">
        <v>0</v>
      </c>
      <c r="C48" s="44" t="s">
        <v>11999</v>
      </c>
      <c r="D48" t="s">
        <v>14017</v>
      </c>
    </row>
    <row r="49" spans="1:4" x14ac:dyDescent="0.4">
      <c r="A49" s="44" t="s">
        <v>12915</v>
      </c>
      <c r="B49" s="44" t="s">
        <v>93</v>
      </c>
      <c r="C49" s="44" t="s">
        <v>11999</v>
      </c>
      <c r="D49" t="s">
        <v>12919</v>
      </c>
    </row>
    <row r="50" spans="1:4" x14ac:dyDescent="0.4">
      <c r="A50" s="44" t="s">
        <v>13898</v>
      </c>
      <c r="B50" s="44" t="s">
        <v>93</v>
      </c>
      <c r="C50" s="44" t="s">
        <v>11999</v>
      </c>
      <c r="D50" t="s">
        <v>13901</v>
      </c>
    </row>
    <row r="51" spans="1:4" x14ac:dyDescent="0.4">
      <c r="A51" s="44" t="s">
        <v>13480</v>
      </c>
      <c r="B51" s="44" t="s">
        <v>93</v>
      </c>
      <c r="C51" s="44" t="s">
        <v>11999</v>
      </c>
      <c r="D51" t="s">
        <v>13484</v>
      </c>
    </row>
    <row r="52" spans="1:4" x14ac:dyDescent="0.4">
      <c r="A52" s="54" t="s">
        <v>14735</v>
      </c>
      <c r="B52" s="44" t="s">
        <v>0</v>
      </c>
      <c r="C52" s="44" t="s">
        <v>17</v>
      </c>
      <c r="D52" t="s">
        <v>13778</v>
      </c>
    </row>
    <row r="53" spans="1:4" x14ac:dyDescent="0.4">
      <c r="A53" s="55" t="s">
        <v>14736</v>
      </c>
      <c r="B53" s="44" t="s">
        <v>0</v>
      </c>
      <c r="C53" s="44" t="s">
        <v>17</v>
      </c>
      <c r="D53" s="44" t="s">
        <v>964</v>
      </c>
    </row>
    <row r="54" spans="1:4" x14ac:dyDescent="0.4">
      <c r="A54" s="55" t="s">
        <v>14737</v>
      </c>
      <c r="B54" s="44" t="s">
        <v>0</v>
      </c>
      <c r="C54" s="44" t="s">
        <v>17</v>
      </c>
      <c r="D54" s="44" t="s">
        <v>796</v>
      </c>
    </row>
    <row r="55" spans="1:4" x14ac:dyDescent="0.4">
      <c r="A55" s="55" t="s">
        <v>14738</v>
      </c>
      <c r="B55" s="44" t="s">
        <v>0</v>
      </c>
      <c r="C55" s="44" t="s">
        <v>17</v>
      </c>
      <c r="D55" s="44" t="s">
        <v>964</v>
      </c>
    </row>
    <row r="56" spans="1:4" x14ac:dyDescent="0.4">
      <c r="A56" s="55" t="s">
        <v>14739</v>
      </c>
      <c r="B56" s="44" t="s">
        <v>0</v>
      </c>
      <c r="C56" s="44" t="s">
        <v>17</v>
      </c>
      <c r="D56" s="44" t="s">
        <v>796</v>
      </c>
    </row>
    <row r="57" spans="1:4" x14ac:dyDescent="0.4">
      <c r="A57" s="55" t="s">
        <v>14740</v>
      </c>
      <c r="B57" s="44" t="s">
        <v>0</v>
      </c>
      <c r="C57" s="44" t="s">
        <v>17</v>
      </c>
      <c r="D57" t="s">
        <v>13778</v>
      </c>
    </row>
    <row r="58" spans="1:4" x14ac:dyDescent="0.4">
      <c r="A58" s="55" t="s">
        <v>14741</v>
      </c>
      <c r="B58" s="44" t="s">
        <v>0</v>
      </c>
      <c r="C58" s="44" t="s">
        <v>17</v>
      </c>
      <c r="D58" t="s">
        <v>13778</v>
      </c>
    </row>
    <row r="59" spans="1:4" x14ac:dyDescent="0.4">
      <c r="A59" s="55" t="s">
        <v>14751</v>
      </c>
      <c r="B59" s="44" t="s">
        <v>0</v>
      </c>
      <c r="C59" s="44" t="s">
        <v>1158</v>
      </c>
      <c r="D59" t="s">
        <v>13778</v>
      </c>
    </row>
    <row r="60" spans="1:4" x14ac:dyDescent="0.4">
      <c r="A60" s="55" t="s">
        <v>14752</v>
      </c>
      <c r="B60" s="44" t="s">
        <v>0</v>
      </c>
      <c r="C60" s="44" t="s">
        <v>1158</v>
      </c>
      <c r="D60" s="44" t="s">
        <v>964</v>
      </c>
    </row>
    <row r="61" spans="1:4" x14ac:dyDescent="0.4">
      <c r="A61" s="55" t="s">
        <v>14753</v>
      </c>
      <c r="B61" s="44" t="s">
        <v>0</v>
      </c>
      <c r="C61" s="44" t="s">
        <v>1158</v>
      </c>
      <c r="D61" s="44" t="s">
        <v>796</v>
      </c>
    </row>
    <row r="62" spans="1:4" x14ac:dyDescent="0.4">
      <c r="A62" s="55" t="s">
        <v>14754</v>
      </c>
      <c r="B62" s="44" t="s">
        <v>0</v>
      </c>
      <c r="C62" s="44" t="s">
        <v>1158</v>
      </c>
      <c r="D62" s="44" t="s">
        <v>964</v>
      </c>
    </row>
    <row r="63" spans="1:4" x14ac:dyDescent="0.4">
      <c r="A63" s="55" t="s">
        <v>14755</v>
      </c>
      <c r="B63" s="44" t="s">
        <v>0</v>
      </c>
      <c r="C63" s="44" t="s">
        <v>1158</v>
      </c>
      <c r="D63" s="44" t="s">
        <v>796</v>
      </c>
    </row>
    <row r="64" spans="1:4" x14ac:dyDescent="0.4">
      <c r="A64" s="55" t="s">
        <v>14756</v>
      </c>
      <c r="B64" s="44" t="s">
        <v>0</v>
      </c>
      <c r="C64" s="44" t="s">
        <v>1158</v>
      </c>
      <c r="D64" t="s">
        <v>13778</v>
      </c>
    </row>
    <row r="65" spans="1:4" x14ac:dyDescent="0.4">
      <c r="A65" s="55" t="s">
        <v>14760</v>
      </c>
      <c r="B65" s="44" t="s">
        <v>93</v>
      </c>
      <c r="C65" s="44" t="s">
        <v>11999</v>
      </c>
      <c r="D65" t="s">
        <v>13778</v>
      </c>
    </row>
    <row r="66" spans="1:4" x14ac:dyDescent="0.4">
      <c r="A66" s="55" t="s">
        <v>14761</v>
      </c>
      <c r="B66" s="44" t="s">
        <v>93</v>
      </c>
      <c r="C66" s="44" t="s">
        <v>11999</v>
      </c>
      <c r="D66" t="s">
        <v>13778</v>
      </c>
    </row>
    <row r="67" spans="1:4" x14ac:dyDescent="0.4">
      <c r="A67" s="55" t="s">
        <v>14762</v>
      </c>
      <c r="B67" s="44" t="s">
        <v>93</v>
      </c>
      <c r="C67" s="44" t="s">
        <v>11999</v>
      </c>
      <c r="D67" t="s">
        <v>13778</v>
      </c>
    </row>
    <row r="68" spans="1:4" x14ac:dyDescent="0.4">
      <c r="A68" s="55" t="s">
        <v>14763</v>
      </c>
      <c r="B68" s="44" t="s">
        <v>93</v>
      </c>
      <c r="C68" s="44" t="s">
        <v>11999</v>
      </c>
      <c r="D68" t="s">
        <v>13778</v>
      </c>
    </row>
    <row r="69" spans="1:4" x14ac:dyDescent="0.4">
      <c r="A69" s="55" t="s">
        <v>14764</v>
      </c>
      <c r="B69" s="44" t="s">
        <v>93</v>
      </c>
      <c r="C69" s="44" t="s">
        <v>11999</v>
      </c>
      <c r="D69" s="44" t="s">
        <v>964</v>
      </c>
    </row>
    <row r="70" spans="1:4" x14ac:dyDescent="0.4">
      <c r="A70" s="55" t="s">
        <v>14765</v>
      </c>
      <c r="B70" s="44" t="s">
        <v>93</v>
      </c>
      <c r="C70" s="44" t="s">
        <v>11999</v>
      </c>
      <c r="D70" s="44" t="s">
        <v>796</v>
      </c>
    </row>
    <row r="71" spans="1:4" x14ac:dyDescent="0.4">
      <c r="A71" s="55" t="s">
        <v>14766</v>
      </c>
      <c r="B71" s="44" t="s">
        <v>93</v>
      </c>
      <c r="C71" s="44" t="s">
        <v>11999</v>
      </c>
      <c r="D71" s="44" t="s">
        <v>964</v>
      </c>
    </row>
    <row r="72" spans="1:4" x14ac:dyDescent="0.4">
      <c r="A72" s="55" t="s">
        <v>14767</v>
      </c>
      <c r="B72" s="44" t="s">
        <v>93</v>
      </c>
      <c r="C72" s="44" t="s">
        <v>11999</v>
      </c>
      <c r="D72" s="44" t="s">
        <v>796</v>
      </c>
    </row>
    <row r="73" spans="1:4" x14ac:dyDescent="0.4">
      <c r="A73" s="55" t="s">
        <v>14768</v>
      </c>
      <c r="B73" s="44" t="s">
        <v>93</v>
      </c>
      <c r="C73" s="44" t="s">
        <v>11999</v>
      </c>
      <c r="D73" t="s">
        <v>13778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22FAD-DAE9-4D13-A333-E9705A7DCB81}">
  <sheetPr>
    <tabColor rgb="FFFFFF00"/>
  </sheetPr>
  <dimension ref="A1:N78"/>
  <sheetViews>
    <sheetView tabSelected="1" topLeftCell="A14" zoomScale="85" zoomScaleNormal="85" workbookViewId="0">
      <selection activeCell="K26" sqref="K26"/>
    </sheetView>
  </sheetViews>
  <sheetFormatPr defaultRowHeight="17.399999999999999" x14ac:dyDescent="0.4"/>
  <cols>
    <col min="1" max="1" width="9.796875" bestFit="1" customWidth="1"/>
    <col min="3" max="3" width="17.296875" customWidth="1"/>
    <col min="4" max="4" width="52.5" customWidth="1"/>
    <col min="5" max="5" width="20.19921875" customWidth="1"/>
    <col min="6" max="6" width="15.09765625" customWidth="1"/>
    <col min="7" max="7" width="21.3984375" customWidth="1"/>
    <col min="8" max="8" width="22" customWidth="1"/>
    <col min="9" max="9" width="18.796875" customWidth="1"/>
    <col min="10" max="10" width="13.296875" customWidth="1"/>
    <col min="11" max="11" width="10.19921875" bestFit="1" customWidth="1"/>
    <col min="12" max="12" width="13" bestFit="1" customWidth="1"/>
    <col min="13" max="13" width="22" bestFit="1" customWidth="1"/>
  </cols>
  <sheetData>
    <row r="1" spans="1:11" ht="18" thickBot="1" x14ac:dyDescent="0.45">
      <c r="A1" s="3" t="s">
        <v>1107</v>
      </c>
      <c r="B1" s="3" t="s">
        <v>1108</v>
      </c>
      <c r="C1" s="3" t="s">
        <v>1109</v>
      </c>
      <c r="D1" s="3" t="s">
        <v>1119</v>
      </c>
      <c r="E1" s="3" t="s">
        <v>14383</v>
      </c>
      <c r="F1" s="3" t="s">
        <v>14375</v>
      </c>
      <c r="G1" s="3" t="s">
        <v>14377</v>
      </c>
      <c r="H1" s="3" t="s">
        <v>14379</v>
      </c>
      <c r="I1" s="3" t="s">
        <v>14381</v>
      </c>
      <c r="J1" s="3" t="s">
        <v>14779</v>
      </c>
      <c r="K1" s="5" t="s">
        <v>1136</v>
      </c>
    </row>
    <row r="2" spans="1:11" x14ac:dyDescent="0.4">
      <c r="A2" s="44" t="s">
        <v>994</v>
      </c>
      <c r="B2" s="44" t="s">
        <v>0</v>
      </c>
      <c r="C2" s="44" t="s">
        <v>17</v>
      </c>
      <c r="D2" t="str">
        <f>VLOOKUP(A2,'실린더 상세사양값. 80'!$A$1:$AP$81,40,0)</f>
        <v>CDJ2F16-25Z-A93L-B</v>
      </c>
      <c r="E2" t="str">
        <f>VLOOKUP(A2,'실린더 상세사양값. 80'!$A$1:$BT$81,42,0)</f>
        <v>SMC</v>
      </c>
      <c r="F2" t="str">
        <f>VLOOKUP(A2,'실린더 상세사양값. 80'!$A$1:$CG$81,32,0)</f>
        <v>16</v>
      </c>
      <c r="G2" t="str">
        <f>VLOOKUP(A2,'실린더 상세사양값. 80'!$A$1:$CG$81,34,0)</f>
        <v>16</v>
      </c>
      <c r="H2" t="str">
        <f>VLOOKUP(A2,'실린더 상세사양값. 80'!$A$1:$CG$81,36,0)</f>
        <v>25</v>
      </c>
      <c r="I2" s="12" t="str">
        <f>VLOOKUP(A2,'실린더 상세사양값. 80'!$A$1:$CG$81,38,0)</f>
        <v>7</v>
      </c>
      <c r="J2" t="s">
        <v>14778</v>
      </c>
      <c r="K2" s="44" t="s">
        <v>20</v>
      </c>
    </row>
    <row r="3" spans="1:11" x14ac:dyDescent="0.4">
      <c r="A3" s="44" t="s">
        <v>986</v>
      </c>
      <c r="B3" s="44" t="s">
        <v>0</v>
      </c>
      <c r="C3" s="44" t="s">
        <v>17</v>
      </c>
      <c r="D3" t="str">
        <f>VLOOKUP(A3,'실린더 상세사양값. 80'!$A$1:$AP$81,40,0)</f>
        <v>CDM2B25-25Z-A93L</v>
      </c>
      <c r="E3" t="str">
        <f>VLOOKUP(A3,'실린더 상세사양값. 80'!$A$1:$BT$81,42,0)</f>
        <v>SMC</v>
      </c>
      <c r="F3" t="str">
        <f>VLOOKUP(A3,'실린더 상세사양값. 80'!$A$1:$CG$81,32,0)</f>
        <v>25</v>
      </c>
      <c r="G3" t="str">
        <f>VLOOKUP(A3,'실린더 상세사양값. 80'!$A$1:$CG$81,36,0)</f>
        <v>25</v>
      </c>
      <c r="H3" t="str">
        <f>VLOOKUP(A3,'실린더 상세사양값. 80'!$A$1:$CG$81,36,0)</f>
        <v>25</v>
      </c>
      <c r="I3" s="12" t="str">
        <f>VLOOKUP(A3,'실린더 상세사양값. 80'!$A$1:$CG$81,38,0)</f>
        <v>10</v>
      </c>
      <c r="J3" t="s">
        <v>14778</v>
      </c>
      <c r="K3" s="44" t="s">
        <v>20</v>
      </c>
    </row>
    <row r="4" spans="1:11" x14ac:dyDescent="0.4">
      <c r="A4" s="44" t="s">
        <v>14263</v>
      </c>
      <c r="B4" s="44" t="s">
        <v>0</v>
      </c>
      <c r="C4" s="44" t="s">
        <v>17</v>
      </c>
      <c r="D4" t="str">
        <f>VLOOKUP(A4,'실린더 상세사양값. 80'!$A$1:$AP$81,40,0)</f>
        <v>CDQSD16-25DM-A93L</v>
      </c>
      <c r="E4" t="str">
        <f>VLOOKUP(A4,'실린더 상세사양값. 80'!$A$1:$BT$81,42,0)</f>
        <v>SMC</v>
      </c>
      <c r="F4" t="str">
        <f>VLOOKUP(A4,'실린더 상세사양값. 80'!$A$1:$CG$81,32,0)</f>
        <v>16</v>
      </c>
      <c r="G4" t="str">
        <f>VLOOKUP(A4,'실린더 상세사양값. 80'!$A$1:$CG$81,36,0)</f>
        <v>25</v>
      </c>
      <c r="H4" t="str">
        <f>VLOOKUP(A4,'실린더 상세사양값. 80'!$A$1:$CG$81,36,0)</f>
        <v>25</v>
      </c>
      <c r="I4" s="12" t="str">
        <f>VLOOKUP(A4,'실린더 상세사양값. 80'!$A$1:$CG$81,38,0)</f>
        <v>10</v>
      </c>
      <c r="J4" t="s">
        <v>14778</v>
      </c>
      <c r="K4" s="44" t="s">
        <v>20</v>
      </c>
    </row>
    <row r="5" spans="1:11" x14ac:dyDescent="0.4">
      <c r="A5" s="44" t="s">
        <v>1002</v>
      </c>
      <c r="B5" s="44" t="s">
        <v>0</v>
      </c>
      <c r="C5" s="44" t="s">
        <v>17</v>
      </c>
      <c r="D5" t="str">
        <f>VLOOKUP(A5,'실린더 상세사양값. 80'!$A$1:$AP$81,40,0)</f>
        <v>CDUK25-30D-A93L</v>
      </c>
      <c r="E5" t="str">
        <f>VLOOKUP(A5,'실린더 상세사양값. 80'!$A$1:$BT$81,42,0)</f>
        <v>SMC</v>
      </c>
      <c r="F5" t="str">
        <f>VLOOKUP(A5,'실린더 상세사양값. 80'!$A$1:$CG$81,32,0)</f>
        <v>25</v>
      </c>
      <c r="G5" t="str">
        <f>VLOOKUP(A5,'실린더 상세사양값. 80'!$A$1:$CG$81,36,0)</f>
        <v>30</v>
      </c>
      <c r="H5" t="str">
        <f>VLOOKUP(A5,'실린더 상세사양값. 80'!$A$1:$CG$81,36,0)</f>
        <v>30</v>
      </c>
      <c r="I5" s="12" t="str">
        <f>VLOOKUP(A5,'실린더 상세사양값. 80'!$A$1:$CG$81,38,0)</f>
        <v>7</v>
      </c>
      <c r="J5" t="s">
        <v>14778</v>
      </c>
      <c r="K5" s="44" t="s">
        <v>20</v>
      </c>
    </row>
    <row r="6" spans="1:11" x14ac:dyDescent="0.4">
      <c r="A6" s="44" t="s">
        <v>14264</v>
      </c>
      <c r="B6" s="44" t="s">
        <v>0</v>
      </c>
      <c r="C6" s="44" t="s">
        <v>17</v>
      </c>
      <c r="D6" t="str">
        <f>VLOOKUP(A6,'실린더 상세사양값. 80'!$A$1:$AP$81,40,0)</f>
        <v>CA2B100-300Z</v>
      </c>
      <c r="E6" t="str">
        <f>VLOOKUP(A6,'실린더 상세사양값. 80'!$A$1:$BT$81,42,0)</f>
        <v>SMC</v>
      </c>
      <c r="F6" t="str">
        <f>VLOOKUP(A6,'실린더 상세사양값. 80'!$A$1:$CG$81,32,0)</f>
        <v>100</v>
      </c>
      <c r="G6" t="str">
        <f>VLOOKUP(A6,'실린더 상세사양값. 80'!$A$1:$CG$81,36,0)</f>
        <v>300</v>
      </c>
      <c r="H6" t="str">
        <f>VLOOKUP(A6,'실린더 상세사양값. 80'!$A$1:$CG$81,36,0)</f>
        <v>300</v>
      </c>
      <c r="I6" s="12" t="str">
        <f>VLOOKUP(A6,'실린더 상세사양값. 80'!$A$1:$CG$81,38,0)</f>
        <v>10</v>
      </c>
      <c r="J6" t="s">
        <v>14778</v>
      </c>
      <c r="K6" s="44" t="s">
        <v>1032</v>
      </c>
    </row>
    <row r="7" spans="1:11" x14ac:dyDescent="0.4">
      <c r="A7" s="44" t="s">
        <v>297</v>
      </c>
      <c r="B7" s="44" t="s">
        <v>0</v>
      </c>
      <c r="C7" s="44" t="s">
        <v>17</v>
      </c>
      <c r="D7" t="str">
        <f>VLOOKUP(A7,'실린더 상세사양값. 80'!$A$1:$AP$81,40,0)</f>
        <v>CS1CN160-100-CJAD0046</v>
      </c>
      <c r="E7" t="str">
        <f>VLOOKUP(A7,'실린더 상세사양값. 80'!$A$1:$BT$81,42,0)</f>
        <v>SMC</v>
      </c>
      <c r="F7" t="str">
        <f>VLOOKUP(A7,'실린더 상세사양값. 80'!$A$1:$CG$81,32,0)</f>
        <v>160</v>
      </c>
      <c r="G7" t="str">
        <f>VLOOKUP(A7,'실린더 상세사양값. 80'!$A$1:$CG$81,36,0)</f>
        <v>100</v>
      </c>
      <c r="H7" t="str">
        <f>VLOOKUP(A7,'실린더 상세사양값. 80'!$A$1:$CG$81,36,0)</f>
        <v>100</v>
      </c>
      <c r="I7" s="12">
        <f>VLOOKUP(A7,'실린더 상세사양값. 80'!$A$1:$CG$81,38,0)</f>
        <v>0</v>
      </c>
      <c r="J7" t="s">
        <v>14778</v>
      </c>
      <c r="K7" s="44" t="s">
        <v>244</v>
      </c>
    </row>
    <row r="8" spans="1:11" x14ac:dyDescent="0.4">
      <c r="A8" s="44" t="s">
        <v>457</v>
      </c>
      <c r="B8" s="44" t="s">
        <v>0</v>
      </c>
      <c r="C8" s="44" t="s">
        <v>17</v>
      </c>
      <c r="D8" t="str">
        <f>VLOOKUP(A8,'실린더 상세사양값. 80'!$A$1:$AP$81,40,0)</f>
        <v>ACM-N-FA50-S425</v>
      </c>
      <c r="E8" t="str">
        <f>VLOOKUP(A8,'실린더 상세사양값. 80'!$A$1:$BT$81,42,0)</f>
        <v>KCC</v>
      </c>
      <c r="F8" t="str">
        <f>VLOOKUP(A8,'실린더 상세사양값. 80'!$A$1:$CG$81,32,0)</f>
        <v>50</v>
      </c>
      <c r="G8" t="str">
        <f>VLOOKUP(A8,'실린더 상세사양값. 80'!$A$1:$CG$81,36,0)</f>
        <v>425</v>
      </c>
      <c r="H8" t="str">
        <f>VLOOKUP(A8,'실린더 상세사양값. 80'!$A$1:$CG$81,36,0)</f>
        <v>425</v>
      </c>
      <c r="I8" s="12" t="str">
        <f>VLOOKUP(A8,'실린더 상세사양값. 80'!$A$1:$CG$81,38,0)</f>
        <v>10</v>
      </c>
      <c r="J8" t="s">
        <v>14778</v>
      </c>
      <c r="K8" s="44" t="s">
        <v>454</v>
      </c>
    </row>
    <row r="9" spans="1:11" x14ac:dyDescent="0.4">
      <c r="A9" s="44" t="s">
        <v>449</v>
      </c>
      <c r="B9" s="44" t="s">
        <v>0</v>
      </c>
      <c r="C9" s="44" t="s">
        <v>17</v>
      </c>
      <c r="D9" t="str">
        <f>VLOOKUP(A9,'실린더 상세사양값. 80'!$A$1:$AP$81,40,0)</f>
        <v>ACM-N-TC80-S125-J</v>
      </c>
      <c r="E9" t="str">
        <f>VLOOKUP(A9,'실린더 상세사양값. 80'!$A$1:$BT$81,42,0)</f>
        <v>KCC</v>
      </c>
      <c r="F9" t="str">
        <f>VLOOKUP(A9,'실린더 상세사양값. 80'!$A$1:$CG$81,32,0)</f>
        <v>80</v>
      </c>
      <c r="G9" t="str">
        <f>VLOOKUP(A9,'실린더 상세사양값. 80'!$A$1:$CG$81,36,0)</f>
        <v>125</v>
      </c>
      <c r="H9" t="str">
        <f>VLOOKUP(A9,'실린더 상세사양값. 80'!$A$1:$CG$81,36,0)</f>
        <v>125</v>
      </c>
      <c r="I9" s="12" t="str">
        <f>VLOOKUP(A9,'실린더 상세사양값. 80'!$A$1:$CG$81,38,0)</f>
        <v>10</v>
      </c>
      <c r="J9" t="s">
        <v>14778</v>
      </c>
      <c r="K9" s="44" t="s">
        <v>454</v>
      </c>
    </row>
    <row r="10" spans="1:11" x14ac:dyDescent="0.4">
      <c r="A10" s="44" t="s">
        <v>851</v>
      </c>
      <c r="B10" s="44" t="s">
        <v>0</v>
      </c>
      <c r="C10" s="44" t="s">
        <v>17</v>
      </c>
      <c r="D10" t="str">
        <f>VLOOKUP(A10,'실린더 상세사양값. 80'!$A$1:$AP$81,40,0)</f>
        <v>CDA2T80-KRT09KO-200Z-A54L3</v>
      </c>
      <c r="E10" t="str">
        <f>VLOOKUP(A10,'실린더 상세사양값. 80'!$A$1:$BT$81,42,0)</f>
        <v>SMC</v>
      </c>
      <c r="F10" t="str">
        <f>VLOOKUP(A10,'실린더 상세사양값. 80'!$A$1:$CG$81,32,0)</f>
        <v>80</v>
      </c>
      <c r="G10" t="str">
        <f>VLOOKUP(A10,'실린더 상세사양값. 80'!$A$1:$CG$81,36,0)</f>
        <v>200</v>
      </c>
      <c r="H10" t="str">
        <f>VLOOKUP(A10,'실린더 상세사양값. 80'!$A$1:$CG$81,36,0)</f>
        <v>200</v>
      </c>
      <c r="I10" s="12" t="str">
        <f>VLOOKUP(A10,'실린더 상세사양값. 80'!$A$1:$CG$81,38,0)</f>
        <v>10</v>
      </c>
      <c r="J10" t="s">
        <v>14778</v>
      </c>
      <c r="K10" s="44" t="s">
        <v>294</v>
      </c>
    </row>
    <row r="11" spans="1:11" x14ac:dyDescent="0.4">
      <c r="A11" s="44" t="s">
        <v>769</v>
      </c>
      <c r="B11" s="44" t="s">
        <v>0</v>
      </c>
      <c r="C11" s="44" t="s">
        <v>17</v>
      </c>
      <c r="D11" t="str">
        <f>VLOOKUP(A11,'실린더 상세사양값. 80'!$A$1:$AP$81,40,0)</f>
        <v>CA2YT80-150Z-W</v>
      </c>
      <c r="E11" t="str">
        <f>VLOOKUP(A11,'실린더 상세사양값. 80'!$A$1:$BT$81,42,0)</f>
        <v>SMC</v>
      </c>
      <c r="F11" t="str">
        <f>VLOOKUP(A11,'실린더 상세사양값. 80'!$A$1:$CG$81,32,0)</f>
        <v>80</v>
      </c>
      <c r="G11" t="str">
        <f>VLOOKUP(A11,'실린더 상세사양값. 80'!$A$1:$CG$81,36,0)</f>
        <v>150</v>
      </c>
      <c r="H11" t="str">
        <f>VLOOKUP(A11,'실린더 상세사양값. 80'!$A$1:$CG$81,36,0)</f>
        <v>150</v>
      </c>
      <c r="I11" s="12">
        <f>VLOOKUP(A11,'실린더 상세사양값. 80'!$A$1:$CG$81,38,0)</f>
        <v>0</v>
      </c>
      <c r="J11" t="s">
        <v>14778</v>
      </c>
      <c r="K11" s="44"/>
    </row>
    <row r="12" spans="1:11" x14ac:dyDescent="0.4">
      <c r="A12" s="44" t="s">
        <v>960</v>
      </c>
      <c r="B12" s="44" t="s">
        <v>0</v>
      </c>
      <c r="C12" s="44" t="s">
        <v>17</v>
      </c>
      <c r="D12" t="str">
        <f>VLOOKUP(A12,'실린더 상세사양값. 80'!$A$1:$AP$81,40,0)</f>
        <v>CDS1CN125-KRD0368-350-A54L</v>
      </c>
      <c r="E12" t="str">
        <f>VLOOKUP(A12,'실린더 상세사양값. 80'!$A$1:$BT$81,42,0)</f>
        <v>SMC</v>
      </c>
      <c r="F12" t="str">
        <f>VLOOKUP(A12,'실린더 상세사양값. 80'!$A$1:$CG$81,32,0)</f>
        <v>125</v>
      </c>
      <c r="G12" t="str">
        <f>VLOOKUP(A12,'실린더 상세사양값. 80'!$A$1:$CG$81,36,0)</f>
        <v>350</v>
      </c>
      <c r="H12" t="str">
        <f>VLOOKUP(A12,'실린더 상세사양값. 80'!$A$1:$CG$81,36,0)</f>
        <v>350</v>
      </c>
      <c r="I12" s="12" t="str">
        <f>VLOOKUP(A12,'실린더 상세사양값. 80'!$A$1:$CG$81,38,0)</f>
        <v>15</v>
      </c>
      <c r="J12" t="s">
        <v>14778</v>
      </c>
      <c r="K12" s="44" t="s">
        <v>18</v>
      </c>
    </row>
    <row r="13" spans="1:11" x14ac:dyDescent="0.4">
      <c r="A13" s="44" t="s">
        <v>792</v>
      </c>
      <c r="B13" s="44" t="s">
        <v>0</v>
      </c>
      <c r="C13" s="44" t="s">
        <v>17</v>
      </c>
      <c r="D13" t="str">
        <f>VLOOKUP(A13,'실린더 상세사양값. 80'!$A$1:$AP$81,40,0)</f>
        <v>CDS1TN125-KRD0368-500-Z73L</v>
      </c>
      <c r="E13" t="str">
        <f>VLOOKUP(A13,'실린더 상세사양값. 80'!$A$1:$BT$81,42,0)</f>
        <v>SMC</v>
      </c>
      <c r="F13" t="str">
        <f>VLOOKUP(A13,'실린더 상세사양값. 80'!$A$1:$CG$81,32,0)</f>
        <v>125</v>
      </c>
      <c r="G13" t="str">
        <f>VLOOKUP(A13,'실린더 상세사양값. 80'!$A$1:$CG$81,36,0)</f>
        <v>500</v>
      </c>
      <c r="H13" t="str">
        <f>VLOOKUP(A13,'실린더 상세사양값. 80'!$A$1:$CG$81,36,0)</f>
        <v>500</v>
      </c>
      <c r="I13" s="12" t="str">
        <f>VLOOKUP(A13,'실린더 상세사양값. 80'!$A$1:$CG$81,38,0)</f>
        <v>9.7</v>
      </c>
      <c r="J13" t="s">
        <v>14778</v>
      </c>
      <c r="K13" s="44"/>
    </row>
    <row r="14" spans="1:11" x14ac:dyDescent="0.4">
      <c r="A14" s="44" t="s">
        <v>762</v>
      </c>
      <c r="B14" s="44" t="s">
        <v>0</v>
      </c>
      <c r="C14" s="44" t="s">
        <v>17</v>
      </c>
      <c r="D14" t="str">
        <f>VLOOKUP(A14,'실린더 상세사양값. 80'!$A$1:$AP$81,40,0)</f>
        <v>CDS2T200-200-CJCD0039</v>
      </c>
      <c r="E14" t="str">
        <f>VLOOKUP(A14,'실린더 상세사양값. 80'!$A$1:$BT$81,42,0)</f>
        <v>SMC</v>
      </c>
      <c r="F14" t="str">
        <f>VLOOKUP(A14,'실린더 상세사양값. 80'!$A$1:$CG$81,32,0)</f>
        <v>200</v>
      </c>
      <c r="G14" t="str">
        <f>VLOOKUP(A14,'실린더 상세사양값. 80'!$A$1:$CG$81,36,0)</f>
        <v>220</v>
      </c>
      <c r="H14" t="str">
        <f>VLOOKUP(A14,'실린더 상세사양값. 80'!$A$1:$CG$81,36,0)</f>
        <v>220</v>
      </c>
      <c r="I14" s="12" t="str">
        <f>VLOOKUP(A14,'실린더 상세사양값. 80'!$A$1:$CG$81,38,0)</f>
        <v>16</v>
      </c>
      <c r="J14" t="s">
        <v>14778</v>
      </c>
      <c r="K14" s="44"/>
    </row>
    <row r="15" spans="1:11" x14ac:dyDescent="0.4">
      <c r="A15" s="44" t="s">
        <v>807</v>
      </c>
      <c r="B15" s="44" t="s">
        <v>0</v>
      </c>
      <c r="C15" s="44" t="s">
        <v>17</v>
      </c>
      <c r="D15" t="str">
        <f>VLOOKUP(A15,'실린더 상세사양값. 80'!$A$1:$AP$81,40,0)</f>
        <v>CDS2T320-250-CJCD0239</v>
      </c>
      <c r="E15" t="str">
        <f>VLOOKUP(A15,'실린더 상세사양값. 80'!$A$1:$BT$81,42,0)</f>
        <v>SMC</v>
      </c>
      <c r="F15" t="str">
        <f>VLOOKUP(A15,'실린더 상세사양값. 80'!$A$1:$CG$81,32,0)</f>
        <v>320</v>
      </c>
      <c r="G15" t="str">
        <f>VLOOKUP(A15,'실린더 상세사양값. 80'!$A$1:$CG$81,36,0)</f>
        <v>250</v>
      </c>
      <c r="H15" t="str">
        <f>VLOOKUP(A15,'실린더 상세사양값. 80'!$A$1:$CG$81,36,0)</f>
        <v>250</v>
      </c>
      <c r="I15" s="12">
        <f>VLOOKUP(A15,'실린더 상세사양값. 80'!$A$1:$CG$81,38,0)</f>
        <v>0</v>
      </c>
      <c r="J15" t="s">
        <v>14778</v>
      </c>
      <c r="K15" s="44"/>
    </row>
    <row r="16" spans="1:11" x14ac:dyDescent="0.4">
      <c r="A16" s="44" t="s">
        <v>1018</v>
      </c>
      <c r="B16" s="44" t="s">
        <v>0</v>
      </c>
      <c r="C16" s="44" t="s">
        <v>17</v>
      </c>
      <c r="D16" t="str">
        <f>VLOOKUP(A16,'실린더 상세사양값. 80'!$A$1:$AP$81,40,0)</f>
        <v>CG1DN63-64-CJD00567</v>
      </c>
      <c r="E16" t="str">
        <f>VLOOKUP(A16,'실린더 상세사양값. 80'!$A$1:$BT$81,42,0)</f>
        <v>SMC</v>
      </c>
      <c r="F16" t="str">
        <f>VLOOKUP(A16,'실린더 상세사양값. 80'!$A$1:$CG$81,32,0)</f>
        <v>63</v>
      </c>
      <c r="G16" t="str">
        <f>VLOOKUP(A16,'실린더 상세사양값. 80'!$A$1:$CG$81,36,0)</f>
        <v>64</v>
      </c>
      <c r="H16" t="str">
        <f>VLOOKUP(A16,'실린더 상세사양값. 80'!$A$1:$CG$81,36,0)</f>
        <v>64</v>
      </c>
      <c r="I16" s="12" t="str">
        <f>VLOOKUP(A16,'실린더 상세사양값. 80'!$A$1:$CG$81,38,0)</f>
        <v>10</v>
      </c>
      <c r="J16" t="s">
        <v>14778</v>
      </c>
      <c r="K16" s="44" t="s">
        <v>1024</v>
      </c>
    </row>
    <row r="17" spans="1:11" x14ac:dyDescent="0.4">
      <c r="A17" s="44" t="s">
        <v>1101</v>
      </c>
      <c r="B17" s="44" t="s">
        <v>0</v>
      </c>
      <c r="C17" s="44" t="s">
        <v>17</v>
      </c>
      <c r="D17" t="str">
        <f>VLOOKUP(A17,'실린더 상세사양값. 80'!$A$1:$AP$81,40,0)</f>
        <v>CDS1TN200-246K-A54</v>
      </c>
      <c r="E17" t="str">
        <f>VLOOKUP(A17,'실린더 상세사양값. 80'!$A$1:$BT$81,42,0)</f>
        <v>SMC</v>
      </c>
      <c r="F17" t="str">
        <f>VLOOKUP(A17,'실린더 상세사양값. 80'!$A$1:$CG$81,32,0)</f>
        <v>200</v>
      </c>
      <c r="G17" t="str">
        <f>VLOOKUP(A17,'실린더 상세사양값. 80'!$A$1:$CG$81,36,0)</f>
        <v>246</v>
      </c>
      <c r="H17" t="str">
        <f>VLOOKUP(A17,'실린더 상세사양값. 80'!$A$1:$CG$81,36,0)</f>
        <v>246</v>
      </c>
      <c r="I17" s="12" t="str">
        <f>VLOOKUP(A17,'실린더 상세사양값. 80'!$A$1:$CG$81,38,0)</f>
        <v>9999</v>
      </c>
      <c r="J17" t="s">
        <v>14778</v>
      </c>
      <c r="K17" s="44"/>
    </row>
    <row r="18" spans="1:11" x14ac:dyDescent="0.4">
      <c r="A18" s="44" t="s">
        <v>14706</v>
      </c>
      <c r="B18" s="44" t="s">
        <v>0</v>
      </c>
      <c r="C18" s="44" t="s">
        <v>17</v>
      </c>
      <c r="D18" t="str">
        <f>VLOOKUP(A18,'실린더 상세사양값. 80'!$A$1:$AP$81,40,0)</f>
        <v>CDQ2B50-55Z-DCN446GN</v>
      </c>
      <c r="E18" t="str">
        <f>VLOOKUP(A18,'실린더 상세사양값. 80'!$A$1:$BT$81,42,0)</f>
        <v>SMC</v>
      </c>
      <c r="F18" t="str">
        <f>VLOOKUP(A18,'실린더 상세사양값. 80'!$A$1:$CG$81,32,0)</f>
        <v>50</v>
      </c>
      <c r="G18" t="str">
        <f>VLOOKUP(A18,'실린더 상세사양값. 80'!$A$1:$CG$81,36,0)</f>
        <v>9999</v>
      </c>
      <c r="H18" t="str">
        <f>VLOOKUP(A18,'실린더 상세사양값. 80'!$A$1:$CG$81,36,0)</f>
        <v>9999</v>
      </c>
      <c r="I18" s="12" t="str">
        <f>VLOOKUP(A18,'실린더 상세사양값. 80'!$A$1:$CG$81,38,0)</f>
        <v>10</v>
      </c>
      <c r="J18" t="s">
        <v>14778</v>
      </c>
      <c r="K18" s="7" t="s">
        <v>150</v>
      </c>
    </row>
    <row r="19" spans="1:11" x14ac:dyDescent="0.4">
      <c r="A19" s="44" t="s">
        <v>109</v>
      </c>
      <c r="B19" s="44" t="s">
        <v>0</v>
      </c>
      <c r="C19" s="44" t="s">
        <v>17</v>
      </c>
      <c r="D19" t="str">
        <f>VLOOKUP(A19,'실린더 상세사양값. 80'!$A$1:$AP$81,40,0)</f>
        <v>CDS1TN140-KRT04KO-710-XC14 +D-A54Z(2EA)+BT-12(2EA)</v>
      </c>
      <c r="E19" t="str">
        <f>VLOOKUP(A19,'실린더 상세사양값. 80'!$A$1:$BT$81,42,0)</f>
        <v>SMC</v>
      </c>
      <c r="F19" t="str">
        <f>VLOOKUP(A19,'실린더 상세사양값. 80'!$A$1:$CG$81,32,0)</f>
        <v>140</v>
      </c>
      <c r="G19" t="str">
        <f>VLOOKUP(A19,'실린더 상세사양값. 80'!$A$1:$CG$81,36,0)</f>
        <v>710</v>
      </c>
      <c r="H19" t="str">
        <f>VLOOKUP(A19,'실린더 상세사양값. 80'!$A$1:$CG$81,36,0)</f>
        <v>710</v>
      </c>
      <c r="I19" s="12" t="str">
        <f>VLOOKUP(A19,'실린더 상세사양값. 80'!$A$1:$CG$81,38,0)</f>
        <v>10</v>
      </c>
      <c r="J19" t="s">
        <v>14778</v>
      </c>
      <c r="K19" s="7" t="s">
        <v>113</v>
      </c>
    </row>
    <row r="20" spans="1:11" x14ac:dyDescent="0.4">
      <c r="A20" s="44" t="s">
        <v>366</v>
      </c>
      <c r="B20" s="44" t="s">
        <v>0</v>
      </c>
      <c r="C20" s="44" t="s">
        <v>17</v>
      </c>
      <c r="D20" t="str">
        <f>VLOOKUP(A20,'실린더 상세사양값. 80'!$A$1:$AP$81,40,0)</f>
        <v>C96SD100-320C</v>
      </c>
      <c r="E20" t="str">
        <f>VLOOKUP(A20,'실린더 상세사양값. 80'!$A$1:$BT$81,42,0)</f>
        <v>SMC</v>
      </c>
      <c r="F20" t="str">
        <f>VLOOKUP(A20,'실린더 상세사양값. 80'!$A$1:$CG$81,32,0)</f>
        <v>100</v>
      </c>
      <c r="G20" t="str">
        <f>VLOOKUP(A20,'실린더 상세사양값. 80'!$A$1:$CG$81,36,0)</f>
        <v>320</v>
      </c>
      <c r="H20" t="str">
        <f>VLOOKUP(A20,'실린더 상세사양값. 80'!$A$1:$CG$81,36,0)</f>
        <v>320</v>
      </c>
      <c r="I20" s="12" t="str">
        <f>VLOOKUP(A20,'실린더 상세사양값. 80'!$A$1:$CG$81,38,0)</f>
        <v>10</v>
      </c>
      <c r="J20" t="s">
        <v>14778</v>
      </c>
      <c r="K20" s="7" t="s">
        <v>95</v>
      </c>
    </row>
    <row r="21" spans="1:11" x14ac:dyDescent="0.4">
      <c r="A21" s="44" t="s">
        <v>14711</v>
      </c>
      <c r="B21" s="44" t="s">
        <v>0</v>
      </c>
      <c r="C21" s="44" t="s">
        <v>17</v>
      </c>
      <c r="D21" t="str">
        <f>VLOOKUP(A21,'실린더 상세사양값. 80'!$A$1:$AP$81,40,0)</f>
        <v>CDA2T100-KRT09KO-125Z-W-A96L</v>
      </c>
      <c r="E21" t="str">
        <f>VLOOKUP(A21,'실린더 상세사양값. 80'!$A$1:$BT$81,42,0)</f>
        <v>SMC</v>
      </c>
      <c r="F21" t="str">
        <f>VLOOKUP(A21,'실린더 상세사양값. 80'!$A$1:$CG$81,32,0)</f>
        <v>100</v>
      </c>
      <c r="G21" t="str">
        <f>VLOOKUP(A21,'실린더 상세사양값. 80'!$A$1:$CG$81,36,0)</f>
        <v>125</v>
      </c>
      <c r="H21" t="str">
        <f>VLOOKUP(A21,'실린더 상세사양값. 80'!$A$1:$CG$81,36,0)</f>
        <v>125</v>
      </c>
      <c r="I21" s="12">
        <f>VLOOKUP(A21,'실린더 상세사양값. 80'!$A$1:$CG$81,38,0)</f>
        <v>0</v>
      </c>
      <c r="J21" t="s">
        <v>14778</v>
      </c>
      <c r="K21" s="48" t="s">
        <v>14710</v>
      </c>
    </row>
    <row r="22" spans="1:11" x14ac:dyDescent="0.4">
      <c r="A22" s="44" t="s">
        <v>14713</v>
      </c>
      <c r="B22" s="44" t="s">
        <v>0</v>
      </c>
      <c r="C22" s="44" t="s">
        <v>17</v>
      </c>
      <c r="D22" t="str">
        <f>VLOOKUP(A22,'실린더 상세사양값. 80'!$A$1:$AP$81,40,0)</f>
        <v>CDG1UN50TF-170-CJZH0846</v>
      </c>
      <c r="E22" t="str">
        <f>VLOOKUP(A22,'실린더 상세사양값. 80'!$A$1:$BT$81,42,0)</f>
        <v>SMC</v>
      </c>
      <c r="F22" t="str">
        <f>VLOOKUP(A22,'실린더 상세사양값. 80'!$A$1:$CG$81,32,0)</f>
        <v>50</v>
      </c>
      <c r="G22" t="str">
        <f>VLOOKUP(A22,'실린더 상세사양값. 80'!$A$1:$CG$81,36,0)</f>
        <v>170</v>
      </c>
      <c r="H22" t="str">
        <f>VLOOKUP(A22,'실린더 상세사양값. 80'!$A$1:$CG$81,36,0)</f>
        <v>170</v>
      </c>
      <c r="I22" s="12" t="str">
        <f>VLOOKUP(A22,'실린더 상세사양값. 80'!$A$1:$CG$81,38,0)</f>
        <v>10</v>
      </c>
      <c r="J22" t="s">
        <v>14778</v>
      </c>
      <c r="K22" s="7" t="s">
        <v>62</v>
      </c>
    </row>
    <row r="23" spans="1:11" x14ac:dyDescent="0.4">
      <c r="A23" s="44" t="s">
        <v>14715</v>
      </c>
      <c r="B23" s="44" t="s">
        <v>0</v>
      </c>
      <c r="C23" s="44" t="s">
        <v>17</v>
      </c>
      <c r="D23" t="str">
        <f>VLOOKUP(A23,'실린더 상세사양값. 80'!$A$1:$AP$81,40,0)</f>
        <v>CDM2E32-200Z-NW-A93L</v>
      </c>
      <c r="E23" t="str">
        <f>VLOOKUP(A23,'실린더 상세사양값. 80'!$A$1:$BT$81,42,0)</f>
        <v>SMC</v>
      </c>
      <c r="F23" t="str">
        <f>VLOOKUP(A23,'실린더 상세사양값. 80'!$A$1:$CG$81,32,0)</f>
        <v>9999</v>
      </c>
      <c r="G23" t="str">
        <f>VLOOKUP(A23,'실린더 상세사양값. 80'!$A$1:$CG$81,36,0)</f>
        <v>9999</v>
      </c>
      <c r="H23" t="str">
        <f>VLOOKUP(A23,'실린더 상세사양값. 80'!$A$1:$CG$81,36,0)</f>
        <v>9999</v>
      </c>
      <c r="I23" s="12">
        <f>VLOOKUP(A23,'실린더 상세사양값. 80'!$A$1:$CG$81,38,0)</f>
        <v>0</v>
      </c>
      <c r="J23" t="s">
        <v>14778</v>
      </c>
      <c r="K23" s="7" t="s">
        <v>82</v>
      </c>
    </row>
    <row r="24" spans="1:11" x14ac:dyDescent="0.4">
      <c r="A24" s="44" t="s">
        <v>14719</v>
      </c>
      <c r="B24" s="44" t="s">
        <v>0</v>
      </c>
      <c r="C24" s="44" t="s">
        <v>17</v>
      </c>
      <c r="D24" t="str">
        <f>VLOOKUP(A24,'실린더 상세사양값. 80'!$A$1:$AP$81,40,0)</f>
        <v>CDM2E40TF-160Z-XC6</v>
      </c>
      <c r="E24" t="str">
        <f>VLOOKUP(A24,'실린더 상세사양값. 80'!$A$1:$BT$81,42,0)</f>
        <v>SMC</v>
      </c>
      <c r="F24" t="str">
        <f>VLOOKUP(A24,'실린더 상세사양값. 80'!$A$1:$CG$81,32,0)</f>
        <v>40</v>
      </c>
      <c r="G24" t="str">
        <f>VLOOKUP(A24,'실린더 상세사양값. 80'!$A$1:$CG$81,36,0)</f>
        <v>160</v>
      </c>
      <c r="H24" t="str">
        <f>VLOOKUP(A24,'실린더 상세사양값. 80'!$A$1:$CG$81,36,0)</f>
        <v>160</v>
      </c>
      <c r="I24" s="12" t="str">
        <f>VLOOKUP(A24,'실린더 상세사양값. 80'!$A$1:$CG$81,38,0)</f>
        <v>10</v>
      </c>
      <c r="J24" t="s">
        <v>14778</v>
      </c>
      <c r="K24" s="7" t="s">
        <v>82</v>
      </c>
    </row>
    <row r="25" spans="1:11" x14ac:dyDescent="0.4">
      <c r="A25" s="44" t="s">
        <v>14717</v>
      </c>
      <c r="B25" s="44" t="s">
        <v>0</v>
      </c>
      <c r="C25" s="44" t="s">
        <v>17</v>
      </c>
      <c r="D25" t="str">
        <f>VLOOKUP(A25,'실린더 상세사양값. 80'!$A$1:$AP$81,40,0)</f>
        <v>CDQMB50-10-A72</v>
      </c>
      <c r="E25" t="str">
        <f>VLOOKUP(A25,'실린더 상세사양값. 80'!$A$1:$BT$81,42,0)</f>
        <v>SMC</v>
      </c>
      <c r="F25" t="str">
        <f>VLOOKUP(A25,'실린더 상세사양값. 80'!$A$1:$CG$81,32,0)</f>
        <v>50</v>
      </c>
      <c r="G25" t="str">
        <f>VLOOKUP(A25,'실린더 상세사양값. 80'!$A$1:$CG$81,36,0)</f>
        <v>10</v>
      </c>
      <c r="H25" t="str">
        <f>VLOOKUP(A25,'실린더 상세사양값. 80'!$A$1:$CG$81,36,0)</f>
        <v>10</v>
      </c>
      <c r="I25" s="12" t="str">
        <f>VLOOKUP(A25,'실린더 상세사양값. 80'!$A$1:$CG$81,38,0)</f>
        <v>10</v>
      </c>
      <c r="J25" t="s">
        <v>14778</v>
      </c>
      <c r="K25" s="7" t="s">
        <v>320</v>
      </c>
    </row>
    <row r="26" spans="1:11" x14ac:dyDescent="0.4">
      <c r="A26" s="54" t="s">
        <v>14735</v>
      </c>
      <c r="B26" s="44" t="s">
        <v>0</v>
      </c>
      <c r="C26" s="44" t="s">
        <v>17</v>
      </c>
      <c r="D26" t="s">
        <v>14742</v>
      </c>
      <c r="E26" t="s">
        <v>14749</v>
      </c>
      <c r="F26" s="12" t="s">
        <v>14387</v>
      </c>
      <c r="G26" s="12" t="s">
        <v>14382</v>
      </c>
      <c r="H26" s="12" t="s">
        <v>14382</v>
      </c>
      <c r="I26" s="12" t="s">
        <v>14382</v>
      </c>
      <c r="J26" s="56" t="s">
        <v>14750</v>
      </c>
      <c r="K26" s="44" t="s">
        <v>294</v>
      </c>
    </row>
    <row r="27" spans="1:11" x14ac:dyDescent="0.4">
      <c r="A27" s="55" t="s">
        <v>14736</v>
      </c>
      <c r="B27" s="44" t="s">
        <v>0</v>
      </c>
      <c r="C27" s="44" t="s">
        <v>17</v>
      </c>
      <c r="D27" t="s">
        <v>14743</v>
      </c>
      <c r="E27" t="s">
        <v>14749</v>
      </c>
      <c r="F27" s="12">
        <v>51</v>
      </c>
      <c r="G27" s="12">
        <v>11</v>
      </c>
      <c r="H27" s="12">
        <v>12</v>
      </c>
      <c r="I27" s="12">
        <v>19</v>
      </c>
      <c r="J27" s="57" t="s">
        <v>14750</v>
      </c>
      <c r="K27" s="44" t="s">
        <v>294</v>
      </c>
    </row>
    <row r="28" spans="1:11" x14ac:dyDescent="0.4">
      <c r="A28" s="55" t="s">
        <v>14737</v>
      </c>
      <c r="B28" s="44" t="s">
        <v>0</v>
      </c>
      <c r="C28" s="44" t="s">
        <v>17</v>
      </c>
      <c r="D28" t="s">
        <v>14744</v>
      </c>
      <c r="E28" t="s">
        <v>14749</v>
      </c>
      <c r="F28" s="12" t="s">
        <v>14387</v>
      </c>
      <c r="G28" s="12">
        <v>32</v>
      </c>
      <c r="H28" s="12" t="s">
        <v>14382</v>
      </c>
      <c r="I28" s="12">
        <v>11</v>
      </c>
      <c r="J28" s="57" t="s">
        <v>14750</v>
      </c>
      <c r="K28" s="44" t="s">
        <v>294</v>
      </c>
    </row>
    <row r="29" spans="1:11" x14ac:dyDescent="0.4">
      <c r="A29" s="55" t="s">
        <v>14738</v>
      </c>
      <c r="B29" s="44" t="s">
        <v>0</v>
      </c>
      <c r="C29" s="44" t="s">
        <v>17</v>
      </c>
      <c r="D29" t="s">
        <v>14745</v>
      </c>
      <c r="E29" t="s">
        <v>14749</v>
      </c>
      <c r="F29" s="12">
        <v>51</v>
      </c>
      <c r="G29" s="12">
        <v>35</v>
      </c>
      <c r="H29" s="12">
        <v>7</v>
      </c>
      <c r="I29" s="12">
        <v>12</v>
      </c>
      <c r="J29" s="57" t="s">
        <v>14750</v>
      </c>
      <c r="K29" s="44" t="s">
        <v>294</v>
      </c>
    </row>
    <row r="30" spans="1:11" x14ac:dyDescent="0.4">
      <c r="A30" s="55" t="s">
        <v>14739</v>
      </c>
      <c r="B30" s="44" t="s">
        <v>0</v>
      </c>
      <c r="C30" s="44" t="s">
        <v>17</v>
      </c>
      <c r="D30" t="s">
        <v>14746</v>
      </c>
      <c r="E30" t="s">
        <v>14749</v>
      </c>
      <c r="F30" s="12" t="s">
        <v>14387</v>
      </c>
      <c r="G30" s="12" t="s">
        <v>14382</v>
      </c>
      <c r="H30" s="12" t="s">
        <v>14382</v>
      </c>
      <c r="I30" s="12">
        <v>14</v>
      </c>
      <c r="J30" s="57" t="s">
        <v>14750</v>
      </c>
      <c r="K30" s="44" t="s">
        <v>294</v>
      </c>
    </row>
    <row r="31" spans="1:11" x14ac:dyDescent="0.4">
      <c r="A31" s="55" t="s">
        <v>14740</v>
      </c>
      <c r="B31" s="44" t="s">
        <v>0</v>
      </c>
      <c r="C31" s="44" t="s">
        <v>17</v>
      </c>
      <c r="D31" t="s">
        <v>14747</v>
      </c>
      <c r="E31" t="s">
        <v>14749</v>
      </c>
      <c r="F31" s="12">
        <v>51</v>
      </c>
      <c r="G31" s="12">
        <v>11</v>
      </c>
      <c r="H31" s="12">
        <v>42</v>
      </c>
      <c r="I31" s="12">
        <v>15</v>
      </c>
      <c r="J31" s="57" t="s">
        <v>14750</v>
      </c>
      <c r="K31" s="44" t="s">
        <v>294</v>
      </c>
    </row>
    <row r="32" spans="1:11" x14ac:dyDescent="0.4">
      <c r="A32" s="55" t="s">
        <v>14741</v>
      </c>
      <c r="B32" s="44" t="s">
        <v>0</v>
      </c>
      <c r="C32" s="44" t="s">
        <v>17</v>
      </c>
      <c r="D32" t="s">
        <v>14748</v>
      </c>
      <c r="E32" t="s">
        <v>14749</v>
      </c>
      <c r="F32" s="12" t="s">
        <v>14387</v>
      </c>
      <c r="G32" s="12">
        <v>11</v>
      </c>
      <c r="H32" s="12" t="s">
        <v>14382</v>
      </c>
      <c r="I32" s="12">
        <v>123</v>
      </c>
      <c r="J32" s="57" t="s">
        <v>14750</v>
      </c>
      <c r="K32" s="44" t="s">
        <v>294</v>
      </c>
    </row>
    <row r="33" spans="1:14" x14ac:dyDescent="0.4">
      <c r="A33" s="44"/>
      <c r="B33" s="44"/>
      <c r="C33" s="44"/>
      <c r="I33" s="12"/>
    </row>
    <row r="34" spans="1:14" x14ac:dyDescent="0.4">
      <c r="A34" s="44"/>
      <c r="B34" s="44"/>
      <c r="C34" s="44"/>
      <c r="I34" s="12"/>
    </row>
    <row r="35" spans="1:14" ht="18" thickBot="1" x14ac:dyDescent="0.45">
      <c r="A35" s="3" t="s">
        <v>1107</v>
      </c>
      <c r="B35" s="3" t="s">
        <v>1108</v>
      </c>
      <c r="C35" s="3" t="s">
        <v>1109</v>
      </c>
      <c r="D35" s="3" t="s">
        <v>1119</v>
      </c>
      <c r="E35" s="3" t="s">
        <v>14383</v>
      </c>
      <c r="F35" s="3" t="s">
        <v>14475</v>
      </c>
      <c r="G35" s="3" t="s">
        <v>14477</v>
      </c>
      <c r="H35" s="3" t="s">
        <v>14478</v>
      </c>
      <c r="I35" s="3" t="s">
        <v>14480</v>
      </c>
      <c r="J35" s="3" t="s">
        <v>14482</v>
      </c>
      <c r="K35" s="3" t="s">
        <v>14484</v>
      </c>
      <c r="L35" s="3" t="s">
        <v>14486</v>
      </c>
      <c r="M35" s="3" t="s">
        <v>14488</v>
      </c>
      <c r="N35" s="3" t="s">
        <v>14779</v>
      </c>
    </row>
    <row r="36" spans="1:14" x14ac:dyDescent="0.4">
      <c r="A36" s="44" t="s">
        <v>1409</v>
      </c>
      <c r="B36" s="44" t="s">
        <v>0</v>
      </c>
      <c r="C36" s="44" t="s">
        <v>1158</v>
      </c>
      <c r="D36" t="str">
        <f>VLOOKUP(A36,'모터 상세사양값'!$A$1:$CG$27,28,0)</f>
        <v>DHHM8-9175-43</v>
      </c>
      <c r="E36" t="str">
        <f>VLOOKUP(A36,'모터 상세사양값'!$A$1:$CG$27,30,0)</f>
        <v>HANA MECHANICAL&amp;ELECTRICAL</v>
      </c>
      <c r="F36" t="str">
        <f>VLOOKUP(A36,'모터 상세사양값'!$A$1:$CG$27,52,0)</f>
        <v>F</v>
      </c>
      <c r="G36">
        <f>VLOOKUP(A36,'모터 상세사양값'!$A$1:$CG$27,54,0)</f>
        <v>0</v>
      </c>
      <c r="H36" t="str">
        <f>VLOOKUP(A36,'모터 상세사양값'!$A$1:$CG$27,56,0)</f>
        <v>4</v>
      </c>
      <c r="I36" t="str">
        <f>VLOOKUP(A36,'모터 상세사양값'!$A$1:$CG$27,58,0)</f>
        <v>5.5</v>
      </c>
      <c r="J36" t="str">
        <f>VLOOKUP(A36,'모터 상세사양값'!$A$1:$CG$27,60,0)</f>
        <v>440</v>
      </c>
      <c r="K36" t="str">
        <f>VLOOKUP(A36,'모터 상세사양값'!$A$1:$CG$27,62,0)</f>
        <v>60</v>
      </c>
      <c r="L36" t="str">
        <f>VLOOKUP(A36,'모터 상세사양값'!$A$1:$CG$27,64,0)</f>
        <v>1780</v>
      </c>
      <c r="M36" t="str">
        <f>VLOOKUP(A36,'모터 상세사양값'!$A$1:$CG$27,66,0)</f>
        <v>1/43</v>
      </c>
      <c r="N36" t="s">
        <v>14778</v>
      </c>
    </row>
    <row r="37" spans="1:14" x14ac:dyDescent="0.4">
      <c r="A37" s="44" t="s">
        <v>1437</v>
      </c>
      <c r="B37" s="44" t="s">
        <v>0</v>
      </c>
      <c r="C37" s="44" t="s">
        <v>1158</v>
      </c>
      <c r="D37" t="str">
        <f>VLOOKUP(A37,'모터 상세사양값'!$A$1:$CG$27,28,0)</f>
        <v>R47 DRN100L4</v>
      </c>
      <c r="E37" t="str">
        <f>VLOOKUP(A37,'모터 상세사양값'!$A$1:$CG$27,30,0)</f>
        <v>SEW</v>
      </c>
      <c r="F37" t="str">
        <f>VLOOKUP(A37,'모터 상세사양값'!$A$1:$CG$27,52,0)</f>
        <v>155F</v>
      </c>
      <c r="G37" t="str">
        <f>VLOOKUP(A37,'모터 상세사양값'!$A$1:$CG$27,54,0)</f>
        <v>IP54</v>
      </c>
      <c r="H37" t="str">
        <f>VLOOKUP(A37,'모터 상세사양값'!$A$1:$CG$27,56,0)</f>
        <v>4</v>
      </c>
      <c r="I37" t="str">
        <f>VLOOKUP(A37,'모터 상세사양값'!$A$1:$CG$27,58,0)</f>
        <v>2.2</v>
      </c>
      <c r="J37" t="str">
        <f>VLOOKUP(A37,'모터 상세사양값'!$A$1:$CG$27,60,0)</f>
        <v>254/440</v>
      </c>
      <c r="K37" t="str">
        <f>VLOOKUP(A37,'모터 상세사양값'!$A$1:$CG$27,62,0)</f>
        <v>60</v>
      </c>
      <c r="L37" t="str">
        <f>VLOOKUP(A37,'모터 상세사양값'!$A$1:$CG$27,64,0)</f>
        <v>1765/174</v>
      </c>
      <c r="M37" t="str">
        <f>VLOOKUP(A37,'모터 상세사양값'!$A$1:$CG$27,66,0)</f>
        <v>1/10.15</v>
      </c>
      <c r="N37" t="s">
        <v>14778</v>
      </c>
    </row>
    <row r="38" spans="1:14" x14ac:dyDescent="0.4">
      <c r="A38" s="44" t="s">
        <v>1939</v>
      </c>
      <c r="B38" s="44" t="s">
        <v>0</v>
      </c>
      <c r="C38" s="44" t="s">
        <v>1158</v>
      </c>
      <c r="D38" t="str">
        <f>VLOOKUP(A38,'모터 상세사양값'!$A$1:$CG$27,28,0)</f>
        <v>RPH</v>
      </c>
      <c r="E38" t="str">
        <f>VLOOKUP(A38,'모터 상세사양값'!$A$1:$CG$27,30,0)</f>
        <v>HYOSUNG</v>
      </c>
      <c r="F38" t="str">
        <f>VLOOKUP(A38,'모터 상세사양값'!$A$1:$CG$27,52,0)</f>
        <v xml:space="preserve"> F</v>
      </c>
      <c r="G38" t="str">
        <f>VLOOKUP(A38,'모터 상세사양값'!$A$1:$CG$27,54,0)</f>
        <v xml:space="preserve"> IP55</v>
      </c>
      <c r="H38" t="str">
        <f>VLOOKUP(A38,'모터 상세사양값'!$A$1:$CG$27,56,0)</f>
        <v>4</v>
      </c>
      <c r="I38" t="str">
        <f>VLOOKUP(A38,'모터 상세사양값'!$A$1:$CG$27,58,0)</f>
        <v>0.75</v>
      </c>
      <c r="J38" t="str">
        <f>VLOOKUP(A38,'모터 상세사양값'!$A$1:$CG$27,60,0)</f>
        <v>440</v>
      </c>
      <c r="K38" t="str">
        <f>VLOOKUP(A38,'모터 상세사양값'!$A$1:$CG$27,62,0)</f>
        <v>60</v>
      </c>
      <c r="L38" t="str">
        <f>VLOOKUP(A38,'모터 상세사양값'!$A$1:$CG$27,64,0)</f>
        <v>1735/35</v>
      </c>
      <c r="M38" t="str">
        <f>VLOOKUP(A38,'모터 상세사양값'!$A$1:$CG$27,66,0)</f>
        <v>1/50</v>
      </c>
      <c r="N38" t="s">
        <v>14778</v>
      </c>
    </row>
    <row r="39" spans="1:14" x14ac:dyDescent="0.4">
      <c r="A39" s="44" t="s">
        <v>1952</v>
      </c>
      <c r="B39" s="44" t="s">
        <v>0</v>
      </c>
      <c r="C39" s="44" t="s">
        <v>1158</v>
      </c>
      <c r="D39" t="str">
        <f>VLOOKUP(A39,'모터 상세사양값'!$A$1:$CG$27,28,0)</f>
        <v>RPH</v>
      </c>
      <c r="E39" t="str">
        <f>VLOOKUP(A39,'모터 상세사양값'!$A$1:$CG$27,30,0)</f>
        <v>HYOSUNG</v>
      </c>
      <c r="F39" t="str">
        <f>VLOOKUP(A39,'모터 상세사양값'!$A$1:$CG$27,52,0)</f>
        <v xml:space="preserve"> F</v>
      </c>
      <c r="G39" t="str">
        <f>VLOOKUP(A39,'모터 상세사양값'!$A$1:$CG$27,54,0)</f>
        <v xml:space="preserve"> IP55</v>
      </c>
      <c r="H39" t="str">
        <f>VLOOKUP(A39,'모터 상세사양값'!$A$1:$CG$27,56,0)</f>
        <v>4</v>
      </c>
      <c r="I39" t="str">
        <f>VLOOKUP(A39,'모터 상세사양값'!$A$1:$CG$27,58,0)</f>
        <v>1.5</v>
      </c>
      <c r="J39" t="str">
        <f>VLOOKUP(A39,'모터 상세사양값'!$A$1:$CG$27,60,0)</f>
        <v>440</v>
      </c>
      <c r="K39" t="str">
        <f>VLOOKUP(A39,'모터 상세사양값'!$A$1:$CG$27,62,0)</f>
        <v>60</v>
      </c>
      <c r="L39" t="str">
        <f>VLOOKUP(A39,'모터 상세사양값'!$A$1:$CG$27,64,0)</f>
        <v>1750/29.2</v>
      </c>
      <c r="M39" t="str">
        <f>VLOOKUP(A39,'모터 상세사양값'!$A$1:$CG$27,66,0)</f>
        <v>60</v>
      </c>
      <c r="N39" t="s">
        <v>14778</v>
      </c>
    </row>
    <row r="40" spans="1:14" x14ac:dyDescent="0.4">
      <c r="A40" s="44" t="s">
        <v>1306</v>
      </c>
      <c r="B40" s="44" t="s">
        <v>0</v>
      </c>
      <c r="C40" s="44" t="s">
        <v>1158</v>
      </c>
      <c r="D40" t="str">
        <f>VLOOKUP(A40,'모터 상세사양값'!$A$1:$CG$27,28,0)</f>
        <v>HLA020101057587</v>
      </c>
      <c r="E40" t="str">
        <f>VLOOKUP(A40,'모터 상세사양값'!$A$1:$CG$27,30,0)</f>
        <v>HYOSUNG</v>
      </c>
      <c r="F40" t="str">
        <f>VLOOKUP(A40,'모터 상세사양값'!$A$1:$CG$27,52,0)</f>
        <v>F</v>
      </c>
      <c r="G40" t="str">
        <f>VLOOKUP(A40,'모터 상세사양값'!$A$1:$CG$27,54,0)</f>
        <v>TE</v>
      </c>
      <c r="H40" t="str">
        <f>VLOOKUP(A40,'모터 상세사양값'!$A$1:$CG$27,56,0)</f>
        <v>4</v>
      </c>
      <c r="I40" t="str">
        <f>VLOOKUP(A40,'모터 상세사양값'!$A$1:$CG$27,58,0)</f>
        <v>1.5</v>
      </c>
      <c r="J40" t="str">
        <f>VLOOKUP(A40,'모터 상세사양값'!$A$1:$CG$27,60,0)</f>
        <v>440</v>
      </c>
      <c r="K40" t="str">
        <f>VLOOKUP(A40,'모터 상세사양값'!$A$1:$CG$27,62,0)</f>
        <v>60</v>
      </c>
      <c r="L40" t="str">
        <f>VLOOKUP(A40,'모터 상세사양값'!$A$1:$CG$27,64,0)</f>
        <v>1750</v>
      </c>
      <c r="M40" t="str">
        <f>VLOOKUP(A40,'모터 상세사양값'!$A$1:$CG$27,66,0)</f>
        <v>1/15</v>
      </c>
      <c r="N40" t="s">
        <v>14778</v>
      </c>
    </row>
    <row r="41" spans="1:14" x14ac:dyDescent="0.4">
      <c r="A41" s="44" t="s">
        <v>1302</v>
      </c>
      <c r="B41" s="44" t="s">
        <v>0</v>
      </c>
      <c r="C41" s="44" t="s">
        <v>1158</v>
      </c>
      <c r="D41" t="str">
        <f>VLOOKUP(A41,'모터 상세사양값'!$A$1:$CG$27,28,0)</f>
        <v>HMA01080000560</v>
      </c>
      <c r="E41" t="str">
        <f>VLOOKUP(A41,'모터 상세사양값'!$A$1:$CG$27,30,0)</f>
        <v>HYOSUNG</v>
      </c>
      <c r="F41" t="str">
        <f>VLOOKUP(A41,'모터 상세사양값'!$A$1:$CG$27,52,0)</f>
        <v>F</v>
      </c>
      <c r="G41" t="str">
        <f>VLOOKUP(A41,'모터 상세사양값'!$A$1:$CG$27,54,0)</f>
        <v>TE</v>
      </c>
      <c r="H41" t="str">
        <f>VLOOKUP(A41,'모터 상세사양값'!$A$1:$CG$27,56,0)</f>
        <v>4</v>
      </c>
      <c r="I41" t="str">
        <f>VLOOKUP(A41,'모터 상세사양값'!$A$1:$CG$27,58,0)</f>
        <v>3.7</v>
      </c>
      <c r="J41" t="str">
        <f>VLOOKUP(A41,'모터 상세사양값'!$A$1:$CG$27,60,0)</f>
        <v>440</v>
      </c>
      <c r="K41" t="str">
        <f>VLOOKUP(A41,'모터 상세사양값'!$A$1:$CG$27,62,0)</f>
        <v>60</v>
      </c>
      <c r="L41" t="str">
        <f>VLOOKUP(A41,'모터 상세사양값'!$A$1:$CG$27,64,0)</f>
        <v>1755</v>
      </c>
      <c r="M41" t="str">
        <f>VLOOKUP(A41,'모터 상세사양값'!$A$1:$CG$27,66,0)</f>
        <v>1/120</v>
      </c>
      <c r="N41" t="s">
        <v>14778</v>
      </c>
    </row>
    <row r="42" spans="1:14" x14ac:dyDescent="0.4">
      <c r="A42" s="44" t="s">
        <v>1289</v>
      </c>
      <c r="B42" s="44" t="s">
        <v>0</v>
      </c>
      <c r="C42" s="44" t="s">
        <v>1158</v>
      </c>
      <c r="D42" t="str">
        <f>VLOOKUP(A42,'모터 상세사양값'!$A$1:$CG$27,28,0)</f>
        <v>HLA020101057590</v>
      </c>
      <c r="E42" t="str">
        <f>VLOOKUP(A42,'모터 상세사양값'!$A$1:$CG$27,30,0)</f>
        <v>HYOSUNG</v>
      </c>
      <c r="F42" t="str">
        <f>VLOOKUP(A42,'모터 상세사양값'!$A$1:$CG$27,52,0)</f>
        <v>F</v>
      </c>
      <c r="G42" t="str">
        <f>VLOOKUP(A42,'모터 상세사양값'!$A$1:$CG$27,54,0)</f>
        <v>TE</v>
      </c>
      <c r="H42" t="str">
        <f>VLOOKUP(A42,'모터 상세사양값'!$A$1:$CG$27,56,0)</f>
        <v>4</v>
      </c>
      <c r="I42" t="str">
        <f>VLOOKUP(A42,'모터 상세사양값'!$A$1:$CG$27,58,0)</f>
        <v>5.5</v>
      </c>
      <c r="J42" t="str">
        <f>VLOOKUP(A42,'모터 상세사양값'!$A$1:$CG$27,60,0)</f>
        <v>440</v>
      </c>
      <c r="K42" t="str">
        <f>VLOOKUP(A42,'모터 상세사양값'!$A$1:$CG$27,62,0)</f>
        <v>60</v>
      </c>
      <c r="L42" t="str">
        <f>VLOOKUP(A42,'모터 상세사양값'!$A$1:$CG$27,64,0)</f>
        <v>1775</v>
      </c>
      <c r="M42" t="str">
        <f>VLOOKUP(A42,'모터 상세사양값'!$A$1:$CG$27,66,0)</f>
        <v>1/100</v>
      </c>
      <c r="N42" t="s">
        <v>14778</v>
      </c>
    </row>
    <row r="43" spans="1:14" x14ac:dyDescent="0.4">
      <c r="A43" s="44" t="s">
        <v>1272</v>
      </c>
      <c r="B43" s="44" t="s">
        <v>0</v>
      </c>
      <c r="C43" s="44" t="s">
        <v>1158</v>
      </c>
      <c r="D43" t="str">
        <f>VLOOKUP(A43,'모터 상세사양값'!$A$1:$CG$27,28,0)</f>
        <v>HLA020101057591</v>
      </c>
      <c r="E43" t="str">
        <f>VLOOKUP(A43,'모터 상세사양값'!$A$1:$CG$27,30,0)</f>
        <v>HYOSUNG</v>
      </c>
      <c r="F43" t="str">
        <f>VLOOKUP(A43,'모터 상세사양값'!$A$1:$CG$27,52,0)</f>
        <v>F</v>
      </c>
      <c r="G43" t="str">
        <f>VLOOKUP(A43,'모터 상세사양값'!$A$1:$CG$27,54,0)</f>
        <v>TE</v>
      </c>
      <c r="H43" t="str">
        <f>VLOOKUP(A43,'모터 상세사양값'!$A$1:$CG$27,56,0)</f>
        <v>4</v>
      </c>
      <c r="I43" t="str">
        <f>VLOOKUP(A43,'모터 상세사양값'!$A$1:$CG$27,58,0)</f>
        <v>7.5</v>
      </c>
      <c r="J43" t="str">
        <f>VLOOKUP(A43,'모터 상세사양값'!$A$1:$CG$27,60,0)</f>
        <v>440</v>
      </c>
      <c r="K43" t="str">
        <f>VLOOKUP(A43,'모터 상세사양값'!$A$1:$CG$27,62,0)</f>
        <v>60</v>
      </c>
      <c r="L43" t="str">
        <f>VLOOKUP(A43,'모터 상세사양값'!$A$1:$CG$27,64,0)</f>
        <v>1770</v>
      </c>
      <c r="M43" t="str">
        <f>VLOOKUP(A43,'모터 상세사양값'!$A$1:$CG$27,66,0)</f>
        <v>1/60</v>
      </c>
      <c r="N43" t="s">
        <v>14778</v>
      </c>
    </row>
    <row r="44" spans="1:14" x14ac:dyDescent="0.4">
      <c r="A44" s="44" t="s">
        <v>1283</v>
      </c>
      <c r="B44" s="44" t="s">
        <v>0</v>
      </c>
      <c r="C44" s="44" t="s">
        <v>1158</v>
      </c>
      <c r="D44" t="str">
        <f>VLOOKUP(A44,'모터 상세사양값'!$A$1:$CG$27,28,0)</f>
        <v>HLA020101057588</v>
      </c>
      <c r="E44" t="str">
        <f>VLOOKUP(A44,'모터 상세사양값'!$A$1:$CG$27,30,0)</f>
        <v>HYOSUNG</v>
      </c>
      <c r="F44" t="str">
        <f>VLOOKUP(A44,'모터 상세사양값'!$A$1:$CG$27,52,0)</f>
        <v>F</v>
      </c>
      <c r="G44" t="str">
        <f>VLOOKUP(A44,'모터 상세사양값'!$A$1:$CG$27,54,0)</f>
        <v>TE</v>
      </c>
      <c r="H44" t="str">
        <f>VLOOKUP(A44,'모터 상세사양값'!$A$1:$CG$27,56,0)</f>
        <v>4</v>
      </c>
      <c r="I44" t="str">
        <f>VLOOKUP(A44,'모터 상세사양값'!$A$1:$CG$27,58,0)</f>
        <v>2.2</v>
      </c>
      <c r="J44" t="str">
        <f>VLOOKUP(A44,'모터 상세사양값'!$A$1:$CG$27,60,0)</f>
        <v>440</v>
      </c>
      <c r="K44" t="str">
        <f>VLOOKUP(A44,'모터 상세사양값'!$A$1:$CG$27,62,0)</f>
        <v>60</v>
      </c>
      <c r="L44" t="str">
        <f>VLOOKUP(A44,'모터 상세사양값'!$A$1:$CG$27,64,0)</f>
        <v>1765</v>
      </c>
      <c r="M44" t="str">
        <f>VLOOKUP(A44,'모터 상세사양값'!$A$1:$CG$27,66,0)</f>
        <v>1/30</v>
      </c>
      <c r="N44" t="s">
        <v>14778</v>
      </c>
    </row>
    <row r="45" spans="1:14" x14ac:dyDescent="0.4">
      <c r="A45" s="44" t="s">
        <v>1296</v>
      </c>
      <c r="B45" s="44" t="s">
        <v>0</v>
      </c>
      <c r="C45" s="44" t="s">
        <v>1158</v>
      </c>
      <c r="D45" t="str">
        <f>VLOOKUP(A45,'모터 상세사양값'!$A$1:$CG$27,28,0)</f>
        <v>HMA01080000560</v>
      </c>
      <c r="E45" t="str">
        <f>VLOOKUP(A45,'모터 상세사양값'!$A$1:$CG$27,30,0)</f>
        <v>HYOSUNG</v>
      </c>
      <c r="F45" t="str">
        <f>VLOOKUP(A45,'모터 상세사양값'!$A$1:$CG$27,52,0)</f>
        <v>F</v>
      </c>
      <c r="G45" t="str">
        <f>VLOOKUP(A45,'모터 상세사양값'!$A$1:$CG$27,54,0)</f>
        <v>IP55</v>
      </c>
      <c r="H45" t="str">
        <f>VLOOKUP(A45,'모터 상세사양값'!$A$1:$CG$27,56,0)</f>
        <v>4</v>
      </c>
      <c r="I45" t="str">
        <f>VLOOKUP(A45,'모터 상세사양값'!$A$1:$CG$27,58,0)</f>
        <v>3.7</v>
      </c>
      <c r="J45" t="str">
        <f>VLOOKUP(A45,'모터 상세사양값'!$A$1:$CG$27,60,0)</f>
        <v>440</v>
      </c>
      <c r="K45" t="str">
        <f>VLOOKUP(A45,'모터 상세사양값'!$A$1:$CG$27,62,0)</f>
        <v>60</v>
      </c>
      <c r="L45" t="str">
        <f>VLOOKUP(A45,'모터 상세사양값'!$A$1:$CG$27,64,0)</f>
        <v>1755</v>
      </c>
      <c r="M45" t="str">
        <f>VLOOKUP(A45,'모터 상세사양값'!$A$1:$CG$27,66,0)</f>
        <v>1/90</v>
      </c>
      <c r="N45" t="s">
        <v>14778</v>
      </c>
    </row>
    <row r="46" spans="1:14" x14ac:dyDescent="0.4">
      <c r="A46" s="44" t="s">
        <v>1640</v>
      </c>
      <c r="B46" s="44" t="s">
        <v>0</v>
      </c>
      <c r="C46" s="44" t="s">
        <v>1158</v>
      </c>
      <c r="D46" t="str">
        <f>VLOOKUP(A46,'모터 상세사양값'!$A$1:$CG$27,28,0)</f>
        <v>JK-BT2200</v>
      </c>
      <c r="E46" t="str">
        <f>VLOOKUP(A46,'모터 상세사양값'!$A$1:$CG$27,30,0)</f>
        <v>JEIL REDUCER</v>
      </c>
      <c r="F46" t="str">
        <f>VLOOKUP(A46,'모터 상세사양값'!$A$1:$CG$27,52,0)</f>
        <v>F</v>
      </c>
      <c r="G46" t="str">
        <f>VLOOKUP(A46,'모터 상세사양값'!$A$1:$CG$27,54,0)</f>
        <v>IP55</v>
      </c>
      <c r="H46" t="str">
        <f>VLOOKUP(A46,'모터 상세사양값'!$A$1:$CG$27,56,0)</f>
        <v>6</v>
      </c>
      <c r="I46" t="str">
        <f>VLOOKUP(A46,'모터 상세사양값'!$A$1:$CG$27,58,0)</f>
        <v>30</v>
      </c>
      <c r="J46" t="str">
        <f>VLOOKUP(A46,'모터 상세사양값'!$A$1:$CG$27,60,0)</f>
        <v>440</v>
      </c>
      <c r="K46" t="str">
        <f>VLOOKUP(A46,'모터 상세사양값'!$A$1:$CG$27,62,0)</f>
        <v>60</v>
      </c>
      <c r="L46" t="str">
        <f>VLOOKUP(A46,'모터 상세사양값'!$A$1:$CG$27,64,0)</f>
        <v>1200</v>
      </c>
      <c r="M46" t="str">
        <f>VLOOKUP(A46,'모터 상세사양값'!$A$1:$CG$27,66,0)</f>
        <v>1/15</v>
      </c>
      <c r="N46" t="s">
        <v>14778</v>
      </c>
    </row>
    <row r="47" spans="1:14" x14ac:dyDescent="0.4">
      <c r="A47" s="55" t="s">
        <v>14751</v>
      </c>
      <c r="B47" s="44" t="s">
        <v>0</v>
      </c>
      <c r="C47" s="44" t="s">
        <v>1158</v>
      </c>
      <c r="D47" t="s">
        <v>1308</v>
      </c>
      <c r="E47" t="s">
        <v>1643</v>
      </c>
      <c r="F47" t="s">
        <v>14476</v>
      </c>
      <c r="G47" t="s">
        <v>1293</v>
      </c>
      <c r="H47">
        <v>8</v>
      </c>
      <c r="I47">
        <v>20</v>
      </c>
      <c r="J47">
        <v>440</v>
      </c>
      <c r="K47">
        <v>60</v>
      </c>
      <c r="L47">
        <v>1750</v>
      </c>
      <c r="M47" t="s">
        <v>14513</v>
      </c>
      <c r="N47" s="57" t="s">
        <v>14750</v>
      </c>
    </row>
    <row r="48" spans="1:14" x14ac:dyDescent="0.4">
      <c r="A48" s="55" t="s">
        <v>14752</v>
      </c>
      <c r="B48" s="44" t="s">
        <v>0</v>
      </c>
      <c r="C48" s="44" t="s">
        <v>1158</v>
      </c>
      <c r="D48" t="s">
        <v>14757</v>
      </c>
      <c r="E48" t="s">
        <v>1643</v>
      </c>
      <c r="F48" t="s">
        <v>14476</v>
      </c>
      <c r="G48" t="s">
        <v>1293</v>
      </c>
      <c r="H48">
        <v>8</v>
      </c>
      <c r="I48">
        <v>30</v>
      </c>
      <c r="J48">
        <v>440</v>
      </c>
      <c r="K48">
        <v>60</v>
      </c>
      <c r="L48">
        <v>1750</v>
      </c>
      <c r="M48" t="s">
        <v>14513</v>
      </c>
      <c r="N48" s="57" t="s">
        <v>14750</v>
      </c>
    </row>
    <row r="49" spans="1:14" x14ac:dyDescent="0.4">
      <c r="A49" s="55" t="s">
        <v>14753</v>
      </c>
      <c r="B49" s="44" t="s">
        <v>0</v>
      </c>
      <c r="C49" s="44" t="s">
        <v>1158</v>
      </c>
      <c r="D49" t="s">
        <v>1308</v>
      </c>
      <c r="E49" t="s">
        <v>1643</v>
      </c>
      <c r="F49" t="s">
        <v>14476</v>
      </c>
      <c r="G49" t="s">
        <v>1293</v>
      </c>
      <c r="H49">
        <v>8</v>
      </c>
      <c r="I49">
        <v>40</v>
      </c>
      <c r="J49">
        <v>440</v>
      </c>
      <c r="K49">
        <v>60</v>
      </c>
      <c r="L49">
        <v>1750</v>
      </c>
      <c r="M49" t="s">
        <v>14513</v>
      </c>
      <c r="N49" s="57" t="s">
        <v>14750</v>
      </c>
    </row>
    <row r="50" spans="1:14" x14ac:dyDescent="0.4">
      <c r="A50" s="55" t="s">
        <v>14754</v>
      </c>
      <c r="B50" s="44" t="s">
        <v>0</v>
      </c>
      <c r="C50" s="44" t="s">
        <v>1158</v>
      </c>
      <c r="D50" t="s">
        <v>14758</v>
      </c>
      <c r="E50" t="s">
        <v>1643</v>
      </c>
      <c r="F50" t="s">
        <v>14476</v>
      </c>
      <c r="G50" t="s">
        <v>1293</v>
      </c>
      <c r="H50">
        <v>8</v>
      </c>
      <c r="I50">
        <v>50</v>
      </c>
      <c r="J50">
        <v>440</v>
      </c>
      <c r="K50">
        <v>60</v>
      </c>
      <c r="L50">
        <v>1750</v>
      </c>
      <c r="M50" t="s">
        <v>14513</v>
      </c>
      <c r="N50" s="57" t="s">
        <v>14750</v>
      </c>
    </row>
    <row r="51" spans="1:14" x14ac:dyDescent="0.4">
      <c r="A51" s="55" t="s">
        <v>14755</v>
      </c>
      <c r="B51" s="44" t="s">
        <v>0</v>
      </c>
      <c r="C51" s="44" t="s">
        <v>1158</v>
      </c>
      <c r="D51" t="s">
        <v>1308</v>
      </c>
      <c r="E51" t="s">
        <v>1643</v>
      </c>
      <c r="F51" t="s">
        <v>14476</v>
      </c>
      <c r="G51" t="s">
        <v>1293</v>
      </c>
      <c r="H51">
        <v>8</v>
      </c>
      <c r="I51">
        <v>60</v>
      </c>
      <c r="J51">
        <v>440</v>
      </c>
      <c r="K51">
        <v>60</v>
      </c>
      <c r="L51">
        <v>1750</v>
      </c>
      <c r="M51" t="s">
        <v>14513</v>
      </c>
      <c r="N51" s="57" t="s">
        <v>14750</v>
      </c>
    </row>
    <row r="52" spans="1:14" x14ac:dyDescent="0.4">
      <c r="A52" s="55" t="s">
        <v>14756</v>
      </c>
      <c r="B52" s="44" t="s">
        <v>0</v>
      </c>
      <c r="C52" s="44" t="s">
        <v>1158</v>
      </c>
      <c r="D52" t="s">
        <v>14759</v>
      </c>
      <c r="E52" t="s">
        <v>1643</v>
      </c>
      <c r="F52" t="s">
        <v>14476</v>
      </c>
      <c r="G52" t="s">
        <v>1293</v>
      </c>
      <c r="H52">
        <v>8</v>
      </c>
      <c r="I52">
        <v>70</v>
      </c>
      <c r="J52">
        <v>440</v>
      </c>
      <c r="K52">
        <v>60</v>
      </c>
      <c r="L52">
        <v>1750</v>
      </c>
      <c r="M52" t="s">
        <v>14513</v>
      </c>
      <c r="N52" s="57" t="s">
        <v>14750</v>
      </c>
    </row>
    <row r="53" spans="1:14" x14ac:dyDescent="0.4">
      <c r="A53" s="44"/>
      <c r="B53" s="44"/>
      <c r="C53" s="44"/>
    </row>
    <row r="54" spans="1:14" ht="18" thickBot="1" x14ac:dyDescent="0.45">
      <c r="A54" s="3" t="s">
        <v>1107</v>
      </c>
      <c r="B54" s="3" t="s">
        <v>1108</v>
      </c>
      <c r="C54" s="3" t="s">
        <v>1109</v>
      </c>
      <c r="D54" s="3" t="s">
        <v>1119</v>
      </c>
      <c r="E54" s="3" t="s">
        <v>14383</v>
      </c>
      <c r="F54" s="3" t="s">
        <v>14590</v>
      </c>
      <c r="G54" s="3" t="s">
        <v>14592</v>
      </c>
      <c r="H54" s="3" t="s">
        <v>14593</v>
      </c>
      <c r="I54" s="3" t="s">
        <v>1128</v>
      </c>
      <c r="J54" s="3" t="s">
        <v>14779</v>
      </c>
    </row>
    <row r="55" spans="1:14" x14ac:dyDescent="0.4">
      <c r="A55" s="44" t="s">
        <v>13377</v>
      </c>
      <c r="B55" s="44" t="s">
        <v>93</v>
      </c>
      <c r="C55" s="44" t="s">
        <v>11999</v>
      </c>
      <c r="D55" t="str">
        <f>VLOOKUP(A55,'protection Relay 상세사양'!$A$1:$CG$47,32,0)</f>
        <v>DMP06I-T</v>
      </c>
      <c r="E55" t="str">
        <f>VLOOKUP(A55,'protection Relay 상세사양'!$A$1:$CG$47,34,0)</f>
        <v>LS</v>
      </c>
      <c r="F55" t="str">
        <f>VLOOKUP(A55,'protection Relay 상세사양'!$A$1:$CG$47,50,0)</f>
        <v>100-260VAC</v>
      </c>
      <c r="G55">
        <f>VLOOKUP(A55,'protection Relay 상세사양'!$A$1:$CG$47,52,0)</f>
        <v>0</v>
      </c>
      <c r="H55">
        <f>VLOOKUP(A55,'protection Relay 상세사양'!$A$1:$CG$47,54,0)</f>
        <v>0</v>
      </c>
      <c r="I55">
        <f>VLOOKUP(A55,'protection Relay 상세사양'!$A$1:$CG$47,58,0)</f>
        <v>0</v>
      </c>
      <c r="J55" t="s">
        <v>14778</v>
      </c>
    </row>
    <row r="56" spans="1:14" x14ac:dyDescent="0.4">
      <c r="A56" s="44" t="s">
        <v>13685</v>
      </c>
      <c r="B56" s="44" t="s">
        <v>0</v>
      </c>
      <c r="C56" s="44" t="s">
        <v>11999</v>
      </c>
      <c r="D56" t="str">
        <f>VLOOKUP(A56,'protection Relay 상세사양'!$A$1:$CG$47,32,0)</f>
        <v>DMP65I-TZ</v>
      </c>
      <c r="E56" t="str">
        <f>VLOOKUP(A56,'protection Relay 상세사양'!$A$1:$CG$47,34,0)</f>
        <v>LS</v>
      </c>
      <c r="F56" t="str">
        <f>VLOOKUP(A56,'protection Relay 상세사양'!$A$1:$CG$47,50,0)</f>
        <v>80~250VAC/DC</v>
      </c>
      <c r="G56">
        <f>VLOOKUP(A56,'protection Relay 상세사양'!$A$1:$CG$47,52,0)</f>
        <v>0</v>
      </c>
      <c r="H56">
        <f>VLOOKUP(A56,'protection Relay 상세사양'!$A$1:$CG$47,54,0)</f>
        <v>0</v>
      </c>
      <c r="I56">
        <f>VLOOKUP(A56,'protection Relay 상세사양'!$A$1:$CG$47,58,0)</f>
        <v>0</v>
      </c>
      <c r="J56" t="s">
        <v>14778</v>
      </c>
    </row>
    <row r="57" spans="1:14" x14ac:dyDescent="0.4">
      <c r="A57" s="44" t="s">
        <v>14007</v>
      </c>
      <c r="B57" s="44" t="s">
        <v>93</v>
      </c>
      <c r="C57" s="44" t="s">
        <v>11999</v>
      </c>
      <c r="D57" t="str">
        <f>VLOOKUP(A57,'protection Relay 상세사양'!$A$1:$CG$47,32,0)</f>
        <v>DMP65I-T</v>
      </c>
      <c r="E57" t="str">
        <f>VLOOKUP(A57,'protection Relay 상세사양'!$A$1:$CG$47,34,0)</f>
        <v>LS</v>
      </c>
      <c r="F57" t="str">
        <f>VLOOKUP(A57,'protection Relay 상세사양'!$A$1:$CG$47,50,0)</f>
        <v>100-260VAC</v>
      </c>
      <c r="G57">
        <f>VLOOKUP(A57,'protection Relay 상세사양'!$A$1:$CG$47,52,0)</f>
        <v>0</v>
      </c>
      <c r="H57">
        <f>VLOOKUP(A57,'protection Relay 상세사양'!$A$1:$CG$47,54,0)</f>
        <v>0</v>
      </c>
      <c r="I57">
        <f>VLOOKUP(A57,'protection Relay 상세사양'!$A$1:$CG$47,58,0)</f>
        <v>0</v>
      </c>
      <c r="J57" t="s">
        <v>14778</v>
      </c>
    </row>
    <row r="58" spans="1:14" x14ac:dyDescent="0.4">
      <c r="A58" s="44" t="s">
        <v>14121</v>
      </c>
      <c r="B58" s="44" t="s">
        <v>93</v>
      </c>
      <c r="C58" s="44" t="s">
        <v>11999</v>
      </c>
      <c r="D58" t="str">
        <f>VLOOKUP(A58,'protection Relay 상세사양'!$A$1:$CG$47,32,0)</f>
        <v>WYGF-D12NC</v>
      </c>
      <c r="E58" t="str">
        <f>VLOOKUP(A58,'protection Relay 상세사양'!$A$1:$CG$47,34,0)</f>
        <v>WOONYOUNG</v>
      </c>
      <c r="F58" t="str">
        <f>VLOOKUP(A58,'protection Relay 상세사양'!$A$1:$CG$47,50,0)</f>
        <v>OTHERS</v>
      </c>
      <c r="G58">
        <f>VLOOKUP(A58,'protection Relay 상세사양'!$A$1:$CG$47,52,0)</f>
        <v>0</v>
      </c>
      <c r="H58" t="str">
        <f>VLOOKUP(A58,'protection Relay 상세사양'!$A$1:$CG$47,54,0)</f>
        <v>0.1 ~ 10S</v>
      </c>
      <c r="I58" t="str">
        <f>VLOOKUP(A58,'protection Relay 상세사양'!$A$1:$CG$47,58,0)</f>
        <v xml:space="preserve"> AC/DC110~220V</v>
      </c>
      <c r="J58" t="s">
        <v>14778</v>
      </c>
    </row>
    <row r="59" spans="1:14" x14ac:dyDescent="0.4">
      <c r="A59" s="44" t="s">
        <v>12594</v>
      </c>
      <c r="B59" s="44" t="s">
        <v>2494</v>
      </c>
      <c r="C59" s="44" t="s">
        <v>11999</v>
      </c>
      <c r="D59" t="str">
        <f>VLOOKUP(A59,'protection Relay 상세사양'!$A$1:$CG$47,32,0)</f>
        <v>3RU2146-4KB0</v>
      </c>
      <c r="E59" t="str">
        <f>VLOOKUP(A59,'protection Relay 상세사양'!$A$1:$CG$47,34,0)</f>
        <v>SIEMENS</v>
      </c>
      <c r="F59" t="str">
        <f>VLOOKUP(A59,'protection Relay 상세사양'!$A$1:$CG$47,50,0)</f>
        <v>AC 440V</v>
      </c>
      <c r="G59" t="str">
        <f>VLOOKUP(A59,'protection Relay 상세사양'!$A$1:$CG$47,52,0)</f>
        <v>57~75A</v>
      </c>
      <c r="H59">
        <f>VLOOKUP(A59,'protection Relay 상세사양'!$A$1:$CG$47,54,0)</f>
        <v>0</v>
      </c>
      <c r="I59">
        <f>VLOOKUP(A59,'protection Relay 상세사양'!$A$1:$CG$47,58,0)</f>
        <v>0</v>
      </c>
      <c r="J59" t="s">
        <v>14778</v>
      </c>
    </row>
    <row r="60" spans="1:14" x14ac:dyDescent="0.4">
      <c r="A60" s="44" t="s">
        <v>12576</v>
      </c>
      <c r="B60" s="44" t="s">
        <v>2494</v>
      </c>
      <c r="C60" s="44" t="s">
        <v>11999</v>
      </c>
      <c r="D60" t="str">
        <f>VLOOKUP(A60,'protection Relay 상세사양'!$A$1:$CG$47,32,0)</f>
        <v>3RU5146-4KB0</v>
      </c>
      <c r="E60" t="str">
        <f>VLOOKUP(A60,'protection Relay 상세사양'!$A$1:$CG$47,34,0)</f>
        <v>SIEMENS</v>
      </c>
      <c r="F60" t="str">
        <f>VLOOKUP(A60,'protection Relay 상세사양'!$A$1:$CG$47,50,0)</f>
        <v>AC 440V</v>
      </c>
      <c r="G60" t="str">
        <f>VLOOKUP(A60,'protection Relay 상세사양'!$A$1:$CG$47,52,0)</f>
        <v>57~75A</v>
      </c>
      <c r="H60">
        <f>VLOOKUP(A60,'protection Relay 상세사양'!$A$1:$CG$47,54,0)</f>
        <v>0</v>
      </c>
      <c r="I60">
        <f>VLOOKUP(A60,'protection Relay 상세사양'!$A$1:$CG$47,58,0)</f>
        <v>0</v>
      </c>
      <c r="J60" t="s">
        <v>14778</v>
      </c>
    </row>
    <row r="61" spans="1:14" x14ac:dyDescent="0.4">
      <c r="A61" s="44" t="s">
        <v>13775</v>
      </c>
      <c r="B61" s="44" t="s">
        <v>0</v>
      </c>
      <c r="C61" s="44" t="s">
        <v>11999</v>
      </c>
      <c r="D61" t="str">
        <f>VLOOKUP(A61,'protection Relay 상세사양'!$A$1:$CG$47,32,0)</f>
        <v>DSP-AOM-02Z7-ZCT-F</v>
      </c>
      <c r="E61" t="str">
        <f>VLOOKUP(A61,'protection Relay 상세사양'!$A$1:$CG$47,34,0)</f>
        <v>SAMWHADSP</v>
      </c>
      <c r="F61" t="str">
        <f>VLOOKUP(A61,'protection Relay 상세사양'!$A$1:$CG$47,50,0)</f>
        <v>100-240VAC</v>
      </c>
      <c r="G61">
        <f>VLOOKUP(A61,'protection Relay 상세사양'!$A$1:$CG$47,52,0)</f>
        <v>0</v>
      </c>
      <c r="H61">
        <f>VLOOKUP(A61,'protection Relay 상세사양'!$A$1:$CG$47,54,0)</f>
        <v>0</v>
      </c>
      <c r="I61">
        <f>VLOOKUP(A61,'protection Relay 상세사양'!$A$1:$CG$47,58,0)</f>
        <v>0</v>
      </c>
      <c r="J61" t="s">
        <v>14778</v>
      </c>
    </row>
    <row r="62" spans="1:14" x14ac:dyDescent="0.4">
      <c r="A62" s="44" t="s">
        <v>13785</v>
      </c>
      <c r="B62" s="44" t="s">
        <v>0</v>
      </c>
      <c r="C62" s="44" t="s">
        <v>11999</v>
      </c>
      <c r="D62" t="str">
        <f>VLOOKUP(A62,'protection Relay 상세사양'!$A$1:$CG$47,32,0)</f>
        <v>DSP-AOM-10Z7-ZCT-F</v>
      </c>
      <c r="E62" t="str">
        <f>VLOOKUP(A62,'protection Relay 상세사양'!$A$1:$CG$47,34,0)</f>
        <v>SAMWHADSP</v>
      </c>
      <c r="F62" t="str">
        <f>VLOOKUP(A62,'protection Relay 상세사양'!$A$1:$CG$47,50,0)</f>
        <v>100-240VAC</v>
      </c>
      <c r="G62">
        <f>VLOOKUP(A62,'protection Relay 상세사양'!$A$1:$CG$47,52,0)</f>
        <v>0</v>
      </c>
      <c r="H62">
        <f>VLOOKUP(A62,'protection Relay 상세사양'!$A$1:$CG$47,54,0)</f>
        <v>0</v>
      </c>
      <c r="I62">
        <f>VLOOKUP(A62,'protection Relay 상세사양'!$A$1:$CG$47,58,0)</f>
        <v>0</v>
      </c>
      <c r="J62" t="s">
        <v>14778</v>
      </c>
    </row>
    <row r="63" spans="1:14" x14ac:dyDescent="0.4">
      <c r="A63" s="44" t="s">
        <v>13791</v>
      </c>
      <c r="B63" s="44" t="s">
        <v>0</v>
      </c>
      <c r="C63" s="44" t="s">
        <v>11999</v>
      </c>
      <c r="D63" t="str">
        <f>VLOOKUP(A63,'protection Relay 상세사양'!$A$1:$CG$47,32,0)</f>
        <v>DSP-AOM-70Z7-ZCT-F</v>
      </c>
      <c r="E63" t="str">
        <f>VLOOKUP(A63,'protection Relay 상세사양'!$A$1:$CG$47,34,0)</f>
        <v>SAMWHADSP</v>
      </c>
      <c r="F63" t="str">
        <f>VLOOKUP(A63,'protection Relay 상세사양'!$A$1:$CG$47,50,0)</f>
        <v>100-240VAC</v>
      </c>
      <c r="G63">
        <f>VLOOKUP(A63,'protection Relay 상세사양'!$A$1:$CG$47,52,0)</f>
        <v>0</v>
      </c>
      <c r="H63">
        <f>VLOOKUP(A63,'protection Relay 상세사양'!$A$1:$CG$47,54,0)</f>
        <v>0</v>
      </c>
      <c r="I63">
        <f>VLOOKUP(A63,'protection Relay 상세사양'!$A$1:$CG$47,58,0)</f>
        <v>0</v>
      </c>
      <c r="J63" t="s">
        <v>14778</v>
      </c>
    </row>
    <row r="64" spans="1:14" x14ac:dyDescent="0.4">
      <c r="A64" s="44" t="s">
        <v>13994</v>
      </c>
      <c r="B64" s="44" t="s">
        <v>93</v>
      </c>
      <c r="C64" s="44" t="s">
        <v>11999</v>
      </c>
      <c r="D64" t="str">
        <f>VLOOKUP(A64,'protection Relay 상세사양'!$A$1:$CG$47,32,0)</f>
        <v>DSP-AOL-02Z7-F</v>
      </c>
      <c r="E64" t="str">
        <f>VLOOKUP(A64,'protection Relay 상세사양'!$A$1:$CG$47,34,0)</f>
        <v>SAMWHADSP</v>
      </c>
      <c r="F64" t="str">
        <f>VLOOKUP(A64,'protection Relay 상세사양'!$A$1:$CG$47,50,0)</f>
        <v>100-240VAC</v>
      </c>
      <c r="G64">
        <f>VLOOKUP(A64,'protection Relay 상세사양'!$A$1:$CG$47,52,0)</f>
        <v>0</v>
      </c>
      <c r="H64">
        <f>VLOOKUP(A64,'protection Relay 상세사양'!$A$1:$CG$47,54,0)</f>
        <v>0</v>
      </c>
      <c r="I64">
        <f>VLOOKUP(A64,'protection Relay 상세사양'!$A$1:$CG$47,58,0)</f>
        <v>0</v>
      </c>
      <c r="J64" t="s">
        <v>14778</v>
      </c>
    </row>
    <row r="65" spans="1:10" x14ac:dyDescent="0.4">
      <c r="A65" s="44" t="s">
        <v>14012</v>
      </c>
      <c r="B65" s="44" t="s">
        <v>0</v>
      </c>
      <c r="C65" s="44" t="s">
        <v>11999</v>
      </c>
      <c r="D65" t="str">
        <f>VLOOKUP(A65,'protection Relay 상세사양'!$A$1:$CG$47,32,0)</f>
        <v>DSP-IR-Z7-C-F</v>
      </c>
      <c r="E65" t="str">
        <f>VLOOKUP(A65,'protection Relay 상세사양'!$A$1:$CG$47,34,0)</f>
        <v>SAM WHA DSP</v>
      </c>
      <c r="F65" t="str">
        <f>VLOOKUP(A65,'protection Relay 상세사양'!$A$1:$CG$47,50,0)</f>
        <v>DC 24V</v>
      </c>
      <c r="G65">
        <f>VLOOKUP(A65,'protection Relay 상세사양'!$A$1:$CG$47,52,0)</f>
        <v>0</v>
      </c>
      <c r="H65">
        <f>VLOOKUP(A65,'protection Relay 상세사양'!$A$1:$CG$47,54,0)</f>
        <v>0</v>
      </c>
      <c r="I65">
        <f>VLOOKUP(A65,'protection Relay 상세사양'!$A$1:$CG$47,58,0)</f>
        <v>0</v>
      </c>
      <c r="J65" t="s">
        <v>14778</v>
      </c>
    </row>
    <row r="66" spans="1:10" x14ac:dyDescent="0.4">
      <c r="A66" s="44" t="s">
        <v>14023</v>
      </c>
      <c r="B66" s="44" t="s">
        <v>0</v>
      </c>
      <c r="C66" s="44" t="s">
        <v>11999</v>
      </c>
      <c r="D66" t="str">
        <f>VLOOKUP(A66,'protection Relay 상세사양'!$A$1:$CG$47,32,0)</f>
        <v>DSP-IRM-Z7-C-F</v>
      </c>
      <c r="E66" t="str">
        <f>VLOOKUP(A66,'protection Relay 상세사양'!$A$1:$CG$47,34,0)</f>
        <v>SAM WHA DSP</v>
      </c>
      <c r="F66" t="str">
        <f>VLOOKUP(A66,'protection Relay 상세사양'!$A$1:$CG$47,50,0)</f>
        <v>DC 24V</v>
      </c>
      <c r="G66">
        <f>VLOOKUP(A66,'protection Relay 상세사양'!$A$1:$CG$47,52,0)</f>
        <v>0</v>
      </c>
      <c r="H66">
        <f>VLOOKUP(A66,'protection Relay 상세사양'!$A$1:$CG$47,54,0)</f>
        <v>0</v>
      </c>
      <c r="I66">
        <f>VLOOKUP(A66,'protection Relay 상세사양'!$A$1:$CG$47,58,0)</f>
        <v>0</v>
      </c>
      <c r="J66" t="s">
        <v>14778</v>
      </c>
    </row>
    <row r="67" spans="1:10" x14ac:dyDescent="0.4">
      <c r="A67" s="44" t="s">
        <v>12915</v>
      </c>
      <c r="B67" s="44" t="s">
        <v>93</v>
      </c>
      <c r="C67" s="44" t="s">
        <v>11999</v>
      </c>
      <c r="D67" t="str">
        <f>VLOOKUP(A67,'protection Relay 상세사양'!$A$1:$CG$47,32,0)</f>
        <v>WYER-D16NC</v>
      </c>
      <c r="E67" t="str">
        <f>VLOOKUP(A67,'protection Relay 상세사양'!$A$1:$CG$47,34,0)</f>
        <v>WOONYOUNG</v>
      </c>
      <c r="F67" t="str">
        <f>VLOOKUP(A67,'protection Relay 상세사양'!$A$1:$CG$47,50,0)</f>
        <v>DC 24V</v>
      </c>
      <c r="G67">
        <f>VLOOKUP(A67,'protection Relay 상세사양'!$A$1:$CG$47,52,0)</f>
        <v>0</v>
      </c>
      <c r="H67">
        <f>VLOOKUP(A67,'protection Relay 상세사양'!$A$1:$CG$47,54,0)</f>
        <v>0</v>
      </c>
      <c r="I67" t="str">
        <f>VLOOKUP(A67,'protection Relay 상세사양'!$A$1:$CG$47,58,0)</f>
        <v>ELD,EARTH LEAKAGE DETECTOR</v>
      </c>
      <c r="J67" t="s">
        <v>14778</v>
      </c>
    </row>
    <row r="68" spans="1:10" x14ac:dyDescent="0.4">
      <c r="A68" s="44" t="s">
        <v>13898</v>
      </c>
      <c r="B68" s="44" t="s">
        <v>93</v>
      </c>
      <c r="C68" s="44" t="s">
        <v>11999</v>
      </c>
      <c r="D68" t="str">
        <f>VLOOKUP(A68,'protection Relay 상세사양'!$A$1:$CG$47,32,0)</f>
        <v>WYGF-D11T</v>
      </c>
      <c r="E68" t="str">
        <f>VLOOKUP(A68,'protection Relay 상세사양'!$A$1:$CG$47,34,0)</f>
        <v>WOONYOUNG</v>
      </c>
      <c r="F68" t="str">
        <f>VLOOKUP(A68,'protection Relay 상세사양'!$A$1:$CG$47,50,0)</f>
        <v>AC110-220V</v>
      </c>
      <c r="G68">
        <f>VLOOKUP(A68,'protection Relay 상세사양'!$A$1:$CG$47,52,0)</f>
        <v>0</v>
      </c>
      <c r="H68">
        <f>VLOOKUP(A68,'protection Relay 상세사양'!$A$1:$CG$47,54,0)</f>
        <v>0</v>
      </c>
      <c r="I68">
        <f>VLOOKUP(A68,'protection Relay 상세사양'!$A$1:$CG$47,58,0)</f>
        <v>0</v>
      </c>
      <c r="J68" t="s">
        <v>14778</v>
      </c>
    </row>
    <row r="69" spans="1:10" x14ac:dyDescent="0.4">
      <c r="A69" s="44" t="s">
        <v>13480</v>
      </c>
      <c r="B69" s="44" t="s">
        <v>93</v>
      </c>
      <c r="C69" s="44" t="s">
        <v>11999</v>
      </c>
      <c r="D69" t="str">
        <f>VLOOKUP(A69,'protection Relay 상세사양'!$A$1:$CG$47,32,0)</f>
        <v>GD12-L05A</v>
      </c>
      <c r="E69" t="str">
        <f>VLOOKUP(A69,'protection Relay 상세사양'!$A$1:$CG$47,34,0)</f>
        <v>KYONGBO</v>
      </c>
      <c r="F69" t="str">
        <f>VLOOKUP(A69,'protection Relay 상세사양'!$A$1:$CG$47,50,0)</f>
        <v>AC110-220V</v>
      </c>
      <c r="G69">
        <f>VLOOKUP(A69,'protection Relay 상세사양'!$A$1:$CG$47,52,0)</f>
        <v>0</v>
      </c>
      <c r="H69">
        <f>VLOOKUP(A69,'protection Relay 상세사양'!$A$1:$CG$47,54,0)</f>
        <v>0</v>
      </c>
      <c r="I69" t="str">
        <f>VLOOKUP(A69,'protection Relay 상세사양'!$A$1:$CG$47,58,0)</f>
        <v>60HZ</v>
      </c>
      <c r="J69" s="57" t="s">
        <v>14750</v>
      </c>
    </row>
    <row r="70" spans="1:10" x14ac:dyDescent="0.4">
      <c r="A70" s="55" t="s">
        <v>14760</v>
      </c>
      <c r="B70" s="44" t="s">
        <v>93</v>
      </c>
      <c r="C70" s="44" t="s">
        <v>11999</v>
      </c>
      <c r="D70" t="s">
        <v>14769</v>
      </c>
      <c r="E70" t="s">
        <v>3756</v>
      </c>
      <c r="F70" t="s">
        <v>14598</v>
      </c>
      <c r="G70">
        <v>0</v>
      </c>
      <c r="H70">
        <v>0</v>
      </c>
      <c r="I70" t="s">
        <v>13483</v>
      </c>
      <c r="J70" s="57" t="s">
        <v>14750</v>
      </c>
    </row>
    <row r="71" spans="1:10" x14ac:dyDescent="0.4">
      <c r="A71" s="55" t="s">
        <v>14761</v>
      </c>
      <c r="B71" s="44" t="s">
        <v>93</v>
      </c>
      <c r="C71" s="44" t="s">
        <v>11999</v>
      </c>
      <c r="D71" t="s">
        <v>14770</v>
      </c>
      <c r="E71" t="s">
        <v>3756</v>
      </c>
      <c r="F71" t="s">
        <v>14598</v>
      </c>
      <c r="G71">
        <v>0</v>
      </c>
      <c r="H71">
        <v>0</v>
      </c>
      <c r="I71" t="s">
        <v>13483</v>
      </c>
      <c r="J71" s="57" t="s">
        <v>14750</v>
      </c>
    </row>
    <row r="72" spans="1:10" x14ac:dyDescent="0.4">
      <c r="A72" s="55" t="s">
        <v>14762</v>
      </c>
      <c r="B72" s="44" t="s">
        <v>93</v>
      </c>
      <c r="C72" s="44" t="s">
        <v>11999</v>
      </c>
      <c r="D72" t="s">
        <v>14771</v>
      </c>
      <c r="E72" t="s">
        <v>3756</v>
      </c>
      <c r="F72" t="s">
        <v>14598</v>
      </c>
      <c r="G72">
        <v>0</v>
      </c>
      <c r="H72">
        <v>0</v>
      </c>
      <c r="I72" t="s">
        <v>13483</v>
      </c>
      <c r="J72" s="57" t="s">
        <v>14750</v>
      </c>
    </row>
    <row r="73" spans="1:10" x14ac:dyDescent="0.4">
      <c r="A73" s="55" t="s">
        <v>14763</v>
      </c>
      <c r="B73" s="44" t="s">
        <v>93</v>
      </c>
      <c r="C73" s="44" t="s">
        <v>11999</v>
      </c>
      <c r="D73" t="s">
        <v>14772</v>
      </c>
      <c r="E73" t="s">
        <v>3756</v>
      </c>
      <c r="F73" t="s">
        <v>14598</v>
      </c>
      <c r="G73">
        <v>0</v>
      </c>
      <c r="H73">
        <v>0</v>
      </c>
      <c r="I73" t="s">
        <v>13483</v>
      </c>
      <c r="J73" s="57" t="s">
        <v>14750</v>
      </c>
    </row>
    <row r="74" spans="1:10" x14ac:dyDescent="0.4">
      <c r="A74" s="55" t="s">
        <v>14764</v>
      </c>
      <c r="B74" s="44" t="s">
        <v>93</v>
      </c>
      <c r="C74" s="44" t="s">
        <v>11999</v>
      </c>
      <c r="D74" t="s">
        <v>14773</v>
      </c>
      <c r="E74" t="s">
        <v>3756</v>
      </c>
      <c r="F74" t="s">
        <v>14598</v>
      </c>
      <c r="G74">
        <v>0</v>
      </c>
      <c r="H74">
        <v>0</v>
      </c>
      <c r="I74" t="s">
        <v>13483</v>
      </c>
      <c r="J74" s="57" t="s">
        <v>14750</v>
      </c>
    </row>
    <row r="75" spans="1:10" x14ac:dyDescent="0.4">
      <c r="A75" s="55" t="s">
        <v>14765</v>
      </c>
      <c r="B75" s="44" t="s">
        <v>93</v>
      </c>
      <c r="C75" s="44" t="s">
        <v>11999</v>
      </c>
      <c r="D75" t="s">
        <v>14774</v>
      </c>
      <c r="E75" t="s">
        <v>3756</v>
      </c>
      <c r="F75" t="s">
        <v>14598</v>
      </c>
      <c r="G75">
        <v>0</v>
      </c>
      <c r="H75">
        <v>0</v>
      </c>
      <c r="I75" t="s">
        <v>13483</v>
      </c>
      <c r="J75" s="57" t="s">
        <v>14750</v>
      </c>
    </row>
    <row r="76" spans="1:10" x14ac:dyDescent="0.4">
      <c r="A76" s="55" t="s">
        <v>14766</v>
      </c>
      <c r="B76" s="44" t="s">
        <v>93</v>
      </c>
      <c r="C76" s="44" t="s">
        <v>11999</v>
      </c>
      <c r="D76" t="s">
        <v>14775</v>
      </c>
      <c r="E76" t="s">
        <v>3756</v>
      </c>
      <c r="F76" t="s">
        <v>14598</v>
      </c>
      <c r="G76">
        <v>0</v>
      </c>
      <c r="H76">
        <v>0</v>
      </c>
      <c r="I76" t="s">
        <v>13483</v>
      </c>
      <c r="J76" s="57" t="s">
        <v>14750</v>
      </c>
    </row>
    <row r="77" spans="1:10" x14ac:dyDescent="0.4">
      <c r="A77" s="55" t="s">
        <v>14767</v>
      </c>
      <c r="B77" s="44" t="s">
        <v>93</v>
      </c>
      <c r="C77" s="44" t="s">
        <v>11999</v>
      </c>
      <c r="D77" t="s">
        <v>14776</v>
      </c>
      <c r="E77" t="s">
        <v>3756</v>
      </c>
      <c r="F77" t="s">
        <v>14598</v>
      </c>
      <c r="G77">
        <v>0</v>
      </c>
      <c r="H77">
        <v>0</v>
      </c>
      <c r="I77" t="s">
        <v>13483</v>
      </c>
      <c r="J77" s="57" t="s">
        <v>14750</v>
      </c>
    </row>
    <row r="78" spans="1:10" x14ac:dyDescent="0.4">
      <c r="A78" s="55" t="s">
        <v>14768</v>
      </c>
      <c r="B78" s="44" t="s">
        <v>93</v>
      </c>
      <c r="C78" s="44" t="s">
        <v>11999</v>
      </c>
      <c r="D78" t="s">
        <v>14777</v>
      </c>
      <c r="E78" t="s">
        <v>3756</v>
      </c>
      <c r="F78" t="s">
        <v>14598</v>
      </c>
      <c r="G78">
        <v>0</v>
      </c>
      <c r="H78">
        <v>0</v>
      </c>
      <c r="I78" t="s">
        <v>13483</v>
      </c>
      <c r="J78" s="57" t="s">
        <v>14750</v>
      </c>
    </row>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ECA2E-87D1-4520-B760-C78F09BD797A}">
  <sheetPr filterMode="1"/>
  <dimension ref="A1:AU109"/>
  <sheetViews>
    <sheetView topLeftCell="A7" workbookViewId="0">
      <selection activeCell="AE1" sqref="AE1:AE70"/>
    </sheetView>
  </sheetViews>
  <sheetFormatPr defaultRowHeight="17.399999999999999" x14ac:dyDescent="0.4"/>
  <cols>
    <col min="1" max="1" width="9.796875" bestFit="1" customWidth="1"/>
    <col min="2" max="2" width="9.296875" style="12" customWidth="1"/>
    <col min="5" max="25" width="0" hidden="1" customWidth="1"/>
    <col min="28" max="28" width="31.296875" customWidth="1"/>
    <col min="31" max="31" width="31.296875" customWidth="1"/>
  </cols>
  <sheetData>
    <row r="1" spans="1:47" ht="18" thickBot="1" x14ac:dyDescent="0.45">
      <c r="A1" s="3" t="s">
        <v>1107</v>
      </c>
      <c r="B1" s="3">
        <f>COUNTA(B2:B1048576)</f>
        <v>77</v>
      </c>
      <c r="C1" s="3" t="s">
        <v>1108</v>
      </c>
      <c r="D1" s="3" t="s">
        <v>1109</v>
      </c>
      <c r="E1" s="3" t="s">
        <v>1110</v>
      </c>
      <c r="F1" s="3" t="s">
        <v>1111</v>
      </c>
      <c r="G1" s="3" t="s">
        <v>1112</v>
      </c>
      <c r="H1" s="3" t="s">
        <v>1113</v>
      </c>
      <c r="I1" s="3" t="s">
        <v>1114</v>
      </c>
      <c r="J1" s="3" t="s">
        <v>1115</v>
      </c>
      <c r="K1" s="3" t="s">
        <v>1116</v>
      </c>
      <c r="L1" s="3" t="s">
        <v>1117</v>
      </c>
      <c r="M1" s="3" t="s">
        <v>1118</v>
      </c>
      <c r="N1" s="3" t="s">
        <v>1119</v>
      </c>
      <c r="O1" s="3" t="s">
        <v>1120</v>
      </c>
      <c r="P1" s="3" t="s">
        <v>1121</v>
      </c>
      <c r="Q1" s="3" t="s">
        <v>1122</v>
      </c>
      <c r="R1" s="3" t="s">
        <v>1123</v>
      </c>
      <c r="S1" s="3" t="s">
        <v>1124</v>
      </c>
      <c r="T1" s="3" t="s">
        <v>1125</v>
      </c>
      <c r="U1" s="3" t="s">
        <v>1126</v>
      </c>
      <c r="V1" s="3" t="s">
        <v>1127</v>
      </c>
      <c r="W1" s="3" t="s">
        <v>1128</v>
      </c>
      <c r="X1" s="3" t="s">
        <v>1129</v>
      </c>
      <c r="Y1" s="3" t="s">
        <v>1130</v>
      </c>
      <c r="Z1" s="3" t="s">
        <v>1131</v>
      </c>
      <c r="AA1" s="3" t="s">
        <v>1132</v>
      </c>
      <c r="AB1" s="5" t="s">
        <v>1133</v>
      </c>
      <c r="AC1" s="3" t="s">
        <v>1134</v>
      </c>
      <c r="AD1" s="3" t="s">
        <v>1135</v>
      </c>
      <c r="AE1" s="5" t="s">
        <v>1136</v>
      </c>
      <c r="AF1" s="3" t="s">
        <v>1137</v>
      </c>
      <c r="AG1" s="3" t="s">
        <v>1138</v>
      </c>
      <c r="AH1" s="3" t="s">
        <v>1139</v>
      </c>
      <c r="AI1" s="3" t="s">
        <v>1140</v>
      </c>
      <c r="AJ1" s="3" t="s">
        <v>1141</v>
      </c>
      <c r="AK1" s="3" t="s">
        <v>1142</v>
      </c>
      <c r="AL1" s="3" t="s">
        <v>1143</v>
      </c>
      <c r="AM1" s="3" t="s">
        <v>1144</v>
      </c>
      <c r="AN1" s="3" t="s">
        <v>1145</v>
      </c>
      <c r="AO1" s="3" t="s">
        <v>1146</v>
      </c>
      <c r="AP1" s="4" t="s">
        <v>1147</v>
      </c>
      <c r="AQ1" s="4" t="s">
        <v>1151</v>
      </c>
      <c r="AR1" s="3" t="s">
        <v>1148</v>
      </c>
      <c r="AS1" s="3" t="s">
        <v>1149</v>
      </c>
      <c r="AT1" s="3" t="s">
        <v>1150</v>
      </c>
      <c r="AU1" s="3"/>
    </row>
    <row r="2" spans="1:47" x14ac:dyDescent="0.4">
      <c r="A2" s="1" t="s">
        <v>994</v>
      </c>
      <c r="B2" s="10">
        <v>0</v>
      </c>
      <c r="C2" s="1" t="s">
        <v>0</v>
      </c>
      <c r="D2" s="1" t="s">
        <v>17</v>
      </c>
      <c r="E2" s="1" t="s">
        <v>17</v>
      </c>
      <c r="F2" s="1" t="s">
        <v>14</v>
      </c>
      <c r="G2" s="1" t="s">
        <v>1</v>
      </c>
      <c r="H2" s="1" t="s">
        <v>6</v>
      </c>
      <c r="I2" s="1" t="s">
        <v>2</v>
      </c>
      <c r="J2" s="1" t="s">
        <v>3</v>
      </c>
      <c r="K2" s="1" t="s">
        <v>995</v>
      </c>
      <c r="L2" s="1" t="s">
        <v>7</v>
      </c>
      <c r="M2" s="1" t="s">
        <v>9</v>
      </c>
      <c r="N2" s="1" t="s">
        <v>996</v>
      </c>
      <c r="O2" s="1" t="s">
        <v>15</v>
      </c>
      <c r="P2" s="1"/>
      <c r="Q2" s="1"/>
      <c r="R2" s="1" t="s">
        <v>11</v>
      </c>
      <c r="S2" s="1"/>
      <c r="T2" s="1"/>
      <c r="U2" s="1"/>
      <c r="V2" s="1"/>
      <c r="W2" s="1"/>
      <c r="X2" s="1" t="s">
        <v>997</v>
      </c>
      <c r="Y2" s="1"/>
      <c r="Z2" s="1"/>
      <c r="AA2" s="1"/>
      <c r="AB2" s="1" t="s">
        <v>998</v>
      </c>
      <c r="AC2" s="1"/>
      <c r="AD2" s="1"/>
      <c r="AE2" s="1" t="s">
        <v>20</v>
      </c>
      <c r="AF2" s="1"/>
      <c r="AG2" s="1"/>
      <c r="AH2" s="1" t="s">
        <v>999</v>
      </c>
      <c r="AI2" s="1"/>
      <c r="AJ2" s="1" t="s">
        <v>498</v>
      </c>
      <c r="AK2" s="1" t="s">
        <v>218</v>
      </c>
      <c r="AL2" s="1" t="s">
        <v>499</v>
      </c>
      <c r="AM2" s="1" t="s">
        <v>619</v>
      </c>
      <c r="AN2" s="1" t="s">
        <v>218</v>
      </c>
      <c r="AO2" s="1" t="s">
        <v>620</v>
      </c>
      <c r="AP2" s="2" t="s">
        <v>1000</v>
      </c>
      <c r="AQ2" s="2" t="s">
        <v>1155</v>
      </c>
      <c r="AR2" s="1" t="s">
        <v>286</v>
      </c>
      <c r="AS2" s="1" t="s">
        <v>1001</v>
      </c>
      <c r="AT2" s="1" t="s">
        <v>5</v>
      </c>
      <c r="AU2" s="1"/>
    </row>
    <row r="3" spans="1:47" x14ac:dyDescent="0.4">
      <c r="A3" s="1" t="s">
        <v>986</v>
      </c>
      <c r="B3" s="10">
        <v>0</v>
      </c>
      <c r="C3" s="1" t="s">
        <v>0</v>
      </c>
      <c r="D3" s="1" t="s">
        <v>17</v>
      </c>
      <c r="E3" s="1" t="s">
        <v>17</v>
      </c>
      <c r="F3" s="1" t="s">
        <v>14</v>
      </c>
      <c r="G3" s="1" t="s">
        <v>1</v>
      </c>
      <c r="H3" s="1" t="s">
        <v>6</v>
      </c>
      <c r="I3" s="1" t="s">
        <v>2</v>
      </c>
      <c r="J3" s="1" t="s">
        <v>3</v>
      </c>
      <c r="K3" s="1" t="s">
        <v>987</v>
      </c>
      <c r="L3" s="1" t="s">
        <v>7</v>
      </c>
      <c r="M3" s="1" t="s">
        <v>9</v>
      </c>
      <c r="N3" s="1" t="s">
        <v>988</v>
      </c>
      <c r="O3" s="1" t="s">
        <v>15</v>
      </c>
      <c r="P3" s="1"/>
      <c r="Q3" s="1"/>
      <c r="R3" s="1" t="s">
        <v>11</v>
      </c>
      <c r="S3" s="1"/>
      <c r="T3" s="1"/>
      <c r="U3" s="1"/>
      <c r="V3" s="1"/>
      <c r="W3" s="1"/>
      <c r="X3" s="1" t="s">
        <v>989</v>
      </c>
      <c r="Y3" s="1"/>
      <c r="Z3" s="1"/>
      <c r="AA3" s="1"/>
      <c r="AB3" s="1" t="s">
        <v>990</v>
      </c>
      <c r="AC3" s="1"/>
      <c r="AD3" s="1"/>
      <c r="AE3" s="1" t="s">
        <v>20</v>
      </c>
      <c r="AF3" s="1"/>
      <c r="AG3" s="1"/>
      <c r="AH3" s="1" t="s">
        <v>991</v>
      </c>
      <c r="AI3" s="1"/>
      <c r="AJ3" s="1" t="s">
        <v>498</v>
      </c>
      <c r="AK3" s="1" t="s">
        <v>218</v>
      </c>
      <c r="AL3" s="1" t="s">
        <v>499</v>
      </c>
      <c r="AM3" s="1" t="s">
        <v>619</v>
      </c>
      <c r="AN3" s="1" t="s">
        <v>218</v>
      </c>
      <c r="AO3" s="1" t="s">
        <v>620</v>
      </c>
      <c r="AP3" s="2" t="s">
        <v>992</v>
      </c>
      <c r="AQ3" s="2" t="s">
        <v>1155</v>
      </c>
      <c r="AR3" s="1" t="s">
        <v>286</v>
      </c>
      <c r="AS3" s="1" t="s">
        <v>993</v>
      </c>
      <c r="AT3" s="1" t="s">
        <v>5</v>
      </c>
      <c r="AU3" s="1"/>
    </row>
    <row r="4" spans="1:47" x14ac:dyDescent="0.4">
      <c r="A4" s="1" t="s">
        <v>14263</v>
      </c>
      <c r="B4" s="10">
        <v>0</v>
      </c>
      <c r="C4" s="1" t="s">
        <v>0</v>
      </c>
      <c r="D4" s="1" t="s">
        <v>17</v>
      </c>
      <c r="E4" s="1" t="s">
        <v>17</v>
      </c>
      <c r="F4" s="1" t="s">
        <v>14</v>
      </c>
      <c r="G4" s="1" t="s">
        <v>1</v>
      </c>
      <c r="H4" s="1" t="s">
        <v>6</v>
      </c>
      <c r="I4" s="1" t="s">
        <v>2</v>
      </c>
      <c r="J4" s="1" t="s">
        <v>3</v>
      </c>
      <c r="K4" s="1" t="s">
        <v>1010</v>
      </c>
      <c r="L4" s="1" t="s">
        <v>7</v>
      </c>
      <c r="M4" s="1" t="s">
        <v>9</v>
      </c>
      <c r="N4" s="1" t="s">
        <v>1011</v>
      </c>
      <c r="O4" s="1" t="s">
        <v>15</v>
      </c>
      <c r="P4" s="1"/>
      <c r="Q4" s="1"/>
      <c r="R4" s="1" t="s">
        <v>11</v>
      </c>
      <c r="S4" s="1"/>
      <c r="T4" s="1"/>
      <c r="U4" s="1"/>
      <c r="V4" s="1"/>
      <c r="W4" s="1"/>
      <c r="X4" s="1" t="s">
        <v>1012</v>
      </c>
      <c r="Y4" s="1"/>
      <c r="Z4" s="1"/>
      <c r="AA4" s="1"/>
      <c r="AB4" s="1" t="s">
        <v>1013</v>
      </c>
      <c r="AC4" s="1"/>
      <c r="AD4" s="1"/>
      <c r="AE4" s="1" t="s">
        <v>20</v>
      </c>
      <c r="AF4" s="1"/>
      <c r="AG4" s="1"/>
      <c r="AH4" s="1" t="s">
        <v>1014</v>
      </c>
      <c r="AI4" s="1"/>
      <c r="AJ4" s="1" t="s">
        <v>498</v>
      </c>
      <c r="AK4" s="1" t="s">
        <v>218</v>
      </c>
      <c r="AL4" s="1" t="s">
        <v>499</v>
      </c>
      <c r="AM4" s="1" t="s">
        <v>619</v>
      </c>
      <c r="AN4" s="1" t="s">
        <v>218</v>
      </c>
      <c r="AO4" s="1" t="s">
        <v>620</v>
      </c>
      <c r="AP4" s="2" t="s">
        <v>1015</v>
      </c>
      <c r="AQ4" s="2" t="s">
        <v>1155</v>
      </c>
      <c r="AR4" s="1" t="s">
        <v>286</v>
      </c>
      <c r="AS4" s="1" t="s">
        <v>1016</v>
      </c>
      <c r="AT4" s="1" t="s">
        <v>5</v>
      </c>
      <c r="AU4" s="1"/>
    </row>
    <row r="5" spans="1:47" x14ac:dyDescent="0.4">
      <c r="A5" s="1" t="s">
        <v>1002</v>
      </c>
      <c r="B5" s="10">
        <v>0</v>
      </c>
      <c r="C5" s="1" t="s">
        <v>0</v>
      </c>
      <c r="D5" s="1" t="s">
        <v>17</v>
      </c>
      <c r="E5" s="1" t="s">
        <v>17</v>
      </c>
      <c r="F5" s="1" t="s">
        <v>14</v>
      </c>
      <c r="G5" s="1" t="s">
        <v>1</v>
      </c>
      <c r="H5" s="1" t="s">
        <v>6</v>
      </c>
      <c r="I5" s="1" t="s">
        <v>2</v>
      </c>
      <c r="J5" s="1" t="s">
        <v>3</v>
      </c>
      <c r="K5" s="1" t="s">
        <v>1003</v>
      </c>
      <c r="L5" s="1" t="s">
        <v>7</v>
      </c>
      <c r="M5" s="1" t="s">
        <v>9</v>
      </c>
      <c r="N5" s="1" t="s">
        <v>1004</v>
      </c>
      <c r="O5" s="1" t="s">
        <v>15</v>
      </c>
      <c r="P5" s="1"/>
      <c r="Q5" s="1"/>
      <c r="R5" s="1" t="s">
        <v>11</v>
      </c>
      <c r="S5" s="1"/>
      <c r="T5" s="1"/>
      <c r="U5" s="1"/>
      <c r="V5" s="1"/>
      <c r="W5" s="1"/>
      <c r="X5" s="1" t="s">
        <v>1005</v>
      </c>
      <c r="Y5" s="1"/>
      <c r="Z5" s="1"/>
      <c r="AA5" s="1"/>
      <c r="AB5" s="1" t="s">
        <v>1006</v>
      </c>
      <c r="AC5" s="1"/>
      <c r="AD5" s="1"/>
      <c r="AE5" s="1" t="s">
        <v>20</v>
      </c>
      <c r="AF5" s="1"/>
      <c r="AG5" s="1"/>
      <c r="AH5" s="1" t="s">
        <v>1007</v>
      </c>
      <c r="AI5" s="1"/>
      <c r="AJ5" s="1" t="s">
        <v>498</v>
      </c>
      <c r="AK5" s="1" t="s">
        <v>218</v>
      </c>
      <c r="AL5" s="1" t="s">
        <v>499</v>
      </c>
      <c r="AM5" s="1" t="s">
        <v>619</v>
      </c>
      <c r="AN5" s="1" t="s">
        <v>218</v>
      </c>
      <c r="AO5" s="1" t="s">
        <v>620</v>
      </c>
      <c r="AP5" s="2" t="s">
        <v>1008</v>
      </c>
      <c r="AQ5" s="2" t="s">
        <v>1155</v>
      </c>
      <c r="AR5" s="1" t="s">
        <v>286</v>
      </c>
      <c r="AS5" s="1" t="s">
        <v>1009</v>
      </c>
      <c r="AT5" s="1" t="s">
        <v>5</v>
      </c>
      <c r="AU5" s="1"/>
    </row>
    <row r="6" spans="1:47" hidden="1" x14ac:dyDescent="0.4">
      <c r="A6" s="1" t="s">
        <v>1061</v>
      </c>
      <c r="B6" s="10">
        <v>0</v>
      </c>
      <c r="C6" s="1" t="s">
        <v>0</v>
      </c>
      <c r="D6" s="1" t="s">
        <v>17</v>
      </c>
      <c r="E6" s="1" t="s">
        <v>17</v>
      </c>
      <c r="F6" s="1" t="s">
        <v>14</v>
      </c>
      <c r="G6" s="1" t="s">
        <v>1</v>
      </c>
      <c r="H6" s="1" t="s">
        <v>6</v>
      </c>
      <c r="I6" s="1" t="s">
        <v>2</v>
      </c>
      <c r="J6" s="1" t="s">
        <v>3</v>
      </c>
      <c r="K6" s="1" t="s">
        <v>1062</v>
      </c>
      <c r="L6" s="1" t="s">
        <v>7</v>
      </c>
      <c r="M6" s="1" t="s">
        <v>9</v>
      </c>
      <c r="N6" s="1" t="s">
        <v>1063</v>
      </c>
      <c r="O6" s="1" t="s">
        <v>15</v>
      </c>
      <c r="P6" s="1"/>
      <c r="Q6" s="1"/>
      <c r="R6" s="1" t="s">
        <v>11</v>
      </c>
      <c r="S6" s="1"/>
      <c r="T6" s="1"/>
      <c r="U6" s="1"/>
      <c r="V6" s="1"/>
      <c r="W6" s="1"/>
      <c r="X6" s="1"/>
      <c r="Y6" s="1"/>
      <c r="Z6" s="1"/>
      <c r="AA6" s="1"/>
      <c r="AB6" s="1" t="s">
        <v>1064</v>
      </c>
      <c r="AC6" s="1"/>
      <c r="AD6" s="1"/>
      <c r="AE6" s="1" t="s">
        <v>1065</v>
      </c>
      <c r="AF6" s="1"/>
      <c r="AG6" s="1"/>
      <c r="AH6" s="1" t="s">
        <v>1066</v>
      </c>
      <c r="AI6" s="1"/>
      <c r="AJ6" s="1" t="s">
        <v>119</v>
      </c>
      <c r="AK6" s="1" t="s">
        <v>208</v>
      </c>
      <c r="AL6" s="1" t="s">
        <v>120</v>
      </c>
      <c r="AM6" s="1" t="s">
        <v>479</v>
      </c>
      <c r="AN6" s="1" t="s">
        <v>208</v>
      </c>
      <c r="AO6" s="1" t="s">
        <v>480</v>
      </c>
      <c r="AP6" s="2" t="s">
        <v>1067</v>
      </c>
      <c r="AQ6" s="2" t="s">
        <v>1155</v>
      </c>
      <c r="AR6" s="1" t="s">
        <v>286</v>
      </c>
      <c r="AS6" s="1" t="s">
        <v>1055</v>
      </c>
      <c r="AT6" s="1" t="s">
        <v>5</v>
      </c>
      <c r="AU6" s="1"/>
    </row>
    <row r="7" spans="1:47" x14ac:dyDescent="0.4">
      <c r="A7" s="1" t="s">
        <v>14264</v>
      </c>
      <c r="B7" s="10">
        <v>0</v>
      </c>
      <c r="C7" s="1" t="s">
        <v>0</v>
      </c>
      <c r="D7" s="1" t="s">
        <v>17</v>
      </c>
      <c r="E7" s="1" t="s">
        <v>17</v>
      </c>
      <c r="F7" s="1" t="s">
        <v>14</v>
      </c>
      <c r="G7" s="1" t="s">
        <v>1</v>
      </c>
      <c r="H7" s="1" t="s">
        <v>6</v>
      </c>
      <c r="I7" s="1" t="s">
        <v>2</v>
      </c>
      <c r="J7" s="1" t="s">
        <v>3</v>
      </c>
      <c r="K7" s="1" t="s">
        <v>1028</v>
      </c>
      <c r="L7" s="1" t="s">
        <v>4</v>
      </c>
      <c r="M7" s="1" t="s">
        <v>9</v>
      </c>
      <c r="N7" s="1" t="s">
        <v>1029</v>
      </c>
      <c r="O7" s="1" t="s">
        <v>15</v>
      </c>
      <c r="P7" s="1"/>
      <c r="Q7" s="1"/>
      <c r="R7" s="1" t="s">
        <v>11</v>
      </c>
      <c r="S7" s="1"/>
      <c r="T7" s="1"/>
      <c r="U7" s="1"/>
      <c r="V7" s="1"/>
      <c r="W7" s="1"/>
      <c r="X7" s="1" t="s">
        <v>1030</v>
      </c>
      <c r="Y7" s="1"/>
      <c r="Z7" s="1"/>
      <c r="AA7" s="1"/>
      <c r="AB7" s="1" t="s">
        <v>1031</v>
      </c>
      <c r="AC7" s="1"/>
      <c r="AD7" s="1"/>
      <c r="AE7" s="1" t="s">
        <v>1032</v>
      </c>
      <c r="AF7" s="1"/>
      <c r="AG7" s="1"/>
      <c r="AH7" s="1" t="s">
        <v>1033</v>
      </c>
      <c r="AI7" s="1"/>
      <c r="AJ7" s="1" t="s">
        <v>304</v>
      </c>
      <c r="AK7" s="1" t="s">
        <v>282</v>
      </c>
      <c r="AL7" s="1" t="s">
        <v>305</v>
      </c>
      <c r="AM7" s="1" t="s">
        <v>167</v>
      </c>
      <c r="AN7" s="1" t="s">
        <v>282</v>
      </c>
      <c r="AO7" s="1" t="s">
        <v>168</v>
      </c>
      <c r="AP7" s="2" t="s">
        <v>1034</v>
      </c>
      <c r="AQ7" s="2" t="s">
        <v>1155</v>
      </c>
      <c r="AR7" s="1" t="s">
        <v>286</v>
      </c>
      <c r="AS7" s="1"/>
      <c r="AT7" s="1" t="s">
        <v>5</v>
      </c>
      <c r="AU7" s="1"/>
    </row>
    <row r="8" spans="1:47" x14ac:dyDescent="0.4">
      <c r="A8" s="1" t="s">
        <v>297</v>
      </c>
      <c r="B8" s="10">
        <v>0</v>
      </c>
      <c r="C8" s="1" t="s">
        <v>0</v>
      </c>
      <c r="D8" s="1" t="s">
        <v>17</v>
      </c>
      <c r="E8" s="1" t="s">
        <v>13</v>
      </c>
      <c r="F8" s="1" t="s">
        <v>14</v>
      </c>
      <c r="G8" s="1" t="s">
        <v>1</v>
      </c>
      <c r="H8" s="1" t="s">
        <v>6</v>
      </c>
      <c r="I8" s="1" t="s">
        <v>2</v>
      </c>
      <c r="J8" s="1" t="s">
        <v>3</v>
      </c>
      <c r="K8" s="1" t="s">
        <v>298</v>
      </c>
      <c r="L8" s="1" t="s">
        <v>7</v>
      </c>
      <c r="M8" s="1" t="s">
        <v>9</v>
      </c>
      <c r="N8" s="1" t="s">
        <v>299</v>
      </c>
      <c r="O8" s="1" t="s">
        <v>15</v>
      </c>
      <c r="P8" s="1"/>
      <c r="Q8" s="1"/>
      <c r="R8" s="1" t="s">
        <v>11</v>
      </c>
      <c r="S8" s="1"/>
      <c r="T8" s="1"/>
      <c r="U8" s="1"/>
      <c r="V8" s="1"/>
      <c r="W8" s="1"/>
      <c r="X8" s="1" t="s">
        <v>300</v>
      </c>
      <c r="Y8" s="1"/>
      <c r="Z8" s="1"/>
      <c r="AA8" s="1"/>
      <c r="AB8" s="1" t="s">
        <v>14265</v>
      </c>
      <c r="AC8" s="1"/>
      <c r="AD8" s="1"/>
      <c r="AE8" s="1" t="s">
        <v>244</v>
      </c>
      <c r="AF8" s="1"/>
      <c r="AG8" s="1"/>
      <c r="AH8" s="1" t="s">
        <v>301</v>
      </c>
      <c r="AI8" s="1"/>
      <c r="AJ8" s="1" t="s">
        <v>74</v>
      </c>
      <c r="AK8" s="1" t="s">
        <v>250</v>
      </c>
      <c r="AL8" s="1"/>
      <c r="AM8" s="1" t="s">
        <v>129</v>
      </c>
      <c r="AN8" s="1" t="s">
        <v>250</v>
      </c>
      <c r="AO8" s="1" t="s">
        <v>135</v>
      </c>
      <c r="AP8" s="2" t="s">
        <v>302</v>
      </c>
      <c r="AQ8" s="2" t="s">
        <v>1153</v>
      </c>
      <c r="AR8" s="1" t="s">
        <v>286</v>
      </c>
      <c r="AS8" s="1" t="s">
        <v>303</v>
      </c>
      <c r="AT8" s="1" t="s">
        <v>5</v>
      </c>
      <c r="AU8" s="1"/>
    </row>
    <row r="9" spans="1:47" hidden="1" x14ac:dyDescent="0.4">
      <c r="A9" s="1" t="s">
        <v>899</v>
      </c>
      <c r="B9" s="10">
        <v>0</v>
      </c>
      <c r="C9" s="1" t="s">
        <v>0</v>
      </c>
      <c r="D9" s="1" t="s">
        <v>17</v>
      </c>
      <c r="E9" s="1" t="s">
        <v>17</v>
      </c>
      <c r="F9" s="1" t="s">
        <v>14</v>
      </c>
      <c r="G9" s="1" t="s">
        <v>1</v>
      </c>
      <c r="H9" s="1" t="s">
        <v>6</v>
      </c>
      <c r="I9" s="1" t="s">
        <v>2</v>
      </c>
      <c r="J9" s="1" t="s">
        <v>3</v>
      </c>
      <c r="K9" s="1" t="s">
        <v>900</v>
      </c>
      <c r="L9" s="1" t="s">
        <v>4</v>
      </c>
      <c r="M9" s="1" t="s">
        <v>9</v>
      </c>
      <c r="N9" s="1" t="s">
        <v>901</v>
      </c>
      <c r="O9" s="1" t="s">
        <v>15</v>
      </c>
      <c r="P9" s="1"/>
      <c r="Q9" s="1"/>
      <c r="R9" s="1" t="s">
        <v>11</v>
      </c>
      <c r="S9" s="1"/>
      <c r="T9" s="1"/>
      <c r="U9" s="1"/>
      <c r="V9" s="1"/>
      <c r="W9" s="1"/>
      <c r="X9" s="1" t="s">
        <v>902</v>
      </c>
      <c r="Y9" s="1"/>
      <c r="Z9" s="1"/>
      <c r="AA9" s="1"/>
      <c r="AB9" s="1" t="s">
        <v>903</v>
      </c>
      <c r="AC9" s="1"/>
      <c r="AD9" s="1"/>
      <c r="AE9" s="1" t="s">
        <v>20</v>
      </c>
      <c r="AF9" s="1"/>
      <c r="AG9" s="1"/>
      <c r="AH9" s="1" t="s">
        <v>904</v>
      </c>
      <c r="AI9" s="1"/>
      <c r="AJ9" s="1" t="s">
        <v>59</v>
      </c>
      <c r="AK9" s="1" t="s">
        <v>598</v>
      </c>
      <c r="AL9" s="1" t="s">
        <v>126</v>
      </c>
      <c r="AM9" s="1" t="s">
        <v>522</v>
      </c>
      <c r="AN9" s="1" t="s">
        <v>598</v>
      </c>
      <c r="AO9" s="1" t="s">
        <v>523</v>
      </c>
      <c r="AP9" s="2" t="s">
        <v>905</v>
      </c>
      <c r="AQ9" s="2" t="s">
        <v>1155</v>
      </c>
      <c r="AR9" s="1" t="s">
        <v>286</v>
      </c>
      <c r="AS9" s="1" t="s">
        <v>906</v>
      </c>
      <c r="AT9" s="1" t="s">
        <v>5</v>
      </c>
      <c r="AU9" s="1"/>
    </row>
    <row r="10" spans="1:47" x14ac:dyDescent="0.4">
      <c r="A10" s="1" t="s">
        <v>457</v>
      </c>
      <c r="B10" s="10">
        <v>0</v>
      </c>
      <c r="C10" s="1" t="s">
        <v>0</v>
      </c>
      <c r="D10" s="1" t="s">
        <v>17</v>
      </c>
      <c r="E10" s="1" t="s">
        <v>13</v>
      </c>
      <c r="F10" s="1" t="s">
        <v>14</v>
      </c>
      <c r="G10" s="1" t="s">
        <v>1</v>
      </c>
      <c r="H10" s="1" t="s">
        <v>6</v>
      </c>
      <c r="I10" s="1" t="s">
        <v>2</v>
      </c>
      <c r="J10" s="1" t="s">
        <v>3</v>
      </c>
      <c r="K10" s="1" t="s">
        <v>458</v>
      </c>
      <c r="L10" s="1" t="s">
        <v>4</v>
      </c>
      <c r="M10" s="1" t="s">
        <v>9</v>
      </c>
      <c r="N10" s="1" t="s">
        <v>459</v>
      </c>
      <c r="O10" s="1" t="s">
        <v>19</v>
      </c>
      <c r="P10" s="1"/>
      <c r="Q10" s="1"/>
      <c r="R10" s="1" t="s">
        <v>11</v>
      </c>
      <c r="S10" s="1"/>
      <c r="T10" s="1"/>
      <c r="U10" s="1"/>
      <c r="V10" s="1"/>
      <c r="W10" s="1"/>
      <c r="X10" s="1"/>
      <c r="Y10" s="1"/>
      <c r="Z10" s="1"/>
      <c r="AA10" s="1"/>
      <c r="AB10" s="1" t="s">
        <v>460</v>
      </c>
      <c r="AC10" s="1"/>
      <c r="AD10" s="1"/>
      <c r="AE10" s="1" t="s">
        <v>454</v>
      </c>
      <c r="AF10" s="1"/>
      <c r="AG10" s="1"/>
      <c r="AH10" s="1" t="s">
        <v>461</v>
      </c>
      <c r="AI10" s="1" t="s">
        <v>462</v>
      </c>
      <c r="AJ10" s="1" t="s">
        <v>160</v>
      </c>
      <c r="AK10" s="1" t="s">
        <v>246</v>
      </c>
      <c r="AL10" s="1" t="s">
        <v>161</v>
      </c>
      <c r="AM10" s="1" t="s">
        <v>72</v>
      </c>
      <c r="AN10" s="1" t="s">
        <v>246</v>
      </c>
      <c r="AO10" s="1" t="s">
        <v>184</v>
      </c>
      <c r="AP10" s="2" t="s">
        <v>463</v>
      </c>
      <c r="AQ10" s="2" t="s">
        <v>1153</v>
      </c>
      <c r="AR10" s="1" t="s">
        <v>287</v>
      </c>
      <c r="AS10" s="1"/>
      <c r="AT10" s="1" t="s">
        <v>5</v>
      </c>
      <c r="AU10" s="1"/>
    </row>
    <row r="11" spans="1:47" x14ac:dyDescent="0.4">
      <c r="A11" s="1" t="s">
        <v>449</v>
      </c>
      <c r="B11" s="10">
        <v>0</v>
      </c>
      <c r="C11" s="1" t="s">
        <v>0</v>
      </c>
      <c r="D11" s="1" t="s">
        <v>17</v>
      </c>
      <c r="E11" s="1" t="s">
        <v>13</v>
      </c>
      <c r="F11" s="1" t="s">
        <v>14</v>
      </c>
      <c r="G11" s="1" t="s">
        <v>1</v>
      </c>
      <c r="H11" s="1" t="s">
        <v>6</v>
      </c>
      <c r="I11" s="1" t="s">
        <v>2</v>
      </c>
      <c r="J11" s="1" t="s">
        <v>3</v>
      </c>
      <c r="K11" s="1" t="s">
        <v>450</v>
      </c>
      <c r="L11" s="1" t="s">
        <v>7</v>
      </c>
      <c r="M11" s="1" t="s">
        <v>9</v>
      </c>
      <c r="N11" s="1" t="s">
        <v>451</v>
      </c>
      <c r="O11" s="1" t="s">
        <v>19</v>
      </c>
      <c r="P11" s="1"/>
      <c r="Q11" s="1"/>
      <c r="R11" s="1" t="s">
        <v>11</v>
      </c>
      <c r="S11" s="1"/>
      <c r="T11" s="1"/>
      <c r="U11" s="1"/>
      <c r="V11" s="1"/>
      <c r="W11" s="1"/>
      <c r="X11" s="1" t="s">
        <v>452</v>
      </c>
      <c r="Y11" s="1"/>
      <c r="Z11" s="1"/>
      <c r="AA11" s="1"/>
      <c r="AB11" s="1" t="s">
        <v>453</v>
      </c>
      <c r="AC11" s="1"/>
      <c r="AD11" s="1"/>
      <c r="AE11" s="1" t="s">
        <v>454</v>
      </c>
      <c r="AF11" s="1"/>
      <c r="AG11" s="1"/>
      <c r="AH11" s="1" t="s">
        <v>455</v>
      </c>
      <c r="AI11" s="1"/>
      <c r="AJ11" s="1" t="s">
        <v>134</v>
      </c>
      <c r="AK11" s="1" t="s">
        <v>252</v>
      </c>
      <c r="AL11" s="1"/>
      <c r="AM11" s="1" t="s">
        <v>164</v>
      </c>
      <c r="AN11" s="1" t="s">
        <v>252</v>
      </c>
      <c r="AO11" s="1" t="s">
        <v>165</v>
      </c>
      <c r="AP11" s="2" t="s">
        <v>456</v>
      </c>
      <c r="AQ11" s="2" t="s">
        <v>1153</v>
      </c>
      <c r="AR11" s="1" t="s">
        <v>287</v>
      </c>
      <c r="AS11" s="1"/>
      <c r="AT11" s="1" t="s">
        <v>5</v>
      </c>
      <c r="AU11" s="1"/>
    </row>
    <row r="12" spans="1:47" hidden="1" x14ac:dyDescent="0.4">
      <c r="A12" s="1" t="s">
        <v>710</v>
      </c>
      <c r="B12" s="10">
        <v>0</v>
      </c>
      <c r="C12" s="1" t="s">
        <v>0</v>
      </c>
      <c r="D12" s="1" t="s">
        <v>17</v>
      </c>
      <c r="E12" s="1" t="s">
        <v>17</v>
      </c>
      <c r="F12" s="1" t="s">
        <v>14</v>
      </c>
      <c r="G12" s="1" t="s">
        <v>1</v>
      </c>
      <c r="H12" s="1" t="s">
        <v>6</v>
      </c>
      <c r="I12" s="1" t="s">
        <v>2</v>
      </c>
      <c r="J12" s="1" t="s">
        <v>3</v>
      </c>
      <c r="K12" s="1" t="s">
        <v>711</v>
      </c>
      <c r="L12" s="1" t="s">
        <v>4</v>
      </c>
      <c r="M12" s="1" t="s">
        <v>9</v>
      </c>
      <c r="N12" s="1" t="s">
        <v>712</v>
      </c>
      <c r="O12" s="1" t="s">
        <v>15</v>
      </c>
      <c r="P12" s="1"/>
      <c r="Q12" s="1"/>
      <c r="R12" s="1" t="s">
        <v>11</v>
      </c>
      <c r="S12" s="1"/>
      <c r="T12" s="1"/>
      <c r="U12" s="1"/>
      <c r="V12" s="1"/>
      <c r="W12" s="1"/>
      <c r="X12" s="1"/>
      <c r="Y12" s="1"/>
      <c r="Z12" s="1"/>
      <c r="AA12" s="1"/>
      <c r="AB12" s="1" t="s">
        <v>713</v>
      </c>
      <c r="AC12" s="1"/>
      <c r="AD12" s="1"/>
      <c r="AE12" s="1"/>
      <c r="AF12" s="1"/>
      <c r="AG12" s="1"/>
      <c r="AH12" s="1" t="s">
        <v>714</v>
      </c>
      <c r="AI12" s="1"/>
      <c r="AJ12" s="1" t="s">
        <v>160</v>
      </c>
      <c r="AK12" s="1" t="s">
        <v>515</v>
      </c>
      <c r="AL12" s="1" t="s">
        <v>161</v>
      </c>
      <c r="AM12" s="1" t="s">
        <v>288</v>
      </c>
      <c r="AN12" s="1" t="s">
        <v>515</v>
      </c>
      <c r="AO12" s="1" t="s">
        <v>289</v>
      </c>
      <c r="AP12" s="2" t="s">
        <v>715</v>
      </c>
      <c r="AQ12" s="2" t="s">
        <v>1077</v>
      </c>
      <c r="AR12" s="1" t="s">
        <v>286</v>
      </c>
      <c r="AS12" s="1" t="s">
        <v>716</v>
      </c>
      <c r="AT12" s="1" t="s">
        <v>5</v>
      </c>
      <c r="AU12" s="1"/>
    </row>
    <row r="13" spans="1:47" x14ac:dyDescent="0.4">
      <c r="A13" s="1" t="s">
        <v>851</v>
      </c>
      <c r="B13" s="10">
        <v>0</v>
      </c>
      <c r="C13" s="1" t="s">
        <v>0</v>
      </c>
      <c r="D13" s="1" t="s">
        <v>17</v>
      </c>
      <c r="E13" s="1" t="s">
        <v>17</v>
      </c>
      <c r="F13" s="1" t="s">
        <v>14</v>
      </c>
      <c r="G13" s="1" t="s">
        <v>1</v>
      </c>
      <c r="H13" s="1" t="s">
        <v>6</v>
      </c>
      <c r="I13" s="1" t="s">
        <v>2</v>
      </c>
      <c r="J13" s="1" t="s">
        <v>3</v>
      </c>
      <c r="K13" s="1" t="s">
        <v>852</v>
      </c>
      <c r="L13" s="1" t="s">
        <v>7</v>
      </c>
      <c r="M13" s="1" t="s">
        <v>9</v>
      </c>
      <c r="N13" s="1" t="s">
        <v>853</v>
      </c>
      <c r="O13" s="1" t="s">
        <v>15</v>
      </c>
      <c r="P13" s="1"/>
      <c r="Q13" s="1"/>
      <c r="R13" s="1" t="s">
        <v>11</v>
      </c>
      <c r="S13" s="1"/>
      <c r="T13" s="1"/>
      <c r="U13" s="1"/>
      <c r="V13" s="1"/>
      <c r="W13" s="1"/>
      <c r="X13" s="1" t="s">
        <v>854</v>
      </c>
      <c r="Y13" s="1"/>
      <c r="Z13" s="1"/>
      <c r="AA13" s="1"/>
      <c r="AB13" s="13" t="s">
        <v>14266</v>
      </c>
      <c r="AC13" s="1"/>
      <c r="AD13" s="1"/>
      <c r="AE13" s="1" t="s">
        <v>294</v>
      </c>
      <c r="AF13" s="1"/>
      <c r="AG13" s="1"/>
      <c r="AH13" s="1" t="s">
        <v>855</v>
      </c>
      <c r="AI13" s="1"/>
      <c r="AJ13" s="1" t="s">
        <v>55</v>
      </c>
      <c r="AK13" s="1" t="s">
        <v>476</v>
      </c>
      <c r="AL13" s="1"/>
      <c r="AM13" s="1" t="s">
        <v>848</v>
      </c>
      <c r="AN13" s="1" t="s">
        <v>476</v>
      </c>
      <c r="AO13" s="1" t="s">
        <v>849</v>
      </c>
      <c r="AP13" s="2" t="s">
        <v>850</v>
      </c>
      <c r="AQ13" s="2" t="s">
        <v>1154</v>
      </c>
      <c r="AR13" s="1" t="s">
        <v>286</v>
      </c>
      <c r="AS13" s="1"/>
      <c r="AT13" s="1" t="s">
        <v>5</v>
      </c>
      <c r="AU13" s="1"/>
    </row>
    <row r="14" spans="1:47" hidden="1" x14ac:dyDescent="0.4">
      <c r="A14" s="1" t="s">
        <v>688</v>
      </c>
      <c r="B14" s="10">
        <v>0</v>
      </c>
      <c r="C14" s="1" t="s">
        <v>0</v>
      </c>
      <c r="D14" s="1" t="s">
        <v>17</v>
      </c>
      <c r="E14" s="1" t="s">
        <v>17</v>
      </c>
      <c r="F14" s="1" t="s">
        <v>14</v>
      </c>
      <c r="G14" s="1" t="s">
        <v>1</v>
      </c>
      <c r="H14" s="1" t="s">
        <v>6</v>
      </c>
      <c r="I14" s="1" t="s">
        <v>2</v>
      </c>
      <c r="J14" s="1" t="s">
        <v>3</v>
      </c>
      <c r="K14" s="1" t="s">
        <v>689</v>
      </c>
      <c r="L14" s="1" t="s">
        <v>4</v>
      </c>
      <c r="M14" s="1" t="s">
        <v>9</v>
      </c>
      <c r="N14" s="1" t="s">
        <v>690</v>
      </c>
      <c r="O14" s="1" t="s">
        <v>15</v>
      </c>
      <c r="P14" s="1"/>
      <c r="Q14" s="1"/>
      <c r="R14" s="1" t="s">
        <v>11</v>
      </c>
      <c r="S14" s="1"/>
      <c r="T14" s="1"/>
      <c r="U14" s="1"/>
      <c r="V14" s="1"/>
      <c r="W14" s="1"/>
      <c r="X14" s="1" t="s">
        <v>691</v>
      </c>
      <c r="Y14" s="1"/>
      <c r="Z14" s="1"/>
      <c r="AA14" s="1"/>
      <c r="AB14" s="1" t="s">
        <v>14267</v>
      </c>
      <c r="AC14" s="1"/>
      <c r="AD14" s="1"/>
      <c r="AE14" s="1" t="s">
        <v>20</v>
      </c>
      <c r="AF14" s="1"/>
      <c r="AG14" s="1"/>
      <c r="AH14" s="1" t="s">
        <v>692</v>
      </c>
      <c r="AI14" s="1"/>
      <c r="AJ14" s="1" t="s">
        <v>597</v>
      </c>
      <c r="AK14" s="1" t="s">
        <v>598</v>
      </c>
      <c r="AL14" s="1" t="s">
        <v>599</v>
      </c>
      <c r="AM14" s="1" t="s">
        <v>59</v>
      </c>
      <c r="AN14" s="1" t="s">
        <v>598</v>
      </c>
      <c r="AO14" s="1" t="s">
        <v>126</v>
      </c>
      <c r="AP14" s="2" t="s">
        <v>678</v>
      </c>
      <c r="AQ14" s="2" t="s">
        <v>1077</v>
      </c>
      <c r="AR14" s="1" t="s">
        <v>286</v>
      </c>
      <c r="AS14" s="1" t="s">
        <v>693</v>
      </c>
      <c r="AT14" s="1" t="s">
        <v>5</v>
      </c>
      <c r="AU14" s="1"/>
    </row>
    <row r="15" spans="1:47" hidden="1" x14ac:dyDescent="0.4">
      <c r="A15" s="1" t="s">
        <v>542</v>
      </c>
      <c r="B15" s="10">
        <v>0</v>
      </c>
      <c r="C15" s="1" t="s">
        <v>0</v>
      </c>
      <c r="D15" s="1" t="s">
        <v>17</v>
      </c>
      <c r="E15" s="1" t="s">
        <v>17</v>
      </c>
      <c r="F15" s="1" t="s">
        <v>14</v>
      </c>
      <c r="G15" s="1" t="s">
        <v>1</v>
      </c>
      <c r="H15" s="1" t="s">
        <v>6</v>
      </c>
      <c r="I15" s="1" t="s">
        <v>2</v>
      </c>
      <c r="J15" s="1" t="s">
        <v>3</v>
      </c>
      <c r="K15" s="1" t="s">
        <v>543</v>
      </c>
      <c r="L15" s="1" t="s">
        <v>7</v>
      </c>
      <c r="M15" s="1" t="s">
        <v>9</v>
      </c>
      <c r="N15" s="1" t="s">
        <v>544</v>
      </c>
      <c r="O15" s="1" t="s">
        <v>15</v>
      </c>
      <c r="P15" s="1"/>
      <c r="Q15" s="1"/>
      <c r="R15" s="1" t="s">
        <v>11</v>
      </c>
      <c r="S15" s="1"/>
      <c r="T15" s="1"/>
      <c r="U15" s="1"/>
      <c r="V15" s="1"/>
      <c r="W15" s="1"/>
      <c r="X15" s="1" t="s">
        <v>545</v>
      </c>
      <c r="Y15" s="1"/>
      <c r="Z15" s="1"/>
      <c r="AA15" s="1"/>
      <c r="AB15" s="1" t="s">
        <v>546</v>
      </c>
      <c r="AC15" s="1"/>
      <c r="AD15" s="1"/>
      <c r="AE15" s="1" t="s">
        <v>381</v>
      </c>
      <c r="AF15" s="1"/>
      <c r="AG15" s="1"/>
      <c r="AH15" s="1" t="s">
        <v>547</v>
      </c>
      <c r="AI15" s="1"/>
      <c r="AJ15" s="1" t="s">
        <v>158</v>
      </c>
      <c r="AK15" s="1" t="s">
        <v>504</v>
      </c>
      <c r="AL15" s="1" t="s">
        <v>159</v>
      </c>
      <c r="AM15" s="1" t="s">
        <v>365</v>
      </c>
      <c r="AN15" s="1" t="s">
        <v>504</v>
      </c>
      <c r="AO15" s="1"/>
      <c r="AP15" s="2" t="s">
        <v>548</v>
      </c>
      <c r="AQ15" s="2" t="s">
        <v>1077</v>
      </c>
      <c r="AR15" s="1" t="s">
        <v>286</v>
      </c>
      <c r="AS15" s="1" t="s">
        <v>549</v>
      </c>
      <c r="AT15" s="1" t="s">
        <v>5</v>
      </c>
      <c r="AU15" s="1"/>
    </row>
    <row r="16" spans="1:47" x14ac:dyDescent="0.4">
      <c r="A16" s="1" t="s">
        <v>769</v>
      </c>
      <c r="B16" s="10">
        <v>0</v>
      </c>
      <c r="C16" s="1" t="s">
        <v>0</v>
      </c>
      <c r="D16" s="1" t="s">
        <v>17</v>
      </c>
      <c r="E16" s="1" t="s">
        <v>17</v>
      </c>
      <c r="F16" s="1" t="s">
        <v>14</v>
      </c>
      <c r="G16" s="1" t="s">
        <v>1</v>
      </c>
      <c r="H16" s="1" t="s">
        <v>6</v>
      </c>
      <c r="I16" s="1" t="s">
        <v>2</v>
      </c>
      <c r="J16" s="1" t="s">
        <v>3</v>
      </c>
      <c r="K16" s="1" t="s">
        <v>770</v>
      </c>
      <c r="L16" s="1" t="s">
        <v>7</v>
      </c>
      <c r="M16" s="1" t="s">
        <v>9</v>
      </c>
      <c r="N16" s="1" t="s">
        <v>771</v>
      </c>
      <c r="O16" s="1" t="s">
        <v>15</v>
      </c>
      <c r="P16" s="1"/>
      <c r="Q16" s="1"/>
      <c r="R16" s="1" t="s">
        <v>11</v>
      </c>
      <c r="S16" s="1"/>
      <c r="T16" s="1"/>
      <c r="U16" s="1"/>
      <c r="V16" s="1"/>
      <c r="W16" s="1"/>
      <c r="X16" s="1" t="s">
        <v>772</v>
      </c>
      <c r="Y16" s="1"/>
      <c r="Z16" s="1"/>
      <c r="AA16" s="1"/>
      <c r="AB16" s="1" t="s">
        <v>773</v>
      </c>
      <c r="AC16" s="1"/>
      <c r="AD16" s="1"/>
      <c r="AE16" s="1"/>
      <c r="AF16" s="1"/>
      <c r="AG16" s="1"/>
      <c r="AH16" s="1" t="s">
        <v>774</v>
      </c>
      <c r="AI16" s="1"/>
      <c r="AJ16" s="1" t="s">
        <v>79</v>
      </c>
      <c r="AK16" s="1" t="s">
        <v>503</v>
      </c>
      <c r="AL16" s="1" t="s">
        <v>121</v>
      </c>
      <c r="AM16" s="1" t="s">
        <v>380</v>
      </c>
      <c r="AN16" s="1" t="s">
        <v>503</v>
      </c>
      <c r="AO16" s="1" t="s">
        <v>101</v>
      </c>
      <c r="AP16" s="2" t="s">
        <v>775</v>
      </c>
      <c r="AQ16" s="2" t="s">
        <v>1154</v>
      </c>
      <c r="AR16" s="1" t="s">
        <v>286</v>
      </c>
      <c r="AS16" s="1" t="s">
        <v>776</v>
      </c>
      <c r="AT16" s="1" t="s">
        <v>5</v>
      </c>
      <c r="AU16" s="1"/>
    </row>
    <row r="17" spans="1:47" hidden="1" x14ac:dyDescent="0.4">
      <c r="A17" s="1" t="s">
        <v>603</v>
      </c>
      <c r="B17" s="10">
        <v>0</v>
      </c>
      <c r="C17" s="1" t="s">
        <v>0</v>
      </c>
      <c r="D17" s="1" t="s">
        <v>17</v>
      </c>
      <c r="E17" s="1" t="s">
        <v>17</v>
      </c>
      <c r="F17" s="1" t="s">
        <v>14</v>
      </c>
      <c r="G17" s="1" t="s">
        <v>1</v>
      </c>
      <c r="H17" s="1" t="s">
        <v>6</v>
      </c>
      <c r="I17" s="1" t="s">
        <v>2</v>
      </c>
      <c r="J17" s="1" t="s">
        <v>3</v>
      </c>
      <c r="K17" s="1" t="s">
        <v>604</v>
      </c>
      <c r="L17" s="1" t="s">
        <v>7</v>
      </c>
      <c r="M17" s="1" t="s">
        <v>9</v>
      </c>
      <c r="N17" s="1" t="s">
        <v>605</v>
      </c>
      <c r="O17" s="1" t="s">
        <v>15</v>
      </c>
      <c r="P17" s="1"/>
      <c r="Q17" s="1"/>
      <c r="R17" s="1" t="s">
        <v>11</v>
      </c>
      <c r="S17" s="1"/>
      <c r="T17" s="1"/>
      <c r="U17" s="1"/>
      <c r="V17" s="1"/>
      <c r="W17" s="1"/>
      <c r="X17" s="1" t="s">
        <v>606</v>
      </c>
      <c r="Y17" s="1"/>
      <c r="Z17" s="1"/>
      <c r="AA17" s="1"/>
      <c r="AB17" s="1" t="s">
        <v>607</v>
      </c>
      <c r="AC17" s="1"/>
      <c r="AD17" s="1"/>
      <c r="AE17" s="1" t="s">
        <v>382</v>
      </c>
      <c r="AF17" s="1"/>
      <c r="AG17" s="1"/>
      <c r="AH17" s="1" t="s">
        <v>608</v>
      </c>
      <c r="AI17" s="1"/>
      <c r="AJ17" s="1" t="s">
        <v>158</v>
      </c>
      <c r="AK17" s="1" t="s">
        <v>504</v>
      </c>
      <c r="AL17" s="1" t="s">
        <v>159</v>
      </c>
      <c r="AM17" s="1" t="s">
        <v>50</v>
      </c>
      <c r="AN17" s="1" t="s">
        <v>504</v>
      </c>
      <c r="AO17" s="1" t="s">
        <v>601</v>
      </c>
      <c r="AP17" s="2" t="s">
        <v>602</v>
      </c>
      <c r="AQ17" s="2" t="s">
        <v>1077</v>
      </c>
      <c r="AR17" s="1" t="s">
        <v>286</v>
      </c>
      <c r="AS17" s="1" t="s">
        <v>609</v>
      </c>
      <c r="AT17" s="1" t="s">
        <v>5</v>
      </c>
      <c r="AU17" s="1"/>
    </row>
    <row r="18" spans="1:47" hidden="1" x14ac:dyDescent="0.4">
      <c r="A18" s="1" t="s">
        <v>489</v>
      </c>
      <c r="B18" s="10">
        <v>0</v>
      </c>
      <c r="C18" s="1" t="s">
        <v>0</v>
      </c>
      <c r="D18" s="1" t="s">
        <v>17</v>
      </c>
      <c r="E18" s="1" t="s">
        <v>17</v>
      </c>
      <c r="F18" s="1" t="s">
        <v>14</v>
      </c>
      <c r="G18" s="1" t="s">
        <v>1</v>
      </c>
      <c r="H18" s="1" t="s">
        <v>6</v>
      </c>
      <c r="I18" s="1" t="s">
        <v>2</v>
      </c>
      <c r="J18" s="1" t="s">
        <v>3</v>
      </c>
      <c r="K18" s="1" t="s">
        <v>490</v>
      </c>
      <c r="L18" s="1" t="s">
        <v>7</v>
      </c>
      <c r="M18" s="1" t="s">
        <v>9</v>
      </c>
      <c r="N18" s="1" t="s">
        <v>491</v>
      </c>
      <c r="O18" s="1" t="s">
        <v>15</v>
      </c>
      <c r="P18" s="1"/>
      <c r="Q18" s="1"/>
      <c r="R18" s="1" t="s">
        <v>11</v>
      </c>
      <c r="S18" s="1"/>
      <c r="T18" s="1"/>
      <c r="U18" s="1"/>
      <c r="V18" s="1"/>
      <c r="W18" s="1"/>
      <c r="X18" s="1" t="s">
        <v>492</v>
      </c>
      <c r="Y18" s="1"/>
      <c r="Z18" s="1"/>
      <c r="AA18" s="1"/>
      <c r="AB18" s="1" t="s">
        <v>493</v>
      </c>
      <c r="AC18" s="1"/>
      <c r="AD18" s="1"/>
      <c r="AE18" s="1" t="s">
        <v>294</v>
      </c>
      <c r="AF18" s="1"/>
      <c r="AG18" s="1"/>
      <c r="AH18" s="1" t="s">
        <v>494</v>
      </c>
      <c r="AI18" s="1"/>
      <c r="AJ18" s="1" t="s">
        <v>211</v>
      </c>
      <c r="AK18" s="1" t="s">
        <v>247</v>
      </c>
      <c r="AL18" s="1" t="s">
        <v>212</v>
      </c>
      <c r="AM18" s="1" t="s">
        <v>56</v>
      </c>
      <c r="AN18" s="1" t="s">
        <v>247</v>
      </c>
      <c r="AO18" s="1"/>
      <c r="AP18" s="2" t="s">
        <v>495</v>
      </c>
      <c r="AQ18" s="2" t="s">
        <v>1153</v>
      </c>
      <c r="AR18" s="1" t="s">
        <v>287</v>
      </c>
      <c r="AS18" s="1"/>
      <c r="AT18" s="1" t="s">
        <v>5</v>
      </c>
      <c r="AU18" s="1"/>
    </row>
    <row r="19" spans="1:47" hidden="1" x14ac:dyDescent="0.4">
      <c r="A19" s="1" t="s">
        <v>717</v>
      </c>
      <c r="B19" s="10">
        <v>0</v>
      </c>
      <c r="C19" s="1" t="s">
        <v>0</v>
      </c>
      <c r="D19" s="1" t="s">
        <v>17</v>
      </c>
      <c r="E19" s="1" t="s">
        <v>13</v>
      </c>
      <c r="F19" s="1" t="s">
        <v>14</v>
      </c>
      <c r="G19" s="1" t="s">
        <v>1</v>
      </c>
      <c r="H19" s="1" t="s">
        <v>6</v>
      </c>
      <c r="I19" s="1" t="s">
        <v>2</v>
      </c>
      <c r="J19" s="1" t="s">
        <v>3</v>
      </c>
      <c r="K19" s="1" t="s">
        <v>718</v>
      </c>
      <c r="L19" s="1" t="s">
        <v>4</v>
      </c>
      <c r="M19" s="1" t="s">
        <v>9</v>
      </c>
      <c r="N19" s="1" t="s">
        <v>719</v>
      </c>
      <c r="O19" s="1" t="s">
        <v>15</v>
      </c>
      <c r="P19" s="1"/>
      <c r="Q19" s="1"/>
      <c r="R19" s="1" t="s">
        <v>11</v>
      </c>
      <c r="S19" s="1"/>
      <c r="T19" s="1"/>
      <c r="U19" s="1"/>
      <c r="V19" s="1"/>
      <c r="W19" s="1"/>
      <c r="X19" s="1"/>
      <c r="Y19" s="1"/>
      <c r="Z19" s="1"/>
      <c r="AA19" s="1"/>
      <c r="AB19" s="1" t="s">
        <v>720</v>
      </c>
      <c r="AC19" s="1"/>
      <c r="AD19" s="1"/>
      <c r="AE19" s="1" t="s">
        <v>721</v>
      </c>
      <c r="AF19" s="1"/>
      <c r="AG19" s="1"/>
      <c r="AH19" s="1" t="s">
        <v>722</v>
      </c>
      <c r="AI19" s="1"/>
      <c r="AJ19" s="1" t="s">
        <v>51</v>
      </c>
      <c r="AK19" s="1" t="s">
        <v>518</v>
      </c>
      <c r="AL19" s="1" t="s">
        <v>136</v>
      </c>
      <c r="AM19" s="1" t="s">
        <v>610</v>
      </c>
      <c r="AN19" s="1" t="s">
        <v>518</v>
      </c>
      <c r="AO19" s="1" t="s">
        <v>611</v>
      </c>
      <c r="AP19" s="2" t="s">
        <v>723</v>
      </c>
      <c r="AQ19" s="2" t="s">
        <v>1077</v>
      </c>
      <c r="AR19" s="1" t="s">
        <v>286</v>
      </c>
      <c r="AS19" s="1" t="s">
        <v>724</v>
      </c>
      <c r="AT19" s="1" t="s">
        <v>5</v>
      </c>
      <c r="AU19" s="1"/>
    </row>
    <row r="20" spans="1:47" hidden="1" x14ac:dyDescent="0.4">
      <c r="A20" s="1" t="s">
        <v>308</v>
      </c>
      <c r="B20" s="10">
        <v>0</v>
      </c>
      <c r="C20" s="1" t="s">
        <v>93</v>
      </c>
      <c r="D20" s="1" t="s">
        <v>17</v>
      </c>
      <c r="E20" s="1" t="s">
        <v>17</v>
      </c>
      <c r="F20" s="1" t="s">
        <v>14</v>
      </c>
      <c r="G20" s="1" t="s">
        <v>1</v>
      </c>
      <c r="H20" s="1" t="s">
        <v>6</v>
      </c>
      <c r="I20" s="1" t="s">
        <v>2</v>
      </c>
      <c r="J20" s="1" t="s">
        <v>3</v>
      </c>
      <c r="K20" s="1" t="s">
        <v>309</v>
      </c>
      <c r="L20" s="1" t="s">
        <v>4</v>
      </c>
      <c r="M20" s="1" t="s">
        <v>9</v>
      </c>
      <c r="N20" s="1" t="s">
        <v>310</v>
      </c>
      <c r="O20" s="1" t="s">
        <v>15</v>
      </c>
      <c r="P20" s="1"/>
      <c r="Q20" s="1"/>
      <c r="R20" s="1" t="s">
        <v>11</v>
      </c>
      <c r="S20" s="1"/>
      <c r="T20" s="1"/>
      <c r="U20" s="1"/>
      <c r="V20" s="1"/>
      <c r="W20" s="1"/>
      <c r="X20" s="1"/>
      <c r="Y20" s="1"/>
      <c r="Z20" s="1"/>
      <c r="AA20" s="1"/>
      <c r="AB20" s="1" t="s">
        <v>311</v>
      </c>
      <c r="AC20" s="1"/>
      <c r="AD20" s="1"/>
      <c r="AE20" s="1" t="s">
        <v>20</v>
      </c>
      <c r="AF20" s="1"/>
      <c r="AG20" s="1"/>
      <c r="AH20" s="1" t="s">
        <v>312</v>
      </c>
      <c r="AI20" s="1"/>
      <c r="AJ20" s="1" t="s">
        <v>255</v>
      </c>
      <c r="AK20" s="1" t="s">
        <v>192</v>
      </c>
      <c r="AL20" s="1" t="s">
        <v>256</v>
      </c>
      <c r="AM20" s="1" t="s">
        <v>306</v>
      </c>
      <c r="AN20" s="1" t="s">
        <v>276</v>
      </c>
      <c r="AO20" s="1" t="s">
        <v>307</v>
      </c>
      <c r="AP20" s="2" t="s">
        <v>313</v>
      </c>
      <c r="AQ20" s="2" t="s">
        <v>1154</v>
      </c>
      <c r="AR20" s="1" t="s">
        <v>286</v>
      </c>
      <c r="AS20" s="1"/>
      <c r="AT20" s="1" t="s">
        <v>5</v>
      </c>
      <c r="AU20" s="1"/>
    </row>
    <row r="21" spans="1:47" x14ac:dyDescent="0.4">
      <c r="A21" s="1" t="s">
        <v>960</v>
      </c>
      <c r="B21" s="10">
        <v>0</v>
      </c>
      <c r="C21" s="1" t="s">
        <v>0</v>
      </c>
      <c r="D21" s="1" t="s">
        <v>17</v>
      </c>
      <c r="E21" s="1" t="s">
        <v>17</v>
      </c>
      <c r="F21" s="1" t="s">
        <v>14</v>
      </c>
      <c r="G21" s="1" t="s">
        <v>1</v>
      </c>
      <c r="H21" s="1" t="s">
        <v>6</v>
      </c>
      <c r="I21" s="1" t="s">
        <v>2</v>
      </c>
      <c r="J21" s="1" t="s">
        <v>3</v>
      </c>
      <c r="K21" s="1" t="s">
        <v>961</v>
      </c>
      <c r="L21" s="1" t="s">
        <v>7</v>
      </c>
      <c r="M21" s="1" t="s">
        <v>9</v>
      </c>
      <c r="N21" s="1" t="s">
        <v>962</v>
      </c>
      <c r="O21" s="1" t="s">
        <v>15</v>
      </c>
      <c r="P21" s="1"/>
      <c r="Q21" s="1"/>
      <c r="R21" s="1" t="s">
        <v>11</v>
      </c>
      <c r="S21" s="1"/>
      <c r="T21" s="1"/>
      <c r="U21" s="1"/>
      <c r="V21" s="1"/>
      <c r="W21" s="1" t="s">
        <v>963</v>
      </c>
      <c r="X21" s="1"/>
      <c r="Y21" s="1"/>
      <c r="Z21" s="1"/>
      <c r="AA21" s="1"/>
      <c r="AB21" s="1" t="s">
        <v>964</v>
      </c>
      <c r="AC21" s="1"/>
      <c r="AD21" s="1"/>
      <c r="AE21" s="1" t="s">
        <v>18</v>
      </c>
      <c r="AF21" s="1"/>
      <c r="AG21" s="1"/>
      <c r="AH21" s="1" t="s">
        <v>965</v>
      </c>
      <c r="AI21" s="1"/>
      <c r="AJ21" s="1" t="s">
        <v>49</v>
      </c>
      <c r="AK21" s="1" t="s">
        <v>520</v>
      </c>
      <c r="AL21" s="1" t="s">
        <v>108</v>
      </c>
      <c r="AM21" s="1" t="s">
        <v>202</v>
      </c>
      <c r="AN21" s="1" t="s">
        <v>520</v>
      </c>
      <c r="AO21" s="1" t="s">
        <v>791</v>
      </c>
      <c r="AP21" s="2" t="s">
        <v>966</v>
      </c>
      <c r="AQ21" s="2" t="s">
        <v>1155</v>
      </c>
      <c r="AR21" s="1" t="s">
        <v>286</v>
      </c>
      <c r="AS21" s="1" t="s">
        <v>967</v>
      </c>
      <c r="AT21" s="1" t="s">
        <v>5</v>
      </c>
      <c r="AU21" s="1"/>
    </row>
    <row r="22" spans="1:47" x14ac:dyDescent="0.4">
      <c r="A22" s="1" t="s">
        <v>792</v>
      </c>
      <c r="B22" s="10">
        <v>0</v>
      </c>
      <c r="C22" s="1" t="s">
        <v>0</v>
      </c>
      <c r="D22" s="1" t="s">
        <v>17</v>
      </c>
      <c r="E22" s="1" t="s">
        <v>17</v>
      </c>
      <c r="F22" s="1" t="s">
        <v>14</v>
      </c>
      <c r="G22" s="1" t="s">
        <v>1</v>
      </c>
      <c r="H22" s="1" t="s">
        <v>6</v>
      </c>
      <c r="I22" s="1" t="s">
        <v>2</v>
      </c>
      <c r="J22" s="1" t="s">
        <v>3</v>
      </c>
      <c r="K22" s="1" t="s">
        <v>793</v>
      </c>
      <c r="L22" s="1" t="s">
        <v>4</v>
      </c>
      <c r="M22" s="1" t="s">
        <v>9</v>
      </c>
      <c r="N22" s="1" t="s">
        <v>794</v>
      </c>
      <c r="O22" s="1" t="s">
        <v>15</v>
      </c>
      <c r="P22" s="1"/>
      <c r="Q22" s="1"/>
      <c r="R22" s="1" t="s">
        <v>11</v>
      </c>
      <c r="S22" s="1"/>
      <c r="T22" s="1"/>
      <c r="U22" s="1"/>
      <c r="V22" s="1"/>
      <c r="W22" s="1" t="s">
        <v>795</v>
      </c>
      <c r="X22" s="1"/>
      <c r="Y22" s="1"/>
      <c r="Z22" s="1"/>
      <c r="AA22" s="1"/>
      <c r="AB22" s="1" t="s">
        <v>796</v>
      </c>
      <c r="AC22" s="1"/>
      <c r="AD22" s="1"/>
      <c r="AE22" s="1"/>
      <c r="AF22" s="1"/>
      <c r="AG22" s="1"/>
      <c r="AH22" s="1" t="s">
        <v>797</v>
      </c>
      <c r="AI22" s="1"/>
      <c r="AJ22" s="1" t="s">
        <v>153</v>
      </c>
      <c r="AK22" s="1" t="s">
        <v>281</v>
      </c>
      <c r="AL22" s="1" t="s">
        <v>154</v>
      </c>
      <c r="AM22" s="1" t="s">
        <v>171</v>
      </c>
      <c r="AN22" s="1" t="s">
        <v>281</v>
      </c>
      <c r="AO22" s="1" t="s">
        <v>172</v>
      </c>
      <c r="AP22" s="2" t="s">
        <v>798</v>
      </c>
      <c r="AQ22" s="2" t="s">
        <v>1154</v>
      </c>
      <c r="AR22" s="1" t="s">
        <v>286</v>
      </c>
      <c r="AS22" s="1"/>
      <c r="AT22" s="1" t="s">
        <v>5</v>
      </c>
      <c r="AU22" s="1"/>
    </row>
    <row r="23" spans="1:47" x14ac:dyDescent="0.4">
      <c r="A23" s="1" t="s">
        <v>762</v>
      </c>
      <c r="B23" s="10">
        <v>0</v>
      </c>
      <c r="C23" s="1" t="s">
        <v>0</v>
      </c>
      <c r="D23" s="1" t="s">
        <v>17</v>
      </c>
      <c r="E23" s="1" t="s">
        <v>17</v>
      </c>
      <c r="F23" s="1" t="s">
        <v>14</v>
      </c>
      <c r="G23" s="1" t="s">
        <v>1</v>
      </c>
      <c r="H23" s="1" t="s">
        <v>6</v>
      </c>
      <c r="I23" s="1" t="s">
        <v>2</v>
      </c>
      <c r="J23" s="1" t="s">
        <v>3</v>
      </c>
      <c r="K23" s="1" t="s">
        <v>763</v>
      </c>
      <c r="L23" s="1" t="s">
        <v>7</v>
      </c>
      <c r="M23" s="1" t="s">
        <v>9</v>
      </c>
      <c r="N23" s="1" t="s">
        <v>764</v>
      </c>
      <c r="O23" s="1" t="s">
        <v>15</v>
      </c>
      <c r="P23" s="1"/>
      <c r="Q23" s="1"/>
      <c r="R23" s="1" t="s">
        <v>11</v>
      </c>
      <c r="S23" s="1"/>
      <c r="T23" s="1"/>
      <c r="U23" s="1"/>
      <c r="V23" s="1"/>
      <c r="W23" s="1"/>
      <c r="X23" s="1"/>
      <c r="Y23" s="1"/>
      <c r="Z23" s="1"/>
      <c r="AA23" s="1"/>
      <c r="AB23" s="1" t="s">
        <v>765</v>
      </c>
      <c r="AC23" s="1"/>
      <c r="AD23" s="1"/>
      <c r="AE23" s="1"/>
      <c r="AF23" s="1"/>
      <c r="AG23" s="1"/>
      <c r="AH23" s="1" t="s">
        <v>766</v>
      </c>
      <c r="AI23" s="1"/>
      <c r="AJ23" s="1" t="s">
        <v>475</v>
      </c>
      <c r="AK23" s="1" t="s">
        <v>521</v>
      </c>
      <c r="AL23" s="1"/>
      <c r="AM23" s="1" t="s">
        <v>34</v>
      </c>
      <c r="AN23" s="1" t="s">
        <v>521</v>
      </c>
      <c r="AO23" s="1" t="s">
        <v>178</v>
      </c>
      <c r="AP23" s="2" t="s">
        <v>767</v>
      </c>
      <c r="AQ23" s="2" t="s">
        <v>1154</v>
      </c>
      <c r="AR23" s="1" t="s">
        <v>286</v>
      </c>
      <c r="AS23" s="1" t="s">
        <v>768</v>
      </c>
      <c r="AT23" s="1" t="s">
        <v>5</v>
      </c>
      <c r="AU23" s="1"/>
    </row>
    <row r="24" spans="1:47" x14ac:dyDescent="0.4">
      <c r="A24" s="1" t="s">
        <v>807</v>
      </c>
      <c r="B24" s="10">
        <v>0</v>
      </c>
      <c r="C24" s="1" t="s">
        <v>0</v>
      </c>
      <c r="D24" s="1" t="s">
        <v>17</v>
      </c>
      <c r="E24" s="1" t="s">
        <v>17</v>
      </c>
      <c r="F24" s="1" t="s">
        <v>14</v>
      </c>
      <c r="G24" s="1" t="s">
        <v>1</v>
      </c>
      <c r="H24" s="1" t="s">
        <v>6</v>
      </c>
      <c r="I24" s="1" t="s">
        <v>2</v>
      </c>
      <c r="J24" s="1" t="s">
        <v>3</v>
      </c>
      <c r="K24" s="1" t="s">
        <v>808</v>
      </c>
      <c r="L24" s="1" t="s">
        <v>7</v>
      </c>
      <c r="M24" s="1" t="s">
        <v>9</v>
      </c>
      <c r="N24" s="1" t="s">
        <v>809</v>
      </c>
      <c r="O24" s="1" t="s">
        <v>15</v>
      </c>
      <c r="P24" s="1"/>
      <c r="Q24" s="1"/>
      <c r="R24" s="1" t="s">
        <v>11</v>
      </c>
      <c r="S24" s="1"/>
      <c r="T24" s="1"/>
      <c r="U24" s="1"/>
      <c r="V24" s="1"/>
      <c r="W24" s="1" t="s">
        <v>810</v>
      </c>
      <c r="X24" s="1"/>
      <c r="Y24" s="1"/>
      <c r="Z24" s="1"/>
      <c r="AA24" s="1"/>
      <c r="AB24" s="1" t="s">
        <v>811</v>
      </c>
      <c r="AC24" s="1"/>
      <c r="AD24" s="1"/>
      <c r="AE24" s="1"/>
      <c r="AF24" s="1"/>
      <c r="AG24" s="1"/>
      <c r="AH24" s="1" t="s">
        <v>812</v>
      </c>
      <c r="AI24" s="1"/>
      <c r="AJ24" s="1" t="s">
        <v>475</v>
      </c>
      <c r="AK24" s="1" t="s">
        <v>521</v>
      </c>
      <c r="AL24" s="1"/>
      <c r="AM24" s="1" t="s">
        <v>34</v>
      </c>
      <c r="AN24" s="1" t="s">
        <v>521</v>
      </c>
      <c r="AO24" s="1" t="s">
        <v>178</v>
      </c>
      <c r="AP24" s="2" t="s">
        <v>813</v>
      </c>
      <c r="AQ24" s="2" t="s">
        <v>1154</v>
      </c>
      <c r="AR24" s="1" t="s">
        <v>286</v>
      </c>
      <c r="AS24" s="1" t="s">
        <v>814</v>
      </c>
      <c r="AT24" s="1" t="s">
        <v>5</v>
      </c>
      <c r="AU24" s="1"/>
    </row>
    <row r="25" spans="1:47" x14ac:dyDescent="0.4">
      <c r="A25" s="1" t="s">
        <v>1018</v>
      </c>
      <c r="B25" s="10">
        <v>0</v>
      </c>
      <c r="C25" s="1" t="s">
        <v>0</v>
      </c>
      <c r="D25" s="1" t="s">
        <v>17</v>
      </c>
      <c r="E25" s="1" t="s">
        <v>17</v>
      </c>
      <c r="F25" s="1" t="s">
        <v>14</v>
      </c>
      <c r="G25" s="1" t="s">
        <v>1</v>
      </c>
      <c r="H25" s="1" t="s">
        <v>6</v>
      </c>
      <c r="I25" s="1" t="s">
        <v>2</v>
      </c>
      <c r="J25" s="1" t="s">
        <v>3</v>
      </c>
      <c r="K25" s="1" t="s">
        <v>1019</v>
      </c>
      <c r="L25" s="1" t="s">
        <v>7</v>
      </c>
      <c r="M25" s="1" t="s">
        <v>9</v>
      </c>
      <c r="N25" s="1" t="s">
        <v>1020</v>
      </c>
      <c r="O25" s="1" t="s">
        <v>15</v>
      </c>
      <c r="P25" s="1"/>
      <c r="Q25" s="1"/>
      <c r="R25" s="1" t="s">
        <v>11</v>
      </c>
      <c r="S25" s="1"/>
      <c r="T25" s="1"/>
      <c r="U25" s="1"/>
      <c r="V25" s="1"/>
      <c r="W25" s="1" t="s">
        <v>1021</v>
      </c>
      <c r="X25" s="1" t="s">
        <v>1022</v>
      </c>
      <c r="Y25" s="1"/>
      <c r="Z25" s="1"/>
      <c r="AA25" s="1"/>
      <c r="AB25" s="1" t="s">
        <v>1023</v>
      </c>
      <c r="AC25" s="1"/>
      <c r="AD25" s="1"/>
      <c r="AE25" s="1" t="s">
        <v>1024</v>
      </c>
      <c r="AF25" s="1"/>
      <c r="AG25" s="1"/>
      <c r="AH25" s="1" t="s">
        <v>1025</v>
      </c>
      <c r="AI25" s="1"/>
      <c r="AJ25" s="1" t="s">
        <v>78</v>
      </c>
      <c r="AK25" s="1" t="s">
        <v>519</v>
      </c>
      <c r="AL25" s="1" t="s">
        <v>130</v>
      </c>
      <c r="AM25" s="1" t="s">
        <v>200</v>
      </c>
      <c r="AN25" s="1" t="s">
        <v>519</v>
      </c>
      <c r="AO25" s="1" t="s">
        <v>201</v>
      </c>
      <c r="AP25" s="2" t="s">
        <v>1026</v>
      </c>
      <c r="AQ25" s="2" t="s">
        <v>1155</v>
      </c>
      <c r="AR25" s="1" t="s">
        <v>286</v>
      </c>
      <c r="AS25" s="1" t="s">
        <v>1027</v>
      </c>
      <c r="AT25" s="1" t="s">
        <v>5</v>
      </c>
      <c r="AU25" s="1"/>
    </row>
    <row r="26" spans="1:47" hidden="1" x14ac:dyDescent="0.4">
      <c r="A26" s="1" t="s">
        <v>680</v>
      </c>
      <c r="B26" s="10">
        <v>0</v>
      </c>
      <c r="C26" s="1" t="s">
        <v>0</v>
      </c>
      <c r="D26" s="1" t="s">
        <v>17</v>
      </c>
      <c r="E26" s="1" t="s">
        <v>17</v>
      </c>
      <c r="F26" s="1" t="s">
        <v>14</v>
      </c>
      <c r="G26" s="1" t="s">
        <v>1</v>
      </c>
      <c r="H26" s="1" t="s">
        <v>6</v>
      </c>
      <c r="I26" s="1" t="s">
        <v>2</v>
      </c>
      <c r="J26" s="1" t="s">
        <v>3</v>
      </c>
      <c r="K26" s="1" t="s">
        <v>681</v>
      </c>
      <c r="L26" s="1" t="s">
        <v>4</v>
      </c>
      <c r="M26" s="1" t="s">
        <v>9</v>
      </c>
      <c r="N26" s="1" t="s">
        <v>682</v>
      </c>
      <c r="O26" s="1" t="s">
        <v>15</v>
      </c>
      <c r="P26" s="1"/>
      <c r="Q26" s="1"/>
      <c r="R26" s="1" t="s">
        <v>11</v>
      </c>
      <c r="S26" s="1"/>
      <c r="T26" s="1"/>
      <c r="U26" s="1"/>
      <c r="V26" s="1"/>
      <c r="W26" s="1"/>
      <c r="X26" s="1" t="s">
        <v>683</v>
      </c>
      <c r="Y26" s="1"/>
      <c r="Z26" s="1"/>
      <c r="AA26" s="1"/>
      <c r="AB26" s="1" t="s">
        <v>684</v>
      </c>
      <c r="AC26" s="1"/>
      <c r="AD26" s="1"/>
      <c r="AE26" s="1" t="s">
        <v>425</v>
      </c>
      <c r="AF26" s="1"/>
      <c r="AG26" s="1"/>
      <c r="AH26" s="1" t="s">
        <v>685</v>
      </c>
      <c r="AI26" s="1"/>
      <c r="AJ26" s="1" t="s">
        <v>597</v>
      </c>
      <c r="AK26" s="1" t="s">
        <v>598</v>
      </c>
      <c r="AL26" s="1" t="s">
        <v>599</v>
      </c>
      <c r="AM26" s="1" t="s">
        <v>59</v>
      </c>
      <c r="AN26" s="1" t="s">
        <v>598</v>
      </c>
      <c r="AO26" s="1" t="s">
        <v>126</v>
      </c>
      <c r="AP26" s="2" t="s">
        <v>686</v>
      </c>
      <c r="AQ26" s="2" t="s">
        <v>1077</v>
      </c>
      <c r="AR26" s="1" t="s">
        <v>286</v>
      </c>
      <c r="AS26" s="1" t="s">
        <v>687</v>
      </c>
      <c r="AT26" s="1" t="s">
        <v>5</v>
      </c>
      <c r="AU26" s="1"/>
    </row>
    <row r="27" spans="1:47" hidden="1" x14ac:dyDescent="0.4">
      <c r="A27" s="1" t="s">
        <v>841</v>
      </c>
      <c r="B27" s="10">
        <v>0</v>
      </c>
      <c r="C27" s="1" t="s">
        <v>0</v>
      </c>
      <c r="D27" s="1" t="s">
        <v>17</v>
      </c>
      <c r="E27" s="1" t="s">
        <v>17</v>
      </c>
      <c r="F27" s="1" t="s">
        <v>14</v>
      </c>
      <c r="G27" s="1" t="s">
        <v>1</v>
      </c>
      <c r="H27" s="1" t="s">
        <v>6</v>
      </c>
      <c r="I27" s="1" t="s">
        <v>2</v>
      </c>
      <c r="J27" s="1" t="s">
        <v>3</v>
      </c>
      <c r="K27" s="1" t="s">
        <v>842</v>
      </c>
      <c r="L27" s="1" t="s">
        <v>7</v>
      </c>
      <c r="M27" s="1" t="s">
        <v>9</v>
      </c>
      <c r="N27" s="1" t="s">
        <v>843</v>
      </c>
      <c r="O27" s="1" t="s">
        <v>15</v>
      </c>
      <c r="P27" s="1"/>
      <c r="Q27" s="1"/>
      <c r="R27" s="1" t="s">
        <v>11</v>
      </c>
      <c r="S27" s="1"/>
      <c r="T27" s="1"/>
      <c r="U27" s="1"/>
      <c r="V27" s="1"/>
      <c r="W27" s="1"/>
      <c r="X27" s="1" t="s">
        <v>844</v>
      </c>
      <c r="Y27" s="1"/>
      <c r="Z27" s="1"/>
      <c r="AA27" s="1"/>
      <c r="AB27" s="1" t="s">
        <v>845</v>
      </c>
      <c r="AC27" s="1"/>
      <c r="AD27" s="1"/>
      <c r="AE27" s="1" t="s">
        <v>425</v>
      </c>
      <c r="AF27" s="1"/>
      <c r="AG27" s="1"/>
      <c r="AH27" s="1" t="s">
        <v>846</v>
      </c>
      <c r="AI27" s="1"/>
      <c r="AJ27" s="1" t="s">
        <v>158</v>
      </c>
      <c r="AK27" s="1" t="s">
        <v>504</v>
      </c>
      <c r="AL27" s="1" t="s">
        <v>159</v>
      </c>
      <c r="AM27" s="1" t="s">
        <v>257</v>
      </c>
      <c r="AN27" s="1" t="s">
        <v>504</v>
      </c>
      <c r="AO27" s="1" t="s">
        <v>258</v>
      </c>
      <c r="AP27" s="2" t="s">
        <v>847</v>
      </c>
      <c r="AQ27" s="2" t="s">
        <v>1154</v>
      </c>
      <c r="AR27" s="1" t="s">
        <v>286</v>
      </c>
      <c r="AS27" s="1"/>
      <c r="AT27" s="1" t="s">
        <v>5</v>
      </c>
      <c r="AU27" s="1"/>
    </row>
    <row r="28" spans="1:47" x14ac:dyDescent="0.4">
      <c r="A28" s="1" t="s">
        <v>1101</v>
      </c>
      <c r="B28" s="10">
        <v>0</v>
      </c>
      <c r="C28" s="1" t="s">
        <v>0</v>
      </c>
      <c r="D28" s="1" t="s">
        <v>17</v>
      </c>
      <c r="E28" s="1" t="s">
        <v>17</v>
      </c>
      <c r="F28" s="1" t="s">
        <v>14</v>
      </c>
      <c r="G28" s="1" t="s">
        <v>1</v>
      </c>
      <c r="H28" s="1" t="s">
        <v>6</v>
      </c>
      <c r="I28" s="1" t="s">
        <v>2</v>
      </c>
      <c r="J28" s="1" t="s">
        <v>3</v>
      </c>
      <c r="K28" s="1" t="s">
        <v>1102</v>
      </c>
      <c r="L28" s="1" t="s">
        <v>4</v>
      </c>
      <c r="M28" s="1" t="s">
        <v>9</v>
      </c>
      <c r="N28" s="1" t="s">
        <v>1103</v>
      </c>
      <c r="O28" s="1" t="s">
        <v>15</v>
      </c>
      <c r="P28" s="1"/>
      <c r="Q28" s="1" t="s">
        <v>12</v>
      </c>
      <c r="R28" s="1" t="s">
        <v>11</v>
      </c>
      <c r="S28" s="1"/>
      <c r="T28" s="1" t="s">
        <v>12</v>
      </c>
      <c r="U28" s="1" t="s">
        <v>11</v>
      </c>
      <c r="V28" s="1"/>
      <c r="W28" s="1"/>
      <c r="X28" s="1"/>
      <c r="Y28" s="1"/>
      <c r="Z28" s="1"/>
      <c r="AA28" s="1"/>
      <c r="AB28" s="1" t="s">
        <v>1104</v>
      </c>
      <c r="AC28" s="1"/>
      <c r="AD28" s="1"/>
      <c r="AE28" s="1"/>
      <c r="AF28" s="1"/>
      <c r="AG28" s="1"/>
      <c r="AH28" s="1" t="s">
        <v>1105</v>
      </c>
      <c r="AI28" s="1"/>
      <c r="AJ28" s="1" t="s">
        <v>848</v>
      </c>
      <c r="AK28" s="1" t="s">
        <v>476</v>
      </c>
      <c r="AL28" s="1" t="s">
        <v>849</v>
      </c>
      <c r="AM28" s="1" t="s">
        <v>848</v>
      </c>
      <c r="AN28" s="1" t="s">
        <v>476</v>
      </c>
      <c r="AO28" s="1" t="s">
        <v>849</v>
      </c>
      <c r="AP28" s="2" t="s">
        <v>1106</v>
      </c>
      <c r="AQ28" s="2" t="s">
        <v>1156</v>
      </c>
      <c r="AR28" s="1" t="s">
        <v>286</v>
      </c>
      <c r="AS28" s="1" t="s">
        <v>1076</v>
      </c>
      <c r="AT28" s="1" t="s">
        <v>5</v>
      </c>
      <c r="AU28" s="1"/>
    </row>
    <row r="29" spans="1:47" hidden="1" x14ac:dyDescent="0.4">
      <c r="A29" s="1" t="s">
        <v>702</v>
      </c>
      <c r="B29" s="10"/>
      <c r="C29" s="1" t="s">
        <v>0</v>
      </c>
      <c r="D29" s="1" t="s">
        <v>17</v>
      </c>
      <c r="E29" s="1" t="s">
        <v>17</v>
      </c>
      <c r="F29" s="1" t="s">
        <v>14</v>
      </c>
      <c r="G29" s="1" t="s">
        <v>1</v>
      </c>
      <c r="H29" s="1" t="s">
        <v>6</v>
      </c>
      <c r="I29" s="1" t="s">
        <v>2</v>
      </c>
      <c r="J29" s="1" t="s">
        <v>3</v>
      </c>
      <c r="K29" s="1" t="s">
        <v>703</v>
      </c>
      <c r="L29" s="1" t="s">
        <v>4</v>
      </c>
      <c r="M29" s="1" t="s">
        <v>9</v>
      </c>
      <c r="N29" s="1" t="s">
        <v>704</v>
      </c>
      <c r="O29" s="1" t="s">
        <v>15</v>
      </c>
      <c r="P29" s="1"/>
      <c r="Q29" s="1"/>
      <c r="R29" s="1" t="s">
        <v>11</v>
      </c>
      <c r="S29" s="1"/>
      <c r="T29" s="1"/>
      <c r="U29" s="1"/>
      <c r="V29" s="1"/>
      <c r="W29" s="1"/>
      <c r="X29" s="1" t="s">
        <v>705</v>
      </c>
      <c r="Y29" s="1"/>
      <c r="Z29" s="1"/>
      <c r="AA29" s="1"/>
      <c r="AB29" s="1" t="s">
        <v>706</v>
      </c>
      <c r="AC29" s="1"/>
      <c r="AD29" s="1"/>
      <c r="AE29" s="1"/>
      <c r="AF29" s="1"/>
      <c r="AG29" s="1"/>
      <c r="AH29" s="1" t="s">
        <v>707</v>
      </c>
      <c r="AI29" s="1"/>
      <c r="AJ29" s="1" t="s">
        <v>597</v>
      </c>
      <c r="AK29" s="1" t="s">
        <v>598</v>
      </c>
      <c r="AL29" s="1" t="s">
        <v>599</v>
      </c>
      <c r="AM29" s="1" t="s">
        <v>59</v>
      </c>
      <c r="AN29" s="1" t="s">
        <v>598</v>
      </c>
      <c r="AO29" s="1" t="s">
        <v>126</v>
      </c>
      <c r="AP29" s="2" t="s">
        <v>708</v>
      </c>
      <c r="AQ29" s="2" t="s">
        <v>1077</v>
      </c>
      <c r="AR29" s="1" t="s">
        <v>286</v>
      </c>
      <c r="AS29" s="1" t="s">
        <v>709</v>
      </c>
      <c r="AT29" s="1" t="s">
        <v>5</v>
      </c>
      <c r="AU29" s="1"/>
    </row>
    <row r="30" spans="1:47" hidden="1" x14ac:dyDescent="0.4">
      <c r="A30" s="1" t="s">
        <v>694</v>
      </c>
      <c r="B30" s="10"/>
      <c r="C30" s="1" t="s">
        <v>0</v>
      </c>
      <c r="D30" s="1" t="s">
        <v>17</v>
      </c>
      <c r="E30" s="1" t="s">
        <v>13</v>
      </c>
      <c r="F30" s="1" t="s">
        <v>14</v>
      </c>
      <c r="G30" s="1" t="s">
        <v>1</v>
      </c>
      <c r="H30" s="1" t="s">
        <v>6</v>
      </c>
      <c r="I30" s="1" t="s">
        <v>2</v>
      </c>
      <c r="J30" s="1" t="s">
        <v>3</v>
      </c>
      <c r="K30" s="1" t="s">
        <v>695</v>
      </c>
      <c r="L30" s="1" t="s">
        <v>4</v>
      </c>
      <c r="M30" s="1" t="s">
        <v>9</v>
      </c>
      <c r="N30" s="1" t="s">
        <v>696</v>
      </c>
      <c r="O30" s="1" t="s">
        <v>15</v>
      </c>
      <c r="P30" s="1"/>
      <c r="Q30" s="1"/>
      <c r="R30" s="1" t="s">
        <v>11</v>
      </c>
      <c r="S30" s="1"/>
      <c r="T30" s="1"/>
      <c r="U30" s="1"/>
      <c r="V30" s="1"/>
      <c r="W30" s="1"/>
      <c r="X30" s="1" t="s">
        <v>697</v>
      </c>
      <c r="Y30" s="1"/>
      <c r="Z30" s="1"/>
      <c r="AA30" s="1"/>
      <c r="AB30" s="1" t="s">
        <v>698</v>
      </c>
      <c r="AC30" s="1"/>
      <c r="AD30" s="1"/>
      <c r="AE30" s="1"/>
      <c r="AF30" s="1"/>
      <c r="AG30" s="1"/>
      <c r="AH30" s="1" t="s">
        <v>699</v>
      </c>
      <c r="AI30" s="1"/>
      <c r="AJ30" s="1" t="s">
        <v>597</v>
      </c>
      <c r="AK30" s="1" t="s">
        <v>598</v>
      </c>
      <c r="AL30" s="1" t="s">
        <v>599</v>
      </c>
      <c r="AM30" s="1" t="s">
        <v>59</v>
      </c>
      <c r="AN30" s="1" t="s">
        <v>598</v>
      </c>
      <c r="AO30" s="1" t="s">
        <v>126</v>
      </c>
      <c r="AP30" s="2" t="s">
        <v>700</v>
      </c>
      <c r="AQ30" s="2" t="s">
        <v>1077</v>
      </c>
      <c r="AR30" s="1" t="s">
        <v>286</v>
      </c>
      <c r="AS30" s="1" t="s">
        <v>701</v>
      </c>
      <c r="AT30" s="1" t="s">
        <v>5</v>
      </c>
      <c r="AU30" s="1"/>
    </row>
    <row r="31" spans="1:47" hidden="1" x14ac:dyDescent="0.4">
      <c r="A31" s="1" t="s">
        <v>648</v>
      </c>
      <c r="B31" s="10"/>
      <c r="C31" s="1" t="s">
        <v>0</v>
      </c>
      <c r="D31" s="1" t="s">
        <v>17</v>
      </c>
      <c r="E31" s="1" t="s">
        <v>17</v>
      </c>
      <c r="F31" s="1" t="s">
        <v>14</v>
      </c>
      <c r="G31" s="1" t="s">
        <v>1</v>
      </c>
      <c r="H31" s="1" t="s">
        <v>6</v>
      </c>
      <c r="I31" s="1" t="s">
        <v>2</v>
      </c>
      <c r="J31" s="1" t="s">
        <v>3</v>
      </c>
      <c r="K31" s="1" t="s">
        <v>649</v>
      </c>
      <c r="L31" s="1" t="s">
        <v>4</v>
      </c>
      <c r="M31" s="1" t="s">
        <v>9</v>
      </c>
      <c r="N31" s="1" t="s">
        <v>650</v>
      </c>
      <c r="O31" s="1" t="s">
        <v>15</v>
      </c>
      <c r="P31" s="1"/>
      <c r="Q31" s="1"/>
      <c r="R31" s="1" t="s">
        <v>11</v>
      </c>
      <c r="S31" s="1"/>
      <c r="T31" s="1"/>
      <c r="U31" s="1"/>
      <c r="V31" s="1"/>
      <c r="W31" s="1"/>
      <c r="X31" s="1" t="s">
        <v>651</v>
      </c>
      <c r="Y31" s="1"/>
      <c r="Z31" s="1"/>
      <c r="AA31" s="1"/>
      <c r="AB31" s="1" t="s">
        <v>652</v>
      </c>
      <c r="AC31" s="1"/>
      <c r="AD31" s="1"/>
      <c r="AE31" s="1" t="s">
        <v>18</v>
      </c>
      <c r="AF31" s="1"/>
      <c r="AG31" s="1"/>
      <c r="AH31" s="1" t="s">
        <v>653</v>
      </c>
      <c r="AI31" s="1"/>
      <c r="AJ31" s="1" t="s">
        <v>597</v>
      </c>
      <c r="AK31" s="1" t="s">
        <v>598</v>
      </c>
      <c r="AL31" s="1" t="s">
        <v>599</v>
      </c>
      <c r="AM31" s="1" t="s">
        <v>59</v>
      </c>
      <c r="AN31" s="1" t="s">
        <v>598</v>
      </c>
      <c r="AO31" s="1" t="s">
        <v>126</v>
      </c>
      <c r="AP31" s="2" t="s">
        <v>654</v>
      </c>
      <c r="AQ31" s="2" t="s">
        <v>1077</v>
      </c>
      <c r="AR31" s="1" t="s">
        <v>286</v>
      </c>
      <c r="AS31" s="1" t="s">
        <v>655</v>
      </c>
      <c r="AT31" s="1" t="s">
        <v>5</v>
      </c>
      <c r="AU31" s="1"/>
    </row>
    <row r="32" spans="1:47" hidden="1" x14ac:dyDescent="0.4">
      <c r="A32" s="1" t="s">
        <v>872</v>
      </c>
      <c r="B32" s="10"/>
      <c r="C32" s="1" t="s">
        <v>0</v>
      </c>
      <c r="D32" s="1" t="s">
        <v>17</v>
      </c>
      <c r="E32" s="1" t="s">
        <v>17</v>
      </c>
      <c r="F32" s="1" t="s">
        <v>14</v>
      </c>
      <c r="G32" s="1" t="s">
        <v>1</v>
      </c>
      <c r="H32" s="1" t="s">
        <v>6</v>
      </c>
      <c r="I32" s="1" t="s">
        <v>2</v>
      </c>
      <c r="J32" s="1" t="s">
        <v>3</v>
      </c>
      <c r="K32" s="1" t="s">
        <v>873</v>
      </c>
      <c r="L32" s="1" t="s">
        <v>7</v>
      </c>
      <c r="M32" s="1" t="s">
        <v>9</v>
      </c>
      <c r="N32" s="1" t="s">
        <v>874</v>
      </c>
      <c r="O32" s="1" t="s">
        <v>15</v>
      </c>
      <c r="P32" s="1"/>
      <c r="Q32" s="1"/>
      <c r="R32" s="1" t="s">
        <v>11</v>
      </c>
      <c r="S32" s="1"/>
      <c r="T32" s="1"/>
      <c r="U32" s="1"/>
      <c r="V32" s="1"/>
      <c r="W32" s="1"/>
      <c r="X32" s="1" t="s">
        <v>875</v>
      </c>
      <c r="Y32" s="1"/>
      <c r="Z32" s="1"/>
      <c r="AA32" s="1"/>
      <c r="AB32" s="1" t="s">
        <v>876</v>
      </c>
      <c r="AC32" s="1"/>
      <c r="AD32" s="1"/>
      <c r="AE32" s="1" t="s">
        <v>877</v>
      </c>
      <c r="AF32" s="1"/>
      <c r="AG32" s="1"/>
      <c r="AH32" s="1" t="s">
        <v>878</v>
      </c>
      <c r="AI32" s="1"/>
      <c r="AJ32" s="1" t="s">
        <v>79</v>
      </c>
      <c r="AK32" s="1" t="s">
        <v>503</v>
      </c>
      <c r="AL32" s="1" t="s">
        <v>121</v>
      </c>
      <c r="AM32" s="1" t="s">
        <v>447</v>
      </c>
      <c r="AN32" s="1" t="s">
        <v>503</v>
      </c>
      <c r="AO32" s="1" t="s">
        <v>448</v>
      </c>
      <c r="AP32" s="2" t="s">
        <v>879</v>
      </c>
      <c r="AQ32" s="2" t="s">
        <v>1155</v>
      </c>
      <c r="AR32" s="1" t="s">
        <v>286</v>
      </c>
      <c r="AS32" s="1" t="s">
        <v>880</v>
      </c>
      <c r="AT32" s="1" t="s">
        <v>5</v>
      </c>
      <c r="AU32" s="1"/>
    </row>
    <row r="33" spans="1:47" hidden="1" x14ac:dyDescent="0.4">
      <c r="A33" s="1" t="s">
        <v>656</v>
      </c>
      <c r="B33" s="10"/>
      <c r="C33" s="1" t="s">
        <v>0</v>
      </c>
      <c r="D33" s="1" t="s">
        <v>17</v>
      </c>
      <c r="E33" s="1" t="s">
        <v>17</v>
      </c>
      <c r="F33" s="1" t="s">
        <v>14</v>
      </c>
      <c r="G33" s="1" t="s">
        <v>1</v>
      </c>
      <c r="H33" s="1" t="s">
        <v>6</v>
      </c>
      <c r="I33" s="1" t="s">
        <v>2</v>
      </c>
      <c r="J33" s="1" t="s">
        <v>3</v>
      </c>
      <c r="K33" s="1" t="s">
        <v>657</v>
      </c>
      <c r="L33" s="1" t="s">
        <v>4</v>
      </c>
      <c r="M33" s="1" t="s">
        <v>9</v>
      </c>
      <c r="N33" s="1" t="s">
        <v>658</v>
      </c>
      <c r="O33" s="1" t="s">
        <v>15</v>
      </c>
      <c r="P33" s="1"/>
      <c r="Q33" s="1"/>
      <c r="R33" s="1" t="s">
        <v>11</v>
      </c>
      <c r="S33" s="1"/>
      <c r="T33" s="1"/>
      <c r="U33" s="1"/>
      <c r="V33" s="1"/>
      <c r="W33" s="1"/>
      <c r="X33" s="1" t="s">
        <v>659</v>
      </c>
      <c r="Y33" s="1"/>
      <c r="Z33" s="1"/>
      <c r="AA33" s="1"/>
      <c r="AB33" s="1" t="s">
        <v>660</v>
      </c>
      <c r="AC33" s="1"/>
      <c r="AD33" s="1"/>
      <c r="AE33" s="1" t="s">
        <v>18</v>
      </c>
      <c r="AF33" s="1"/>
      <c r="AG33" s="1"/>
      <c r="AH33" s="1" t="s">
        <v>661</v>
      </c>
      <c r="AI33" s="1"/>
      <c r="AJ33" s="1" t="s">
        <v>597</v>
      </c>
      <c r="AK33" s="1" t="s">
        <v>598</v>
      </c>
      <c r="AL33" s="1" t="s">
        <v>599</v>
      </c>
      <c r="AM33" s="1" t="s">
        <v>59</v>
      </c>
      <c r="AN33" s="1" t="s">
        <v>598</v>
      </c>
      <c r="AO33" s="1" t="s">
        <v>126</v>
      </c>
      <c r="AP33" s="2" t="s">
        <v>662</v>
      </c>
      <c r="AQ33" s="2" t="s">
        <v>1077</v>
      </c>
      <c r="AR33" s="1" t="s">
        <v>286</v>
      </c>
      <c r="AS33" s="1" t="s">
        <v>663</v>
      </c>
      <c r="AT33" s="1" t="s">
        <v>5</v>
      </c>
      <c r="AU33" s="1"/>
    </row>
    <row r="34" spans="1:47" hidden="1" x14ac:dyDescent="0.4">
      <c r="A34" s="1" t="s">
        <v>908</v>
      </c>
      <c r="B34" s="10"/>
      <c r="C34" s="1" t="s">
        <v>0</v>
      </c>
      <c r="D34" s="1" t="s">
        <v>17</v>
      </c>
      <c r="E34" s="1" t="s">
        <v>17</v>
      </c>
      <c r="F34" s="1" t="s">
        <v>14</v>
      </c>
      <c r="G34" s="1" t="s">
        <v>1</v>
      </c>
      <c r="H34" s="1" t="s">
        <v>6</v>
      </c>
      <c r="I34" s="1" t="s">
        <v>2</v>
      </c>
      <c r="J34" s="1" t="s">
        <v>3</v>
      </c>
      <c r="K34" s="1" t="s">
        <v>909</v>
      </c>
      <c r="L34" s="1" t="s">
        <v>7</v>
      </c>
      <c r="M34" s="1" t="s">
        <v>9</v>
      </c>
      <c r="N34" s="1" t="s">
        <v>910</v>
      </c>
      <c r="O34" s="1" t="s">
        <v>15</v>
      </c>
      <c r="P34" s="1"/>
      <c r="Q34" s="1"/>
      <c r="R34" s="1" t="s">
        <v>11</v>
      </c>
      <c r="S34" s="1"/>
      <c r="T34" s="1"/>
      <c r="U34" s="1"/>
      <c r="V34" s="1"/>
      <c r="W34" s="1"/>
      <c r="X34" s="1" t="s">
        <v>911</v>
      </c>
      <c r="Y34" s="1"/>
      <c r="Z34" s="1"/>
      <c r="AA34" s="1"/>
      <c r="AB34" s="1" t="s">
        <v>912</v>
      </c>
      <c r="AC34" s="1"/>
      <c r="AD34" s="1"/>
      <c r="AE34" s="1" t="s">
        <v>913</v>
      </c>
      <c r="AF34" s="1"/>
      <c r="AG34" s="1"/>
      <c r="AH34" s="1" t="s">
        <v>914</v>
      </c>
      <c r="AI34" s="1" t="s">
        <v>915</v>
      </c>
      <c r="AJ34" s="1" t="s">
        <v>54</v>
      </c>
      <c r="AK34" s="1" t="s">
        <v>514</v>
      </c>
      <c r="AL34" s="1"/>
      <c r="AM34" s="1" t="s">
        <v>488</v>
      </c>
      <c r="AN34" s="1" t="s">
        <v>514</v>
      </c>
      <c r="AO34" s="1"/>
      <c r="AP34" s="2" t="s">
        <v>916</v>
      </c>
      <c r="AQ34" s="2" t="s">
        <v>1155</v>
      </c>
      <c r="AR34" s="1" t="s">
        <v>286</v>
      </c>
      <c r="AS34" s="1" t="s">
        <v>917</v>
      </c>
      <c r="AT34" s="1" t="s">
        <v>5</v>
      </c>
      <c r="AU34" s="1"/>
    </row>
    <row r="35" spans="1:47" hidden="1" x14ac:dyDescent="0.4">
      <c r="A35" s="1" t="s">
        <v>799</v>
      </c>
      <c r="B35" s="10"/>
      <c r="C35" s="1" t="s">
        <v>0</v>
      </c>
      <c r="D35" s="1" t="s">
        <v>17</v>
      </c>
      <c r="E35" s="1" t="s">
        <v>17</v>
      </c>
      <c r="F35" s="1" t="s">
        <v>14</v>
      </c>
      <c r="G35" s="1" t="s">
        <v>1</v>
      </c>
      <c r="H35" s="1" t="s">
        <v>6</v>
      </c>
      <c r="I35" s="1" t="s">
        <v>2</v>
      </c>
      <c r="J35" s="1" t="s">
        <v>3</v>
      </c>
      <c r="K35" s="1" t="s">
        <v>800</v>
      </c>
      <c r="L35" s="1" t="s">
        <v>7</v>
      </c>
      <c r="M35" s="1" t="s">
        <v>9</v>
      </c>
      <c r="N35" s="1" t="s">
        <v>801</v>
      </c>
      <c r="O35" s="1" t="s">
        <v>15</v>
      </c>
      <c r="P35" s="1"/>
      <c r="Q35" s="1"/>
      <c r="R35" s="1" t="s">
        <v>11</v>
      </c>
      <c r="S35" s="1"/>
      <c r="T35" s="1"/>
      <c r="U35" s="1"/>
      <c r="V35" s="1"/>
      <c r="W35" s="1" t="s">
        <v>802</v>
      </c>
      <c r="X35" s="1" t="s">
        <v>803</v>
      </c>
      <c r="Y35" s="1"/>
      <c r="Z35" s="1"/>
      <c r="AA35" s="1"/>
      <c r="AB35" s="1" t="s">
        <v>804</v>
      </c>
      <c r="AC35" s="1"/>
      <c r="AD35" s="1"/>
      <c r="AE35" s="1" t="s">
        <v>18</v>
      </c>
      <c r="AF35" s="1"/>
      <c r="AG35" s="1"/>
      <c r="AH35" s="1" t="s">
        <v>805</v>
      </c>
      <c r="AI35" s="1"/>
      <c r="AJ35" s="1" t="s">
        <v>54</v>
      </c>
      <c r="AK35" s="1" t="s">
        <v>514</v>
      </c>
      <c r="AL35" s="1"/>
      <c r="AM35" s="1" t="s">
        <v>140</v>
      </c>
      <c r="AN35" s="1" t="s">
        <v>514</v>
      </c>
      <c r="AO35" s="1" t="s">
        <v>362</v>
      </c>
      <c r="AP35" s="2" t="s">
        <v>71</v>
      </c>
      <c r="AQ35" s="2" t="s">
        <v>1154</v>
      </c>
      <c r="AR35" s="1" t="s">
        <v>286</v>
      </c>
      <c r="AS35" s="1" t="s">
        <v>806</v>
      </c>
      <c r="AT35" s="1" t="s">
        <v>5</v>
      </c>
      <c r="AU35" s="1"/>
    </row>
    <row r="36" spans="1:47" hidden="1" x14ac:dyDescent="0.4">
      <c r="A36" s="1" t="s">
        <v>664</v>
      </c>
      <c r="B36" s="10"/>
      <c r="C36" s="1" t="s">
        <v>0</v>
      </c>
      <c r="D36" s="1" t="s">
        <v>17</v>
      </c>
      <c r="E36" s="1" t="s">
        <v>17</v>
      </c>
      <c r="F36" s="1" t="s">
        <v>14</v>
      </c>
      <c r="G36" s="1" t="s">
        <v>1</v>
      </c>
      <c r="H36" s="1" t="s">
        <v>6</v>
      </c>
      <c r="I36" s="1" t="s">
        <v>2</v>
      </c>
      <c r="J36" s="1" t="s">
        <v>3</v>
      </c>
      <c r="K36" s="1" t="s">
        <v>665</v>
      </c>
      <c r="L36" s="1" t="s">
        <v>4</v>
      </c>
      <c r="M36" s="1" t="s">
        <v>9</v>
      </c>
      <c r="N36" s="1" t="s">
        <v>666</v>
      </c>
      <c r="O36" s="1" t="s">
        <v>15</v>
      </c>
      <c r="P36" s="1"/>
      <c r="Q36" s="1"/>
      <c r="R36" s="1" t="s">
        <v>11</v>
      </c>
      <c r="S36" s="1"/>
      <c r="T36" s="1"/>
      <c r="U36" s="1"/>
      <c r="V36" s="1"/>
      <c r="W36" s="1"/>
      <c r="X36" s="1" t="s">
        <v>667</v>
      </c>
      <c r="Y36" s="1"/>
      <c r="Z36" s="1"/>
      <c r="AA36" s="1"/>
      <c r="AB36" s="1" t="s">
        <v>668</v>
      </c>
      <c r="AC36" s="1"/>
      <c r="AD36" s="1"/>
      <c r="AE36" s="1" t="s">
        <v>18</v>
      </c>
      <c r="AF36" s="1"/>
      <c r="AG36" s="1"/>
      <c r="AH36" s="1" t="s">
        <v>669</v>
      </c>
      <c r="AI36" s="1"/>
      <c r="AJ36" s="1" t="s">
        <v>597</v>
      </c>
      <c r="AK36" s="1" t="s">
        <v>598</v>
      </c>
      <c r="AL36" s="1" t="s">
        <v>599</v>
      </c>
      <c r="AM36" s="1" t="s">
        <v>59</v>
      </c>
      <c r="AN36" s="1" t="s">
        <v>598</v>
      </c>
      <c r="AO36" s="1" t="s">
        <v>126</v>
      </c>
      <c r="AP36" s="2" t="s">
        <v>670</v>
      </c>
      <c r="AQ36" s="2" t="s">
        <v>1154</v>
      </c>
      <c r="AR36" s="1" t="s">
        <v>286</v>
      </c>
      <c r="AS36" s="1" t="s">
        <v>671</v>
      </c>
      <c r="AT36" s="1" t="s">
        <v>5</v>
      </c>
      <c r="AU36" s="1"/>
    </row>
    <row r="37" spans="1:47" hidden="1" x14ac:dyDescent="0.4">
      <c r="A37" s="1" t="s">
        <v>1047</v>
      </c>
      <c r="B37" s="10"/>
      <c r="C37" s="1" t="s">
        <v>0</v>
      </c>
      <c r="D37" s="1" t="s">
        <v>17</v>
      </c>
      <c r="E37" s="1" t="s">
        <v>17</v>
      </c>
      <c r="F37" s="1" t="s">
        <v>14</v>
      </c>
      <c r="G37" s="1" t="s">
        <v>1</v>
      </c>
      <c r="H37" s="1" t="s">
        <v>6</v>
      </c>
      <c r="I37" s="1" t="s">
        <v>2</v>
      </c>
      <c r="J37" s="1" t="s">
        <v>3</v>
      </c>
      <c r="K37" s="1" t="s">
        <v>1048</v>
      </c>
      <c r="L37" s="1" t="s">
        <v>4</v>
      </c>
      <c r="M37" s="1" t="s">
        <v>9</v>
      </c>
      <c r="N37" s="1" t="s">
        <v>1049</v>
      </c>
      <c r="O37" s="1" t="s">
        <v>15</v>
      </c>
      <c r="P37" s="1"/>
      <c r="Q37" s="1"/>
      <c r="R37" s="1" t="s">
        <v>11</v>
      </c>
      <c r="S37" s="1"/>
      <c r="T37" s="1"/>
      <c r="U37" s="1"/>
      <c r="V37" s="1"/>
      <c r="W37" s="1"/>
      <c r="X37" s="1" t="s">
        <v>1050</v>
      </c>
      <c r="Y37" s="1"/>
      <c r="Z37" s="1"/>
      <c r="AA37" s="1"/>
      <c r="AB37" s="1" t="s">
        <v>1051</v>
      </c>
      <c r="AC37" s="1"/>
      <c r="AD37" s="1"/>
      <c r="AE37" s="1" t="s">
        <v>1052</v>
      </c>
      <c r="AF37" s="1"/>
      <c r="AG37" s="1"/>
      <c r="AH37" s="1" t="s">
        <v>1053</v>
      </c>
      <c r="AI37" s="1"/>
      <c r="AJ37" s="1" t="s">
        <v>23</v>
      </c>
      <c r="AK37" s="1" t="s">
        <v>516</v>
      </c>
      <c r="AL37" s="1" t="s">
        <v>567</v>
      </c>
      <c r="AM37" s="1" t="s">
        <v>968</v>
      </c>
      <c r="AN37" s="1" t="s">
        <v>516</v>
      </c>
      <c r="AO37" s="1" t="s">
        <v>969</v>
      </c>
      <c r="AP37" s="2" t="s">
        <v>1054</v>
      </c>
      <c r="AQ37" s="2" t="s">
        <v>1155</v>
      </c>
      <c r="AR37" s="1" t="s">
        <v>286</v>
      </c>
      <c r="AS37" s="1" t="s">
        <v>1017</v>
      </c>
      <c r="AT37" s="1" t="s">
        <v>5</v>
      </c>
      <c r="AU37" s="1"/>
    </row>
    <row r="38" spans="1:47" hidden="1" x14ac:dyDescent="0.4">
      <c r="A38" s="1" t="s">
        <v>623</v>
      </c>
      <c r="B38" s="10"/>
      <c r="C38" s="1" t="s">
        <v>0</v>
      </c>
      <c r="D38" s="1" t="s">
        <v>17</v>
      </c>
      <c r="E38" s="1" t="s">
        <v>17</v>
      </c>
      <c r="F38" s="1" t="s">
        <v>14</v>
      </c>
      <c r="G38" s="1" t="s">
        <v>1</v>
      </c>
      <c r="H38" s="1" t="s">
        <v>6</v>
      </c>
      <c r="I38" s="1" t="s">
        <v>2</v>
      </c>
      <c r="J38" s="1" t="s">
        <v>3</v>
      </c>
      <c r="K38" s="1" t="s">
        <v>624</v>
      </c>
      <c r="L38" s="1" t="s">
        <v>4</v>
      </c>
      <c r="M38" s="1" t="s">
        <v>9</v>
      </c>
      <c r="N38" s="1" t="s">
        <v>625</v>
      </c>
      <c r="O38" s="1" t="s">
        <v>15</v>
      </c>
      <c r="P38" s="1"/>
      <c r="Q38" s="1"/>
      <c r="R38" s="1" t="s">
        <v>11</v>
      </c>
      <c r="S38" s="1"/>
      <c r="T38" s="1"/>
      <c r="U38" s="1"/>
      <c r="V38" s="1"/>
      <c r="W38" s="1"/>
      <c r="X38" s="1" t="s">
        <v>626</v>
      </c>
      <c r="Y38" s="1"/>
      <c r="Z38" s="1"/>
      <c r="AA38" s="1"/>
      <c r="AB38" s="1" t="s">
        <v>627</v>
      </c>
      <c r="AC38" s="1"/>
      <c r="AD38" s="1"/>
      <c r="AE38" s="1" t="s">
        <v>20</v>
      </c>
      <c r="AF38" s="1"/>
      <c r="AG38" s="1"/>
      <c r="AH38" s="1" t="s">
        <v>628</v>
      </c>
      <c r="AI38" s="1"/>
      <c r="AJ38" s="1" t="s">
        <v>158</v>
      </c>
      <c r="AK38" s="1" t="s">
        <v>504</v>
      </c>
      <c r="AL38" s="1" t="s">
        <v>159</v>
      </c>
      <c r="AM38" s="1" t="s">
        <v>265</v>
      </c>
      <c r="AN38" s="1" t="s">
        <v>504</v>
      </c>
      <c r="AO38" s="1" t="s">
        <v>266</v>
      </c>
      <c r="AP38" s="2" t="s">
        <v>296</v>
      </c>
      <c r="AQ38" s="2" t="s">
        <v>1077</v>
      </c>
      <c r="AR38" s="1" t="s">
        <v>286</v>
      </c>
      <c r="AS38" s="1" t="s">
        <v>629</v>
      </c>
      <c r="AT38" s="1" t="s">
        <v>5</v>
      </c>
      <c r="AU38" s="1"/>
    </row>
    <row r="39" spans="1:47" hidden="1" x14ac:dyDescent="0.4">
      <c r="A39" s="1" t="s">
        <v>557</v>
      </c>
      <c r="B39" s="10"/>
      <c r="C39" s="1" t="s">
        <v>0</v>
      </c>
      <c r="D39" s="1" t="s">
        <v>17</v>
      </c>
      <c r="E39" s="1" t="s">
        <v>17</v>
      </c>
      <c r="F39" s="1" t="s">
        <v>14</v>
      </c>
      <c r="G39" s="1" t="s">
        <v>1</v>
      </c>
      <c r="H39" s="1" t="s">
        <v>6</v>
      </c>
      <c r="I39" s="1" t="s">
        <v>2</v>
      </c>
      <c r="J39" s="1" t="s">
        <v>3</v>
      </c>
      <c r="K39" s="1" t="s">
        <v>558</v>
      </c>
      <c r="L39" s="1" t="s">
        <v>7</v>
      </c>
      <c r="M39" s="1" t="s">
        <v>9</v>
      </c>
      <c r="N39" s="1" t="s">
        <v>559</v>
      </c>
      <c r="O39" s="1" t="s">
        <v>15</v>
      </c>
      <c r="P39" s="1"/>
      <c r="Q39" s="1"/>
      <c r="R39" s="1" t="s">
        <v>11</v>
      </c>
      <c r="S39" s="1"/>
      <c r="T39" s="1"/>
      <c r="U39" s="1"/>
      <c r="V39" s="1"/>
      <c r="W39" s="1"/>
      <c r="X39" s="1" t="s">
        <v>560</v>
      </c>
      <c r="Y39" s="1"/>
      <c r="Z39" s="1"/>
      <c r="AA39" s="1"/>
      <c r="AB39" s="1" t="s">
        <v>561</v>
      </c>
      <c r="AC39" s="1"/>
      <c r="AD39" s="1"/>
      <c r="AE39" s="1" t="s">
        <v>20</v>
      </c>
      <c r="AF39" s="1"/>
      <c r="AG39" s="1"/>
      <c r="AH39" s="1" t="s">
        <v>562</v>
      </c>
      <c r="AI39" s="1"/>
      <c r="AJ39" s="1" t="s">
        <v>158</v>
      </c>
      <c r="AK39" s="1" t="s">
        <v>504</v>
      </c>
      <c r="AL39" s="1" t="s">
        <v>159</v>
      </c>
      <c r="AM39" s="1" t="s">
        <v>365</v>
      </c>
      <c r="AN39" s="1" t="s">
        <v>504</v>
      </c>
      <c r="AO39" s="1"/>
      <c r="AP39" s="2" t="s">
        <v>563</v>
      </c>
      <c r="AQ39" s="2" t="s">
        <v>1077</v>
      </c>
      <c r="AR39" s="1" t="s">
        <v>287</v>
      </c>
      <c r="AS39" s="1" t="s">
        <v>564</v>
      </c>
      <c r="AT39" s="1" t="s">
        <v>5</v>
      </c>
      <c r="AU39" s="1"/>
    </row>
    <row r="40" spans="1:47" hidden="1" x14ac:dyDescent="0.4">
      <c r="A40" s="1" t="s">
        <v>550</v>
      </c>
      <c r="B40" s="10"/>
      <c r="C40" s="1" t="s">
        <v>0</v>
      </c>
      <c r="D40" s="1" t="s">
        <v>17</v>
      </c>
      <c r="E40" s="1" t="s">
        <v>17</v>
      </c>
      <c r="F40" s="1" t="s">
        <v>14</v>
      </c>
      <c r="G40" s="1" t="s">
        <v>1</v>
      </c>
      <c r="H40" s="1" t="s">
        <v>6</v>
      </c>
      <c r="I40" s="1" t="s">
        <v>2</v>
      </c>
      <c r="J40" s="1" t="s">
        <v>3</v>
      </c>
      <c r="K40" s="1" t="s">
        <v>551</v>
      </c>
      <c r="L40" s="1" t="s">
        <v>7</v>
      </c>
      <c r="M40" s="1" t="s">
        <v>9</v>
      </c>
      <c r="N40" s="1" t="s">
        <v>552</v>
      </c>
      <c r="O40" s="1" t="s">
        <v>15</v>
      </c>
      <c r="P40" s="1"/>
      <c r="Q40" s="1"/>
      <c r="R40" s="1" t="s">
        <v>11</v>
      </c>
      <c r="S40" s="1"/>
      <c r="T40" s="1"/>
      <c r="U40" s="1"/>
      <c r="V40" s="1"/>
      <c r="W40" s="1"/>
      <c r="X40" s="1" t="s">
        <v>553</v>
      </c>
      <c r="Y40" s="1"/>
      <c r="Z40" s="1"/>
      <c r="AA40" s="1"/>
      <c r="AB40" s="1" t="s">
        <v>554</v>
      </c>
      <c r="AC40" s="1"/>
      <c r="AD40" s="1"/>
      <c r="AE40" s="1" t="s">
        <v>381</v>
      </c>
      <c r="AF40" s="1"/>
      <c r="AG40" s="1"/>
      <c r="AH40" s="1" t="s">
        <v>555</v>
      </c>
      <c r="AI40" s="1"/>
      <c r="AJ40" s="1" t="s">
        <v>158</v>
      </c>
      <c r="AK40" s="1" t="s">
        <v>504</v>
      </c>
      <c r="AL40" s="1" t="s">
        <v>159</v>
      </c>
      <c r="AM40" s="1" t="s">
        <v>365</v>
      </c>
      <c r="AN40" s="1" t="s">
        <v>504</v>
      </c>
      <c r="AO40" s="1"/>
      <c r="AP40" s="2" t="s">
        <v>541</v>
      </c>
      <c r="AQ40" s="2" t="s">
        <v>1077</v>
      </c>
      <c r="AR40" s="1" t="s">
        <v>286</v>
      </c>
      <c r="AS40" s="1" t="s">
        <v>556</v>
      </c>
      <c r="AT40" s="1" t="s">
        <v>5</v>
      </c>
      <c r="AU40" s="1"/>
    </row>
    <row r="41" spans="1:47" hidden="1" x14ac:dyDescent="0.4">
      <c r="A41" s="1" t="s">
        <v>672</v>
      </c>
      <c r="B41" s="10"/>
      <c r="C41" s="1" t="s">
        <v>0</v>
      </c>
      <c r="D41" s="1" t="s">
        <v>17</v>
      </c>
      <c r="E41" s="1" t="s">
        <v>17</v>
      </c>
      <c r="F41" s="1" t="s">
        <v>14</v>
      </c>
      <c r="G41" s="1" t="s">
        <v>1</v>
      </c>
      <c r="H41" s="1" t="s">
        <v>6</v>
      </c>
      <c r="I41" s="1" t="s">
        <v>2</v>
      </c>
      <c r="J41" s="1" t="s">
        <v>3</v>
      </c>
      <c r="K41" s="1" t="s">
        <v>673</v>
      </c>
      <c r="L41" s="1" t="s">
        <v>4</v>
      </c>
      <c r="M41" s="1" t="s">
        <v>9</v>
      </c>
      <c r="N41" s="1" t="s">
        <v>674</v>
      </c>
      <c r="O41" s="1" t="s">
        <v>15</v>
      </c>
      <c r="P41" s="1"/>
      <c r="Q41" s="1"/>
      <c r="R41" s="1" t="s">
        <v>11</v>
      </c>
      <c r="S41" s="1"/>
      <c r="T41" s="1"/>
      <c r="U41" s="1"/>
      <c r="V41" s="1"/>
      <c r="W41" s="1"/>
      <c r="X41" s="1" t="s">
        <v>675</v>
      </c>
      <c r="Y41" s="1"/>
      <c r="Z41" s="1"/>
      <c r="AA41" s="1"/>
      <c r="AB41" s="1" t="s">
        <v>676</v>
      </c>
      <c r="AC41" s="1"/>
      <c r="AD41" s="1"/>
      <c r="AE41" s="1" t="s">
        <v>532</v>
      </c>
      <c r="AF41" s="1"/>
      <c r="AG41" s="1"/>
      <c r="AH41" s="1" t="s">
        <v>677</v>
      </c>
      <c r="AI41" s="1"/>
      <c r="AJ41" s="1" t="s">
        <v>597</v>
      </c>
      <c r="AK41" s="1" t="s">
        <v>598</v>
      </c>
      <c r="AL41" s="1" t="s">
        <v>599</v>
      </c>
      <c r="AM41" s="1" t="s">
        <v>59</v>
      </c>
      <c r="AN41" s="1" t="s">
        <v>598</v>
      </c>
      <c r="AO41" s="1" t="s">
        <v>126</v>
      </c>
      <c r="AP41" s="2" t="s">
        <v>678</v>
      </c>
      <c r="AQ41" s="2" t="s">
        <v>1077</v>
      </c>
      <c r="AR41" s="1" t="s">
        <v>286</v>
      </c>
      <c r="AS41" s="1" t="s">
        <v>679</v>
      </c>
      <c r="AT41" s="1" t="s">
        <v>5</v>
      </c>
      <c r="AU41" s="1"/>
    </row>
    <row r="42" spans="1:47" hidden="1" x14ac:dyDescent="0.4">
      <c r="A42" s="1" t="s">
        <v>570</v>
      </c>
      <c r="B42" s="10"/>
      <c r="C42" s="1" t="s">
        <v>0</v>
      </c>
      <c r="D42" s="1" t="s">
        <v>17</v>
      </c>
      <c r="E42" s="1" t="s">
        <v>17</v>
      </c>
      <c r="F42" s="1" t="s">
        <v>14</v>
      </c>
      <c r="G42" s="1" t="s">
        <v>1</v>
      </c>
      <c r="H42" s="1" t="s">
        <v>6</v>
      </c>
      <c r="I42" s="1" t="s">
        <v>2</v>
      </c>
      <c r="J42" s="1" t="s">
        <v>3</v>
      </c>
      <c r="K42" s="1" t="s">
        <v>571</v>
      </c>
      <c r="L42" s="1" t="s">
        <v>4</v>
      </c>
      <c r="M42" s="1" t="s">
        <v>9</v>
      </c>
      <c r="N42" s="1" t="s">
        <v>572</v>
      </c>
      <c r="O42" s="1" t="s">
        <v>15</v>
      </c>
      <c r="P42" s="1"/>
      <c r="Q42" s="1"/>
      <c r="R42" s="1" t="s">
        <v>11</v>
      </c>
      <c r="S42" s="1"/>
      <c r="T42" s="1"/>
      <c r="U42" s="1"/>
      <c r="V42" s="1"/>
      <c r="W42" s="1" t="s">
        <v>573</v>
      </c>
      <c r="X42" s="1" t="s">
        <v>125</v>
      </c>
      <c r="Y42" s="1"/>
      <c r="Z42" s="1"/>
      <c r="AA42" s="1"/>
      <c r="AB42" s="1" t="s">
        <v>574</v>
      </c>
      <c r="AC42" s="1"/>
      <c r="AD42" s="1"/>
      <c r="AE42" s="1" t="s">
        <v>575</v>
      </c>
      <c r="AF42" s="1"/>
      <c r="AG42" s="1"/>
      <c r="AH42" s="1" t="s">
        <v>576</v>
      </c>
      <c r="AI42" s="1"/>
      <c r="AJ42" s="1" t="s">
        <v>124</v>
      </c>
      <c r="AK42" s="1" t="s">
        <v>568</v>
      </c>
      <c r="AL42" s="1"/>
      <c r="AM42" s="1" t="s">
        <v>166</v>
      </c>
      <c r="AN42" s="1" t="s">
        <v>568</v>
      </c>
      <c r="AO42" s="1" t="s">
        <v>191</v>
      </c>
      <c r="AP42" s="2" t="s">
        <v>577</v>
      </c>
      <c r="AQ42" s="2" t="s">
        <v>1077</v>
      </c>
      <c r="AR42" s="1" t="s">
        <v>286</v>
      </c>
      <c r="AS42" s="1" t="s">
        <v>578</v>
      </c>
      <c r="AT42" s="1" t="s">
        <v>5</v>
      </c>
      <c r="AU42" s="1"/>
    </row>
    <row r="43" spans="1:47" hidden="1" x14ac:dyDescent="0.4">
      <c r="A43" s="14" t="s">
        <v>891</v>
      </c>
      <c r="B43" s="10">
        <v>0</v>
      </c>
      <c r="C43" s="1" t="s">
        <v>0</v>
      </c>
      <c r="D43" s="1" t="s">
        <v>17</v>
      </c>
      <c r="E43" s="1" t="s">
        <v>17</v>
      </c>
      <c r="F43" s="1" t="s">
        <v>14</v>
      </c>
      <c r="G43" s="1" t="s">
        <v>1</v>
      </c>
      <c r="H43" s="1" t="s">
        <v>6</v>
      </c>
      <c r="I43" s="1" t="s">
        <v>2</v>
      </c>
      <c r="J43" s="1" t="s">
        <v>3</v>
      </c>
      <c r="K43" s="1" t="s">
        <v>892</v>
      </c>
      <c r="L43" s="1" t="s">
        <v>4</v>
      </c>
      <c r="M43" s="1" t="s">
        <v>9</v>
      </c>
      <c r="N43" s="1" t="s">
        <v>893</v>
      </c>
      <c r="O43" s="1" t="s">
        <v>19</v>
      </c>
      <c r="P43" s="1"/>
      <c r="Q43" s="1"/>
      <c r="R43" s="1" t="s">
        <v>11</v>
      </c>
      <c r="S43" s="1"/>
      <c r="T43" s="1"/>
      <c r="U43" s="1"/>
      <c r="V43" s="1"/>
      <c r="W43" s="1"/>
      <c r="X43" s="1" t="s">
        <v>894</v>
      </c>
      <c r="Y43" s="1"/>
      <c r="Z43" s="1"/>
      <c r="AA43" s="1"/>
      <c r="AB43" s="1" t="s">
        <v>895</v>
      </c>
      <c r="AC43" s="1"/>
      <c r="AD43" s="1"/>
      <c r="AE43" s="1" t="s">
        <v>600</v>
      </c>
      <c r="AF43" s="1"/>
      <c r="AG43" s="1"/>
      <c r="AH43" s="1" t="s">
        <v>896</v>
      </c>
      <c r="AI43" s="1"/>
      <c r="AJ43" s="1" t="s">
        <v>59</v>
      </c>
      <c r="AK43" s="1" t="s">
        <v>598</v>
      </c>
      <c r="AL43" s="1" t="s">
        <v>126</v>
      </c>
      <c r="AM43" s="1" t="s">
        <v>522</v>
      </c>
      <c r="AN43" s="1" t="s">
        <v>598</v>
      </c>
      <c r="AO43" s="1" t="s">
        <v>523</v>
      </c>
      <c r="AP43" s="2" t="s">
        <v>897</v>
      </c>
      <c r="AQ43" s="2" t="s">
        <v>1155</v>
      </c>
      <c r="AR43" s="1" t="s">
        <v>286</v>
      </c>
      <c r="AS43" s="1" t="s">
        <v>898</v>
      </c>
      <c r="AT43" s="1" t="s">
        <v>5</v>
      </c>
      <c r="AU43" s="1"/>
    </row>
    <row r="44" spans="1:47" hidden="1" x14ac:dyDescent="0.4">
      <c r="A44" s="14" t="s">
        <v>630</v>
      </c>
      <c r="B44" s="10">
        <v>0</v>
      </c>
      <c r="C44" s="1" t="s">
        <v>0</v>
      </c>
      <c r="D44" s="1" t="s">
        <v>17</v>
      </c>
      <c r="E44" s="1" t="s">
        <v>13</v>
      </c>
      <c r="F44" s="1" t="s">
        <v>14</v>
      </c>
      <c r="G44" s="1" t="s">
        <v>1</v>
      </c>
      <c r="H44" s="1" t="s">
        <v>6</v>
      </c>
      <c r="I44" s="1" t="s">
        <v>2</v>
      </c>
      <c r="J44" s="1" t="s">
        <v>3</v>
      </c>
      <c r="K44" s="1" t="s">
        <v>631</v>
      </c>
      <c r="L44" s="1" t="s">
        <v>4</v>
      </c>
      <c r="M44" s="1" t="s">
        <v>9</v>
      </c>
      <c r="N44" s="1" t="s">
        <v>632</v>
      </c>
      <c r="O44" s="1" t="s">
        <v>19</v>
      </c>
      <c r="P44" s="1"/>
      <c r="Q44" s="1"/>
      <c r="R44" s="1" t="s">
        <v>11</v>
      </c>
      <c r="S44" s="1"/>
      <c r="T44" s="1"/>
      <c r="U44" s="1"/>
      <c r="V44" s="1"/>
      <c r="W44" s="1"/>
      <c r="X44" s="1" t="s">
        <v>633</v>
      </c>
      <c r="Y44" s="1"/>
      <c r="Z44" s="1"/>
      <c r="AA44" s="1"/>
      <c r="AB44" s="1" t="s">
        <v>634</v>
      </c>
      <c r="AC44" s="1"/>
      <c r="AD44" s="1"/>
      <c r="AE44" s="1" t="s">
        <v>635</v>
      </c>
      <c r="AF44" s="1"/>
      <c r="AG44" s="1"/>
      <c r="AH44" s="1" t="s">
        <v>636</v>
      </c>
      <c r="AI44" s="1"/>
      <c r="AJ44" s="1" t="s">
        <v>277</v>
      </c>
      <c r="AK44" s="1" t="s">
        <v>569</v>
      </c>
      <c r="AL44" s="1" t="s">
        <v>278</v>
      </c>
      <c r="AM44" s="1" t="s">
        <v>277</v>
      </c>
      <c r="AN44" s="1" t="s">
        <v>569</v>
      </c>
      <c r="AO44" s="1" t="s">
        <v>278</v>
      </c>
      <c r="AP44" s="2" t="s">
        <v>637</v>
      </c>
      <c r="AQ44" s="2" t="s">
        <v>1077</v>
      </c>
      <c r="AR44" s="1" t="s">
        <v>286</v>
      </c>
      <c r="AS44" s="1" t="s">
        <v>638</v>
      </c>
      <c r="AT44" s="1" t="s">
        <v>5</v>
      </c>
      <c r="AU44" s="1"/>
    </row>
    <row r="45" spans="1:47" hidden="1" x14ac:dyDescent="0.4">
      <c r="A45" s="1" t="s">
        <v>881</v>
      </c>
      <c r="B45" s="10"/>
      <c r="C45" s="1" t="s">
        <v>0</v>
      </c>
      <c r="D45" s="1" t="s">
        <v>17</v>
      </c>
      <c r="E45" s="1" t="s">
        <v>17</v>
      </c>
      <c r="F45" s="1" t="s">
        <v>14</v>
      </c>
      <c r="G45" s="1" t="s">
        <v>1</v>
      </c>
      <c r="H45" s="1" t="s">
        <v>6</v>
      </c>
      <c r="I45" s="1" t="s">
        <v>2</v>
      </c>
      <c r="J45" s="1" t="s">
        <v>3</v>
      </c>
      <c r="K45" s="1" t="s">
        <v>882</v>
      </c>
      <c r="L45" s="1" t="s">
        <v>4</v>
      </c>
      <c r="M45" s="1" t="s">
        <v>8</v>
      </c>
      <c r="N45" s="1" t="s">
        <v>883</v>
      </c>
      <c r="O45" s="1" t="s">
        <v>15</v>
      </c>
      <c r="P45" s="1"/>
      <c r="Q45" s="1"/>
      <c r="R45" s="1" t="s">
        <v>11</v>
      </c>
      <c r="S45" s="1"/>
      <c r="T45" s="1"/>
      <c r="U45" s="1"/>
      <c r="V45" s="1"/>
      <c r="W45" s="1"/>
      <c r="X45" s="1"/>
      <c r="Y45" s="1"/>
      <c r="Z45" s="1"/>
      <c r="AA45" s="1"/>
      <c r="AB45" s="1" t="s">
        <v>884</v>
      </c>
      <c r="AC45" s="1"/>
      <c r="AD45" s="1"/>
      <c r="AE45" s="1" t="s">
        <v>885</v>
      </c>
      <c r="AF45" s="1"/>
      <c r="AG45" s="1"/>
      <c r="AH45" s="1" t="s">
        <v>886</v>
      </c>
      <c r="AI45" s="1"/>
      <c r="AJ45" s="1" t="s">
        <v>99</v>
      </c>
      <c r="AK45" s="1" t="s">
        <v>569</v>
      </c>
      <c r="AL45" s="1" t="s">
        <v>100</v>
      </c>
      <c r="AM45" s="1" t="s">
        <v>70</v>
      </c>
      <c r="AN45" s="1" t="s">
        <v>569</v>
      </c>
      <c r="AO45" s="1" t="s">
        <v>116</v>
      </c>
      <c r="AP45" s="2" t="s">
        <v>887</v>
      </c>
      <c r="AQ45" s="2" t="s">
        <v>1155</v>
      </c>
      <c r="AR45" s="1" t="s">
        <v>286</v>
      </c>
      <c r="AS45" s="1" t="s">
        <v>888</v>
      </c>
      <c r="AT45" s="1" t="s">
        <v>5</v>
      </c>
      <c r="AU45" s="1"/>
    </row>
    <row r="46" spans="1:47" hidden="1" x14ac:dyDescent="0.4">
      <c r="A46" s="1" t="s">
        <v>1041</v>
      </c>
      <c r="B46" s="10"/>
      <c r="C46" s="1" t="s">
        <v>0</v>
      </c>
      <c r="D46" s="1" t="s">
        <v>17</v>
      </c>
      <c r="E46" s="1" t="s">
        <v>17</v>
      </c>
      <c r="F46" s="1" t="s">
        <v>14</v>
      </c>
      <c r="G46" s="1" t="s">
        <v>1</v>
      </c>
      <c r="H46" s="1" t="s">
        <v>6</v>
      </c>
      <c r="I46" s="1" t="s">
        <v>2</v>
      </c>
      <c r="J46" s="1" t="s">
        <v>3</v>
      </c>
      <c r="K46" s="1" t="s">
        <v>1042</v>
      </c>
      <c r="L46" s="1" t="s">
        <v>7</v>
      </c>
      <c r="M46" s="1" t="s">
        <v>9</v>
      </c>
      <c r="N46" s="1" t="s">
        <v>1043</v>
      </c>
      <c r="O46" s="1" t="s">
        <v>15</v>
      </c>
      <c r="P46" s="1"/>
      <c r="Q46" s="1"/>
      <c r="R46" s="1" t="s">
        <v>11</v>
      </c>
      <c r="S46" s="1"/>
      <c r="T46" s="1"/>
      <c r="U46" s="1"/>
      <c r="V46" s="1"/>
      <c r="W46" s="1"/>
      <c r="X46" s="1"/>
      <c r="Y46" s="1"/>
      <c r="Z46" s="1"/>
      <c r="AA46" s="1"/>
      <c r="AB46" s="1" t="s">
        <v>1044</v>
      </c>
      <c r="AC46" s="1"/>
      <c r="AD46" s="1"/>
      <c r="AE46" s="1" t="s">
        <v>591</v>
      </c>
      <c r="AF46" s="1"/>
      <c r="AG46" s="1"/>
      <c r="AH46" s="1" t="s">
        <v>1045</v>
      </c>
      <c r="AI46" s="1"/>
      <c r="AJ46" s="1" t="s">
        <v>725</v>
      </c>
      <c r="AK46" s="1" t="s">
        <v>213</v>
      </c>
      <c r="AL46" s="1" t="s">
        <v>726</v>
      </c>
      <c r="AM46" s="1" t="s">
        <v>61</v>
      </c>
      <c r="AN46" s="1" t="s">
        <v>213</v>
      </c>
      <c r="AO46" s="1" t="s">
        <v>315</v>
      </c>
      <c r="AP46" s="2" t="s">
        <v>1046</v>
      </c>
      <c r="AQ46" s="2" t="s">
        <v>1155</v>
      </c>
      <c r="AR46" s="1" t="s">
        <v>286</v>
      </c>
      <c r="AS46" s="1" t="s">
        <v>1017</v>
      </c>
      <c r="AT46" s="1" t="s">
        <v>5</v>
      </c>
      <c r="AU46" s="1"/>
    </row>
    <row r="47" spans="1:47" hidden="1" x14ac:dyDescent="0.4">
      <c r="A47" s="1" t="s">
        <v>579</v>
      </c>
      <c r="B47" s="10"/>
      <c r="C47" s="1" t="s">
        <v>0</v>
      </c>
      <c r="D47" s="1" t="s">
        <v>17</v>
      </c>
      <c r="E47" s="1" t="s">
        <v>17</v>
      </c>
      <c r="F47" s="1" t="s">
        <v>14</v>
      </c>
      <c r="G47" s="1" t="s">
        <v>1</v>
      </c>
      <c r="H47" s="1" t="s">
        <v>6</v>
      </c>
      <c r="I47" s="1" t="s">
        <v>2</v>
      </c>
      <c r="J47" s="1" t="s">
        <v>3</v>
      </c>
      <c r="K47" s="1" t="s">
        <v>580</v>
      </c>
      <c r="L47" s="1" t="s">
        <v>4</v>
      </c>
      <c r="M47" s="1" t="s">
        <v>9</v>
      </c>
      <c r="N47" s="1" t="s">
        <v>581</v>
      </c>
      <c r="O47" s="1" t="s">
        <v>15</v>
      </c>
      <c r="P47" s="1"/>
      <c r="Q47" s="1"/>
      <c r="R47" s="1" t="s">
        <v>11</v>
      </c>
      <c r="S47" s="1"/>
      <c r="T47" s="1"/>
      <c r="U47" s="1"/>
      <c r="V47" s="1"/>
      <c r="W47" s="1" t="s">
        <v>582</v>
      </c>
      <c r="X47" s="1" t="s">
        <v>125</v>
      </c>
      <c r="Y47" s="1"/>
      <c r="Z47" s="1"/>
      <c r="AA47" s="1"/>
      <c r="AB47" s="1" t="s">
        <v>583</v>
      </c>
      <c r="AC47" s="1"/>
      <c r="AD47" s="1"/>
      <c r="AE47" s="1" t="s">
        <v>584</v>
      </c>
      <c r="AF47" s="1"/>
      <c r="AG47" s="1"/>
      <c r="AH47" s="1" t="s">
        <v>585</v>
      </c>
      <c r="AI47" s="1"/>
      <c r="AJ47" s="1" t="s">
        <v>124</v>
      </c>
      <c r="AK47" s="1" t="s">
        <v>568</v>
      </c>
      <c r="AL47" s="1"/>
      <c r="AM47" s="1" t="s">
        <v>166</v>
      </c>
      <c r="AN47" s="1" t="s">
        <v>568</v>
      </c>
      <c r="AO47" s="1" t="s">
        <v>191</v>
      </c>
      <c r="AP47" s="2" t="s">
        <v>586</v>
      </c>
      <c r="AQ47" s="2" t="s">
        <v>1077</v>
      </c>
      <c r="AR47" s="1" t="s">
        <v>286</v>
      </c>
      <c r="AS47" s="1" t="s">
        <v>587</v>
      </c>
      <c r="AT47" s="1" t="s">
        <v>5</v>
      </c>
      <c r="AU47" s="1"/>
    </row>
    <row r="48" spans="1:47" hidden="1" x14ac:dyDescent="0.4">
      <c r="A48" s="1" t="s">
        <v>194</v>
      </c>
      <c r="B48" s="10"/>
      <c r="C48" s="1" t="s">
        <v>0</v>
      </c>
      <c r="D48" s="1" t="s">
        <v>17</v>
      </c>
      <c r="E48" s="1" t="s">
        <v>17</v>
      </c>
      <c r="F48" s="1" t="s">
        <v>14</v>
      </c>
      <c r="G48" s="1" t="s">
        <v>1</v>
      </c>
      <c r="H48" s="1" t="s">
        <v>6</v>
      </c>
      <c r="I48" s="1" t="s">
        <v>2</v>
      </c>
      <c r="J48" s="1" t="s">
        <v>3</v>
      </c>
      <c r="K48" s="1" t="s">
        <v>195</v>
      </c>
      <c r="L48" s="1" t="s">
        <v>7</v>
      </c>
      <c r="M48" s="1" t="s">
        <v>9</v>
      </c>
      <c r="N48" s="1" t="s">
        <v>196</v>
      </c>
      <c r="O48" s="1" t="s">
        <v>15</v>
      </c>
      <c r="P48" s="1"/>
      <c r="Q48" s="1"/>
      <c r="R48" s="1" t="s">
        <v>11</v>
      </c>
      <c r="S48" s="1"/>
      <c r="T48" s="1"/>
      <c r="U48" s="1"/>
      <c r="V48" s="1"/>
      <c r="W48" s="1"/>
      <c r="X48" s="1"/>
      <c r="Y48" s="1"/>
      <c r="Z48" s="1"/>
      <c r="AA48" s="1"/>
      <c r="AB48" s="1" t="s">
        <v>197</v>
      </c>
      <c r="AC48" s="1"/>
      <c r="AD48" s="1"/>
      <c r="AE48" s="1"/>
      <c r="AF48" s="1"/>
      <c r="AG48" s="1"/>
      <c r="AH48" s="1" t="s">
        <v>198</v>
      </c>
      <c r="AI48" s="1"/>
      <c r="AJ48" s="1" t="s">
        <v>193</v>
      </c>
      <c r="AK48" s="1" t="s">
        <v>137</v>
      </c>
      <c r="AL48" s="1"/>
      <c r="AM48" s="1" t="s">
        <v>193</v>
      </c>
      <c r="AN48" s="1" t="s">
        <v>137</v>
      </c>
      <c r="AO48" s="1"/>
      <c r="AP48" s="2" t="s">
        <v>199</v>
      </c>
      <c r="AQ48" s="2" t="s">
        <v>1077</v>
      </c>
      <c r="AR48" s="1"/>
      <c r="AS48" s="1"/>
      <c r="AT48" s="1" t="s">
        <v>5</v>
      </c>
      <c r="AU48" s="1"/>
    </row>
    <row r="49" spans="1:47" hidden="1" x14ac:dyDescent="0.4">
      <c r="A49" s="1" t="s">
        <v>426</v>
      </c>
      <c r="B49" s="10"/>
      <c r="C49" s="1" t="s">
        <v>0</v>
      </c>
      <c r="D49" s="1" t="s">
        <v>17</v>
      </c>
      <c r="E49" s="1" t="s">
        <v>13</v>
      </c>
      <c r="F49" s="1" t="s">
        <v>14</v>
      </c>
      <c r="G49" s="1" t="s">
        <v>1</v>
      </c>
      <c r="H49" s="1" t="s">
        <v>6</v>
      </c>
      <c r="I49" s="1" t="s">
        <v>2</v>
      </c>
      <c r="J49" s="1" t="s">
        <v>3</v>
      </c>
      <c r="K49" s="1" t="s">
        <v>427</v>
      </c>
      <c r="L49" s="1" t="s">
        <v>4</v>
      </c>
      <c r="M49" s="1" t="s">
        <v>9</v>
      </c>
      <c r="N49" s="1" t="s">
        <v>428</v>
      </c>
      <c r="O49" s="1" t="s">
        <v>16</v>
      </c>
      <c r="P49" s="1" t="s">
        <v>429</v>
      </c>
      <c r="Q49" s="1"/>
      <c r="R49" s="1" t="s">
        <v>11</v>
      </c>
      <c r="S49" s="1"/>
      <c r="T49" s="1"/>
      <c r="U49" s="1"/>
      <c r="V49" s="1"/>
      <c r="W49" s="1" t="s">
        <v>430</v>
      </c>
      <c r="X49" s="1"/>
      <c r="Y49" s="1"/>
      <c r="Z49" s="1"/>
      <c r="AA49" s="1"/>
      <c r="AB49" s="1" t="s">
        <v>431</v>
      </c>
      <c r="AC49" s="1"/>
      <c r="AD49" s="1"/>
      <c r="AE49" s="1"/>
      <c r="AF49" s="1"/>
      <c r="AG49" s="1"/>
      <c r="AH49" s="1" t="s">
        <v>432</v>
      </c>
      <c r="AI49" s="1"/>
      <c r="AJ49" s="1" t="s">
        <v>63</v>
      </c>
      <c r="AK49" s="1" t="s">
        <v>279</v>
      </c>
      <c r="AL49" s="1"/>
      <c r="AM49" s="1" t="s">
        <v>170</v>
      </c>
      <c r="AN49" s="1" t="s">
        <v>279</v>
      </c>
      <c r="AO49" s="1" t="s">
        <v>267</v>
      </c>
      <c r="AP49" s="2" t="s">
        <v>433</v>
      </c>
      <c r="AQ49" s="2" t="s">
        <v>1152</v>
      </c>
      <c r="AR49" s="1" t="s">
        <v>286</v>
      </c>
      <c r="AS49" s="1"/>
      <c r="AT49" s="1" t="s">
        <v>5</v>
      </c>
      <c r="AU49" s="1"/>
    </row>
    <row r="50" spans="1:47" hidden="1" x14ac:dyDescent="0.4">
      <c r="A50" s="1" t="s">
        <v>1087</v>
      </c>
      <c r="B50" s="10"/>
      <c r="C50" s="1" t="s">
        <v>0</v>
      </c>
      <c r="D50" s="1" t="s">
        <v>17</v>
      </c>
      <c r="E50" s="1" t="s">
        <v>17</v>
      </c>
      <c r="F50" s="1" t="s">
        <v>14</v>
      </c>
      <c r="G50" s="1" t="s">
        <v>1</v>
      </c>
      <c r="H50" s="1" t="s">
        <v>6</v>
      </c>
      <c r="I50" s="1" t="s">
        <v>2</v>
      </c>
      <c r="J50" s="1" t="s">
        <v>3</v>
      </c>
      <c r="K50" s="1" t="s">
        <v>1088</v>
      </c>
      <c r="L50" s="1" t="s">
        <v>4</v>
      </c>
      <c r="M50" s="1" t="s">
        <v>9</v>
      </c>
      <c r="N50" s="1" t="s">
        <v>1089</v>
      </c>
      <c r="O50" s="1" t="s">
        <v>15</v>
      </c>
      <c r="P50" s="1"/>
      <c r="Q50" s="1" t="s">
        <v>12</v>
      </c>
      <c r="R50" s="1" t="s">
        <v>11</v>
      </c>
      <c r="S50" s="1"/>
      <c r="T50" s="1" t="s">
        <v>12</v>
      </c>
      <c r="U50" s="1" t="s">
        <v>11</v>
      </c>
      <c r="V50" s="1"/>
      <c r="W50" s="1" t="s">
        <v>1090</v>
      </c>
      <c r="X50" s="1"/>
      <c r="Y50" s="1"/>
      <c r="Z50" s="1"/>
      <c r="AA50" s="1"/>
      <c r="AB50" s="1" t="s">
        <v>1091</v>
      </c>
      <c r="AC50" s="1"/>
      <c r="AD50" s="1"/>
      <c r="AE50" s="1" t="s">
        <v>20</v>
      </c>
      <c r="AF50" s="1"/>
      <c r="AG50" s="1"/>
      <c r="AH50" s="1" t="s">
        <v>1092</v>
      </c>
      <c r="AI50" s="1"/>
      <c r="AJ50" s="1" t="s">
        <v>104</v>
      </c>
      <c r="AK50" s="1" t="s">
        <v>598</v>
      </c>
      <c r="AL50" s="1" t="s">
        <v>105</v>
      </c>
      <c r="AM50" s="1" t="s">
        <v>889</v>
      </c>
      <c r="AN50" s="1" t="s">
        <v>598</v>
      </c>
      <c r="AO50" s="1" t="s">
        <v>890</v>
      </c>
      <c r="AP50" s="2" t="s">
        <v>1093</v>
      </c>
      <c r="AQ50" s="2" t="s">
        <v>1155</v>
      </c>
      <c r="AR50" s="1" t="s">
        <v>286</v>
      </c>
      <c r="AS50" s="1" t="s">
        <v>1086</v>
      </c>
      <c r="AT50" s="1" t="s">
        <v>5</v>
      </c>
      <c r="AU50" s="1"/>
    </row>
    <row r="51" spans="1:47" hidden="1" x14ac:dyDescent="0.4">
      <c r="A51" s="1" t="s">
        <v>1069</v>
      </c>
      <c r="B51" s="10"/>
      <c r="C51" s="1" t="s">
        <v>0</v>
      </c>
      <c r="D51" s="1" t="s">
        <v>17</v>
      </c>
      <c r="E51" s="1" t="s">
        <v>17</v>
      </c>
      <c r="F51" s="1" t="s">
        <v>14</v>
      </c>
      <c r="G51" s="1" t="s">
        <v>1</v>
      </c>
      <c r="H51" s="1" t="s">
        <v>6</v>
      </c>
      <c r="I51" s="1" t="s">
        <v>2</v>
      </c>
      <c r="J51" s="1" t="s">
        <v>3</v>
      </c>
      <c r="K51" s="1" t="s">
        <v>1070</v>
      </c>
      <c r="L51" s="1" t="s">
        <v>4</v>
      </c>
      <c r="M51" s="1" t="s">
        <v>9</v>
      </c>
      <c r="N51" s="1" t="s">
        <v>1071</v>
      </c>
      <c r="O51" s="1" t="s">
        <v>15</v>
      </c>
      <c r="P51" s="1"/>
      <c r="Q51" s="1"/>
      <c r="R51" s="1" t="s">
        <v>11</v>
      </c>
      <c r="S51" s="1"/>
      <c r="T51" s="1"/>
      <c r="U51" s="1"/>
      <c r="V51" s="1"/>
      <c r="W51" s="1"/>
      <c r="X51" s="1" t="s">
        <v>1072</v>
      </c>
      <c r="Y51" s="1"/>
      <c r="Z51" s="1"/>
      <c r="AA51" s="1"/>
      <c r="AB51" s="1" t="s">
        <v>1073</v>
      </c>
      <c r="AC51" s="1"/>
      <c r="AD51" s="1"/>
      <c r="AE51" s="1" t="s">
        <v>20</v>
      </c>
      <c r="AF51" s="1"/>
      <c r="AG51" s="1"/>
      <c r="AH51" s="1" t="s">
        <v>1074</v>
      </c>
      <c r="AI51" s="1"/>
      <c r="AJ51" s="1" t="s">
        <v>83</v>
      </c>
      <c r="AK51" s="1" t="s">
        <v>504</v>
      </c>
      <c r="AL51" s="1" t="s">
        <v>94</v>
      </c>
      <c r="AM51" s="1" t="s">
        <v>204</v>
      </c>
      <c r="AN51" s="1" t="s">
        <v>504</v>
      </c>
      <c r="AO51" s="1" t="s">
        <v>205</v>
      </c>
      <c r="AP51" s="2" t="s">
        <v>1075</v>
      </c>
      <c r="AQ51" s="2" t="s">
        <v>1155</v>
      </c>
      <c r="AR51" s="1" t="s">
        <v>286</v>
      </c>
      <c r="AS51" s="1" t="s">
        <v>1068</v>
      </c>
      <c r="AT51" s="1" t="s">
        <v>5</v>
      </c>
      <c r="AU51" s="1"/>
    </row>
    <row r="52" spans="1:47" hidden="1" x14ac:dyDescent="0.4">
      <c r="A52" s="1" t="s">
        <v>971</v>
      </c>
      <c r="B52" s="10"/>
      <c r="C52" s="1" t="s">
        <v>92</v>
      </c>
      <c r="D52" s="1" t="s">
        <v>17</v>
      </c>
      <c r="E52" s="1" t="s">
        <v>17</v>
      </c>
      <c r="F52" s="1" t="s">
        <v>14</v>
      </c>
      <c r="G52" s="1" t="s">
        <v>1</v>
      </c>
      <c r="H52" s="1" t="s">
        <v>6</v>
      </c>
      <c r="I52" s="1" t="s">
        <v>2</v>
      </c>
      <c r="J52" s="1" t="s">
        <v>3</v>
      </c>
      <c r="K52" s="1" t="s">
        <v>972</v>
      </c>
      <c r="L52" s="1" t="s">
        <v>7</v>
      </c>
      <c r="M52" s="1" t="s">
        <v>9</v>
      </c>
      <c r="N52" s="1" t="s">
        <v>973</v>
      </c>
      <c r="O52" s="1" t="s">
        <v>16</v>
      </c>
      <c r="P52" s="1"/>
      <c r="Q52" s="1"/>
      <c r="R52" s="1" t="s">
        <v>11</v>
      </c>
      <c r="S52" s="1"/>
      <c r="T52" s="1"/>
      <c r="U52" s="1"/>
      <c r="V52" s="1"/>
      <c r="W52" s="1"/>
      <c r="X52" s="1"/>
      <c r="Y52" s="1"/>
      <c r="Z52" s="1"/>
      <c r="AA52" s="1"/>
      <c r="AB52" s="1" t="s">
        <v>974</v>
      </c>
      <c r="AC52" s="1"/>
      <c r="AD52" s="1"/>
      <c r="AE52" s="1" t="s">
        <v>975</v>
      </c>
      <c r="AF52" s="1"/>
      <c r="AG52" s="1"/>
      <c r="AH52" s="1" t="s">
        <v>976</v>
      </c>
      <c r="AI52" s="1"/>
      <c r="AJ52" s="1" t="s">
        <v>117</v>
      </c>
      <c r="AK52" s="1" t="s">
        <v>907</v>
      </c>
      <c r="AL52" s="1" t="s">
        <v>118</v>
      </c>
      <c r="AM52" s="1" t="s">
        <v>138</v>
      </c>
      <c r="AN52" s="1" t="s">
        <v>907</v>
      </c>
      <c r="AO52" s="1" t="s">
        <v>139</v>
      </c>
      <c r="AP52" s="2" t="s">
        <v>977</v>
      </c>
      <c r="AQ52" s="2" t="s">
        <v>1155</v>
      </c>
      <c r="AR52" s="1" t="s">
        <v>286</v>
      </c>
      <c r="AS52" s="1" t="s">
        <v>978</v>
      </c>
      <c r="AT52" s="1" t="s">
        <v>5</v>
      </c>
      <c r="AU52" s="1"/>
    </row>
    <row r="53" spans="1:47" hidden="1" x14ac:dyDescent="0.4">
      <c r="A53" s="1" t="s">
        <v>219</v>
      </c>
      <c r="B53" s="10"/>
      <c r="C53" s="1" t="s">
        <v>0</v>
      </c>
      <c r="D53" s="1" t="s">
        <v>17</v>
      </c>
      <c r="E53" s="1" t="s">
        <v>17</v>
      </c>
      <c r="F53" s="1" t="s">
        <v>14</v>
      </c>
      <c r="G53" s="1" t="s">
        <v>1</v>
      </c>
      <c r="H53" s="1" t="s">
        <v>6</v>
      </c>
      <c r="I53" s="1" t="s">
        <v>2</v>
      </c>
      <c r="J53" s="1" t="s">
        <v>3</v>
      </c>
      <c r="K53" s="1" t="s">
        <v>220</v>
      </c>
      <c r="L53" s="1" t="s">
        <v>7</v>
      </c>
      <c r="M53" s="1" t="s">
        <v>9</v>
      </c>
      <c r="N53" s="1" t="s">
        <v>221</v>
      </c>
      <c r="O53" s="1" t="s">
        <v>15</v>
      </c>
      <c r="P53" s="1"/>
      <c r="Q53" s="1"/>
      <c r="R53" s="1" t="s">
        <v>11</v>
      </c>
      <c r="S53" s="1"/>
      <c r="T53" s="1"/>
      <c r="U53" s="1"/>
      <c r="V53" s="1"/>
      <c r="W53" s="1"/>
      <c r="X53" s="1" t="s">
        <v>222</v>
      </c>
      <c r="Y53" s="1"/>
      <c r="Z53" s="1"/>
      <c r="AA53" s="1"/>
      <c r="AB53" s="1" t="s">
        <v>223</v>
      </c>
      <c r="AC53" s="1"/>
      <c r="AD53" s="1"/>
      <c r="AE53" s="1"/>
      <c r="AF53" s="1"/>
      <c r="AG53" s="1"/>
      <c r="AH53" s="1" t="s">
        <v>224</v>
      </c>
      <c r="AI53" s="1"/>
      <c r="AJ53" s="1" t="s">
        <v>35</v>
      </c>
      <c r="AK53" s="1" t="s">
        <v>210</v>
      </c>
      <c r="AL53" s="1"/>
      <c r="AM53" s="1" t="s">
        <v>122</v>
      </c>
      <c r="AN53" s="1" t="s">
        <v>210</v>
      </c>
      <c r="AO53" s="1" t="s">
        <v>123</v>
      </c>
      <c r="AP53" s="2" t="s">
        <v>225</v>
      </c>
      <c r="AQ53" s="2" t="s">
        <v>1152</v>
      </c>
      <c r="AR53" s="1"/>
      <c r="AS53" s="1" t="s">
        <v>226</v>
      </c>
      <c r="AT53" s="1" t="s">
        <v>5</v>
      </c>
      <c r="AU53" s="1"/>
    </row>
    <row r="54" spans="1:47" hidden="1" x14ac:dyDescent="0.4">
      <c r="A54" s="1" t="s">
        <v>856</v>
      </c>
      <c r="B54" s="10"/>
      <c r="C54" s="1" t="s">
        <v>0</v>
      </c>
      <c r="D54" s="1" t="s">
        <v>17</v>
      </c>
      <c r="E54" s="1" t="s">
        <v>17</v>
      </c>
      <c r="F54" s="1" t="s">
        <v>14</v>
      </c>
      <c r="G54" s="1" t="s">
        <v>1</v>
      </c>
      <c r="H54" s="1" t="s">
        <v>6</v>
      </c>
      <c r="I54" s="1" t="s">
        <v>2</v>
      </c>
      <c r="J54" s="1" t="s">
        <v>3</v>
      </c>
      <c r="K54" s="1" t="s">
        <v>857</v>
      </c>
      <c r="L54" s="1" t="s">
        <v>7</v>
      </c>
      <c r="M54" s="1" t="s">
        <v>9</v>
      </c>
      <c r="N54" s="1" t="s">
        <v>858</v>
      </c>
      <c r="O54" s="1" t="s">
        <v>15</v>
      </c>
      <c r="P54" s="1"/>
      <c r="Q54" s="1"/>
      <c r="R54" s="1" t="s">
        <v>11</v>
      </c>
      <c r="S54" s="1"/>
      <c r="T54" s="1"/>
      <c r="U54" s="1"/>
      <c r="V54" s="1"/>
      <c r="W54" s="1"/>
      <c r="X54" s="1" t="s">
        <v>859</v>
      </c>
      <c r="Y54" s="1"/>
      <c r="Z54" s="1"/>
      <c r="AA54" s="1"/>
      <c r="AB54" s="1" t="s">
        <v>860</v>
      </c>
      <c r="AC54" s="1"/>
      <c r="AD54" s="1"/>
      <c r="AE54" s="1" t="s">
        <v>294</v>
      </c>
      <c r="AF54" s="1"/>
      <c r="AG54" s="1"/>
      <c r="AH54" s="1" t="s">
        <v>861</v>
      </c>
      <c r="AI54" s="1"/>
      <c r="AJ54" s="1" t="s">
        <v>55</v>
      </c>
      <c r="AK54" s="1" t="s">
        <v>476</v>
      </c>
      <c r="AL54" s="1"/>
      <c r="AM54" s="1" t="s">
        <v>216</v>
      </c>
      <c r="AN54" s="1" t="s">
        <v>476</v>
      </c>
      <c r="AO54" s="1" t="s">
        <v>217</v>
      </c>
      <c r="AP54" s="2" t="s">
        <v>862</v>
      </c>
      <c r="AQ54" s="2" t="s">
        <v>1154</v>
      </c>
      <c r="AR54" s="1" t="s">
        <v>286</v>
      </c>
      <c r="AS54" s="1" t="s">
        <v>863</v>
      </c>
      <c r="AT54" s="1" t="s">
        <v>5</v>
      </c>
      <c r="AU54" s="1"/>
    </row>
    <row r="55" spans="1:47" hidden="1" x14ac:dyDescent="0.4">
      <c r="A55" s="1" t="s">
        <v>747</v>
      </c>
      <c r="B55" s="10"/>
      <c r="C55" s="1" t="s">
        <v>0</v>
      </c>
      <c r="D55" s="1" t="s">
        <v>17</v>
      </c>
      <c r="E55" s="1" t="s">
        <v>17</v>
      </c>
      <c r="F55" s="1" t="s">
        <v>14</v>
      </c>
      <c r="G55" s="1" t="s">
        <v>1</v>
      </c>
      <c r="H55" s="1" t="s">
        <v>6</v>
      </c>
      <c r="I55" s="1" t="s">
        <v>2</v>
      </c>
      <c r="J55" s="1" t="s">
        <v>3</v>
      </c>
      <c r="K55" s="1" t="s">
        <v>748</v>
      </c>
      <c r="L55" s="1" t="s">
        <v>4</v>
      </c>
      <c r="M55" s="1" t="s">
        <v>9</v>
      </c>
      <c r="N55" s="1" t="s">
        <v>749</v>
      </c>
      <c r="O55" s="1" t="s">
        <v>15</v>
      </c>
      <c r="P55" s="1"/>
      <c r="Q55" s="1"/>
      <c r="R55" s="1" t="s">
        <v>11</v>
      </c>
      <c r="S55" s="1"/>
      <c r="T55" s="1"/>
      <c r="U55" s="1"/>
      <c r="V55" s="1"/>
      <c r="W55" s="1"/>
      <c r="X55" s="1"/>
      <c r="Y55" s="1"/>
      <c r="Z55" s="1"/>
      <c r="AA55" s="1"/>
      <c r="AB55" s="1" t="s">
        <v>750</v>
      </c>
      <c r="AC55" s="1"/>
      <c r="AD55" s="1"/>
      <c r="AE55" s="1" t="s">
        <v>20</v>
      </c>
      <c r="AF55" s="1"/>
      <c r="AG55" s="1"/>
      <c r="AH55" s="1" t="s">
        <v>751</v>
      </c>
      <c r="AI55" s="1"/>
      <c r="AJ55" s="1" t="s">
        <v>148</v>
      </c>
      <c r="AK55" s="1" t="s">
        <v>502</v>
      </c>
      <c r="AL55" s="1" t="s">
        <v>149</v>
      </c>
      <c r="AM55" s="1" t="s">
        <v>477</v>
      </c>
      <c r="AN55" s="1" t="s">
        <v>502</v>
      </c>
      <c r="AO55" s="1" t="s">
        <v>478</v>
      </c>
      <c r="AP55" s="2" t="s">
        <v>752</v>
      </c>
      <c r="AQ55" s="2" t="s">
        <v>1154</v>
      </c>
      <c r="AR55" s="1" t="s">
        <v>286</v>
      </c>
      <c r="AS55" s="1" t="s">
        <v>753</v>
      </c>
      <c r="AT55" s="1" t="s">
        <v>5</v>
      </c>
      <c r="AU55" s="1"/>
    </row>
    <row r="56" spans="1:47" hidden="1" x14ac:dyDescent="0.4">
      <c r="A56" s="1" t="s">
        <v>1078</v>
      </c>
      <c r="B56" s="10"/>
      <c r="C56" s="1" t="s">
        <v>0</v>
      </c>
      <c r="D56" s="1" t="s">
        <v>17</v>
      </c>
      <c r="E56" s="1" t="s">
        <v>17</v>
      </c>
      <c r="F56" s="1" t="s">
        <v>14</v>
      </c>
      <c r="G56" s="1" t="s">
        <v>1</v>
      </c>
      <c r="H56" s="1" t="s">
        <v>6</v>
      </c>
      <c r="I56" s="1" t="s">
        <v>2</v>
      </c>
      <c r="J56" s="1" t="s">
        <v>3</v>
      </c>
      <c r="K56" s="1" t="s">
        <v>1079</v>
      </c>
      <c r="L56" s="1" t="s">
        <v>7</v>
      </c>
      <c r="M56" s="1" t="s">
        <v>9</v>
      </c>
      <c r="N56" s="1" t="s">
        <v>1080</v>
      </c>
      <c r="O56" s="1" t="s">
        <v>15</v>
      </c>
      <c r="P56" s="1"/>
      <c r="Q56" s="1" t="s">
        <v>12</v>
      </c>
      <c r="R56" s="1" t="s">
        <v>11</v>
      </c>
      <c r="S56" s="1"/>
      <c r="T56" s="1" t="s">
        <v>12</v>
      </c>
      <c r="U56" s="1" t="s">
        <v>11</v>
      </c>
      <c r="V56" s="1"/>
      <c r="W56" s="1"/>
      <c r="X56" s="1" t="s">
        <v>1081</v>
      </c>
      <c r="Y56" s="1"/>
      <c r="Z56" s="1"/>
      <c r="AA56" s="1"/>
      <c r="AB56" s="1" t="s">
        <v>1082</v>
      </c>
      <c r="AC56" s="1"/>
      <c r="AD56" s="1"/>
      <c r="AE56" s="1" t="s">
        <v>20</v>
      </c>
      <c r="AF56" s="1"/>
      <c r="AG56" s="1"/>
      <c r="AH56" s="1" t="s">
        <v>1083</v>
      </c>
      <c r="AI56" s="1"/>
      <c r="AJ56" s="1" t="s">
        <v>83</v>
      </c>
      <c r="AK56" s="1" t="s">
        <v>504</v>
      </c>
      <c r="AL56" s="1" t="s">
        <v>94</v>
      </c>
      <c r="AM56" s="1" t="s">
        <v>204</v>
      </c>
      <c r="AN56" s="1" t="s">
        <v>504</v>
      </c>
      <c r="AO56" s="1" t="s">
        <v>205</v>
      </c>
      <c r="AP56" s="2" t="s">
        <v>1084</v>
      </c>
      <c r="AQ56" s="2" t="s">
        <v>1155</v>
      </c>
      <c r="AR56" s="1" t="s">
        <v>286</v>
      </c>
      <c r="AS56" s="1" t="s">
        <v>1085</v>
      </c>
      <c r="AT56" s="1" t="s">
        <v>5</v>
      </c>
      <c r="AU56" s="1"/>
    </row>
    <row r="57" spans="1:47" hidden="1" x14ac:dyDescent="0.4">
      <c r="A57" s="1" t="s">
        <v>754</v>
      </c>
      <c r="B57" s="10"/>
      <c r="C57" s="1" t="s">
        <v>0</v>
      </c>
      <c r="D57" s="1" t="s">
        <v>17</v>
      </c>
      <c r="E57" s="1" t="s">
        <v>17</v>
      </c>
      <c r="F57" s="1" t="s">
        <v>14</v>
      </c>
      <c r="G57" s="1" t="s">
        <v>1</v>
      </c>
      <c r="H57" s="1" t="s">
        <v>6</v>
      </c>
      <c r="I57" s="1" t="s">
        <v>2</v>
      </c>
      <c r="J57" s="1" t="s">
        <v>3</v>
      </c>
      <c r="K57" s="1" t="s">
        <v>755</v>
      </c>
      <c r="L57" s="1" t="s">
        <v>7</v>
      </c>
      <c r="M57" s="1" t="s">
        <v>9</v>
      </c>
      <c r="N57" s="1" t="s">
        <v>756</v>
      </c>
      <c r="O57" s="1" t="s">
        <v>15</v>
      </c>
      <c r="P57" s="1"/>
      <c r="Q57" s="1"/>
      <c r="R57" s="1" t="s">
        <v>11</v>
      </c>
      <c r="S57" s="1"/>
      <c r="T57" s="1"/>
      <c r="U57" s="1"/>
      <c r="V57" s="1"/>
      <c r="W57" s="1"/>
      <c r="X57" s="1" t="s">
        <v>757</v>
      </c>
      <c r="Y57" s="1"/>
      <c r="Z57" s="1"/>
      <c r="AA57" s="1"/>
      <c r="AB57" s="1" t="s">
        <v>758</v>
      </c>
      <c r="AC57" s="1"/>
      <c r="AD57" s="1"/>
      <c r="AE57" s="1" t="s">
        <v>759</v>
      </c>
      <c r="AF57" s="1"/>
      <c r="AG57" s="1"/>
      <c r="AH57" s="1" t="s">
        <v>760</v>
      </c>
      <c r="AI57" s="1"/>
      <c r="AJ57" s="1" t="s">
        <v>51</v>
      </c>
      <c r="AK57" s="1" t="s">
        <v>518</v>
      </c>
      <c r="AL57" s="1" t="s">
        <v>136</v>
      </c>
      <c r="AM57" s="1" t="s">
        <v>621</v>
      </c>
      <c r="AN57" s="1" t="s">
        <v>518</v>
      </c>
      <c r="AO57" s="1" t="s">
        <v>622</v>
      </c>
      <c r="AP57" s="2" t="s">
        <v>761</v>
      </c>
      <c r="AQ57" s="2" t="s">
        <v>1154</v>
      </c>
      <c r="AR57" s="1" t="s">
        <v>286</v>
      </c>
      <c r="AS57" s="1"/>
      <c r="AT57" s="1" t="s">
        <v>5</v>
      </c>
      <c r="AU57" s="1"/>
    </row>
    <row r="58" spans="1:47" hidden="1" x14ac:dyDescent="0.4">
      <c r="A58" s="1" t="s">
        <v>639</v>
      </c>
      <c r="B58" s="10"/>
      <c r="C58" s="1" t="s">
        <v>0</v>
      </c>
      <c r="D58" s="1" t="s">
        <v>17</v>
      </c>
      <c r="E58" s="1" t="s">
        <v>17</v>
      </c>
      <c r="F58" s="1" t="s">
        <v>14</v>
      </c>
      <c r="G58" s="1" t="s">
        <v>1</v>
      </c>
      <c r="H58" s="1" t="s">
        <v>6</v>
      </c>
      <c r="I58" s="1" t="s">
        <v>2</v>
      </c>
      <c r="J58" s="1" t="s">
        <v>3</v>
      </c>
      <c r="K58" s="1" t="s">
        <v>640</v>
      </c>
      <c r="L58" s="1" t="s">
        <v>4</v>
      </c>
      <c r="M58" s="1" t="s">
        <v>9</v>
      </c>
      <c r="N58" s="1" t="s">
        <v>641</v>
      </c>
      <c r="O58" s="1" t="s">
        <v>15</v>
      </c>
      <c r="P58" s="1"/>
      <c r="Q58" s="1"/>
      <c r="R58" s="1" t="s">
        <v>11</v>
      </c>
      <c r="S58" s="1"/>
      <c r="T58" s="1"/>
      <c r="U58" s="1"/>
      <c r="V58" s="1"/>
      <c r="W58" s="1"/>
      <c r="X58" s="1" t="s">
        <v>642</v>
      </c>
      <c r="Y58" s="1"/>
      <c r="Z58" s="1"/>
      <c r="AA58" s="1"/>
      <c r="AB58" s="1" t="s">
        <v>643</v>
      </c>
      <c r="AC58" s="1"/>
      <c r="AD58" s="1"/>
      <c r="AE58" s="1" t="s">
        <v>644</v>
      </c>
      <c r="AF58" s="1"/>
      <c r="AG58" s="1"/>
      <c r="AH58" s="1" t="s">
        <v>645</v>
      </c>
      <c r="AI58" s="1"/>
      <c r="AJ58" s="1" t="s">
        <v>277</v>
      </c>
      <c r="AK58" s="1" t="s">
        <v>569</v>
      </c>
      <c r="AL58" s="1" t="s">
        <v>278</v>
      </c>
      <c r="AM58" s="1" t="s">
        <v>277</v>
      </c>
      <c r="AN58" s="1" t="s">
        <v>569</v>
      </c>
      <c r="AO58" s="1" t="s">
        <v>278</v>
      </c>
      <c r="AP58" s="2" t="s">
        <v>646</v>
      </c>
      <c r="AQ58" s="2" t="s">
        <v>1077</v>
      </c>
      <c r="AR58" s="1" t="s">
        <v>286</v>
      </c>
      <c r="AS58" s="1" t="s">
        <v>647</v>
      </c>
      <c r="AT58" s="1" t="s">
        <v>5</v>
      </c>
      <c r="AU58" s="1"/>
    </row>
    <row r="59" spans="1:47" hidden="1" x14ac:dyDescent="0.4">
      <c r="A59" s="1" t="s">
        <v>441</v>
      </c>
      <c r="B59" s="10"/>
      <c r="C59" s="1" t="s">
        <v>0</v>
      </c>
      <c r="D59" s="1" t="s">
        <v>17</v>
      </c>
      <c r="E59" s="1" t="s">
        <v>13</v>
      </c>
      <c r="F59" s="1" t="s">
        <v>14</v>
      </c>
      <c r="G59" s="1" t="s">
        <v>1</v>
      </c>
      <c r="H59" s="1" t="s">
        <v>6</v>
      </c>
      <c r="I59" s="1" t="s">
        <v>2</v>
      </c>
      <c r="J59" s="1" t="s">
        <v>3</v>
      </c>
      <c r="K59" s="1" t="s">
        <v>442</v>
      </c>
      <c r="L59" s="1" t="s">
        <v>7</v>
      </c>
      <c r="M59" s="1" t="s">
        <v>9</v>
      </c>
      <c r="N59" s="1" t="s">
        <v>443</v>
      </c>
      <c r="O59" s="1" t="s">
        <v>15</v>
      </c>
      <c r="P59" s="1"/>
      <c r="Q59" s="1"/>
      <c r="R59" s="1" t="s">
        <v>11</v>
      </c>
      <c r="S59" s="1"/>
      <c r="T59" s="1"/>
      <c r="U59" s="1"/>
      <c r="V59" s="1"/>
      <c r="W59" s="1"/>
      <c r="X59" s="1"/>
      <c r="Y59" s="1"/>
      <c r="Z59" s="1"/>
      <c r="AA59" s="1"/>
      <c r="AB59" s="1" t="s">
        <v>444</v>
      </c>
      <c r="AC59" s="1"/>
      <c r="AD59" s="1"/>
      <c r="AE59" s="1" t="s">
        <v>46</v>
      </c>
      <c r="AF59" s="1"/>
      <c r="AG59" s="1"/>
      <c r="AH59" s="1" t="s">
        <v>445</v>
      </c>
      <c r="AI59" s="1"/>
      <c r="AJ59" s="1" t="s">
        <v>423</v>
      </c>
      <c r="AK59" s="1" t="s">
        <v>218</v>
      </c>
      <c r="AL59" s="1" t="s">
        <v>424</v>
      </c>
      <c r="AM59" s="1" t="s">
        <v>262</v>
      </c>
      <c r="AN59" s="1" t="s">
        <v>218</v>
      </c>
      <c r="AO59" s="1" t="s">
        <v>263</v>
      </c>
      <c r="AP59" s="2" t="s">
        <v>446</v>
      </c>
      <c r="AQ59" s="2" t="s">
        <v>1152</v>
      </c>
      <c r="AR59" s="1" t="s">
        <v>286</v>
      </c>
      <c r="AS59" s="1"/>
      <c r="AT59" s="1" t="s">
        <v>5</v>
      </c>
      <c r="AU59" s="1"/>
    </row>
    <row r="60" spans="1:47" hidden="1" x14ac:dyDescent="0.4">
      <c r="A60" s="1" t="s">
        <v>815</v>
      </c>
      <c r="B60" s="10"/>
      <c r="C60" s="1" t="s">
        <v>0</v>
      </c>
      <c r="D60" s="1" t="s">
        <v>17</v>
      </c>
      <c r="E60" s="1" t="s">
        <v>17</v>
      </c>
      <c r="F60" s="1" t="s">
        <v>14</v>
      </c>
      <c r="G60" s="1" t="s">
        <v>1</v>
      </c>
      <c r="H60" s="1" t="s">
        <v>6</v>
      </c>
      <c r="I60" s="1" t="s">
        <v>2</v>
      </c>
      <c r="J60" s="1" t="s">
        <v>3</v>
      </c>
      <c r="K60" s="1" t="s">
        <v>816</v>
      </c>
      <c r="L60" s="1" t="s">
        <v>7</v>
      </c>
      <c r="M60" s="1" t="s">
        <v>9</v>
      </c>
      <c r="N60" s="1" t="s">
        <v>817</v>
      </c>
      <c r="O60" s="1" t="s">
        <v>15</v>
      </c>
      <c r="P60" s="1"/>
      <c r="Q60" s="1"/>
      <c r="R60" s="1" t="s">
        <v>11</v>
      </c>
      <c r="S60" s="1"/>
      <c r="T60" s="1"/>
      <c r="U60" s="1"/>
      <c r="V60" s="1"/>
      <c r="W60" s="1" t="s">
        <v>818</v>
      </c>
      <c r="X60" s="1"/>
      <c r="Y60" s="1"/>
      <c r="Z60" s="1"/>
      <c r="AA60" s="1"/>
      <c r="AB60" s="1" t="s">
        <v>819</v>
      </c>
      <c r="AC60" s="1"/>
      <c r="AD60" s="1"/>
      <c r="AE60" s="1"/>
      <c r="AF60" s="1"/>
      <c r="AG60" s="1"/>
      <c r="AH60" s="1" t="s">
        <v>820</v>
      </c>
      <c r="AI60" s="1"/>
      <c r="AJ60" s="1" t="s">
        <v>475</v>
      </c>
      <c r="AK60" s="1" t="s">
        <v>521</v>
      </c>
      <c r="AL60" s="1"/>
      <c r="AM60" s="1" t="s">
        <v>34</v>
      </c>
      <c r="AN60" s="1" t="s">
        <v>521</v>
      </c>
      <c r="AO60" s="1" t="s">
        <v>178</v>
      </c>
      <c r="AP60" s="2" t="s">
        <v>821</v>
      </c>
      <c r="AQ60" s="2" t="s">
        <v>1154</v>
      </c>
      <c r="AR60" s="1" t="s">
        <v>286</v>
      </c>
      <c r="AS60" s="1" t="s">
        <v>822</v>
      </c>
      <c r="AT60" s="1" t="s">
        <v>5</v>
      </c>
      <c r="AU60" s="1"/>
    </row>
    <row r="61" spans="1:47" hidden="1" x14ac:dyDescent="0.4">
      <c r="A61" s="1" t="s">
        <v>84</v>
      </c>
      <c r="B61" s="10"/>
      <c r="C61" s="1" t="s">
        <v>0</v>
      </c>
      <c r="D61" s="1" t="s">
        <v>17</v>
      </c>
      <c r="E61" s="1" t="s">
        <v>17</v>
      </c>
      <c r="F61" s="1" t="s">
        <v>14</v>
      </c>
      <c r="G61" s="1" t="s">
        <v>1</v>
      </c>
      <c r="H61" s="1" t="s">
        <v>6</v>
      </c>
      <c r="I61" s="1" t="s">
        <v>2</v>
      </c>
      <c r="J61" s="1" t="s">
        <v>3</v>
      </c>
      <c r="K61" s="1" t="s">
        <v>85</v>
      </c>
      <c r="L61" s="1" t="s">
        <v>4</v>
      </c>
      <c r="M61" s="1" t="s">
        <v>9</v>
      </c>
      <c r="N61" s="1" t="s">
        <v>86</v>
      </c>
      <c r="O61" s="1" t="s">
        <v>15</v>
      </c>
      <c r="P61" s="1"/>
      <c r="Q61" s="1"/>
      <c r="R61" s="1" t="s">
        <v>11</v>
      </c>
      <c r="S61" s="1"/>
      <c r="T61" s="1"/>
      <c r="U61" s="1"/>
      <c r="V61" s="1"/>
      <c r="W61" s="1"/>
      <c r="X61" s="1" t="s">
        <v>87</v>
      </c>
      <c r="Y61" s="1"/>
      <c r="Z61" s="1"/>
      <c r="AA61" s="1"/>
      <c r="AB61" s="1" t="s">
        <v>88</v>
      </c>
      <c r="AC61" s="1"/>
      <c r="AD61" s="1"/>
      <c r="AE61" s="1"/>
      <c r="AF61" s="1"/>
      <c r="AG61" s="1"/>
      <c r="AH61" s="1" t="s">
        <v>89</v>
      </c>
      <c r="AI61" s="1"/>
      <c r="AJ61" s="1" t="s">
        <v>58</v>
      </c>
      <c r="AK61" s="1" t="s">
        <v>76</v>
      </c>
      <c r="AL61" s="1"/>
      <c r="AM61" s="1" t="s">
        <v>60</v>
      </c>
      <c r="AN61" s="1" t="s">
        <v>76</v>
      </c>
      <c r="AO61" s="1"/>
      <c r="AP61" s="2" t="s">
        <v>90</v>
      </c>
      <c r="AQ61" s="2" t="s">
        <v>1153</v>
      </c>
      <c r="AR61" s="1"/>
      <c r="AS61" s="1"/>
      <c r="AT61" s="1" t="s">
        <v>5</v>
      </c>
      <c r="AU61" s="1"/>
    </row>
    <row r="62" spans="1:47" hidden="1" x14ac:dyDescent="0.4">
      <c r="A62" s="7" t="s">
        <v>371</v>
      </c>
      <c r="B62" s="10">
        <v>0</v>
      </c>
      <c r="C62" s="1" t="s">
        <v>0</v>
      </c>
      <c r="D62" s="1" t="s">
        <v>17</v>
      </c>
      <c r="E62" s="1" t="s">
        <v>13</v>
      </c>
      <c r="F62" s="1" t="s">
        <v>14</v>
      </c>
      <c r="G62" s="1" t="s">
        <v>1</v>
      </c>
      <c r="H62" s="1" t="s">
        <v>6</v>
      </c>
      <c r="I62" s="1" t="s">
        <v>2</v>
      </c>
      <c r="J62" s="1" t="s">
        <v>3</v>
      </c>
      <c r="K62" s="1" t="s">
        <v>372</v>
      </c>
      <c r="L62" s="1" t="s">
        <v>7</v>
      </c>
      <c r="M62" s="1" t="s">
        <v>9</v>
      </c>
      <c r="N62" s="1" t="s">
        <v>373</v>
      </c>
      <c r="O62" s="1" t="s">
        <v>15</v>
      </c>
      <c r="P62" s="1"/>
      <c r="Q62" s="1"/>
      <c r="R62" s="1" t="s">
        <v>11</v>
      </c>
      <c r="S62" s="1"/>
      <c r="T62" s="1"/>
      <c r="U62" s="1"/>
      <c r="V62" s="1"/>
      <c r="W62" s="1"/>
      <c r="X62" s="1" t="s">
        <v>374</v>
      </c>
      <c r="Y62" s="1"/>
      <c r="Z62" s="1"/>
      <c r="AA62" s="1"/>
      <c r="AB62" s="1"/>
      <c r="AC62" s="1"/>
      <c r="AD62" s="1"/>
      <c r="AE62" s="7" t="s">
        <v>375</v>
      </c>
      <c r="AF62" s="1"/>
      <c r="AG62" s="1"/>
      <c r="AH62" s="1" t="s">
        <v>376</v>
      </c>
      <c r="AI62" s="1"/>
      <c r="AJ62" s="1" t="s">
        <v>209</v>
      </c>
      <c r="AK62" s="1" t="s">
        <v>251</v>
      </c>
      <c r="AL62" s="1"/>
      <c r="AM62" s="1" t="s">
        <v>327</v>
      </c>
      <c r="AN62" s="1" t="s">
        <v>251</v>
      </c>
      <c r="AO62" s="1" t="s">
        <v>328</v>
      </c>
      <c r="AP62" s="2" t="s">
        <v>377</v>
      </c>
      <c r="AQ62" s="2" t="s">
        <v>1152</v>
      </c>
      <c r="AR62" s="1" t="s">
        <v>286</v>
      </c>
      <c r="AS62" s="1"/>
      <c r="AT62" s="1" t="s">
        <v>5</v>
      </c>
      <c r="AU62" s="1"/>
    </row>
    <row r="63" spans="1:47" x14ac:dyDescent="0.4">
      <c r="A63" s="7" t="s">
        <v>14706</v>
      </c>
      <c r="B63" s="10">
        <v>0</v>
      </c>
      <c r="C63" s="1" t="s">
        <v>0</v>
      </c>
      <c r="D63" s="1" t="s">
        <v>17</v>
      </c>
      <c r="E63" s="1" t="s">
        <v>17</v>
      </c>
      <c r="F63" s="1" t="s">
        <v>14</v>
      </c>
      <c r="G63" s="1" t="s">
        <v>1</v>
      </c>
      <c r="H63" s="1" t="s">
        <v>6</v>
      </c>
      <c r="I63" s="1" t="s">
        <v>2</v>
      </c>
      <c r="J63" s="1" t="s">
        <v>3</v>
      </c>
      <c r="K63" s="1" t="s">
        <v>240</v>
      </c>
      <c r="L63" s="1" t="s">
        <v>4</v>
      </c>
      <c r="M63" s="1" t="s">
        <v>9</v>
      </c>
      <c r="N63" s="1" t="s">
        <v>241</v>
      </c>
      <c r="O63" s="1" t="s">
        <v>15</v>
      </c>
      <c r="P63" s="1"/>
      <c r="Q63" s="1"/>
      <c r="R63" s="1" t="s">
        <v>11</v>
      </c>
      <c r="S63" s="1"/>
      <c r="T63" s="1"/>
      <c r="U63" s="1"/>
      <c r="V63" s="1"/>
      <c r="W63" s="1"/>
      <c r="X63" s="1" t="s">
        <v>237</v>
      </c>
      <c r="Y63" s="1"/>
      <c r="Z63" s="1"/>
      <c r="AA63" s="1"/>
      <c r="AB63" s="47" t="s">
        <v>14707</v>
      </c>
      <c r="AC63" s="1"/>
      <c r="AD63" s="1"/>
      <c r="AE63" s="7" t="s">
        <v>150</v>
      </c>
      <c r="AF63" s="1"/>
      <c r="AG63" s="1"/>
      <c r="AH63" s="1" t="s">
        <v>242</v>
      </c>
      <c r="AI63" s="1"/>
      <c r="AJ63" s="1" t="s">
        <v>144</v>
      </c>
      <c r="AK63" s="1" t="s">
        <v>207</v>
      </c>
      <c r="AL63" s="1" t="s">
        <v>145</v>
      </c>
      <c r="AM63" s="1" t="s">
        <v>144</v>
      </c>
      <c r="AN63" s="1" t="s">
        <v>207</v>
      </c>
      <c r="AO63" s="1" t="s">
        <v>145</v>
      </c>
      <c r="AP63" s="2" t="s">
        <v>243</v>
      </c>
      <c r="AQ63" s="2" t="s">
        <v>1077</v>
      </c>
      <c r="AR63" s="1"/>
      <c r="AS63" s="1" t="s">
        <v>238</v>
      </c>
      <c r="AT63" s="1" t="s">
        <v>5</v>
      </c>
      <c r="AU63" s="1"/>
    </row>
    <row r="64" spans="1:47" x14ac:dyDescent="0.4">
      <c r="A64" s="7" t="s">
        <v>109</v>
      </c>
      <c r="B64" s="10">
        <v>0</v>
      </c>
      <c r="C64" s="1" t="s">
        <v>0</v>
      </c>
      <c r="D64" s="1" t="s">
        <v>17</v>
      </c>
      <c r="E64" s="1" t="s">
        <v>17</v>
      </c>
      <c r="F64" s="1" t="s">
        <v>14</v>
      </c>
      <c r="G64" s="1" t="s">
        <v>1</v>
      </c>
      <c r="H64" s="1" t="s">
        <v>6</v>
      </c>
      <c r="I64" s="1" t="s">
        <v>2</v>
      </c>
      <c r="J64" s="1" t="s">
        <v>3</v>
      </c>
      <c r="K64" s="1" t="s">
        <v>110</v>
      </c>
      <c r="L64" s="1" t="s">
        <v>4</v>
      </c>
      <c r="M64" s="1" t="s">
        <v>9</v>
      </c>
      <c r="N64" s="1" t="s">
        <v>111</v>
      </c>
      <c r="O64" s="1" t="s">
        <v>15</v>
      </c>
      <c r="P64" s="1"/>
      <c r="Q64" s="1"/>
      <c r="R64" s="1" t="s">
        <v>11</v>
      </c>
      <c r="S64" s="1"/>
      <c r="T64" s="1"/>
      <c r="U64" s="1"/>
      <c r="V64" s="1"/>
      <c r="W64" s="1"/>
      <c r="X64" s="1" t="s">
        <v>112</v>
      </c>
      <c r="Y64" s="1"/>
      <c r="Z64" s="1"/>
      <c r="AA64" s="1"/>
      <c r="AB64" s="47" t="s">
        <v>14708</v>
      </c>
      <c r="AC64" s="1"/>
      <c r="AD64" s="1"/>
      <c r="AE64" s="7" t="s">
        <v>113</v>
      </c>
      <c r="AF64" s="1"/>
      <c r="AG64" s="1"/>
      <c r="AH64" s="1" t="s">
        <v>114</v>
      </c>
      <c r="AI64" s="1"/>
      <c r="AJ64" s="1" t="s">
        <v>80</v>
      </c>
      <c r="AK64" s="1" t="s">
        <v>96</v>
      </c>
      <c r="AL64" s="1"/>
      <c r="AM64" s="1" t="s">
        <v>73</v>
      </c>
      <c r="AN64" s="1" t="s">
        <v>96</v>
      </c>
      <c r="AO64" s="1"/>
      <c r="AP64" s="2" t="s">
        <v>115</v>
      </c>
      <c r="AQ64" s="2" t="s">
        <v>1155</v>
      </c>
      <c r="AR64" s="1"/>
      <c r="AS64" s="1"/>
      <c r="AT64" s="1" t="s">
        <v>10</v>
      </c>
      <c r="AU64" s="1"/>
    </row>
    <row r="65" spans="1:47" x14ac:dyDescent="0.4">
      <c r="A65" s="7" t="s">
        <v>366</v>
      </c>
      <c r="B65" s="10">
        <v>0</v>
      </c>
      <c r="C65" s="1" t="s">
        <v>0</v>
      </c>
      <c r="D65" s="1" t="s">
        <v>17</v>
      </c>
      <c r="E65" s="1" t="s">
        <v>13</v>
      </c>
      <c r="F65" s="1" t="s">
        <v>14</v>
      </c>
      <c r="G65" s="1" t="s">
        <v>1</v>
      </c>
      <c r="H65" s="1" t="s">
        <v>6</v>
      </c>
      <c r="I65" s="1" t="s">
        <v>2</v>
      </c>
      <c r="J65" s="1" t="s">
        <v>3</v>
      </c>
      <c r="K65" s="1" t="s">
        <v>367</v>
      </c>
      <c r="L65" s="1" t="s">
        <v>4</v>
      </c>
      <c r="M65" s="1" t="s">
        <v>9</v>
      </c>
      <c r="N65" s="1" t="s">
        <v>368</v>
      </c>
      <c r="O65" s="1" t="s">
        <v>15</v>
      </c>
      <c r="P65" s="1"/>
      <c r="Q65" s="1"/>
      <c r="R65" s="1" t="s">
        <v>11</v>
      </c>
      <c r="S65" s="1"/>
      <c r="T65" s="1"/>
      <c r="U65" s="1"/>
      <c r="V65" s="1"/>
      <c r="W65" s="1"/>
      <c r="X65" s="1"/>
      <c r="Y65" s="1"/>
      <c r="Z65" s="1"/>
      <c r="AA65" s="1"/>
      <c r="AB65" s="47" t="s">
        <v>14709</v>
      </c>
      <c r="AC65" s="1"/>
      <c r="AD65" s="1"/>
      <c r="AE65" s="7" t="s">
        <v>95</v>
      </c>
      <c r="AF65" s="1"/>
      <c r="AG65" s="1"/>
      <c r="AH65" s="1" t="s">
        <v>369</v>
      </c>
      <c r="AI65" s="1"/>
      <c r="AJ65" s="1" t="s">
        <v>215</v>
      </c>
      <c r="AK65" s="1" t="s">
        <v>248</v>
      </c>
      <c r="AL65" s="1"/>
      <c r="AM65" s="1" t="s">
        <v>156</v>
      </c>
      <c r="AN65" s="1" t="s">
        <v>248</v>
      </c>
      <c r="AO65" s="1" t="s">
        <v>157</v>
      </c>
      <c r="AP65" s="2" t="s">
        <v>370</v>
      </c>
      <c r="AQ65" s="2" t="s">
        <v>1152</v>
      </c>
      <c r="AR65" s="1" t="s">
        <v>286</v>
      </c>
      <c r="AS65" s="1"/>
      <c r="AT65" s="1" t="s">
        <v>5</v>
      </c>
      <c r="AU65" s="1"/>
    </row>
    <row r="66" spans="1:47" x14ac:dyDescent="0.4">
      <c r="A66" s="7" t="s">
        <v>14711</v>
      </c>
      <c r="B66" s="10">
        <v>0</v>
      </c>
      <c r="C66" s="1" t="s">
        <v>0</v>
      </c>
      <c r="D66" s="1" t="s">
        <v>17</v>
      </c>
      <c r="E66" s="1" t="s">
        <v>13</v>
      </c>
      <c r="F66" s="1" t="s">
        <v>14</v>
      </c>
      <c r="G66" s="1" t="s">
        <v>1</v>
      </c>
      <c r="H66" s="1" t="s">
        <v>6</v>
      </c>
      <c r="I66" s="1" t="s">
        <v>2</v>
      </c>
      <c r="J66" s="1" t="s">
        <v>3</v>
      </c>
      <c r="K66" s="1" t="s">
        <v>344</v>
      </c>
      <c r="L66" s="1" t="s">
        <v>7</v>
      </c>
      <c r="M66" s="1" t="s">
        <v>9</v>
      </c>
      <c r="N66" s="1" t="s">
        <v>345</v>
      </c>
      <c r="O66" s="1" t="s">
        <v>15</v>
      </c>
      <c r="P66" s="1"/>
      <c r="Q66" s="1"/>
      <c r="R66" s="1" t="s">
        <v>11</v>
      </c>
      <c r="S66" s="1"/>
      <c r="T66" s="1"/>
      <c r="U66" s="1"/>
      <c r="V66" s="1"/>
      <c r="W66" s="1"/>
      <c r="X66" s="1" t="s">
        <v>346</v>
      </c>
      <c r="Y66" s="1"/>
      <c r="Z66" s="1"/>
      <c r="AA66" s="1"/>
      <c r="AB66" s="47" t="s">
        <v>14712</v>
      </c>
      <c r="AC66" s="1"/>
      <c r="AD66" s="1"/>
      <c r="AE66" s="48" t="s">
        <v>14710</v>
      </c>
      <c r="AF66" s="1"/>
      <c r="AG66" s="1"/>
      <c r="AH66" s="1" t="s">
        <v>348</v>
      </c>
      <c r="AI66" s="1"/>
      <c r="AJ66" s="1" t="s">
        <v>35</v>
      </c>
      <c r="AK66" s="1" t="s">
        <v>249</v>
      </c>
      <c r="AL66" s="1"/>
      <c r="AM66" s="1" t="s">
        <v>259</v>
      </c>
      <c r="AN66" s="1" t="s">
        <v>249</v>
      </c>
      <c r="AO66" s="1" t="s">
        <v>260</v>
      </c>
      <c r="AP66" s="2" t="s">
        <v>349</v>
      </c>
      <c r="AQ66" s="2" t="s">
        <v>1152</v>
      </c>
      <c r="AR66" s="1" t="s">
        <v>286</v>
      </c>
      <c r="AS66" s="1"/>
      <c r="AT66" s="1" t="s">
        <v>5</v>
      </c>
      <c r="AU66" s="1"/>
    </row>
    <row r="67" spans="1:47" x14ac:dyDescent="0.4">
      <c r="A67" s="7" t="s">
        <v>14713</v>
      </c>
      <c r="B67" s="10">
        <v>0</v>
      </c>
      <c r="C67" s="1" t="s">
        <v>0</v>
      </c>
      <c r="D67" s="1" t="s">
        <v>17</v>
      </c>
      <c r="E67" s="1" t="s">
        <v>13</v>
      </c>
      <c r="F67" s="1" t="s">
        <v>14</v>
      </c>
      <c r="G67" s="1" t="s">
        <v>1</v>
      </c>
      <c r="H67" s="1" t="s">
        <v>6</v>
      </c>
      <c r="I67" s="1" t="s">
        <v>2</v>
      </c>
      <c r="J67" s="1" t="s">
        <v>3</v>
      </c>
      <c r="K67" s="1" t="s">
        <v>357</v>
      </c>
      <c r="L67" s="1" t="s">
        <v>7</v>
      </c>
      <c r="M67" s="1" t="s">
        <v>9</v>
      </c>
      <c r="N67" s="1" t="s">
        <v>358</v>
      </c>
      <c r="O67" s="1" t="s">
        <v>15</v>
      </c>
      <c r="P67" s="1"/>
      <c r="Q67" s="1"/>
      <c r="R67" s="1" t="s">
        <v>11</v>
      </c>
      <c r="S67" s="1"/>
      <c r="T67" s="1"/>
      <c r="U67" s="1"/>
      <c r="V67" s="1"/>
      <c r="W67" s="1"/>
      <c r="X67" s="1" t="s">
        <v>359</v>
      </c>
      <c r="Y67" s="1"/>
      <c r="Z67" s="1"/>
      <c r="AA67" s="1"/>
      <c r="AB67" s="47" t="s">
        <v>14714</v>
      </c>
      <c r="AC67" s="1"/>
      <c r="AD67" s="1"/>
      <c r="AE67" s="7" t="s">
        <v>62</v>
      </c>
      <c r="AF67" s="1"/>
      <c r="AG67" s="1"/>
      <c r="AH67" s="1" t="s">
        <v>360</v>
      </c>
      <c r="AI67" s="1"/>
      <c r="AJ67" s="1" t="s">
        <v>35</v>
      </c>
      <c r="AK67" s="1" t="s">
        <v>249</v>
      </c>
      <c r="AL67" s="1"/>
      <c r="AM67" s="1" t="s">
        <v>151</v>
      </c>
      <c r="AN67" s="1" t="s">
        <v>249</v>
      </c>
      <c r="AO67" s="1" t="s">
        <v>152</v>
      </c>
      <c r="AP67" s="2" t="s">
        <v>361</v>
      </c>
      <c r="AQ67" s="2" t="s">
        <v>1154</v>
      </c>
      <c r="AR67" s="1" t="s">
        <v>286</v>
      </c>
      <c r="AS67" s="1"/>
      <c r="AT67" s="1" t="s">
        <v>5</v>
      </c>
      <c r="AU67" s="1"/>
    </row>
    <row r="68" spans="1:47" x14ac:dyDescent="0.4">
      <c r="A68" s="7" t="s">
        <v>14715</v>
      </c>
      <c r="B68" s="10">
        <v>0</v>
      </c>
      <c r="C68" s="1" t="s">
        <v>0</v>
      </c>
      <c r="D68" s="1" t="s">
        <v>17</v>
      </c>
      <c r="E68" s="1" t="s">
        <v>13</v>
      </c>
      <c r="F68" s="1" t="s">
        <v>14</v>
      </c>
      <c r="G68" s="1" t="s">
        <v>1</v>
      </c>
      <c r="H68" s="1" t="s">
        <v>6</v>
      </c>
      <c r="I68" s="1" t="s">
        <v>2</v>
      </c>
      <c r="J68" s="1" t="s">
        <v>3</v>
      </c>
      <c r="K68" s="1" t="s">
        <v>323</v>
      </c>
      <c r="L68" s="1" t="s">
        <v>4</v>
      </c>
      <c r="M68" s="1" t="s">
        <v>9</v>
      </c>
      <c r="N68" s="1" t="s">
        <v>324</v>
      </c>
      <c r="O68" s="1" t="s">
        <v>15</v>
      </c>
      <c r="P68" s="1"/>
      <c r="Q68" s="1"/>
      <c r="R68" s="1" t="s">
        <v>11</v>
      </c>
      <c r="S68" s="1"/>
      <c r="T68" s="1"/>
      <c r="U68" s="1"/>
      <c r="V68" s="1"/>
      <c r="W68" s="1"/>
      <c r="X68" s="1" t="s">
        <v>325</v>
      </c>
      <c r="Y68" s="1"/>
      <c r="Z68" s="1"/>
      <c r="AA68" s="1"/>
      <c r="AB68" s="47" t="s">
        <v>14716</v>
      </c>
      <c r="AC68" s="1"/>
      <c r="AD68" s="1"/>
      <c r="AE68" s="7" t="s">
        <v>82</v>
      </c>
      <c r="AF68" s="1"/>
      <c r="AG68" s="1"/>
      <c r="AH68" s="1" t="s">
        <v>326</v>
      </c>
      <c r="AI68" s="1"/>
      <c r="AJ68" s="1" t="s">
        <v>63</v>
      </c>
      <c r="AK68" s="1" t="s">
        <v>279</v>
      </c>
      <c r="AL68" s="1"/>
      <c r="AM68" s="1" t="s">
        <v>91</v>
      </c>
      <c r="AN68" s="1" t="s">
        <v>279</v>
      </c>
      <c r="AO68" s="1" t="s">
        <v>102</v>
      </c>
      <c r="AP68" s="2" t="s">
        <v>155</v>
      </c>
      <c r="AQ68" s="2" t="s">
        <v>1152</v>
      </c>
      <c r="AR68" s="1" t="s">
        <v>286</v>
      </c>
      <c r="AS68" s="1"/>
      <c r="AT68" s="1" t="s">
        <v>5</v>
      </c>
      <c r="AU68" s="1"/>
    </row>
    <row r="69" spans="1:47" x14ac:dyDescent="0.4">
      <c r="A69" s="7" t="s">
        <v>14719</v>
      </c>
      <c r="B69" s="10">
        <v>0</v>
      </c>
      <c r="C69" s="1" t="s">
        <v>0</v>
      </c>
      <c r="D69" s="1" t="s">
        <v>17</v>
      </c>
      <c r="E69" s="1" t="s">
        <v>13</v>
      </c>
      <c r="F69" s="1" t="s">
        <v>14</v>
      </c>
      <c r="G69" s="1" t="s">
        <v>1</v>
      </c>
      <c r="H69" s="1" t="s">
        <v>6</v>
      </c>
      <c r="I69" s="1" t="s">
        <v>2</v>
      </c>
      <c r="J69" s="1" t="s">
        <v>3</v>
      </c>
      <c r="K69" s="1" t="s">
        <v>351</v>
      </c>
      <c r="L69" s="1" t="s">
        <v>7</v>
      </c>
      <c r="M69" s="1" t="s">
        <v>9</v>
      </c>
      <c r="N69" s="1" t="s">
        <v>352</v>
      </c>
      <c r="O69" s="1" t="s">
        <v>15</v>
      </c>
      <c r="P69" s="1"/>
      <c r="Q69" s="1"/>
      <c r="R69" s="1" t="s">
        <v>11</v>
      </c>
      <c r="S69" s="1"/>
      <c r="T69" s="1"/>
      <c r="U69" s="1"/>
      <c r="V69" s="1"/>
      <c r="W69" s="1"/>
      <c r="X69" s="1" t="s">
        <v>353</v>
      </c>
      <c r="Y69" s="1"/>
      <c r="Z69" s="1"/>
      <c r="AA69" s="1"/>
      <c r="AB69" s="47" t="s">
        <v>14720</v>
      </c>
      <c r="AC69" s="1"/>
      <c r="AD69" s="1"/>
      <c r="AE69" s="7" t="s">
        <v>82</v>
      </c>
      <c r="AF69" s="1"/>
      <c r="AG69" s="1"/>
      <c r="AH69" s="1" t="s">
        <v>354</v>
      </c>
      <c r="AI69" s="1"/>
      <c r="AJ69" s="1" t="s">
        <v>35</v>
      </c>
      <c r="AK69" s="1" t="s">
        <v>249</v>
      </c>
      <c r="AL69" s="1"/>
      <c r="AM69" s="1" t="s">
        <v>151</v>
      </c>
      <c r="AN69" s="1" t="s">
        <v>249</v>
      </c>
      <c r="AO69" s="1" t="s">
        <v>152</v>
      </c>
      <c r="AP69" s="2" t="s">
        <v>355</v>
      </c>
      <c r="AQ69" s="2" t="s">
        <v>1152</v>
      </c>
      <c r="AR69" s="1" t="s">
        <v>286</v>
      </c>
      <c r="AS69" s="1"/>
      <c r="AT69" s="1" t="s">
        <v>5</v>
      </c>
      <c r="AU69" s="1"/>
    </row>
    <row r="70" spans="1:47" x14ac:dyDescent="0.4">
      <c r="A70" s="7" t="s">
        <v>14717</v>
      </c>
      <c r="B70" s="10">
        <v>0</v>
      </c>
      <c r="C70" s="1" t="s">
        <v>0</v>
      </c>
      <c r="D70" s="1" t="s">
        <v>17</v>
      </c>
      <c r="E70" s="1" t="s">
        <v>13</v>
      </c>
      <c r="F70" s="1" t="s">
        <v>14</v>
      </c>
      <c r="G70" s="1" t="s">
        <v>1</v>
      </c>
      <c r="H70" s="1" t="s">
        <v>6</v>
      </c>
      <c r="I70" s="1" t="s">
        <v>2</v>
      </c>
      <c r="J70" s="1" t="s">
        <v>3</v>
      </c>
      <c r="K70" s="1" t="s">
        <v>317</v>
      </c>
      <c r="L70" s="1" t="s">
        <v>7</v>
      </c>
      <c r="M70" s="1" t="s">
        <v>9</v>
      </c>
      <c r="N70" s="1" t="s">
        <v>318</v>
      </c>
      <c r="O70" s="1" t="s">
        <v>15</v>
      </c>
      <c r="P70" s="1"/>
      <c r="Q70" s="1"/>
      <c r="R70" s="1" t="s">
        <v>11</v>
      </c>
      <c r="S70" s="1"/>
      <c r="T70" s="1"/>
      <c r="U70" s="1"/>
      <c r="V70" s="1"/>
      <c r="W70" s="1"/>
      <c r="X70" s="1" t="s">
        <v>319</v>
      </c>
      <c r="Y70" s="1"/>
      <c r="Z70" s="1"/>
      <c r="AA70" s="1"/>
      <c r="AB70" s="47" t="s">
        <v>14718</v>
      </c>
      <c r="AC70" s="1"/>
      <c r="AD70" s="1"/>
      <c r="AE70" s="7" t="s">
        <v>320</v>
      </c>
      <c r="AF70" s="1"/>
      <c r="AG70" s="1"/>
      <c r="AH70" s="1" t="s">
        <v>321</v>
      </c>
      <c r="AI70" s="1"/>
      <c r="AJ70" s="1" t="s">
        <v>264</v>
      </c>
      <c r="AK70" s="1" t="s">
        <v>246</v>
      </c>
      <c r="AL70" s="1"/>
      <c r="AM70" s="1" t="s">
        <v>69</v>
      </c>
      <c r="AN70" s="1" t="s">
        <v>246</v>
      </c>
      <c r="AO70" s="1" t="s">
        <v>103</v>
      </c>
      <c r="AP70" s="2" t="s">
        <v>314</v>
      </c>
      <c r="AQ70" s="2" t="s">
        <v>1152</v>
      </c>
      <c r="AR70" s="1" t="s">
        <v>286</v>
      </c>
      <c r="AS70" s="1"/>
      <c r="AT70" s="1" t="s">
        <v>5</v>
      </c>
      <c r="AU70" s="1"/>
    </row>
    <row r="71" spans="1:47" hidden="1" x14ac:dyDescent="0.4">
      <c r="A71" s="7" t="s">
        <v>338</v>
      </c>
      <c r="B71" s="10">
        <v>0</v>
      </c>
      <c r="C71" s="1" t="s">
        <v>93</v>
      </c>
      <c r="D71" s="1" t="s">
        <v>17</v>
      </c>
      <c r="E71" s="1" t="s">
        <v>17</v>
      </c>
      <c r="F71" s="1" t="s">
        <v>14</v>
      </c>
      <c r="G71" s="1" t="s">
        <v>1</v>
      </c>
      <c r="H71" s="1" t="s">
        <v>6</v>
      </c>
      <c r="I71" s="1" t="s">
        <v>2</v>
      </c>
      <c r="J71" s="1" t="s">
        <v>3</v>
      </c>
      <c r="K71" s="1" t="s">
        <v>339</v>
      </c>
      <c r="L71" s="1" t="s">
        <v>4</v>
      </c>
      <c r="M71" s="1" t="s">
        <v>9</v>
      </c>
      <c r="N71" s="1" t="s">
        <v>340</v>
      </c>
      <c r="O71" s="1" t="s">
        <v>15</v>
      </c>
      <c r="P71" s="1"/>
      <c r="Q71" s="1"/>
      <c r="R71" s="1" t="s">
        <v>11</v>
      </c>
      <c r="S71" s="1"/>
      <c r="T71" s="1"/>
      <c r="U71" s="1"/>
      <c r="V71" s="1"/>
      <c r="W71" s="1"/>
      <c r="X71" s="1"/>
      <c r="Y71" s="1"/>
      <c r="Z71" s="1"/>
      <c r="AA71" s="1"/>
      <c r="AB71" s="1"/>
      <c r="AC71" s="1"/>
      <c r="AD71" s="1"/>
      <c r="AE71" s="7" t="s">
        <v>295</v>
      </c>
      <c r="AF71" s="1"/>
      <c r="AG71" s="1"/>
      <c r="AH71" s="1" t="s">
        <v>341</v>
      </c>
      <c r="AI71" s="1"/>
      <c r="AJ71" s="1" t="s">
        <v>268</v>
      </c>
      <c r="AK71" s="1" t="s">
        <v>329</v>
      </c>
      <c r="AL71" s="1" t="s">
        <v>254</v>
      </c>
      <c r="AM71" s="1" t="s">
        <v>253</v>
      </c>
      <c r="AN71" s="1" t="s">
        <v>329</v>
      </c>
      <c r="AO71" s="1" t="s">
        <v>254</v>
      </c>
      <c r="AP71" s="2" t="s">
        <v>342</v>
      </c>
      <c r="AQ71" s="2" t="s">
        <v>1152</v>
      </c>
      <c r="AR71" s="1" t="s">
        <v>286</v>
      </c>
      <c r="AS71" s="1"/>
      <c r="AT71" s="1" t="s">
        <v>5</v>
      </c>
      <c r="AU71" s="1"/>
    </row>
    <row r="72" spans="1:47" hidden="1" x14ac:dyDescent="0.4">
      <c r="A72" s="7" t="s">
        <v>230</v>
      </c>
      <c r="B72" s="10">
        <v>0</v>
      </c>
      <c r="C72" s="1" t="s">
        <v>0</v>
      </c>
      <c r="D72" s="1" t="s">
        <v>17</v>
      </c>
      <c r="E72" s="1" t="s">
        <v>13</v>
      </c>
      <c r="F72" s="1" t="s">
        <v>14</v>
      </c>
      <c r="G72" s="1" t="s">
        <v>1</v>
      </c>
      <c r="H72" s="1" t="s">
        <v>6</v>
      </c>
      <c r="I72" s="1" t="s">
        <v>2</v>
      </c>
      <c r="J72" s="1" t="s">
        <v>3</v>
      </c>
      <c r="K72" s="1" t="s">
        <v>231</v>
      </c>
      <c r="L72" s="1" t="s">
        <v>7</v>
      </c>
      <c r="M72" s="1" t="s">
        <v>9</v>
      </c>
      <c r="N72" s="1" t="s">
        <v>232</v>
      </c>
      <c r="O72" s="1" t="s">
        <v>15</v>
      </c>
      <c r="P72" s="1"/>
      <c r="Q72" s="1"/>
      <c r="R72" s="1" t="s">
        <v>11</v>
      </c>
      <c r="S72" s="1"/>
      <c r="T72" s="1"/>
      <c r="U72" s="1"/>
      <c r="V72" s="1"/>
      <c r="W72" s="1"/>
      <c r="X72" s="1" t="s">
        <v>233</v>
      </c>
      <c r="Y72" s="1"/>
      <c r="Z72" s="1"/>
      <c r="AA72" s="1"/>
      <c r="AB72" s="1"/>
      <c r="AC72" s="1"/>
      <c r="AD72" s="1"/>
      <c r="AE72" s="7" t="s">
        <v>107</v>
      </c>
      <c r="AF72" s="1"/>
      <c r="AG72" s="1"/>
      <c r="AH72" s="1" t="s">
        <v>234</v>
      </c>
      <c r="AI72" s="1"/>
      <c r="AJ72" s="1" t="s">
        <v>68</v>
      </c>
      <c r="AK72" s="1" t="s">
        <v>214</v>
      </c>
      <c r="AL72" s="1"/>
      <c r="AM72" s="1" t="s">
        <v>169</v>
      </c>
      <c r="AN72" s="1" t="s">
        <v>214</v>
      </c>
      <c r="AO72" s="1"/>
      <c r="AP72" s="2" t="s">
        <v>67</v>
      </c>
      <c r="AQ72" s="2" t="s">
        <v>1152</v>
      </c>
      <c r="AR72" s="1"/>
      <c r="AS72" s="1" t="s">
        <v>235</v>
      </c>
      <c r="AT72" s="1" t="s">
        <v>5</v>
      </c>
      <c r="AU72" s="1"/>
    </row>
    <row r="73" spans="1:47" hidden="1" x14ac:dyDescent="0.4">
      <c r="A73" s="7" t="s">
        <v>269</v>
      </c>
      <c r="B73" s="10">
        <v>0</v>
      </c>
      <c r="C73" s="1" t="s">
        <v>0</v>
      </c>
      <c r="D73" s="1" t="s">
        <v>17</v>
      </c>
      <c r="E73" s="1" t="s">
        <v>17</v>
      </c>
      <c r="F73" s="1" t="s">
        <v>14</v>
      </c>
      <c r="G73" s="1" t="s">
        <v>1</v>
      </c>
      <c r="H73" s="1" t="s">
        <v>6</v>
      </c>
      <c r="I73" s="1" t="s">
        <v>2</v>
      </c>
      <c r="J73" s="1" t="s">
        <v>3</v>
      </c>
      <c r="K73" s="1" t="s">
        <v>270</v>
      </c>
      <c r="L73" s="1" t="s">
        <v>7</v>
      </c>
      <c r="M73" s="1" t="s">
        <v>9</v>
      </c>
      <c r="N73" s="1" t="s">
        <v>271</v>
      </c>
      <c r="O73" s="1" t="s">
        <v>15</v>
      </c>
      <c r="P73" s="1"/>
      <c r="Q73" s="1"/>
      <c r="R73" s="1" t="s">
        <v>11</v>
      </c>
      <c r="S73" s="1"/>
      <c r="T73" s="1"/>
      <c r="U73" s="1"/>
      <c r="V73" s="1"/>
      <c r="W73" s="1"/>
      <c r="X73" s="1" t="s">
        <v>272</v>
      </c>
      <c r="Y73" s="1"/>
      <c r="Z73" s="1"/>
      <c r="AA73" s="1"/>
      <c r="AB73" s="1"/>
      <c r="AC73" s="1"/>
      <c r="AD73" s="1"/>
      <c r="AE73" s="7" t="s">
        <v>107</v>
      </c>
      <c r="AF73" s="1"/>
      <c r="AG73" s="1"/>
      <c r="AH73" s="1" t="s">
        <v>273</v>
      </c>
      <c r="AI73" s="1" t="s">
        <v>274</v>
      </c>
      <c r="AJ73" s="1" t="s">
        <v>59</v>
      </c>
      <c r="AK73" s="1" t="s">
        <v>250</v>
      </c>
      <c r="AL73" s="1" t="s">
        <v>126</v>
      </c>
      <c r="AM73" s="1" t="s">
        <v>64</v>
      </c>
      <c r="AN73" s="1" t="s">
        <v>250</v>
      </c>
      <c r="AO73" s="1" t="s">
        <v>131</v>
      </c>
      <c r="AP73" s="2" t="s">
        <v>275</v>
      </c>
      <c r="AQ73" s="2" t="s">
        <v>1153</v>
      </c>
      <c r="AR73" s="1"/>
      <c r="AS73" s="1"/>
      <c r="AT73" s="1" t="s">
        <v>5</v>
      </c>
      <c r="AU73" s="1"/>
    </row>
    <row r="74" spans="1:47" hidden="1" x14ac:dyDescent="0.4">
      <c r="A74" s="7" t="s">
        <v>409</v>
      </c>
      <c r="B74" s="10">
        <v>0</v>
      </c>
      <c r="C74" s="1" t="s">
        <v>0</v>
      </c>
      <c r="D74" s="1" t="s">
        <v>17</v>
      </c>
      <c r="E74" s="1" t="s">
        <v>13</v>
      </c>
      <c r="F74" s="1" t="s">
        <v>14</v>
      </c>
      <c r="G74" s="1" t="s">
        <v>1</v>
      </c>
      <c r="H74" s="1" t="s">
        <v>6</v>
      </c>
      <c r="I74" s="1" t="s">
        <v>2</v>
      </c>
      <c r="J74" s="1" t="s">
        <v>3</v>
      </c>
      <c r="K74" s="1" t="s">
        <v>410</v>
      </c>
      <c r="L74" s="1" t="s">
        <v>4</v>
      </c>
      <c r="M74" s="1" t="s">
        <v>9</v>
      </c>
      <c r="N74" s="1" t="s">
        <v>411</v>
      </c>
      <c r="O74" s="1" t="s">
        <v>15</v>
      </c>
      <c r="P74" s="1"/>
      <c r="Q74" s="1"/>
      <c r="R74" s="1" t="s">
        <v>11</v>
      </c>
      <c r="S74" s="1"/>
      <c r="T74" s="1"/>
      <c r="U74" s="1"/>
      <c r="V74" s="1"/>
      <c r="W74" s="1"/>
      <c r="X74" s="1" t="s">
        <v>412</v>
      </c>
      <c r="Y74" s="1"/>
      <c r="Z74" s="1"/>
      <c r="AA74" s="1"/>
      <c r="AB74" s="1"/>
      <c r="AC74" s="1"/>
      <c r="AD74" s="1"/>
      <c r="AE74" s="7" t="s">
        <v>413</v>
      </c>
      <c r="AF74" s="1"/>
      <c r="AG74" s="1"/>
      <c r="AH74" s="1" t="s">
        <v>414</v>
      </c>
      <c r="AI74" s="1"/>
      <c r="AJ74" s="1" t="s">
        <v>63</v>
      </c>
      <c r="AK74" s="1" t="s">
        <v>279</v>
      </c>
      <c r="AL74" s="1"/>
      <c r="AM74" s="1" t="s">
        <v>415</v>
      </c>
      <c r="AN74" s="1" t="s">
        <v>279</v>
      </c>
      <c r="AO74" s="1"/>
      <c r="AP74" s="2" t="s">
        <v>416</v>
      </c>
      <c r="AQ74" s="2" t="s">
        <v>1152</v>
      </c>
      <c r="AR74" s="1" t="s">
        <v>286</v>
      </c>
      <c r="AS74" s="1"/>
      <c r="AT74" s="1" t="s">
        <v>5</v>
      </c>
      <c r="AU74" s="1"/>
    </row>
    <row r="75" spans="1:47" hidden="1" x14ac:dyDescent="0.4">
      <c r="A75" s="7" t="s">
        <v>1036</v>
      </c>
      <c r="B75" s="10">
        <v>0</v>
      </c>
      <c r="C75" s="1" t="s">
        <v>0</v>
      </c>
      <c r="D75" s="1" t="s">
        <v>17</v>
      </c>
      <c r="E75" s="1" t="s">
        <v>17</v>
      </c>
      <c r="F75" s="1" t="s">
        <v>14</v>
      </c>
      <c r="G75" s="1" t="s">
        <v>1</v>
      </c>
      <c r="H75" s="1" t="s">
        <v>6</v>
      </c>
      <c r="I75" s="1" t="s">
        <v>2</v>
      </c>
      <c r="J75" s="1" t="s">
        <v>3</v>
      </c>
      <c r="K75" s="1" t="s">
        <v>1037</v>
      </c>
      <c r="L75" s="1" t="s">
        <v>7</v>
      </c>
      <c r="M75" s="1" t="s">
        <v>9</v>
      </c>
      <c r="N75" s="1" t="s">
        <v>1038</v>
      </c>
      <c r="O75" s="1" t="s">
        <v>15</v>
      </c>
      <c r="P75" s="1"/>
      <c r="Q75" s="1"/>
      <c r="R75" s="1" t="s">
        <v>11</v>
      </c>
      <c r="S75" s="1"/>
      <c r="T75" s="1"/>
      <c r="U75" s="1"/>
      <c r="V75" s="1"/>
      <c r="W75" s="1"/>
      <c r="X75" s="1"/>
      <c r="Y75" s="1"/>
      <c r="Z75" s="1"/>
      <c r="AA75" s="1"/>
      <c r="AB75" s="1"/>
      <c r="AC75" s="1"/>
      <c r="AD75" s="1"/>
      <c r="AE75" s="7" t="s">
        <v>1039</v>
      </c>
      <c r="AF75" s="1"/>
      <c r="AG75" s="1"/>
      <c r="AH75" s="1" t="s">
        <v>1040</v>
      </c>
      <c r="AI75" s="1"/>
      <c r="AJ75" s="1" t="s">
        <v>228</v>
      </c>
      <c r="AK75" s="1" t="s">
        <v>281</v>
      </c>
      <c r="AL75" s="1" t="s">
        <v>229</v>
      </c>
      <c r="AM75" s="1" t="s">
        <v>171</v>
      </c>
      <c r="AN75" s="1" t="s">
        <v>281</v>
      </c>
      <c r="AO75" s="1" t="s">
        <v>172</v>
      </c>
      <c r="AP75" s="2" t="s">
        <v>1035</v>
      </c>
      <c r="AQ75" s="2" t="s">
        <v>1155</v>
      </c>
      <c r="AR75" s="1" t="s">
        <v>286</v>
      </c>
      <c r="AS75" s="1"/>
      <c r="AT75" s="1" t="s">
        <v>5</v>
      </c>
      <c r="AU75" s="1"/>
    </row>
    <row r="76" spans="1:47" hidden="1" x14ac:dyDescent="0.4">
      <c r="A76" s="7" t="s">
        <v>469</v>
      </c>
      <c r="B76" s="10">
        <v>0</v>
      </c>
      <c r="C76" s="1" t="s">
        <v>0</v>
      </c>
      <c r="D76" s="1" t="s">
        <v>17</v>
      </c>
      <c r="E76" s="1" t="s">
        <v>17</v>
      </c>
      <c r="F76" s="1" t="s">
        <v>14</v>
      </c>
      <c r="G76" s="1" t="s">
        <v>1</v>
      </c>
      <c r="H76" s="1" t="s">
        <v>6</v>
      </c>
      <c r="I76" s="1" t="s">
        <v>2</v>
      </c>
      <c r="J76" s="1" t="s">
        <v>3</v>
      </c>
      <c r="K76" s="1" t="s">
        <v>470</v>
      </c>
      <c r="L76" s="1" t="s">
        <v>4</v>
      </c>
      <c r="M76" s="1" t="s">
        <v>9</v>
      </c>
      <c r="N76" s="1" t="s">
        <v>471</v>
      </c>
      <c r="O76" s="1" t="s">
        <v>15</v>
      </c>
      <c r="P76" s="1"/>
      <c r="Q76" s="1"/>
      <c r="R76" s="1" t="s">
        <v>11</v>
      </c>
      <c r="S76" s="1"/>
      <c r="T76" s="1"/>
      <c r="U76" s="1"/>
      <c r="V76" s="1"/>
      <c r="W76" s="1"/>
      <c r="X76" s="1"/>
      <c r="Y76" s="1"/>
      <c r="Z76" s="1"/>
      <c r="AA76" s="1"/>
      <c r="AB76" s="1"/>
      <c r="AC76" s="1"/>
      <c r="AD76" s="1"/>
      <c r="AE76" s="7" t="s">
        <v>472</v>
      </c>
      <c r="AF76" s="1"/>
      <c r="AG76" s="1"/>
      <c r="AH76" s="1" t="s">
        <v>473</v>
      </c>
      <c r="AI76" s="1"/>
      <c r="AJ76" s="1" t="s">
        <v>160</v>
      </c>
      <c r="AK76" s="1" t="s">
        <v>246</v>
      </c>
      <c r="AL76" s="1" t="s">
        <v>161</v>
      </c>
      <c r="AM76" s="1" t="s">
        <v>261</v>
      </c>
      <c r="AN76" s="1" t="s">
        <v>246</v>
      </c>
      <c r="AO76" s="1"/>
      <c r="AP76" s="2" t="s">
        <v>474</v>
      </c>
      <c r="AQ76" s="2" t="s">
        <v>1153</v>
      </c>
      <c r="AR76" s="1" t="s">
        <v>287</v>
      </c>
      <c r="AS76" s="1"/>
      <c r="AT76" s="1" t="s">
        <v>5</v>
      </c>
      <c r="AU76" s="1"/>
    </row>
    <row r="77" spans="1:47" hidden="1" x14ac:dyDescent="0.4">
      <c r="A77" s="7" t="s">
        <v>777</v>
      </c>
      <c r="B77" s="10">
        <v>0</v>
      </c>
      <c r="C77" s="1" t="s">
        <v>0</v>
      </c>
      <c r="D77" s="1" t="s">
        <v>17</v>
      </c>
      <c r="E77" s="1" t="s">
        <v>17</v>
      </c>
      <c r="F77" s="1" t="s">
        <v>14</v>
      </c>
      <c r="G77" s="1" t="s">
        <v>1</v>
      </c>
      <c r="H77" s="1" t="s">
        <v>6</v>
      </c>
      <c r="I77" s="1" t="s">
        <v>2</v>
      </c>
      <c r="J77" s="1" t="s">
        <v>3</v>
      </c>
      <c r="K77" s="1" t="s">
        <v>778</v>
      </c>
      <c r="L77" s="1" t="s">
        <v>4</v>
      </c>
      <c r="M77" s="1" t="s">
        <v>9</v>
      </c>
      <c r="N77" s="1" t="s">
        <v>779</v>
      </c>
      <c r="O77" s="1" t="s">
        <v>15</v>
      </c>
      <c r="P77" s="1"/>
      <c r="Q77" s="1"/>
      <c r="R77" s="1" t="s">
        <v>11</v>
      </c>
      <c r="S77" s="1"/>
      <c r="T77" s="1"/>
      <c r="U77" s="1"/>
      <c r="V77" s="1"/>
      <c r="W77" s="1" t="s">
        <v>36</v>
      </c>
      <c r="X77" s="1" t="s">
        <v>780</v>
      </c>
      <c r="Y77" s="1"/>
      <c r="Z77" s="1"/>
      <c r="AA77" s="1"/>
      <c r="AB77" s="1"/>
      <c r="AC77" s="1"/>
      <c r="AD77" s="1"/>
      <c r="AE77" s="7" t="s">
        <v>781</v>
      </c>
      <c r="AF77" s="1"/>
      <c r="AG77" s="1"/>
      <c r="AH77" s="1" t="s">
        <v>782</v>
      </c>
      <c r="AI77" s="1"/>
      <c r="AJ77" s="1" t="s">
        <v>595</v>
      </c>
      <c r="AK77" s="1" t="s">
        <v>568</v>
      </c>
      <c r="AL77" s="1" t="s">
        <v>596</v>
      </c>
      <c r="AM77" s="1" t="s">
        <v>166</v>
      </c>
      <c r="AN77" s="1" t="s">
        <v>568</v>
      </c>
      <c r="AO77" s="1" t="s">
        <v>191</v>
      </c>
      <c r="AP77" s="2" t="s">
        <v>783</v>
      </c>
      <c r="AQ77" s="2" t="s">
        <v>1154</v>
      </c>
      <c r="AR77" s="1" t="s">
        <v>286</v>
      </c>
      <c r="AS77" s="1" t="s">
        <v>784</v>
      </c>
      <c r="AT77" s="1" t="s">
        <v>5</v>
      </c>
      <c r="AU77" s="1"/>
    </row>
    <row r="78" spans="1:47" hidden="1" x14ac:dyDescent="0.4">
      <c r="A78" s="7" t="s">
        <v>785</v>
      </c>
      <c r="B78" s="10">
        <v>0</v>
      </c>
      <c r="C78" s="1" t="s">
        <v>0</v>
      </c>
      <c r="D78" s="1" t="s">
        <v>17</v>
      </c>
      <c r="E78" s="1" t="s">
        <v>17</v>
      </c>
      <c r="F78" s="1" t="s">
        <v>14</v>
      </c>
      <c r="G78" s="1" t="s">
        <v>1</v>
      </c>
      <c r="H78" s="1" t="s">
        <v>6</v>
      </c>
      <c r="I78" s="1" t="s">
        <v>2</v>
      </c>
      <c r="J78" s="1" t="s">
        <v>3</v>
      </c>
      <c r="K78" s="1" t="s">
        <v>786</v>
      </c>
      <c r="L78" s="1" t="s">
        <v>4</v>
      </c>
      <c r="M78" s="1" t="s">
        <v>9</v>
      </c>
      <c r="N78" s="1" t="s">
        <v>787</v>
      </c>
      <c r="O78" s="1" t="s">
        <v>15</v>
      </c>
      <c r="P78" s="1"/>
      <c r="Q78" s="1"/>
      <c r="R78" s="1" t="s">
        <v>11</v>
      </c>
      <c r="S78" s="1"/>
      <c r="T78" s="1"/>
      <c r="U78" s="1"/>
      <c r="V78" s="1"/>
      <c r="W78" s="1" t="s">
        <v>36</v>
      </c>
      <c r="X78" s="1" t="s">
        <v>780</v>
      </c>
      <c r="Y78" s="1"/>
      <c r="Z78" s="1"/>
      <c r="AA78" s="1"/>
      <c r="AB78" s="1"/>
      <c r="AC78" s="1"/>
      <c r="AD78" s="1"/>
      <c r="AE78" s="7" t="s">
        <v>781</v>
      </c>
      <c r="AF78" s="1"/>
      <c r="AG78" s="1"/>
      <c r="AH78" s="1" t="s">
        <v>788</v>
      </c>
      <c r="AI78" s="1"/>
      <c r="AJ78" s="1" t="s">
        <v>595</v>
      </c>
      <c r="AK78" s="1" t="s">
        <v>568</v>
      </c>
      <c r="AL78" s="1" t="s">
        <v>596</v>
      </c>
      <c r="AM78" s="1" t="s">
        <v>166</v>
      </c>
      <c r="AN78" s="1" t="s">
        <v>568</v>
      </c>
      <c r="AO78" s="1" t="s">
        <v>191</v>
      </c>
      <c r="AP78" s="2" t="s">
        <v>789</v>
      </c>
      <c r="AQ78" s="2" t="s">
        <v>1154</v>
      </c>
      <c r="AR78" s="1" t="s">
        <v>286</v>
      </c>
      <c r="AS78" s="1" t="s">
        <v>790</v>
      </c>
      <c r="AT78" s="1" t="s">
        <v>5</v>
      </c>
      <c r="AU78" s="1"/>
    </row>
    <row r="79" spans="1:47" hidden="1" x14ac:dyDescent="0.4">
      <c r="A79" s="7" t="s">
        <v>833</v>
      </c>
      <c r="B79" s="10">
        <v>0</v>
      </c>
      <c r="C79" s="1" t="s">
        <v>0</v>
      </c>
      <c r="D79" s="1" t="s">
        <v>17</v>
      </c>
      <c r="E79" s="1" t="s">
        <v>17</v>
      </c>
      <c r="F79" s="1" t="s">
        <v>14</v>
      </c>
      <c r="G79" s="1" t="s">
        <v>1</v>
      </c>
      <c r="H79" s="1" t="s">
        <v>6</v>
      </c>
      <c r="I79" s="1" t="s">
        <v>2</v>
      </c>
      <c r="J79" s="1" t="s">
        <v>3</v>
      </c>
      <c r="K79" s="1" t="s">
        <v>834</v>
      </c>
      <c r="L79" s="1" t="s">
        <v>4</v>
      </c>
      <c r="M79" s="1" t="s">
        <v>9</v>
      </c>
      <c r="N79" s="1" t="s">
        <v>835</v>
      </c>
      <c r="O79" s="1" t="s">
        <v>15</v>
      </c>
      <c r="P79" s="1"/>
      <c r="Q79" s="1"/>
      <c r="R79" s="1" t="s">
        <v>11</v>
      </c>
      <c r="S79" s="1"/>
      <c r="T79" s="1"/>
      <c r="U79" s="1"/>
      <c r="V79" s="1"/>
      <c r="W79" s="1"/>
      <c r="X79" s="1" t="s">
        <v>836</v>
      </c>
      <c r="Y79" s="1"/>
      <c r="Z79" s="1"/>
      <c r="AA79" s="1"/>
      <c r="AB79" s="1"/>
      <c r="AC79" s="1"/>
      <c r="AD79" s="1"/>
      <c r="AE79" s="7" t="s">
        <v>837</v>
      </c>
      <c r="AF79" s="1"/>
      <c r="AG79" s="1"/>
      <c r="AH79" s="1" t="s">
        <v>838</v>
      </c>
      <c r="AI79" s="1"/>
      <c r="AJ79" s="1" t="s">
        <v>142</v>
      </c>
      <c r="AK79" s="1" t="s">
        <v>281</v>
      </c>
      <c r="AL79" s="1" t="s">
        <v>143</v>
      </c>
      <c r="AM79" s="1" t="s">
        <v>142</v>
      </c>
      <c r="AN79" s="1" t="s">
        <v>281</v>
      </c>
      <c r="AO79" s="1" t="s">
        <v>143</v>
      </c>
      <c r="AP79" s="2" t="s">
        <v>839</v>
      </c>
      <c r="AQ79" s="2" t="s">
        <v>1154</v>
      </c>
      <c r="AR79" s="1" t="s">
        <v>286</v>
      </c>
      <c r="AS79" s="1" t="s">
        <v>840</v>
      </c>
      <c r="AT79" s="1" t="s">
        <v>5</v>
      </c>
      <c r="AU79" s="1"/>
    </row>
    <row r="80" spans="1:47" hidden="1" x14ac:dyDescent="0.4">
      <c r="A80" s="7" t="s">
        <v>38</v>
      </c>
      <c r="B80" s="10">
        <v>0</v>
      </c>
      <c r="C80" s="1" t="s">
        <v>0</v>
      </c>
      <c r="D80" s="1" t="s">
        <v>17</v>
      </c>
      <c r="E80" s="1" t="s">
        <v>13</v>
      </c>
      <c r="F80" s="1" t="s">
        <v>14</v>
      </c>
      <c r="G80" s="1" t="s">
        <v>1</v>
      </c>
      <c r="H80" s="1" t="s">
        <v>6</v>
      </c>
      <c r="I80" s="1" t="s">
        <v>2</v>
      </c>
      <c r="J80" s="1" t="s">
        <v>3</v>
      </c>
      <c r="K80" s="1" t="s">
        <v>39</v>
      </c>
      <c r="L80" s="1" t="s">
        <v>4</v>
      </c>
      <c r="M80" s="1" t="s">
        <v>9</v>
      </c>
      <c r="N80" s="1" t="s">
        <v>40</v>
      </c>
      <c r="O80" s="1" t="s">
        <v>15</v>
      </c>
      <c r="P80" s="1"/>
      <c r="Q80" s="1"/>
      <c r="R80" s="1" t="s">
        <v>11</v>
      </c>
      <c r="S80" s="1"/>
      <c r="T80" s="1"/>
      <c r="U80" s="1"/>
      <c r="V80" s="1"/>
      <c r="W80" s="1" t="s">
        <v>41</v>
      </c>
      <c r="X80" s="1" t="s">
        <v>42</v>
      </c>
      <c r="Y80" s="1"/>
      <c r="Z80" s="1"/>
      <c r="AA80" s="1"/>
      <c r="AB80" s="1"/>
      <c r="AC80" s="1"/>
      <c r="AD80" s="1"/>
      <c r="AE80" s="7" t="s">
        <v>43</v>
      </c>
      <c r="AF80" s="1"/>
      <c r="AG80" s="1"/>
      <c r="AH80" s="1" t="s">
        <v>44</v>
      </c>
      <c r="AI80" s="1"/>
      <c r="AJ80" s="1" t="s">
        <v>24</v>
      </c>
      <c r="AK80" s="1" t="s">
        <v>37</v>
      </c>
      <c r="AL80" s="1" t="s">
        <v>25</v>
      </c>
      <c r="AM80" s="1"/>
      <c r="AN80" s="1"/>
      <c r="AO80" s="1"/>
      <c r="AP80" s="2" t="s">
        <v>45</v>
      </c>
      <c r="AQ80" s="2" t="s">
        <v>1077</v>
      </c>
      <c r="AR80" s="1"/>
      <c r="AS80" s="1"/>
      <c r="AT80" s="1" t="s">
        <v>5</v>
      </c>
      <c r="AU80" s="1"/>
    </row>
    <row r="81" spans="1:47" hidden="1" x14ac:dyDescent="0.4">
      <c r="A81" s="7" t="s">
        <v>955</v>
      </c>
      <c r="B81" s="10">
        <v>0</v>
      </c>
      <c r="C81" s="1" t="s">
        <v>0</v>
      </c>
      <c r="D81" s="1" t="s">
        <v>17</v>
      </c>
      <c r="E81" s="1" t="s">
        <v>17</v>
      </c>
      <c r="F81" s="1" t="s">
        <v>14</v>
      </c>
      <c r="G81" s="1" t="s">
        <v>1</v>
      </c>
      <c r="H81" s="1" t="s">
        <v>6</v>
      </c>
      <c r="I81" s="1" t="s">
        <v>2</v>
      </c>
      <c r="J81" s="1" t="s">
        <v>3</v>
      </c>
      <c r="K81" s="1" t="s">
        <v>956</v>
      </c>
      <c r="L81" s="1" t="s">
        <v>4</v>
      </c>
      <c r="M81" s="1" t="s">
        <v>9</v>
      </c>
      <c r="N81" s="1" t="s">
        <v>957</v>
      </c>
      <c r="O81" s="1" t="s">
        <v>15</v>
      </c>
      <c r="P81" s="1"/>
      <c r="Q81" s="1"/>
      <c r="R81" s="1" t="s">
        <v>11</v>
      </c>
      <c r="S81" s="1"/>
      <c r="T81" s="1"/>
      <c r="U81" s="1"/>
      <c r="V81" s="1"/>
      <c r="W81" s="1"/>
      <c r="X81" s="1"/>
      <c r="Y81" s="1"/>
      <c r="Z81" s="1"/>
      <c r="AA81" s="1"/>
      <c r="AB81" s="1"/>
      <c r="AC81" s="1"/>
      <c r="AD81" s="1"/>
      <c r="AE81" s="7" t="s">
        <v>141</v>
      </c>
      <c r="AF81" s="1"/>
      <c r="AG81" s="1"/>
      <c r="AH81" s="1" t="s">
        <v>958</v>
      </c>
      <c r="AI81" s="1"/>
      <c r="AJ81" s="1" t="s">
        <v>160</v>
      </c>
      <c r="AK81" s="1" t="s">
        <v>515</v>
      </c>
      <c r="AL81" s="1" t="s">
        <v>161</v>
      </c>
      <c r="AM81" s="1" t="s">
        <v>75</v>
      </c>
      <c r="AN81" s="1" t="s">
        <v>515</v>
      </c>
      <c r="AO81" s="1" t="s">
        <v>236</v>
      </c>
      <c r="AP81" s="2" t="s">
        <v>959</v>
      </c>
      <c r="AQ81" s="2" t="s">
        <v>1155</v>
      </c>
      <c r="AR81" s="1" t="s">
        <v>286</v>
      </c>
      <c r="AS81" s="1" t="s">
        <v>954</v>
      </c>
      <c r="AT81" s="1" t="s">
        <v>5</v>
      </c>
      <c r="AU81" s="1"/>
    </row>
    <row r="82" spans="1:47" hidden="1" x14ac:dyDescent="0.4">
      <c r="A82" s="7" t="s">
        <v>742</v>
      </c>
      <c r="B82" s="10">
        <v>0</v>
      </c>
      <c r="C82" s="1" t="s">
        <v>0</v>
      </c>
      <c r="D82" s="1" t="s">
        <v>17</v>
      </c>
      <c r="E82" s="1" t="s">
        <v>13</v>
      </c>
      <c r="F82" s="1" t="s">
        <v>14</v>
      </c>
      <c r="G82" s="1" t="s">
        <v>1</v>
      </c>
      <c r="H82" s="1" t="s">
        <v>6</v>
      </c>
      <c r="I82" s="1" t="s">
        <v>2</v>
      </c>
      <c r="J82" s="1" t="s">
        <v>3</v>
      </c>
      <c r="K82" s="1" t="s">
        <v>743</v>
      </c>
      <c r="L82" s="1" t="s">
        <v>4</v>
      </c>
      <c r="M82" s="1" t="s">
        <v>9</v>
      </c>
      <c r="N82" s="1" t="s">
        <v>744</v>
      </c>
      <c r="O82" s="1" t="s">
        <v>15</v>
      </c>
      <c r="P82" s="1"/>
      <c r="Q82" s="1"/>
      <c r="R82" s="1" t="s">
        <v>11</v>
      </c>
      <c r="S82" s="1"/>
      <c r="T82" s="1"/>
      <c r="U82" s="1"/>
      <c r="V82" s="1"/>
      <c r="W82" s="1"/>
      <c r="X82" s="1"/>
      <c r="Y82" s="1"/>
      <c r="Z82" s="1"/>
      <c r="AA82" s="1"/>
      <c r="AB82" s="1"/>
      <c r="AC82" s="1"/>
      <c r="AD82" s="1"/>
      <c r="AE82" s="7" t="s">
        <v>46</v>
      </c>
      <c r="AF82" s="1"/>
      <c r="AG82" s="1"/>
      <c r="AH82" s="1" t="s">
        <v>745</v>
      </c>
      <c r="AI82" s="1"/>
      <c r="AJ82" s="1" t="s">
        <v>148</v>
      </c>
      <c r="AK82" s="1" t="s">
        <v>502</v>
      </c>
      <c r="AL82" s="1" t="s">
        <v>149</v>
      </c>
      <c r="AM82" s="1" t="s">
        <v>477</v>
      </c>
      <c r="AN82" s="1" t="s">
        <v>502</v>
      </c>
      <c r="AO82" s="1" t="s">
        <v>478</v>
      </c>
      <c r="AP82" s="2" t="s">
        <v>746</v>
      </c>
      <c r="AQ82" s="2" t="s">
        <v>1077</v>
      </c>
      <c r="AR82" s="1" t="s">
        <v>286</v>
      </c>
      <c r="AS82" s="1"/>
      <c r="AT82" s="1" t="s">
        <v>5</v>
      </c>
      <c r="AU82" s="1"/>
    </row>
    <row r="83" spans="1:47" hidden="1" x14ac:dyDescent="0.4">
      <c r="A83" s="7" t="s">
        <v>1056</v>
      </c>
      <c r="B83" s="10">
        <v>0</v>
      </c>
      <c r="C83" s="1" t="s">
        <v>0</v>
      </c>
      <c r="D83" s="1" t="s">
        <v>17</v>
      </c>
      <c r="E83" s="1" t="s">
        <v>17</v>
      </c>
      <c r="F83" s="1" t="s">
        <v>14</v>
      </c>
      <c r="G83" s="1" t="s">
        <v>1</v>
      </c>
      <c r="H83" s="1" t="s">
        <v>6</v>
      </c>
      <c r="I83" s="1" t="s">
        <v>2</v>
      </c>
      <c r="J83" s="1" t="s">
        <v>3</v>
      </c>
      <c r="K83" s="1" t="s">
        <v>1057</v>
      </c>
      <c r="L83" s="1" t="s">
        <v>7</v>
      </c>
      <c r="M83" s="1" t="s">
        <v>9</v>
      </c>
      <c r="N83" s="1" t="s">
        <v>1058</v>
      </c>
      <c r="O83" s="1" t="s">
        <v>15</v>
      </c>
      <c r="P83" s="1"/>
      <c r="Q83" s="1" t="s">
        <v>12</v>
      </c>
      <c r="R83" s="1" t="s">
        <v>11</v>
      </c>
      <c r="S83" s="1"/>
      <c r="T83" s="1" t="s">
        <v>12</v>
      </c>
      <c r="U83" s="1" t="s">
        <v>11</v>
      </c>
      <c r="V83" s="1"/>
      <c r="W83" s="1"/>
      <c r="X83" s="1"/>
      <c r="Y83" s="1"/>
      <c r="Z83" s="1"/>
      <c r="AA83" s="1"/>
      <c r="AB83" s="1"/>
      <c r="AC83" s="1"/>
      <c r="AD83" s="1"/>
      <c r="AE83" s="7" t="s">
        <v>46</v>
      </c>
      <c r="AF83" s="1"/>
      <c r="AG83" s="1"/>
      <c r="AH83" s="1" t="s">
        <v>1059</v>
      </c>
      <c r="AI83" s="1"/>
      <c r="AJ83" s="1" t="s">
        <v>595</v>
      </c>
      <c r="AK83" s="1" t="s">
        <v>568</v>
      </c>
      <c r="AL83" s="1" t="s">
        <v>596</v>
      </c>
      <c r="AM83" s="1" t="s">
        <v>500</v>
      </c>
      <c r="AN83" s="1" t="s">
        <v>568</v>
      </c>
      <c r="AO83" s="1" t="s">
        <v>501</v>
      </c>
      <c r="AP83" s="2" t="s">
        <v>1060</v>
      </c>
      <c r="AQ83" s="2" t="s">
        <v>1155</v>
      </c>
      <c r="AR83" s="1" t="s">
        <v>286</v>
      </c>
      <c r="AS83" s="1" t="s">
        <v>1055</v>
      </c>
      <c r="AT83" s="1" t="s">
        <v>5</v>
      </c>
      <c r="AU83" s="1"/>
    </row>
    <row r="84" spans="1:47" hidden="1" x14ac:dyDescent="0.4">
      <c r="A84" s="7" t="s">
        <v>482</v>
      </c>
      <c r="B84" s="10">
        <v>0</v>
      </c>
      <c r="C84" s="1" t="s">
        <v>0</v>
      </c>
      <c r="D84" s="1" t="s">
        <v>17</v>
      </c>
      <c r="E84" s="1" t="s">
        <v>17</v>
      </c>
      <c r="F84" s="1" t="s">
        <v>14</v>
      </c>
      <c r="G84" s="1" t="s">
        <v>1</v>
      </c>
      <c r="H84" s="1" t="s">
        <v>6</v>
      </c>
      <c r="I84" s="1" t="s">
        <v>2</v>
      </c>
      <c r="J84" s="1" t="s">
        <v>3</v>
      </c>
      <c r="K84" s="1" t="s">
        <v>483</v>
      </c>
      <c r="L84" s="1" t="s">
        <v>4</v>
      </c>
      <c r="M84" s="1" t="s">
        <v>9</v>
      </c>
      <c r="N84" s="1" t="s">
        <v>484</v>
      </c>
      <c r="O84" s="1" t="s">
        <v>15</v>
      </c>
      <c r="P84" s="1"/>
      <c r="Q84" s="1"/>
      <c r="R84" s="1" t="s">
        <v>11</v>
      </c>
      <c r="S84" s="1"/>
      <c r="T84" s="1"/>
      <c r="U84" s="1"/>
      <c r="V84" s="1"/>
      <c r="W84" s="1"/>
      <c r="X84" s="1" t="s">
        <v>485</v>
      </c>
      <c r="Y84" s="1"/>
      <c r="Z84" s="1"/>
      <c r="AA84" s="1"/>
      <c r="AB84" s="1"/>
      <c r="AC84" s="1"/>
      <c r="AD84" s="1"/>
      <c r="AE84" s="7" t="s">
        <v>294</v>
      </c>
      <c r="AF84" s="1"/>
      <c r="AG84" s="1"/>
      <c r="AH84" s="1" t="s">
        <v>486</v>
      </c>
      <c r="AI84" s="1"/>
      <c r="AJ84" s="1" t="s">
        <v>63</v>
      </c>
      <c r="AK84" s="1" t="s">
        <v>279</v>
      </c>
      <c r="AL84" s="1"/>
      <c r="AM84" s="1" t="s">
        <v>66</v>
      </c>
      <c r="AN84" s="1" t="s">
        <v>279</v>
      </c>
      <c r="AO84" s="1" t="s">
        <v>163</v>
      </c>
      <c r="AP84" s="2" t="s">
        <v>487</v>
      </c>
      <c r="AQ84" s="2" t="s">
        <v>1153</v>
      </c>
      <c r="AR84" s="1" t="s">
        <v>287</v>
      </c>
      <c r="AS84" s="1"/>
      <c r="AT84" s="1" t="s">
        <v>5</v>
      </c>
      <c r="AU84" s="1"/>
    </row>
    <row r="85" spans="1:47" hidden="1" x14ac:dyDescent="0.4">
      <c r="A85" s="7" t="s">
        <v>940</v>
      </c>
      <c r="B85" s="10">
        <v>0</v>
      </c>
      <c r="C85" s="1" t="s">
        <v>0</v>
      </c>
      <c r="D85" s="1" t="s">
        <v>17</v>
      </c>
      <c r="E85" s="1" t="s">
        <v>17</v>
      </c>
      <c r="F85" s="1" t="s">
        <v>14</v>
      </c>
      <c r="G85" s="1" t="s">
        <v>1</v>
      </c>
      <c r="H85" s="1" t="s">
        <v>6</v>
      </c>
      <c r="I85" s="1" t="s">
        <v>2</v>
      </c>
      <c r="J85" s="1" t="s">
        <v>3</v>
      </c>
      <c r="K85" s="1" t="s">
        <v>941</v>
      </c>
      <c r="L85" s="1" t="s">
        <v>7</v>
      </c>
      <c r="M85" s="1" t="s">
        <v>9</v>
      </c>
      <c r="N85" s="1" t="s">
        <v>942</v>
      </c>
      <c r="O85" s="1" t="s">
        <v>15</v>
      </c>
      <c r="P85" s="1"/>
      <c r="Q85" s="1"/>
      <c r="R85" s="1" t="s">
        <v>11</v>
      </c>
      <c r="S85" s="1"/>
      <c r="T85" s="1"/>
      <c r="U85" s="1"/>
      <c r="V85" s="1"/>
      <c r="W85" s="1"/>
      <c r="X85" s="1"/>
      <c r="Y85" s="1"/>
      <c r="Z85" s="1"/>
      <c r="AA85" s="1"/>
      <c r="AB85" s="1"/>
      <c r="AC85" s="1"/>
      <c r="AD85" s="1"/>
      <c r="AE85" s="7" t="s">
        <v>294</v>
      </c>
      <c r="AF85" s="1"/>
      <c r="AG85" s="1"/>
      <c r="AH85" s="1" t="s">
        <v>943</v>
      </c>
      <c r="AI85" s="1"/>
      <c r="AJ85" s="1" t="s">
        <v>202</v>
      </c>
      <c r="AK85" s="1" t="s">
        <v>518</v>
      </c>
      <c r="AL85" s="1" t="s">
        <v>203</v>
      </c>
      <c r="AM85" s="1" t="s">
        <v>146</v>
      </c>
      <c r="AN85" s="1" t="s">
        <v>518</v>
      </c>
      <c r="AO85" s="1" t="s">
        <v>147</v>
      </c>
      <c r="AP85" s="2" t="s">
        <v>944</v>
      </c>
      <c r="AQ85" s="2" t="s">
        <v>1155</v>
      </c>
      <c r="AR85" s="1" t="s">
        <v>286</v>
      </c>
      <c r="AS85" s="1" t="s">
        <v>945</v>
      </c>
      <c r="AT85" s="1" t="s">
        <v>5</v>
      </c>
      <c r="AU85" s="1"/>
    </row>
    <row r="86" spans="1:47" hidden="1" x14ac:dyDescent="0.4">
      <c r="A86" s="7" t="s">
        <v>403</v>
      </c>
      <c r="B86" s="10">
        <v>0</v>
      </c>
      <c r="C86" s="1" t="s">
        <v>0</v>
      </c>
      <c r="D86" s="1" t="s">
        <v>17</v>
      </c>
      <c r="E86" s="1" t="s">
        <v>13</v>
      </c>
      <c r="F86" s="1" t="s">
        <v>14</v>
      </c>
      <c r="G86" s="1" t="s">
        <v>1</v>
      </c>
      <c r="H86" s="1" t="s">
        <v>6</v>
      </c>
      <c r="I86" s="1" t="s">
        <v>2</v>
      </c>
      <c r="J86" s="1" t="s">
        <v>3</v>
      </c>
      <c r="K86" s="1" t="s">
        <v>404</v>
      </c>
      <c r="L86" s="1" t="s">
        <v>4</v>
      </c>
      <c r="M86" s="1" t="s">
        <v>9</v>
      </c>
      <c r="N86" s="1" t="s">
        <v>405</v>
      </c>
      <c r="O86" s="1" t="s">
        <v>15</v>
      </c>
      <c r="P86" s="1"/>
      <c r="Q86" s="1"/>
      <c r="R86" s="1" t="s">
        <v>11</v>
      </c>
      <c r="S86" s="1"/>
      <c r="T86" s="1"/>
      <c r="U86" s="1"/>
      <c r="V86" s="1"/>
      <c r="W86" s="1"/>
      <c r="X86" s="1" t="s">
        <v>406</v>
      </c>
      <c r="Y86" s="1"/>
      <c r="Z86" s="1"/>
      <c r="AA86" s="1"/>
      <c r="AB86" s="1"/>
      <c r="AC86" s="1"/>
      <c r="AD86" s="1"/>
      <c r="AE86" s="7" t="s">
        <v>162</v>
      </c>
      <c r="AF86" s="1"/>
      <c r="AG86" s="1"/>
      <c r="AH86" s="1" t="s">
        <v>407</v>
      </c>
      <c r="AI86" s="1"/>
      <c r="AJ86" s="1" t="s">
        <v>264</v>
      </c>
      <c r="AK86" s="1" t="s">
        <v>246</v>
      </c>
      <c r="AL86" s="1"/>
      <c r="AM86" s="1" t="s">
        <v>69</v>
      </c>
      <c r="AN86" s="1" t="s">
        <v>246</v>
      </c>
      <c r="AO86" s="1" t="s">
        <v>103</v>
      </c>
      <c r="AP86" s="2" t="s">
        <v>408</v>
      </c>
      <c r="AQ86" s="2" t="s">
        <v>1152</v>
      </c>
      <c r="AR86" s="1" t="s">
        <v>286</v>
      </c>
      <c r="AS86" s="1"/>
      <c r="AT86" s="1" t="s">
        <v>5</v>
      </c>
      <c r="AU86" s="1"/>
    </row>
    <row r="87" spans="1:47" hidden="1" x14ac:dyDescent="0.4">
      <c r="A87" s="7" t="s">
        <v>823</v>
      </c>
      <c r="B87" s="10">
        <v>0</v>
      </c>
      <c r="C87" s="1" t="s">
        <v>0</v>
      </c>
      <c r="D87" s="1" t="s">
        <v>17</v>
      </c>
      <c r="E87" s="1" t="s">
        <v>17</v>
      </c>
      <c r="F87" s="1" t="s">
        <v>14</v>
      </c>
      <c r="G87" s="1" t="s">
        <v>1</v>
      </c>
      <c r="H87" s="1" t="s">
        <v>6</v>
      </c>
      <c r="I87" s="1" t="s">
        <v>2</v>
      </c>
      <c r="J87" s="1" t="s">
        <v>3</v>
      </c>
      <c r="K87" s="1" t="s">
        <v>824</v>
      </c>
      <c r="L87" s="1" t="s">
        <v>7</v>
      </c>
      <c r="M87" s="1" t="s">
        <v>9</v>
      </c>
      <c r="N87" s="1" t="s">
        <v>825</v>
      </c>
      <c r="O87" s="1" t="s">
        <v>15</v>
      </c>
      <c r="P87" s="1"/>
      <c r="Q87" s="1"/>
      <c r="R87" s="1" t="s">
        <v>11</v>
      </c>
      <c r="S87" s="1"/>
      <c r="T87" s="1"/>
      <c r="U87" s="1"/>
      <c r="V87" s="1"/>
      <c r="W87" s="1"/>
      <c r="X87" s="1" t="s">
        <v>826</v>
      </c>
      <c r="Y87" s="1"/>
      <c r="Z87" s="1"/>
      <c r="AA87" s="1"/>
      <c r="AB87" s="1"/>
      <c r="AC87" s="1"/>
      <c r="AD87" s="1"/>
      <c r="AE87" s="7" t="s">
        <v>827</v>
      </c>
      <c r="AF87" s="1"/>
      <c r="AG87" s="1"/>
      <c r="AH87" s="1" t="s">
        <v>828</v>
      </c>
      <c r="AI87" s="1"/>
      <c r="AJ87" s="1" t="s">
        <v>142</v>
      </c>
      <c r="AK87" s="1" t="s">
        <v>281</v>
      </c>
      <c r="AL87" s="1" t="s">
        <v>143</v>
      </c>
      <c r="AM87" s="1" t="s">
        <v>142</v>
      </c>
      <c r="AN87" s="1" t="s">
        <v>281</v>
      </c>
      <c r="AO87" s="1" t="s">
        <v>143</v>
      </c>
      <c r="AP87" s="2" t="s">
        <v>829</v>
      </c>
      <c r="AQ87" s="2" t="s">
        <v>1154</v>
      </c>
      <c r="AR87" s="1" t="s">
        <v>286</v>
      </c>
      <c r="AS87" s="1" t="s">
        <v>830</v>
      </c>
      <c r="AT87" s="1" t="s">
        <v>5</v>
      </c>
      <c r="AU87" s="1"/>
    </row>
    <row r="88" spans="1:47" hidden="1" x14ac:dyDescent="0.4">
      <c r="A88" s="7" t="s">
        <v>417</v>
      </c>
      <c r="B88" s="10">
        <v>0</v>
      </c>
      <c r="C88" s="1" t="s">
        <v>0</v>
      </c>
      <c r="D88" s="1" t="s">
        <v>17</v>
      </c>
      <c r="E88" s="1" t="s">
        <v>13</v>
      </c>
      <c r="F88" s="1" t="s">
        <v>14</v>
      </c>
      <c r="G88" s="1" t="s">
        <v>1</v>
      </c>
      <c r="H88" s="1" t="s">
        <v>6</v>
      </c>
      <c r="I88" s="1" t="s">
        <v>2</v>
      </c>
      <c r="J88" s="1" t="s">
        <v>3</v>
      </c>
      <c r="K88" s="1" t="s">
        <v>418</v>
      </c>
      <c r="L88" s="1" t="s">
        <v>4</v>
      </c>
      <c r="M88" s="1" t="s">
        <v>9</v>
      </c>
      <c r="N88" s="1" t="s">
        <v>419</v>
      </c>
      <c r="O88" s="1" t="s">
        <v>15</v>
      </c>
      <c r="P88" s="1"/>
      <c r="Q88" s="1"/>
      <c r="R88" s="1" t="s">
        <v>11</v>
      </c>
      <c r="S88" s="1"/>
      <c r="T88" s="1"/>
      <c r="U88" s="1"/>
      <c r="V88" s="1"/>
      <c r="W88" s="1"/>
      <c r="X88" s="1"/>
      <c r="Y88" s="1"/>
      <c r="Z88" s="1"/>
      <c r="AA88" s="1"/>
      <c r="AB88" s="1"/>
      <c r="AC88" s="1"/>
      <c r="AD88" s="1"/>
      <c r="AE88" s="7" t="s">
        <v>420</v>
      </c>
      <c r="AF88" s="1"/>
      <c r="AG88" s="1"/>
      <c r="AH88" s="1" t="s">
        <v>421</v>
      </c>
      <c r="AI88" s="1"/>
      <c r="AJ88" s="1" t="s">
        <v>63</v>
      </c>
      <c r="AK88" s="1" t="s">
        <v>279</v>
      </c>
      <c r="AL88" s="1"/>
      <c r="AM88" s="1" t="s">
        <v>170</v>
      </c>
      <c r="AN88" s="1" t="s">
        <v>279</v>
      </c>
      <c r="AO88" s="1" t="s">
        <v>267</v>
      </c>
      <c r="AP88" s="2" t="s">
        <v>422</v>
      </c>
      <c r="AQ88" s="2" t="s">
        <v>1152</v>
      </c>
      <c r="AR88" s="1" t="s">
        <v>286</v>
      </c>
      <c r="AS88" s="1"/>
      <c r="AT88" s="1" t="s">
        <v>5</v>
      </c>
      <c r="AU88" s="1"/>
    </row>
    <row r="89" spans="1:47" hidden="1" x14ac:dyDescent="0.4">
      <c r="A89" s="7" t="s">
        <v>464</v>
      </c>
      <c r="B89" s="10">
        <v>0</v>
      </c>
      <c r="C89" s="1" t="s">
        <v>0</v>
      </c>
      <c r="D89" s="1" t="s">
        <v>17</v>
      </c>
      <c r="E89" s="1" t="s">
        <v>17</v>
      </c>
      <c r="F89" s="1" t="s">
        <v>14</v>
      </c>
      <c r="G89" s="1" t="s">
        <v>1</v>
      </c>
      <c r="H89" s="1" t="s">
        <v>6</v>
      </c>
      <c r="I89" s="1" t="s">
        <v>2</v>
      </c>
      <c r="J89" s="1" t="s">
        <v>3</v>
      </c>
      <c r="K89" s="1" t="s">
        <v>465</v>
      </c>
      <c r="L89" s="1" t="s">
        <v>4</v>
      </c>
      <c r="M89" s="1" t="s">
        <v>9</v>
      </c>
      <c r="N89" s="1" t="s">
        <v>466</v>
      </c>
      <c r="O89" s="1" t="s">
        <v>15</v>
      </c>
      <c r="P89" s="1"/>
      <c r="Q89" s="1"/>
      <c r="R89" s="1" t="s">
        <v>11</v>
      </c>
      <c r="S89" s="1"/>
      <c r="T89" s="1"/>
      <c r="U89" s="1"/>
      <c r="V89" s="1"/>
      <c r="W89" s="1"/>
      <c r="X89" s="1"/>
      <c r="Y89" s="1"/>
      <c r="Z89" s="1"/>
      <c r="AA89" s="1"/>
      <c r="AB89" s="1"/>
      <c r="AC89" s="1"/>
      <c r="AD89" s="1"/>
      <c r="AE89" s="7" t="s">
        <v>420</v>
      </c>
      <c r="AF89" s="1"/>
      <c r="AG89" s="1"/>
      <c r="AH89" s="1" t="s">
        <v>467</v>
      </c>
      <c r="AI89" s="1"/>
      <c r="AJ89" s="1" t="s">
        <v>160</v>
      </c>
      <c r="AK89" s="1" t="s">
        <v>246</v>
      </c>
      <c r="AL89" s="1" t="s">
        <v>161</v>
      </c>
      <c r="AM89" s="1" t="s">
        <v>261</v>
      </c>
      <c r="AN89" s="1" t="s">
        <v>246</v>
      </c>
      <c r="AO89" s="1"/>
      <c r="AP89" s="2" t="s">
        <v>468</v>
      </c>
      <c r="AQ89" s="2" t="s">
        <v>1153</v>
      </c>
      <c r="AR89" s="1" t="s">
        <v>287</v>
      </c>
      <c r="AS89" s="1"/>
      <c r="AT89" s="1" t="s">
        <v>5</v>
      </c>
    </row>
    <row r="90" spans="1:47" hidden="1" x14ac:dyDescent="0.4">
      <c r="A90" s="7" t="s">
        <v>918</v>
      </c>
      <c r="B90" s="10">
        <v>0</v>
      </c>
      <c r="C90" s="1" t="s">
        <v>0</v>
      </c>
      <c r="D90" s="1" t="s">
        <v>17</v>
      </c>
      <c r="E90" s="1" t="s">
        <v>17</v>
      </c>
      <c r="F90" s="1" t="s">
        <v>14</v>
      </c>
      <c r="G90" s="1" t="s">
        <v>1</v>
      </c>
      <c r="H90" s="1" t="s">
        <v>6</v>
      </c>
      <c r="I90" s="1" t="s">
        <v>2</v>
      </c>
      <c r="J90" s="1" t="s">
        <v>3</v>
      </c>
      <c r="K90" s="1" t="s">
        <v>919</v>
      </c>
      <c r="L90" s="1" t="s">
        <v>4</v>
      </c>
      <c r="M90" s="1" t="s">
        <v>9</v>
      </c>
      <c r="N90" s="1" t="s">
        <v>920</v>
      </c>
      <c r="O90" s="1" t="s">
        <v>15</v>
      </c>
      <c r="P90" s="1"/>
      <c r="Q90" s="1"/>
      <c r="R90" s="1" t="s">
        <v>11</v>
      </c>
      <c r="S90" s="1"/>
      <c r="T90" s="1"/>
      <c r="U90" s="1"/>
      <c r="V90" s="1"/>
      <c r="W90" s="1"/>
      <c r="X90" s="1" t="s">
        <v>921</v>
      </c>
      <c r="Y90" s="1"/>
      <c r="Z90" s="1"/>
      <c r="AA90" s="1"/>
      <c r="AB90" s="1"/>
      <c r="AC90" s="1"/>
      <c r="AD90" s="1"/>
      <c r="AE90" s="7" t="s">
        <v>425</v>
      </c>
      <c r="AF90" s="1"/>
      <c r="AG90" s="1"/>
      <c r="AH90" s="1" t="s">
        <v>922</v>
      </c>
      <c r="AI90" s="1"/>
      <c r="AJ90" s="1" t="s">
        <v>160</v>
      </c>
      <c r="AK90" s="1" t="s">
        <v>515</v>
      </c>
      <c r="AL90" s="1" t="s">
        <v>161</v>
      </c>
      <c r="AM90" s="1" t="s">
        <v>831</v>
      </c>
      <c r="AN90" s="1" t="s">
        <v>515</v>
      </c>
      <c r="AO90" s="1" t="s">
        <v>832</v>
      </c>
      <c r="AP90" s="2" t="s">
        <v>923</v>
      </c>
      <c r="AQ90" s="2" t="s">
        <v>1155</v>
      </c>
      <c r="AR90" s="1" t="s">
        <v>286</v>
      </c>
      <c r="AS90" s="1" t="s">
        <v>924</v>
      </c>
      <c r="AT90" s="1" t="s">
        <v>5</v>
      </c>
    </row>
    <row r="91" spans="1:47" hidden="1" x14ac:dyDescent="0.4">
      <c r="A91" s="7" t="s">
        <v>505</v>
      </c>
      <c r="B91" s="10">
        <v>0</v>
      </c>
      <c r="C91" s="1" t="s">
        <v>0</v>
      </c>
      <c r="D91" s="1" t="s">
        <v>17</v>
      </c>
      <c r="E91" s="1" t="s">
        <v>17</v>
      </c>
      <c r="F91" s="1" t="s">
        <v>14</v>
      </c>
      <c r="G91" s="1" t="s">
        <v>1</v>
      </c>
      <c r="H91" s="1" t="s">
        <v>6</v>
      </c>
      <c r="I91" s="1" t="s">
        <v>2</v>
      </c>
      <c r="J91" s="1" t="s">
        <v>3</v>
      </c>
      <c r="K91" s="1" t="s">
        <v>506</v>
      </c>
      <c r="L91" s="1" t="s">
        <v>4</v>
      </c>
      <c r="M91" s="1" t="s">
        <v>9</v>
      </c>
      <c r="N91" s="1" t="s">
        <v>507</v>
      </c>
      <c r="O91" s="1" t="s">
        <v>15</v>
      </c>
      <c r="P91" s="1"/>
      <c r="Q91" s="1"/>
      <c r="R91" s="1" t="s">
        <v>11</v>
      </c>
      <c r="S91" s="1"/>
      <c r="T91" s="1"/>
      <c r="U91" s="1"/>
      <c r="V91" s="1"/>
      <c r="W91" s="1"/>
      <c r="X91" s="1" t="s">
        <v>508</v>
      </c>
      <c r="Y91" s="1"/>
      <c r="Z91" s="1"/>
      <c r="AA91" s="1"/>
      <c r="AB91" s="1"/>
      <c r="AC91" s="1"/>
      <c r="AD91" s="1"/>
      <c r="AE91" s="7" t="s">
        <v>509</v>
      </c>
      <c r="AF91" s="1"/>
      <c r="AG91" s="1"/>
      <c r="AH91" s="1" t="s">
        <v>510</v>
      </c>
      <c r="AI91" s="1"/>
      <c r="AJ91" s="1" t="s">
        <v>211</v>
      </c>
      <c r="AK91" s="1" t="s">
        <v>511</v>
      </c>
      <c r="AL91" s="1" t="s">
        <v>212</v>
      </c>
      <c r="AM91" s="1" t="s">
        <v>56</v>
      </c>
      <c r="AN91" s="1" t="s">
        <v>511</v>
      </c>
      <c r="AO91" s="1"/>
      <c r="AP91" s="2" t="s">
        <v>512</v>
      </c>
      <c r="AQ91" s="2" t="s">
        <v>1077</v>
      </c>
      <c r="AR91" s="1" t="s">
        <v>287</v>
      </c>
      <c r="AS91" s="1" t="s">
        <v>513</v>
      </c>
      <c r="AT91" s="1" t="s">
        <v>5</v>
      </c>
    </row>
    <row r="92" spans="1:47" hidden="1" x14ac:dyDescent="0.4">
      <c r="A92" s="7" t="s">
        <v>612</v>
      </c>
      <c r="B92" s="10">
        <v>0</v>
      </c>
      <c r="C92" s="1" t="s">
        <v>0</v>
      </c>
      <c r="D92" s="1" t="s">
        <v>17</v>
      </c>
      <c r="E92" s="1" t="s">
        <v>17</v>
      </c>
      <c r="F92" s="1" t="s">
        <v>14</v>
      </c>
      <c r="G92" s="1" t="s">
        <v>1</v>
      </c>
      <c r="H92" s="1" t="s">
        <v>6</v>
      </c>
      <c r="I92" s="1" t="s">
        <v>2</v>
      </c>
      <c r="J92" s="1" t="s">
        <v>3</v>
      </c>
      <c r="K92" s="1" t="s">
        <v>613</v>
      </c>
      <c r="L92" s="1" t="s">
        <v>7</v>
      </c>
      <c r="M92" s="1" t="s">
        <v>9</v>
      </c>
      <c r="N92" s="1" t="s">
        <v>614</v>
      </c>
      <c r="O92" s="1" t="s">
        <v>15</v>
      </c>
      <c r="P92" s="1"/>
      <c r="Q92" s="1"/>
      <c r="R92" s="1" t="s">
        <v>11</v>
      </c>
      <c r="S92" s="1"/>
      <c r="T92" s="1"/>
      <c r="U92" s="1"/>
      <c r="V92" s="1"/>
      <c r="W92" s="1"/>
      <c r="X92" s="1" t="s">
        <v>615</v>
      </c>
      <c r="Y92" s="1"/>
      <c r="Z92" s="1"/>
      <c r="AA92" s="1"/>
      <c r="AB92" s="1"/>
      <c r="AC92" s="1"/>
      <c r="AD92" s="1"/>
      <c r="AE92" s="7" t="s">
        <v>509</v>
      </c>
      <c r="AF92" s="1"/>
      <c r="AG92" s="1"/>
      <c r="AH92" s="1" t="s">
        <v>616</v>
      </c>
      <c r="AI92" s="1"/>
      <c r="AJ92" s="1" t="s">
        <v>363</v>
      </c>
      <c r="AK92" s="1" t="s">
        <v>517</v>
      </c>
      <c r="AL92" s="1" t="s">
        <v>364</v>
      </c>
      <c r="AM92" s="1" t="s">
        <v>77</v>
      </c>
      <c r="AN92" s="1" t="s">
        <v>517</v>
      </c>
      <c r="AO92" s="1" t="s">
        <v>290</v>
      </c>
      <c r="AP92" s="2" t="s">
        <v>617</v>
      </c>
      <c r="AQ92" s="2" t="s">
        <v>1077</v>
      </c>
      <c r="AR92" s="1" t="s">
        <v>286</v>
      </c>
      <c r="AS92" s="1" t="s">
        <v>618</v>
      </c>
      <c r="AT92" s="1" t="s">
        <v>5</v>
      </c>
    </row>
    <row r="93" spans="1:47" hidden="1" x14ac:dyDescent="0.4">
      <c r="A93" s="7" t="s">
        <v>736</v>
      </c>
      <c r="B93" s="10">
        <v>0</v>
      </c>
      <c r="C93" s="1" t="s">
        <v>0</v>
      </c>
      <c r="D93" s="1" t="s">
        <v>17</v>
      </c>
      <c r="E93" s="1" t="s">
        <v>17</v>
      </c>
      <c r="F93" s="1" t="s">
        <v>14</v>
      </c>
      <c r="G93" s="1" t="s">
        <v>1</v>
      </c>
      <c r="H93" s="1" t="s">
        <v>6</v>
      </c>
      <c r="I93" s="1" t="s">
        <v>2</v>
      </c>
      <c r="J93" s="1" t="s">
        <v>3</v>
      </c>
      <c r="K93" s="1" t="s">
        <v>737</v>
      </c>
      <c r="L93" s="1" t="s">
        <v>7</v>
      </c>
      <c r="M93" s="1" t="s">
        <v>8</v>
      </c>
      <c r="N93" s="1" t="s">
        <v>738</v>
      </c>
      <c r="O93" s="1" t="s">
        <v>15</v>
      </c>
      <c r="P93" s="1"/>
      <c r="Q93" s="1"/>
      <c r="R93" s="1" t="s">
        <v>11</v>
      </c>
      <c r="S93" s="1"/>
      <c r="T93" s="1"/>
      <c r="U93" s="1"/>
      <c r="V93" s="1"/>
      <c r="W93" s="1"/>
      <c r="X93" s="1"/>
      <c r="Y93" s="1"/>
      <c r="Z93" s="1"/>
      <c r="AA93" s="1"/>
      <c r="AB93" s="1"/>
      <c r="AC93" s="1"/>
      <c r="AD93" s="1"/>
      <c r="AE93" s="7" t="s">
        <v>509</v>
      </c>
      <c r="AF93" s="1"/>
      <c r="AG93" s="1"/>
      <c r="AH93" s="1" t="s">
        <v>739</v>
      </c>
      <c r="AI93" s="1" t="s">
        <v>740</v>
      </c>
      <c r="AJ93" s="1" t="s">
        <v>23</v>
      </c>
      <c r="AK93" s="1" t="s">
        <v>516</v>
      </c>
      <c r="AL93" s="1" t="s">
        <v>567</v>
      </c>
      <c r="AM93" s="1" t="s">
        <v>48</v>
      </c>
      <c r="AN93" s="1" t="s">
        <v>516</v>
      </c>
      <c r="AO93" s="1" t="s">
        <v>481</v>
      </c>
      <c r="AP93" s="2" t="s">
        <v>741</v>
      </c>
      <c r="AQ93" s="2" t="s">
        <v>1077</v>
      </c>
      <c r="AR93" s="1" t="s">
        <v>286</v>
      </c>
      <c r="AS93" s="1" t="s">
        <v>735</v>
      </c>
      <c r="AT93" s="1" t="s">
        <v>5</v>
      </c>
    </row>
    <row r="94" spans="1:47" hidden="1" x14ac:dyDescent="0.4">
      <c r="A94" s="7" t="s">
        <v>525</v>
      </c>
      <c r="B94" s="10">
        <v>0</v>
      </c>
      <c r="C94" s="1" t="s">
        <v>0</v>
      </c>
      <c r="D94" s="1" t="s">
        <v>17</v>
      </c>
      <c r="E94" s="1" t="s">
        <v>17</v>
      </c>
      <c r="F94" s="1" t="s">
        <v>14</v>
      </c>
      <c r="G94" s="1" t="s">
        <v>1</v>
      </c>
      <c r="H94" s="1" t="s">
        <v>6</v>
      </c>
      <c r="I94" s="1" t="s">
        <v>2</v>
      </c>
      <c r="J94" s="1" t="s">
        <v>3</v>
      </c>
      <c r="K94" s="1" t="s">
        <v>526</v>
      </c>
      <c r="L94" s="1" t="s">
        <v>4</v>
      </c>
      <c r="M94" s="1" t="s">
        <v>9</v>
      </c>
      <c r="N94" s="1" t="s">
        <v>527</v>
      </c>
      <c r="O94" s="1" t="s">
        <v>15</v>
      </c>
      <c r="P94" s="1"/>
      <c r="Q94" s="1"/>
      <c r="R94" s="1" t="s">
        <v>11</v>
      </c>
      <c r="S94" s="1"/>
      <c r="T94" s="1"/>
      <c r="U94" s="1"/>
      <c r="V94" s="1"/>
      <c r="W94" s="1"/>
      <c r="X94" s="1" t="s">
        <v>528</v>
      </c>
      <c r="Y94" s="1"/>
      <c r="Z94" s="1"/>
      <c r="AA94" s="1"/>
      <c r="AB94" s="1"/>
      <c r="AC94" s="1"/>
      <c r="AD94" s="1"/>
      <c r="AE94" s="7" t="s">
        <v>529</v>
      </c>
      <c r="AF94" s="1"/>
      <c r="AG94" s="1"/>
      <c r="AH94" s="1" t="s">
        <v>530</v>
      </c>
      <c r="AI94" s="1"/>
      <c r="AJ94" s="1" t="s">
        <v>54</v>
      </c>
      <c r="AK94" s="1" t="s">
        <v>514</v>
      </c>
      <c r="AL94" s="1"/>
      <c r="AM94" s="1" t="s">
        <v>53</v>
      </c>
      <c r="AN94" s="1" t="s">
        <v>514</v>
      </c>
      <c r="AO94" s="1"/>
      <c r="AP94" s="2" t="s">
        <v>524</v>
      </c>
      <c r="AQ94" s="2" t="s">
        <v>1077</v>
      </c>
      <c r="AR94" s="1" t="s">
        <v>286</v>
      </c>
      <c r="AS94" s="1" t="s">
        <v>531</v>
      </c>
      <c r="AT94" s="1" t="s">
        <v>5</v>
      </c>
    </row>
    <row r="95" spans="1:47" hidden="1" x14ac:dyDescent="0.4">
      <c r="A95" s="7" t="s">
        <v>925</v>
      </c>
      <c r="B95" s="10">
        <v>0</v>
      </c>
      <c r="C95" s="1" t="s">
        <v>0</v>
      </c>
      <c r="D95" s="1" t="s">
        <v>17</v>
      </c>
      <c r="E95" s="1" t="s">
        <v>17</v>
      </c>
      <c r="F95" s="1" t="s">
        <v>14</v>
      </c>
      <c r="G95" s="1" t="s">
        <v>1</v>
      </c>
      <c r="H95" s="1" t="s">
        <v>6</v>
      </c>
      <c r="I95" s="1" t="s">
        <v>2</v>
      </c>
      <c r="J95" s="1" t="s">
        <v>3</v>
      </c>
      <c r="K95" s="1" t="s">
        <v>926</v>
      </c>
      <c r="L95" s="1" t="s">
        <v>7</v>
      </c>
      <c r="M95" s="1" t="s">
        <v>9</v>
      </c>
      <c r="N95" s="1" t="s">
        <v>927</v>
      </c>
      <c r="O95" s="1" t="s">
        <v>15</v>
      </c>
      <c r="P95" s="1"/>
      <c r="Q95" s="1"/>
      <c r="R95" s="1" t="s">
        <v>11</v>
      </c>
      <c r="S95" s="1"/>
      <c r="T95" s="1"/>
      <c r="U95" s="1"/>
      <c r="V95" s="1"/>
      <c r="W95" s="1"/>
      <c r="X95" s="1" t="s">
        <v>928</v>
      </c>
      <c r="Y95" s="1"/>
      <c r="Z95" s="1"/>
      <c r="AA95" s="1"/>
      <c r="AB95" s="1"/>
      <c r="AC95" s="1"/>
      <c r="AD95" s="1"/>
      <c r="AE95" s="7" t="s">
        <v>529</v>
      </c>
      <c r="AF95" s="1"/>
      <c r="AG95" s="1"/>
      <c r="AH95" s="1" t="s">
        <v>929</v>
      </c>
      <c r="AI95" s="1"/>
      <c r="AJ95" s="1" t="s">
        <v>23</v>
      </c>
      <c r="AK95" s="1" t="s">
        <v>516</v>
      </c>
      <c r="AL95" s="1" t="s">
        <v>567</v>
      </c>
      <c r="AM95" s="1" t="s">
        <v>52</v>
      </c>
      <c r="AN95" s="1" t="s">
        <v>516</v>
      </c>
      <c r="AO95" s="1" t="s">
        <v>106</v>
      </c>
      <c r="AP95" s="2" t="s">
        <v>930</v>
      </c>
      <c r="AQ95" s="2" t="s">
        <v>1155</v>
      </c>
      <c r="AR95" s="1" t="s">
        <v>286</v>
      </c>
      <c r="AS95" s="1" t="s">
        <v>931</v>
      </c>
      <c r="AT95" s="1" t="s">
        <v>5</v>
      </c>
    </row>
    <row r="96" spans="1:47" hidden="1" x14ac:dyDescent="0.4">
      <c r="A96" s="7" t="s">
        <v>932</v>
      </c>
      <c r="B96" s="10">
        <v>0</v>
      </c>
      <c r="C96" s="1" t="s">
        <v>0</v>
      </c>
      <c r="D96" s="1" t="s">
        <v>17</v>
      </c>
      <c r="E96" s="1" t="s">
        <v>17</v>
      </c>
      <c r="F96" s="1" t="s">
        <v>14</v>
      </c>
      <c r="G96" s="1" t="s">
        <v>1</v>
      </c>
      <c r="H96" s="1" t="s">
        <v>6</v>
      </c>
      <c r="I96" s="1" t="s">
        <v>2</v>
      </c>
      <c r="J96" s="1" t="s">
        <v>3</v>
      </c>
      <c r="K96" s="1" t="s">
        <v>933</v>
      </c>
      <c r="L96" s="1" t="s">
        <v>7</v>
      </c>
      <c r="M96" s="1" t="s">
        <v>9</v>
      </c>
      <c r="N96" s="1" t="s">
        <v>934</v>
      </c>
      <c r="O96" s="1" t="s">
        <v>15</v>
      </c>
      <c r="P96" s="1"/>
      <c r="Q96" s="1"/>
      <c r="R96" s="1" t="s">
        <v>11</v>
      </c>
      <c r="S96" s="1"/>
      <c r="T96" s="1"/>
      <c r="U96" s="1"/>
      <c r="V96" s="1"/>
      <c r="W96" s="1"/>
      <c r="X96" s="1"/>
      <c r="Y96" s="1"/>
      <c r="Z96" s="1"/>
      <c r="AA96" s="1"/>
      <c r="AB96" s="1"/>
      <c r="AC96" s="1"/>
      <c r="AD96" s="1"/>
      <c r="AE96" s="7" t="s">
        <v>18</v>
      </c>
      <c r="AF96" s="1"/>
      <c r="AG96" s="1"/>
      <c r="AH96" s="1" t="s">
        <v>935</v>
      </c>
      <c r="AI96" s="1"/>
      <c r="AJ96" s="1" t="s">
        <v>23</v>
      </c>
      <c r="AK96" s="1" t="s">
        <v>516</v>
      </c>
      <c r="AL96" s="1" t="s">
        <v>567</v>
      </c>
      <c r="AM96" s="1" t="s">
        <v>936</v>
      </c>
      <c r="AN96" s="1" t="s">
        <v>516</v>
      </c>
      <c r="AO96" s="1" t="s">
        <v>937</v>
      </c>
      <c r="AP96" s="2" t="s">
        <v>938</v>
      </c>
      <c r="AQ96" s="2" t="s">
        <v>1155</v>
      </c>
      <c r="AR96" s="1" t="s">
        <v>286</v>
      </c>
      <c r="AS96" s="1" t="s">
        <v>939</v>
      </c>
      <c r="AT96" s="1" t="s">
        <v>5</v>
      </c>
    </row>
    <row r="97" spans="1:46" hidden="1" x14ac:dyDescent="0.4">
      <c r="A97" s="7" t="s">
        <v>1094</v>
      </c>
      <c r="B97" s="10">
        <v>0</v>
      </c>
      <c r="C97" s="1" t="s">
        <v>0</v>
      </c>
      <c r="D97" s="1" t="s">
        <v>17</v>
      </c>
      <c r="E97" s="1" t="s">
        <v>17</v>
      </c>
      <c r="F97" s="1" t="s">
        <v>14</v>
      </c>
      <c r="G97" s="1" t="s">
        <v>1</v>
      </c>
      <c r="H97" s="1" t="s">
        <v>6</v>
      </c>
      <c r="I97" s="1" t="s">
        <v>2</v>
      </c>
      <c r="J97" s="1" t="s">
        <v>3</v>
      </c>
      <c r="K97" s="1" t="s">
        <v>1095</v>
      </c>
      <c r="L97" s="1" t="s">
        <v>7</v>
      </c>
      <c r="M97" s="1" t="s">
        <v>9</v>
      </c>
      <c r="N97" s="1" t="s">
        <v>1096</v>
      </c>
      <c r="O97" s="1" t="s">
        <v>15</v>
      </c>
      <c r="P97" s="1"/>
      <c r="Q97" s="1" t="s">
        <v>12</v>
      </c>
      <c r="R97" s="1" t="s">
        <v>11</v>
      </c>
      <c r="S97" s="1"/>
      <c r="T97" s="1" t="s">
        <v>12</v>
      </c>
      <c r="U97" s="1" t="s">
        <v>11</v>
      </c>
      <c r="V97" s="1"/>
      <c r="W97" s="1"/>
      <c r="X97" s="1" t="s">
        <v>1097</v>
      </c>
      <c r="Y97" s="1"/>
      <c r="Z97" s="1"/>
      <c r="AA97" s="1"/>
      <c r="AB97" s="1"/>
      <c r="AC97" s="1"/>
      <c r="AD97" s="1"/>
      <c r="AE97" s="7" t="s">
        <v>18</v>
      </c>
      <c r="AF97" s="1"/>
      <c r="AG97" s="1"/>
      <c r="AH97" s="1" t="s">
        <v>1098</v>
      </c>
      <c r="AI97" s="1"/>
      <c r="AJ97" s="1" t="s">
        <v>83</v>
      </c>
      <c r="AK97" s="1" t="s">
        <v>504</v>
      </c>
      <c r="AL97" s="1" t="s">
        <v>94</v>
      </c>
      <c r="AM97" s="1" t="s">
        <v>265</v>
      </c>
      <c r="AN97" s="1" t="s">
        <v>504</v>
      </c>
      <c r="AO97" s="1" t="s">
        <v>266</v>
      </c>
      <c r="AP97" s="2" t="s">
        <v>1099</v>
      </c>
      <c r="AQ97" s="2" t="s">
        <v>1155</v>
      </c>
      <c r="AR97" s="1"/>
      <c r="AS97" s="1" t="s">
        <v>1100</v>
      </c>
      <c r="AT97" s="1" t="s">
        <v>5</v>
      </c>
    </row>
    <row r="98" spans="1:46" hidden="1" x14ac:dyDescent="0.4">
      <c r="A98" s="7" t="s">
        <v>864</v>
      </c>
      <c r="B98" s="10">
        <v>0</v>
      </c>
      <c r="C98" s="1" t="s">
        <v>0</v>
      </c>
      <c r="D98" s="1" t="s">
        <v>17</v>
      </c>
      <c r="E98" s="1" t="s">
        <v>17</v>
      </c>
      <c r="F98" s="1" t="s">
        <v>14</v>
      </c>
      <c r="G98" s="1" t="s">
        <v>1</v>
      </c>
      <c r="H98" s="1" t="s">
        <v>6</v>
      </c>
      <c r="I98" s="1" t="s">
        <v>2</v>
      </c>
      <c r="J98" s="1" t="s">
        <v>3</v>
      </c>
      <c r="K98" s="1" t="s">
        <v>865</v>
      </c>
      <c r="L98" s="1" t="s">
        <v>4</v>
      </c>
      <c r="M98" s="1" t="s">
        <v>8</v>
      </c>
      <c r="N98" s="1" t="s">
        <v>866</v>
      </c>
      <c r="O98" s="1" t="s">
        <v>15</v>
      </c>
      <c r="P98" s="1"/>
      <c r="Q98" s="1"/>
      <c r="R98" s="1" t="s">
        <v>11</v>
      </c>
      <c r="S98" s="1"/>
      <c r="T98" s="1"/>
      <c r="U98" s="1"/>
      <c r="V98" s="1"/>
      <c r="W98" s="1"/>
      <c r="X98" s="1" t="s">
        <v>867</v>
      </c>
      <c r="Y98" s="1"/>
      <c r="Z98" s="1"/>
      <c r="AA98" s="1"/>
      <c r="AB98" s="1"/>
      <c r="AC98" s="1"/>
      <c r="AD98" s="1"/>
      <c r="AE98" s="7" t="s">
        <v>868</v>
      </c>
      <c r="AF98" s="1"/>
      <c r="AG98" s="1"/>
      <c r="AH98" s="1" t="s">
        <v>869</v>
      </c>
      <c r="AI98" s="1"/>
      <c r="AJ98" s="1" t="s">
        <v>49</v>
      </c>
      <c r="AK98" s="1" t="s">
        <v>520</v>
      </c>
      <c r="AL98" s="1" t="s">
        <v>108</v>
      </c>
      <c r="AM98" s="1" t="s">
        <v>132</v>
      </c>
      <c r="AN98" s="1" t="s">
        <v>520</v>
      </c>
      <c r="AO98" s="1" t="s">
        <v>133</v>
      </c>
      <c r="AP98" s="2" t="s">
        <v>870</v>
      </c>
      <c r="AQ98" s="2" t="s">
        <v>1154</v>
      </c>
      <c r="AR98" s="1" t="s">
        <v>286</v>
      </c>
      <c r="AS98" s="1" t="s">
        <v>871</v>
      </c>
      <c r="AT98" s="1" t="s">
        <v>5</v>
      </c>
    </row>
    <row r="99" spans="1:46" hidden="1" x14ac:dyDescent="0.4">
      <c r="A99" s="7" t="s">
        <v>727</v>
      </c>
      <c r="B99" s="10">
        <v>0</v>
      </c>
      <c r="C99" s="1" t="s">
        <v>0</v>
      </c>
      <c r="D99" s="1" t="s">
        <v>17</v>
      </c>
      <c r="E99" s="1" t="s">
        <v>17</v>
      </c>
      <c r="F99" s="1" t="s">
        <v>14</v>
      </c>
      <c r="G99" s="1" t="s">
        <v>1</v>
      </c>
      <c r="H99" s="1" t="s">
        <v>6</v>
      </c>
      <c r="I99" s="1" t="s">
        <v>2</v>
      </c>
      <c r="J99" s="1" t="s">
        <v>3</v>
      </c>
      <c r="K99" s="1" t="s">
        <v>728</v>
      </c>
      <c r="L99" s="1" t="s">
        <v>4</v>
      </c>
      <c r="M99" s="1" t="s">
        <v>9</v>
      </c>
      <c r="N99" s="1" t="s">
        <v>729</v>
      </c>
      <c r="O99" s="1" t="s">
        <v>15</v>
      </c>
      <c r="P99" s="1"/>
      <c r="Q99" s="1"/>
      <c r="R99" s="1" t="s">
        <v>11</v>
      </c>
      <c r="S99" s="1"/>
      <c r="T99" s="1"/>
      <c r="U99" s="1"/>
      <c r="V99" s="1"/>
      <c r="W99" s="1"/>
      <c r="X99" s="1" t="s">
        <v>730</v>
      </c>
      <c r="Y99" s="1"/>
      <c r="Z99" s="1"/>
      <c r="AA99" s="1"/>
      <c r="AB99" s="1"/>
      <c r="AC99" s="1"/>
      <c r="AD99" s="1"/>
      <c r="AE99" s="7" t="s">
        <v>731</v>
      </c>
      <c r="AF99" s="1"/>
      <c r="AG99" s="1"/>
      <c r="AH99" s="1" t="s">
        <v>732</v>
      </c>
      <c r="AI99" s="1"/>
      <c r="AJ99" s="1" t="s">
        <v>160</v>
      </c>
      <c r="AK99" s="1" t="s">
        <v>515</v>
      </c>
      <c r="AL99" s="1" t="s">
        <v>161</v>
      </c>
      <c r="AM99" s="1" t="s">
        <v>47</v>
      </c>
      <c r="AN99" s="1" t="s">
        <v>515</v>
      </c>
      <c r="AO99" s="1"/>
      <c r="AP99" s="2" t="s">
        <v>733</v>
      </c>
      <c r="AQ99" s="2" t="s">
        <v>1077</v>
      </c>
      <c r="AR99" s="1" t="s">
        <v>286</v>
      </c>
      <c r="AS99" s="1" t="s">
        <v>734</v>
      </c>
      <c r="AT99" s="1" t="s">
        <v>5</v>
      </c>
    </row>
    <row r="100" spans="1:46" hidden="1" x14ac:dyDescent="0.4">
      <c r="A100" s="7" t="s">
        <v>383</v>
      </c>
      <c r="B100" s="10">
        <v>0</v>
      </c>
      <c r="C100" s="1" t="s">
        <v>0</v>
      </c>
      <c r="D100" s="1" t="s">
        <v>17</v>
      </c>
      <c r="E100" s="1" t="s">
        <v>13</v>
      </c>
      <c r="F100" s="1" t="s">
        <v>14</v>
      </c>
      <c r="G100" s="1" t="s">
        <v>1</v>
      </c>
      <c r="H100" s="1" t="s">
        <v>6</v>
      </c>
      <c r="I100" s="1" t="s">
        <v>2</v>
      </c>
      <c r="J100" s="1" t="s">
        <v>3</v>
      </c>
      <c r="K100" s="1" t="s">
        <v>384</v>
      </c>
      <c r="L100" s="1" t="s">
        <v>4</v>
      </c>
      <c r="M100" s="1" t="s">
        <v>9</v>
      </c>
      <c r="N100" s="1" t="s">
        <v>385</v>
      </c>
      <c r="O100" s="1" t="s">
        <v>15</v>
      </c>
      <c r="P100" s="1"/>
      <c r="Q100" s="1"/>
      <c r="R100" s="1" t="s">
        <v>11</v>
      </c>
      <c r="S100" s="1"/>
      <c r="T100" s="1"/>
      <c r="U100" s="1"/>
      <c r="V100" s="1"/>
      <c r="W100" s="1"/>
      <c r="X100" s="1" t="s">
        <v>386</v>
      </c>
      <c r="Y100" s="1"/>
      <c r="Z100" s="1"/>
      <c r="AA100" s="1"/>
      <c r="AB100" s="1"/>
      <c r="AC100" s="1"/>
      <c r="AD100" s="1"/>
      <c r="AE100" s="7" t="s">
        <v>387</v>
      </c>
      <c r="AF100" s="1"/>
      <c r="AG100" s="1"/>
      <c r="AH100" s="1" t="s">
        <v>388</v>
      </c>
      <c r="AI100" s="1"/>
      <c r="AJ100" s="1" t="s">
        <v>264</v>
      </c>
      <c r="AK100" s="1" t="s">
        <v>246</v>
      </c>
      <c r="AL100" s="1"/>
      <c r="AM100" s="1" t="s">
        <v>69</v>
      </c>
      <c r="AN100" s="1" t="s">
        <v>246</v>
      </c>
      <c r="AO100" s="1" t="s">
        <v>103</v>
      </c>
      <c r="AP100" s="2" t="s">
        <v>389</v>
      </c>
      <c r="AQ100" s="2" t="s">
        <v>1152</v>
      </c>
      <c r="AR100" s="1" t="s">
        <v>286</v>
      </c>
      <c r="AS100" s="1"/>
      <c r="AT100" s="1" t="s">
        <v>5</v>
      </c>
    </row>
    <row r="101" spans="1:46" hidden="1" x14ac:dyDescent="0.4">
      <c r="A101" s="7" t="s">
        <v>27</v>
      </c>
      <c r="B101" s="10">
        <v>0</v>
      </c>
      <c r="C101" s="1" t="s">
        <v>0</v>
      </c>
      <c r="D101" s="1" t="s">
        <v>17</v>
      </c>
      <c r="E101" s="1" t="s">
        <v>13</v>
      </c>
      <c r="F101" s="1" t="s">
        <v>14</v>
      </c>
      <c r="G101" s="1" t="s">
        <v>1</v>
      </c>
      <c r="H101" s="1" t="s">
        <v>6</v>
      </c>
      <c r="I101" s="1" t="s">
        <v>2</v>
      </c>
      <c r="J101" s="1" t="s">
        <v>3</v>
      </c>
      <c r="K101" s="1" t="s">
        <v>28</v>
      </c>
      <c r="L101" s="1" t="s">
        <v>7</v>
      </c>
      <c r="M101" s="1" t="s">
        <v>9</v>
      </c>
      <c r="N101" s="1" t="s">
        <v>29</v>
      </c>
      <c r="O101" s="1" t="s">
        <v>15</v>
      </c>
      <c r="P101" s="1"/>
      <c r="Q101" s="1"/>
      <c r="R101" s="1" t="s">
        <v>11</v>
      </c>
      <c r="S101" s="1"/>
      <c r="T101" s="1"/>
      <c r="U101" s="1"/>
      <c r="V101" s="1"/>
      <c r="W101" s="1"/>
      <c r="X101" s="1" t="s">
        <v>30</v>
      </c>
      <c r="Y101" s="1"/>
      <c r="Z101" s="1"/>
      <c r="AA101" s="1"/>
      <c r="AB101" s="1"/>
      <c r="AC101" s="1"/>
      <c r="AD101" s="1"/>
      <c r="AE101" s="7" t="s">
        <v>31</v>
      </c>
      <c r="AF101" s="1"/>
      <c r="AG101" s="1"/>
      <c r="AH101" s="1" t="s">
        <v>32</v>
      </c>
      <c r="AI101" s="1"/>
      <c r="AJ101" s="1" t="s">
        <v>21</v>
      </c>
      <c r="AK101" s="1" t="s">
        <v>22</v>
      </c>
      <c r="AL101" s="1"/>
      <c r="AM101" s="1"/>
      <c r="AN101" s="1"/>
      <c r="AO101" s="1"/>
      <c r="AP101" s="2" t="s">
        <v>33</v>
      </c>
      <c r="AQ101" s="2" t="s">
        <v>1155</v>
      </c>
      <c r="AR101" s="1"/>
      <c r="AS101" s="1"/>
      <c r="AT101" s="1" t="s">
        <v>5</v>
      </c>
    </row>
    <row r="102" spans="1:46" hidden="1" x14ac:dyDescent="0.4">
      <c r="A102" s="7" t="s">
        <v>390</v>
      </c>
      <c r="B102" s="10">
        <v>0</v>
      </c>
      <c r="C102" s="1" t="s">
        <v>0</v>
      </c>
      <c r="D102" s="1" t="s">
        <v>17</v>
      </c>
      <c r="E102" s="1" t="s">
        <v>13</v>
      </c>
      <c r="F102" s="1" t="s">
        <v>14</v>
      </c>
      <c r="G102" s="1" t="s">
        <v>1</v>
      </c>
      <c r="H102" s="1" t="s">
        <v>6</v>
      </c>
      <c r="I102" s="1" t="s">
        <v>2</v>
      </c>
      <c r="J102" s="1" t="s">
        <v>3</v>
      </c>
      <c r="K102" s="1" t="s">
        <v>391</v>
      </c>
      <c r="L102" s="1" t="s">
        <v>4</v>
      </c>
      <c r="M102" s="1" t="s">
        <v>9</v>
      </c>
      <c r="N102" s="1" t="s">
        <v>392</v>
      </c>
      <c r="O102" s="1" t="s">
        <v>15</v>
      </c>
      <c r="P102" s="1"/>
      <c r="Q102" s="1"/>
      <c r="R102" s="1" t="s">
        <v>11</v>
      </c>
      <c r="S102" s="1"/>
      <c r="T102" s="1"/>
      <c r="U102" s="1"/>
      <c r="V102" s="1"/>
      <c r="W102" s="1"/>
      <c r="X102" s="1" t="s">
        <v>393</v>
      </c>
      <c r="Y102" s="1"/>
      <c r="Z102" s="1"/>
      <c r="AA102" s="1"/>
      <c r="AB102" s="1"/>
      <c r="AC102" s="1"/>
      <c r="AD102" s="1"/>
      <c r="AE102" s="7" t="s">
        <v>394</v>
      </c>
      <c r="AF102" s="1"/>
      <c r="AG102" s="1"/>
      <c r="AH102" s="1" t="s">
        <v>395</v>
      </c>
      <c r="AI102" s="1"/>
      <c r="AJ102" s="1" t="s">
        <v>264</v>
      </c>
      <c r="AK102" s="1" t="s">
        <v>246</v>
      </c>
      <c r="AL102" s="1"/>
      <c r="AM102" s="1" t="s">
        <v>69</v>
      </c>
      <c r="AN102" s="1" t="s">
        <v>246</v>
      </c>
      <c r="AO102" s="1" t="s">
        <v>103</v>
      </c>
      <c r="AP102" s="2" t="s">
        <v>396</v>
      </c>
      <c r="AQ102" s="2" t="s">
        <v>1152</v>
      </c>
      <c r="AR102" s="1" t="s">
        <v>286</v>
      </c>
      <c r="AS102" s="1"/>
      <c r="AT102" s="1" t="s">
        <v>5</v>
      </c>
    </row>
    <row r="103" spans="1:46" hidden="1" x14ac:dyDescent="0.4">
      <c r="A103" s="7" t="s">
        <v>397</v>
      </c>
      <c r="B103" s="10">
        <v>0</v>
      </c>
      <c r="C103" s="1" t="s">
        <v>0</v>
      </c>
      <c r="D103" s="1" t="s">
        <v>17</v>
      </c>
      <c r="E103" s="1" t="s">
        <v>13</v>
      </c>
      <c r="F103" s="1" t="s">
        <v>14</v>
      </c>
      <c r="G103" s="1" t="s">
        <v>1</v>
      </c>
      <c r="H103" s="1" t="s">
        <v>6</v>
      </c>
      <c r="I103" s="1" t="s">
        <v>2</v>
      </c>
      <c r="J103" s="1" t="s">
        <v>3</v>
      </c>
      <c r="K103" s="1" t="s">
        <v>398</v>
      </c>
      <c r="L103" s="1" t="s">
        <v>4</v>
      </c>
      <c r="M103" s="1" t="s">
        <v>9</v>
      </c>
      <c r="N103" s="1" t="s">
        <v>399</v>
      </c>
      <c r="O103" s="1" t="s">
        <v>15</v>
      </c>
      <c r="P103" s="1"/>
      <c r="Q103" s="1"/>
      <c r="R103" s="1" t="s">
        <v>11</v>
      </c>
      <c r="S103" s="1"/>
      <c r="T103" s="1"/>
      <c r="U103" s="1"/>
      <c r="V103" s="1"/>
      <c r="W103" s="1"/>
      <c r="X103" s="1" t="s">
        <v>400</v>
      </c>
      <c r="Y103" s="1"/>
      <c r="Z103" s="1"/>
      <c r="AA103" s="1"/>
      <c r="AB103" s="1"/>
      <c r="AC103" s="1"/>
      <c r="AD103" s="1"/>
      <c r="AE103" s="7" t="s">
        <v>394</v>
      </c>
      <c r="AF103" s="1"/>
      <c r="AG103" s="1"/>
      <c r="AH103" s="1" t="s">
        <v>401</v>
      </c>
      <c r="AI103" s="1"/>
      <c r="AJ103" s="1" t="s">
        <v>264</v>
      </c>
      <c r="AK103" s="1" t="s">
        <v>246</v>
      </c>
      <c r="AL103" s="1"/>
      <c r="AM103" s="1" t="s">
        <v>69</v>
      </c>
      <c r="AN103" s="1" t="s">
        <v>246</v>
      </c>
      <c r="AO103" s="1" t="s">
        <v>103</v>
      </c>
      <c r="AP103" s="2" t="s">
        <v>402</v>
      </c>
      <c r="AQ103" s="2" t="s">
        <v>1152</v>
      </c>
      <c r="AR103" s="1" t="s">
        <v>286</v>
      </c>
      <c r="AS103" s="1"/>
      <c r="AT103" s="1" t="s">
        <v>5</v>
      </c>
    </row>
    <row r="104" spans="1:46" hidden="1" x14ac:dyDescent="0.4">
      <c r="A104" s="7" t="s">
        <v>588</v>
      </c>
      <c r="B104" s="10">
        <v>0</v>
      </c>
      <c r="C104" s="1" t="s">
        <v>0</v>
      </c>
      <c r="D104" s="1" t="s">
        <v>17</v>
      </c>
      <c r="E104" s="1" t="s">
        <v>13</v>
      </c>
      <c r="F104" s="1" t="s">
        <v>14</v>
      </c>
      <c r="G104" s="1" t="s">
        <v>1</v>
      </c>
      <c r="H104" s="1" t="s">
        <v>6</v>
      </c>
      <c r="I104" s="1" t="s">
        <v>2</v>
      </c>
      <c r="J104" s="1" t="s">
        <v>3</v>
      </c>
      <c r="K104" s="1" t="s">
        <v>589</v>
      </c>
      <c r="L104" s="1" t="s">
        <v>4</v>
      </c>
      <c r="M104" s="1" t="s">
        <v>9</v>
      </c>
      <c r="N104" s="1" t="s">
        <v>590</v>
      </c>
      <c r="O104" s="1" t="s">
        <v>15</v>
      </c>
      <c r="P104" s="1"/>
      <c r="Q104" s="1"/>
      <c r="R104" s="1" t="s">
        <v>11</v>
      </c>
      <c r="S104" s="1"/>
      <c r="T104" s="1"/>
      <c r="U104" s="1"/>
      <c r="V104" s="1"/>
      <c r="W104" s="1"/>
      <c r="X104" s="1"/>
      <c r="Y104" s="1"/>
      <c r="Z104" s="1"/>
      <c r="AA104" s="1"/>
      <c r="AB104" s="1"/>
      <c r="AC104" s="1"/>
      <c r="AD104" s="1"/>
      <c r="AE104" s="7" t="s">
        <v>591</v>
      </c>
      <c r="AF104" s="1"/>
      <c r="AG104" s="1"/>
      <c r="AH104" s="1" t="s">
        <v>592</v>
      </c>
      <c r="AI104" s="1"/>
      <c r="AJ104" s="1" t="s">
        <v>565</v>
      </c>
      <c r="AK104" s="1" t="s">
        <v>516</v>
      </c>
      <c r="AL104" s="1" t="s">
        <v>566</v>
      </c>
      <c r="AM104" s="1" t="s">
        <v>48</v>
      </c>
      <c r="AN104" s="1" t="s">
        <v>516</v>
      </c>
      <c r="AO104" s="1" t="s">
        <v>481</v>
      </c>
      <c r="AP104" s="2" t="s">
        <v>593</v>
      </c>
      <c r="AQ104" s="2" t="s">
        <v>1077</v>
      </c>
      <c r="AR104" s="1" t="s">
        <v>286</v>
      </c>
      <c r="AS104" s="1" t="s">
        <v>594</v>
      </c>
      <c r="AT104" s="1" t="s">
        <v>5</v>
      </c>
    </row>
    <row r="105" spans="1:46" hidden="1" x14ac:dyDescent="0.4">
      <c r="A105" s="7" t="s">
        <v>946</v>
      </c>
      <c r="B105" s="10">
        <v>0</v>
      </c>
      <c r="C105" s="1" t="s">
        <v>0</v>
      </c>
      <c r="D105" s="1" t="s">
        <v>17</v>
      </c>
      <c r="E105" s="1" t="s">
        <v>17</v>
      </c>
      <c r="F105" s="1" t="s">
        <v>14</v>
      </c>
      <c r="G105" s="1" t="s">
        <v>1</v>
      </c>
      <c r="H105" s="1" t="s">
        <v>6</v>
      </c>
      <c r="I105" s="1" t="s">
        <v>2</v>
      </c>
      <c r="J105" s="1" t="s">
        <v>3</v>
      </c>
      <c r="K105" s="1" t="s">
        <v>947</v>
      </c>
      <c r="L105" s="1" t="s">
        <v>7</v>
      </c>
      <c r="M105" s="1" t="s">
        <v>9</v>
      </c>
      <c r="N105" s="1" t="s">
        <v>948</v>
      </c>
      <c r="O105" s="1" t="s">
        <v>15</v>
      </c>
      <c r="P105" s="1"/>
      <c r="Q105" s="1"/>
      <c r="R105" s="1" t="s">
        <v>11</v>
      </c>
      <c r="S105" s="1"/>
      <c r="T105" s="1"/>
      <c r="U105" s="1"/>
      <c r="V105" s="1"/>
      <c r="W105" s="1" t="s">
        <v>949</v>
      </c>
      <c r="X105" s="1"/>
      <c r="Y105" s="1"/>
      <c r="Z105" s="1"/>
      <c r="AA105" s="1"/>
      <c r="AB105" s="1"/>
      <c r="AC105" s="1"/>
      <c r="AD105" s="1"/>
      <c r="AE105" s="7" t="s">
        <v>950</v>
      </c>
      <c r="AF105" s="1"/>
      <c r="AG105" s="1"/>
      <c r="AH105" s="1" t="s">
        <v>951</v>
      </c>
      <c r="AI105" s="1"/>
      <c r="AJ105" s="1" t="s">
        <v>277</v>
      </c>
      <c r="AK105" s="1" t="s">
        <v>569</v>
      </c>
      <c r="AL105" s="1" t="s">
        <v>278</v>
      </c>
      <c r="AM105" s="1" t="s">
        <v>277</v>
      </c>
      <c r="AN105" s="1" t="s">
        <v>569</v>
      </c>
      <c r="AO105" s="1" t="s">
        <v>278</v>
      </c>
      <c r="AP105" s="2" t="s">
        <v>952</v>
      </c>
      <c r="AQ105" s="2" t="s">
        <v>1155</v>
      </c>
      <c r="AR105" s="1" t="s">
        <v>286</v>
      </c>
      <c r="AS105" s="1" t="s">
        <v>953</v>
      </c>
      <c r="AT105" s="1" t="s">
        <v>5</v>
      </c>
    </row>
    <row r="106" spans="1:46" hidden="1" x14ac:dyDescent="0.4">
      <c r="A106" s="7" t="s">
        <v>533</v>
      </c>
      <c r="B106" s="10">
        <v>0</v>
      </c>
      <c r="C106" s="1" t="s">
        <v>0</v>
      </c>
      <c r="D106" s="1" t="s">
        <v>17</v>
      </c>
      <c r="E106" s="1" t="s">
        <v>13</v>
      </c>
      <c r="F106" s="1" t="s">
        <v>14</v>
      </c>
      <c r="G106" s="1" t="s">
        <v>1</v>
      </c>
      <c r="H106" s="1" t="s">
        <v>6</v>
      </c>
      <c r="I106" s="1" t="s">
        <v>2</v>
      </c>
      <c r="J106" s="1" t="s">
        <v>3</v>
      </c>
      <c r="K106" s="1" t="s">
        <v>534</v>
      </c>
      <c r="L106" s="1" t="s">
        <v>4</v>
      </c>
      <c r="M106" s="1" t="s">
        <v>9</v>
      </c>
      <c r="N106" s="1" t="s">
        <v>535</v>
      </c>
      <c r="O106" s="1" t="s">
        <v>15</v>
      </c>
      <c r="P106" s="1"/>
      <c r="Q106" s="1"/>
      <c r="R106" s="1" t="s">
        <v>11</v>
      </c>
      <c r="S106" s="1"/>
      <c r="T106" s="1"/>
      <c r="U106" s="1"/>
      <c r="V106" s="1"/>
      <c r="W106" s="1"/>
      <c r="X106" s="1" t="s">
        <v>536</v>
      </c>
      <c r="Y106" s="1"/>
      <c r="Z106" s="1"/>
      <c r="AA106" s="1"/>
      <c r="AB106" s="1"/>
      <c r="AC106" s="1"/>
      <c r="AD106" s="1"/>
      <c r="AE106" s="7" t="s">
        <v>537</v>
      </c>
      <c r="AF106" s="1"/>
      <c r="AG106" s="1"/>
      <c r="AH106" s="1" t="s">
        <v>538</v>
      </c>
      <c r="AI106" s="1"/>
      <c r="AJ106" s="1" t="s">
        <v>81</v>
      </c>
      <c r="AK106" s="1" t="s">
        <v>279</v>
      </c>
      <c r="AL106" s="1"/>
      <c r="AM106" s="1" t="s">
        <v>378</v>
      </c>
      <c r="AN106" s="1" t="s">
        <v>279</v>
      </c>
      <c r="AO106" s="1"/>
      <c r="AP106" s="2" t="s">
        <v>539</v>
      </c>
      <c r="AQ106" s="2" t="s">
        <v>1077</v>
      </c>
      <c r="AR106" s="1" t="s">
        <v>286</v>
      </c>
      <c r="AS106" s="1" t="s">
        <v>540</v>
      </c>
      <c r="AT106" s="1" t="s">
        <v>5</v>
      </c>
    </row>
    <row r="107" spans="1:46" hidden="1" x14ac:dyDescent="0.4">
      <c r="A107" s="7" t="s">
        <v>434</v>
      </c>
      <c r="B107" s="10">
        <v>0</v>
      </c>
      <c r="C107" s="1" t="s">
        <v>0</v>
      </c>
      <c r="D107" s="1" t="s">
        <v>17</v>
      </c>
      <c r="E107" s="1" t="s">
        <v>13</v>
      </c>
      <c r="F107" s="1" t="s">
        <v>14</v>
      </c>
      <c r="G107" s="1" t="s">
        <v>1</v>
      </c>
      <c r="H107" s="1" t="s">
        <v>6</v>
      </c>
      <c r="I107" s="1" t="s">
        <v>2</v>
      </c>
      <c r="J107" s="1" t="s">
        <v>3</v>
      </c>
      <c r="K107" s="1" t="s">
        <v>435</v>
      </c>
      <c r="L107" s="1" t="s">
        <v>4</v>
      </c>
      <c r="M107" s="1" t="s">
        <v>9</v>
      </c>
      <c r="N107" s="1" t="s">
        <v>436</v>
      </c>
      <c r="O107" s="1" t="s">
        <v>15</v>
      </c>
      <c r="P107" s="1"/>
      <c r="Q107" s="1"/>
      <c r="R107" s="1" t="s">
        <v>11</v>
      </c>
      <c r="S107" s="1"/>
      <c r="T107" s="1"/>
      <c r="U107" s="1"/>
      <c r="V107" s="1"/>
      <c r="W107" s="1"/>
      <c r="X107" s="1" t="s">
        <v>437</v>
      </c>
      <c r="Y107" s="1"/>
      <c r="Z107" s="1"/>
      <c r="AA107" s="1"/>
      <c r="AB107" s="1"/>
      <c r="AC107" s="1"/>
      <c r="AD107" s="1"/>
      <c r="AE107" s="7" t="s">
        <v>438</v>
      </c>
      <c r="AF107" s="1"/>
      <c r="AG107" s="1"/>
      <c r="AH107" s="1" t="s">
        <v>439</v>
      </c>
      <c r="AI107" s="1"/>
      <c r="AJ107" s="1" t="s">
        <v>127</v>
      </c>
      <c r="AK107" s="1" t="s">
        <v>281</v>
      </c>
      <c r="AL107" s="1" t="s">
        <v>128</v>
      </c>
      <c r="AM107" s="1" t="s">
        <v>65</v>
      </c>
      <c r="AN107" s="1" t="s">
        <v>281</v>
      </c>
      <c r="AO107" s="1" t="s">
        <v>227</v>
      </c>
      <c r="AP107" s="2" t="s">
        <v>440</v>
      </c>
      <c r="AQ107" s="2" t="s">
        <v>1152</v>
      </c>
      <c r="AR107" s="1" t="s">
        <v>286</v>
      </c>
      <c r="AS107" s="1"/>
      <c r="AT107" s="1" t="s">
        <v>5</v>
      </c>
    </row>
    <row r="108" spans="1:46" hidden="1" x14ac:dyDescent="0.4">
      <c r="A108" s="7" t="s">
        <v>979</v>
      </c>
      <c r="B108" s="10">
        <v>0</v>
      </c>
      <c r="C108" s="1" t="s">
        <v>0</v>
      </c>
      <c r="D108" s="1" t="s">
        <v>17</v>
      </c>
      <c r="E108" s="1" t="s">
        <v>17</v>
      </c>
      <c r="F108" s="1" t="s">
        <v>14</v>
      </c>
      <c r="G108" s="1" t="s">
        <v>1</v>
      </c>
      <c r="H108" s="1" t="s">
        <v>6</v>
      </c>
      <c r="I108" s="1" t="s">
        <v>2</v>
      </c>
      <c r="J108" s="1" t="s">
        <v>3</v>
      </c>
      <c r="K108" s="1" t="s">
        <v>980</v>
      </c>
      <c r="L108" s="1" t="s">
        <v>7</v>
      </c>
      <c r="M108" s="1" t="s">
        <v>9</v>
      </c>
      <c r="N108" s="1" t="s">
        <v>981</v>
      </c>
      <c r="O108" s="1" t="s">
        <v>15</v>
      </c>
      <c r="P108" s="1"/>
      <c r="Q108" s="1"/>
      <c r="R108" s="1" t="s">
        <v>11</v>
      </c>
      <c r="S108" s="1"/>
      <c r="T108" s="1"/>
      <c r="U108" s="1"/>
      <c r="V108" s="1"/>
      <c r="W108" s="1"/>
      <c r="X108" s="1" t="s">
        <v>982</v>
      </c>
      <c r="Y108" s="1"/>
      <c r="Z108" s="1"/>
      <c r="AA108" s="1"/>
      <c r="AB108" s="1"/>
      <c r="AC108" s="1"/>
      <c r="AD108" s="1"/>
      <c r="AE108" s="7" t="s">
        <v>983</v>
      </c>
      <c r="AF108" s="1"/>
      <c r="AG108" s="1"/>
      <c r="AH108" s="1" t="s">
        <v>984</v>
      </c>
      <c r="AI108" s="1"/>
      <c r="AJ108" s="1" t="s">
        <v>363</v>
      </c>
      <c r="AK108" s="1" t="s">
        <v>517</v>
      </c>
      <c r="AL108" s="1" t="s">
        <v>364</v>
      </c>
      <c r="AM108" s="1" t="s">
        <v>206</v>
      </c>
      <c r="AN108" s="1" t="s">
        <v>517</v>
      </c>
      <c r="AO108" s="1" t="s">
        <v>379</v>
      </c>
      <c r="AP108" s="2" t="s">
        <v>985</v>
      </c>
      <c r="AQ108" s="2" t="s">
        <v>1155</v>
      </c>
      <c r="AR108" s="1" t="s">
        <v>286</v>
      </c>
      <c r="AS108" s="1" t="s">
        <v>970</v>
      </c>
      <c r="AT108" s="1" t="s">
        <v>5</v>
      </c>
    </row>
    <row r="109" spans="1:46" hidden="1" x14ac:dyDescent="0.4">
      <c r="A109" s="7" t="s">
        <v>330</v>
      </c>
      <c r="B109" s="10">
        <v>0</v>
      </c>
      <c r="C109" s="1" t="s">
        <v>0</v>
      </c>
      <c r="D109" s="1" t="s">
        <v>17</v>
      </c>
      <c r="E109" s="1" t="s">
        <v>17</v>
      </c>
      <c r="F109" s="1" t="s">
        <v>14</v>
      </c>
      <c r="G109" s="1" t="s">
        <v>1</v>
      </c>
      <c r="H109" s="1" t="s">
        <v>6</v>
      </c>
      <c r="I109" s="1" t="s">
        <v>2</v>
      </c>
      <c r="J109" s="1" t="s">
        <v>3</v>
      </c>
      <c r="K109" s="1" t="s">
        <v>331</v>
      </c>
      <c r="L109" s="1" t="s">
        <v>7</v>
      </c>
      <c r="M109" s="1" t="s">
        <v>9</v>
      </c>
      <c r="N109" s="1" t="s">
        <v>332</v>
      </c>
      <c r="O109" s="1" t="s">
        <v>15</v>
      </c>
      <c r="P109" s="1"/>
      <c r="Q109" s="1"/>
      <c r="R109" s="1" t="s">
        <v>11</v>
      </c>
      <c r="S109" s="1"/>
      <c r="T109" s="1"/>
      <c r="U109" s="1"/>
      <c r="V109" s="1"/>
      <c r="W109" s="1" t="s">
        <v>333</v>
      </c>
      <c r="X109" s="1" t="s">
        <v>334</v>
      </c>
      <c r="Y109" s="1"/>
      <c r="Z109" s="1"/>
      <c r="AA109" s="1"/>
      <c r="AB109" s="1"/>
      <c r="AC109" s="1"/>
      <c r="AD109" s="1"/>
      <c r="AE109" s="7" t="s">
        <v>335</v>
      </c>
      <c r="AF109" s="1"/>
      <c r="AG109" s="1"/>
      <c r="AH109" s="1" t="s">
        <v>336</v>
      </c>
      <c r="AI109" s="1"/>
      <c r="AJ109" s="1" t="s">
        <v>291</v>
      </c>
      <c r="AK109" s="1" t="s">
        <v>292</v>
      </c>
      <c r="AL109" s="1" t="s">
        <v>293</v>
      </c>
      <c r="AM109" s="1" t="s">
        <v>291</v>
      </c>
      <c r="AN109" s="1" t="s">
        <v>292</v>
      </c>
      <c r="AO109" s="1" t="s">
        <v>293</v>
      </c>
      <c r="AP109" s="2" t="s">
        <v>337</v>
      </c>
      <c r="AQ109" s="2" t="s">
        <v>1155</v>
      </c>
      <c r="AR109" s="1" t="s">
        <v>286</v>
      </c>
      <c r="AS109" s="1"/>
      <c r="AT109" s="1" t="s">
        <v>5</v>
      </c>
    </row>
  </sheetData>
  <autoFilter ref="A1:AT109" xr:uid="{1C4ECA2E-87D1-4520-B760-C78F09BD797A}">
    <filterColumn colId="1">
      <customFilters>
        <customFilter operator="notEqual" val=" "/>
      </customFilters>
    </filterColumn>
    <filterColumn colId="27">
      <filters>
        <filter val="_SMC_CDJ2F16-25Z-A93L-B_CATALOG_20250526104947035.pdf"/>
        <filter val="_SMC_CDM2B25-25Z-A93L_CATALOG_20250526104540071.pdf"/>
        <filter val="_SMC_CDQSD16-25DM-A93L_CATALOG_20250528132218077.pdf"/>
        <filter val="_SMC_CDUK25-30D-A93L_CATALOG_20250526111558421.pdf"/>
        <filter val="250812_A2_제선설비부_물품등록자료_T1663035 2FINEX RTO Pneumatic Cylinder CA2B100-300Z Catalog_20250812185026609.pdf"/>
        <filter val="ACM_20220111135135572.pdf"/>
        <filter val="ACM카달로그_20220119165138547.pdf"/>
        <filter val="CA2Y 카다로그_20240122135108312.pdf"/>
        <filter val="CDS1CN125-KRD0368-350-A54L 도면_20250325141804318.pdf"/>
        <filter val="CDS1TN125-KRD0368-500-Z73L_20240109111550766.pdf"/>
        <filter val="CDS2T200-200-CJCD0039_20240117110145614.pdf"/>
        <filter val="CDS2T320-250-CJCD0239_20240424160715569.pdf"/>
        <filter val="CG1DN63-64-CJD00567_20250717071148728.pdf"/>
        <filter val="CS1_20260106170106839.pdf"/>
        <filter val="CS1CN160-100-CJAD0046(업그레이드 품)[1CGL 5.6.7 TB]_20220114112323273.pdf"/>
        <filter val="Pneumatic cylinder CDA2T80-KRT09KO-200Z-A54L3 SMC_20241112142525736.pdf"/>
        <filter val="Q4037566_CS1.pdf"/>
        <filter val="Q4280848_C95_large.pdf"/>
        <filter val="Q4371330_CQ2-Z.pdf"/>
        <filter val="Q4507377_CQM.pdf"/>
        <filter val="Q4508586_CM2-Z.pdf"/>
        <filter val="Q4511190_CA2-Z.pdf"/>
        <filter val="Q4520278_CM2-Z.pdf"/>
        <filter val="Q4520279_CG1-Z.pdf"/>
      </filters>
    </filterColumn>
  </autoFilter>
  <sortState xmlns:xlrd2="http://schemas.microsoft.com/office/spreadsheetml/2017/richdata2" ref="A2:AT109">
    <sortCondition ref="AB2:AB109"/>
  </sortState>
  <phoneticPr fontId="2" type="noConversion"/>
  <hyperlinks>
    <hyperlink ref="AE66" r:id="rId1" xr:uid="{522B2B1D-2BA8-47AF-BD9C-2E959E79C2E8}"/>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98252-75F1-4B00-9243-9BE17C7EFBAE}">
  <dimension ref="A1:CG81"/>
  <sheetViews>
    <sheetView topLeftCell="V1" workbookViewId="0">
      <selection sqref="A1:AJ1"/>
    </sheetView>
  </sheetViews>
  <sheetFormatPr defaultRowHeight="17.399999999999999" x14ac:dyDescent="0.4"/>
  <sheetData>
    <row r="1" spans="1:85" x14ac:dyDescent="0.4">
      <c r="A1" s="17" t="s">
        <v>14285</v>
      </c>
      <c r="B1" s="17" t="s">
        <v>1113</v>
      </c>
      <c r="C1" s="17" t="s">
        <v>1112</v>
      </c>
      <c r="D1" s="17" t="s">
        <v>14286</v>
      </c>
      <c r="E1" s="17" t="s">
        <v>14287</v>
      </c>
      <c r="F1" s="17" t="s">
        <v>1108</v>
      </c>
      <c r="G1" s="17" t="s">
        <v>14288</v>
      </c>
      <c r="H1" s="17" t="s">
        <v>14289</v>
      </c>
      <c r="I1" s="17" t="s">
        <v>1117</v>
      </c>
      <c r="J1" s="17" t="s">
        <v>14290</v>
      </c>
      <c r="K1" s="17" t="s">
        <v>14291</v>
      </c>
      <c r="L1" s="17" t="s">
        <v>14292</v>
      </c>
      <c r="M1" s="17" t="s">
        <v>14293</v>
      </c>
      <c r="N1" s="17" t="s">
        <v>14294</v>
      </c>
      <c r="O1" s="17" t="s">
        <v>14295</v>
      </c>
      <c r="P1" s="17" t="s">
        <v>14296</v>
      </c>
      <c r="Q1" s="17" t="s">
        <v>14297</v>
      </c>
      <c r="R1" s="17" t="s">
        <v>14298</v>
      </c>
      <c r="S1" s="17" t="s">
        <v>14299</v>
      </c>
      <c r="T1" s="17" t="s">
        <v>14300</v>
      </c>
      <c r="U1" s="17" t="s">
        <v>14301</v>
      </c>
      <c r="V1" s="17" t="s">
        <v>14302</v>
      </c>
      <c r="W1" s="17" t="s">
        <v>14303</v>
      </c>
      <c r="X1" s="17" t="s">
        <v>14304</v>
      </c>
      <c r="Y1" s="17" t="s">
        <v>14305</v>
      </c>
      <c r="Z1" s="17" t="s">
        <v>14306</v>
      </c>
      <c r="AA1" s="17" t="s">
        <v>14307</v>
      </c>
      <c r="AB1" s="17" t="s">
        <v>14308</v>
      </c>
      <c r="AC1" s="18" t="s">
        <v>14309</v>
      </c>
      <c r="AD1" s="17" t="s">
        <v>14310</v>
      </c>
      <c r="AE1" s="18" t="s">
        <v>14311</v>
      </c>
      <c r="AF1" s="17" t="s">
        <v>14312</v>
      </c>
      <c r="AG1" s="18" t="s">
        <v>14313</v>
      </c>
      <c r="AH1" s="17" t="s">
        <v>14314</v>
      </c>
      <c r="AI1" s="18" t="s">
        <v>14315</v>
      </c>
      <c r="AJ1" s="17" t="s">
        <v>14316</v>
      </c>
      <c r="AK1" s="18" t="s">
        <v>14317</v>
      </c>
      <c r="AL1" s="17" t="s">
        <v>14318</v>
      </c>
      <c r="AM1" s="18" t="s">
        <v>14319</v>
      </c>
      <c r="AN1" s="17" t="s">
        <v>14320</v>
      </c>
      <c r="AO1" s="17" t="s">
        <v>14321</v>
      </c>
      <c r="AP1" s="17" t="s">
        <v>14322</v>
      </c>
      <c r="AQ1" s="17" t="s">
        <v>14323</v>
      </c>
      <c r="AR1" s="17" t="s">
        <v>14324</v>
      </c>
      <c r="AS1" s="17" t="s">
        <v>14325</v>
      </c>
      <c r="AT1" s="17" t="s">
        <v>14326</v>
      </c>
      <c r="AU1" s="17" t="s">
        <v>14327</v>
      </c>
      <c r="AV1" s="17" t="s">
        <v>14328</v>
      </c>
      <c r="AW1" s="17" t="s">
        <v>14329</v>
      </c>
      <c r="AX1" s="17" t="s">
        <v>14330</v>
      </c>
      <c r="AY1" s="17" t="s">
        <v>14331</v>
      </c>
      <c r="AZ1" s="17" t="s">
        <v>14332</v>
      </c>
      <c r="BA1" s="17" t="s">
        <v>14333</v>
      </c>
      <c r="BB1" s="17" t="s">
        <v>14334</v>
      </c>
      <c r="BC1" s="17" t="s">
        <v>14335</v>
      </c>
      <c r="BD1" s="17" t="s">
        <v>14336</v>
      </c>
      <c r="BE1" s="17" t="s">
        <v>14337</v>
      </c>
      <c r="BF1" s="17" t="s">
        <v>14338</v>
      </c>
      <c r="BG1" s="17" t="s">
        <v>14339</v>
      </c>
      <c r="BH1" s="17" t="s">
        <v>14340</v>
      </c>
      <c r="BI1" s="17" t="s">
        <v>14341</v>
      </c>
      <c r="BJ1" s="17" t="s">
        <v>14342</v>
      </c>
      <c r="BK1" s="17" t="s">
        <v>14343</v>
      </c>
      <c r="BL1" s="17" t="s">
        <v>14344</v>
      </c>
      <c r="BM1" s="17" t="s">
        <v>14345</v>
      </c>
      <c r="BN1" s="17" t="s">
        <v>14346</v>
      </c>
      <c r="BO1" s="17" t="s">
        <v>14347</v>
      </c>
      <c r="BP1" s="17" t="s">
        <v>14348</v>
      </c>
      <c r="BQ1" s="17" t="s">
        <v>14349</v>
      </c>
      <c r="BR1" s="17" t="s">
        <v>14350</v>
      </c>
      <c r="BS1" s="17" t="s">
        <v>14351</v>
      </c>
      <c r="BT1" s="17" t="s">
        <v>14352</v>
      </c>
      <c r="BU1" s="17" t="s">
        <v>14353</v>
      </c>
      <c r="BV1" s="17" t="s">
        <v>14354</v>
      </c>
      <c r="BW1" s="17" t="s">
        <v>14355</v>
      </c>
      <c r="BX1" s="17" t="s">
        <v>14356</v>
      </c>
      <c r="BY1" s="17" t="s">
        <v>14357</v>
      </c>
      <c r="BZ1" s="17" t="s">
        <v>14358</v>
      </c>
      <c r="CA1" s="17" t="s">
        <v>14359</v>
      </c>
      <c r="CB1" s="17" t="s">
        <v>14360</v>
      </c>
      <c r="CC1" s="17" t="s">
        <v>14361</v>
      </c>
      <c r="CD1" s="17" t="s">
        <v>14362</v>
      </c>
      <c r="CE1" s="17" t="s">
        <v>14363</v>
      </c>
      <c r="CF1" s="17" t="s">
        <v>14364</v>
      </c>
      <c r="CG1" s="17" t="s">
        <v>14364</v>
      </c>
    </row>
    <row r="2" spans="1:85" x14ac:dyDescent="0.4">
      <c r="A2" s="19" t="s">
        <v>173</v>
      </c>
      <c r="B2" s="19" t="s">
        <v>6</v>
      </c>
      <c r="C2" s="19" t="s">
        <v>1</v>
      </c>
      <c r="D2" s="19" t="s">
        <v>173</v>
      </c>
      <c r="E2" s="19" t="s">
        <v>17</v>
      </c>
      <c r="F2" s="19" t="s">
        <v>0</v>
      </c>
      <c r="G2" s="19" t="s">
        <v>174</v>
      </c>
      <c r="H2" s="19" t="s">
        <v>14365</v>
      </c>
      <c r="I2" s="19" t="s">
        <v>4</v>
      </c>
      <c r="J2" s="19" t="s">
        <v>2</v>
      </c>
      <c r="K2" s="19" t="s">
        <v>142</v>
      </c>
      <c r="L2" s="19"/>
      <c r="M2" s="19"/>
      <c r="N2" s="19" t="s">
        <v>177</v>
      </c>
      <c r="O2" s="19"/>
      <c r="P2" s="19"/>
      <c r="Q2" s="19" t="s">
        <v>13845</v>
      </c>
      <c r="R2" s="19"/>
      <c r="S2" s="19" t="s">
        <v>14366</v>
      </c>
      <c r="T2" s="19" t="s">
        <v>11</v>
      </c>
      <c r="U2" s="19" t="s">
        <v>14367</v>
      </c>
      <c r="V2" s="19" t="s">
        <v>11</v>
      </c>
      <c r="W2" s="19" t="s">
        <v>14368</v>
      </c>
      <c r="X2" s="19"/>
      <c r="Y2" s="19" t="s">
        <v>14369</v>
      </c>
      <c r="Z2" s="19" t="s">
        <v>14370</v>
      </c>
      <c r="AA2" s="19" t="s">
        <v>14371</v>
      </c>
      <c r="AB2" s="19" t="s">
        <v>14372</v>
      </c>
      <c r="AC2" s="19" t="s">
        <v>14373</v>
      </c>
      <c r="AD2" s="19" t="s">
        <v>14374</v>
      </c>
      <c r="AE2" s="19" t="s">
        <v>14375</v>
      </c>
      <c r="AF2" s="19" t="s">
        <v>14376</v>
      </c>
      <c r="AG2" s="19" t="s">
        <v>14377</v>
      </c>
      <c r="AH2" s="19" t="s">
        <v>14378</v>
      </c>
      <c r="AI2" s="19" t="s">
        <v>14379</v>
      </c>
      <c r="AJ2" s="19" t="s">
        <v>14380</v>
      </c>
      <c r="AK2" s="19" t="s">
        <v>14381</v>
      </c>
      <c r="AL2" s="19" t="s">
        <v>14382</v>
      </c>
      <c r="AM2" s="19" t="s">
        <v>1119</v>
      </c>
      <c r="AN2" s="19" t="s">
        <v>175</v>
      </c>
      <c r="AO2" s="19" t="s">
        <v>14383</v>
      </c>
      <c r="AP2" s="19" t="s">
        <v>15</v>
      </c>
      <c r="AQ2" s="19" t="s">
        <v>1121</v>
      </c>
      <c r="AR2" s="19"/>
      <c r="AS2" s="19" t="s">
        <v>1122</v>
      </c>
      <c r="AT2" s="19"/>
      <c r="AU2" s="19" t="s">
        <v>14384</v>
      </c>
      <c r="AV2" s="19" t="s">
        <v>11</v>
      </c>
      <c r="AW2" s="19" t="s">
        <v>1124</v>
      </c>
      <c r="AX2" s="19"/>
      <c r="AY2" s="19" t="s">
        <v>1125</v>
      </c>
      <c r="AZ2" s="19"/>
      <c r="BA2" s="19" t="s">
        <v>14385</v>
      </c>
      <c r="BB2" s="19"/>
      <c r="BC2" s="19" t="s">
        <v>1127</v>
      </c>
      <c r="BD2" s="19"/>
      <c r="BE2" s="19" t="s">
        <v>1128</v>
      </c>
      <c r="BF2" s="19"/>
      <c r="BG2" s="19" t="s">
        <v>1129</v>
      </c>
      <c r="BH2" s="19" t="s">
        <v>176</v>
      </c>
      <c r="BI2" s="19"/>
      <c r="BJ2" s="19"/>
      <c r="BK2" s="19"/>
      <c r="BL2" s="19"/>
      <c r="BM2" s="19"/>
      <c r="BN2" s="19"/>
      <c r="BO2" s="19"/>
      <c r="BP2" s="19"/>
      <c r="BQ2" s="19"/>
      <c r="BR2" s="19"/>
      <c r="BS2" s="19"/>
      <c r="BT2" s="19"/>
      <c r="BU2" s="19"/>
      <c r="BV2" s="19"/>
      <c r="BW2" s="19"/>
      <c r="BX2" s="19"/>
      <c r="BY2" s="19"/>
      <c r="BZ2" s="19"/>
      <c r="CA2" s="19"/>
      <c r="CB2" s="19"/>
      <c r="CC2" s="19"/>
      <c r="CD2" s="19"/>
      <c r="CE2" s="19"/>
      <c r="CF2" s="19"/>
      <c r="CG2" s="19"/>
    </row>
    <row r="3" spans="1:85" x14ac:dyDescent="0.4">
      <c r="A3" s="19" t="s">
        <v>316</v>
      </c>
      <c r="B3" s="19" t="s">
        <v>6</v>
      </c>
      <c r="C3" s="19" t="s">
        <v>1</v>
      </c>
      <c r="D3" s="19" t="s">
        <v>316</v>
      </c>
      <c r="E3" s="19" t="s">
        <v>17</v>
      </c>
      <c r="F3" s="19" t="s">
        <v>0</v>
      </c>
      <c r="G3" s="19" t="s">
        <v>317</v>
      </c>
      <c r="H3" s="19" t="s">
        <v>14365</v>
      </c>
      <c r="I3" s="19" t="s">
        <v>7</v>
      </c>
      <c r="J3" s="19" t="s">
        <v>2</v>
      </c>
      <c r="K3" s="19" t="s">
        <v>264</v>
      </c>
      <c r="L3" s="19"/>
      <c r="M3" s="19"/>
      <c r="N3" s="19" t="s">
        <v>320</v>
      </c>
      <c r="O3" s="19"/>
      <c r="P3" s="19"/>
      <c r="Q3" s="19" t="s">
        <v>13845</v>
      </c>
      <c r="R3" s="19"/>
      <c r="S3" s="19" t="s">
        <v>14366</v>
      </c>
      <c r="T3" s="19" t="s">
        <v>11</v>
      </c>
      <c r="U3" s="19" t="s">
        <v>14367</v>
      </c>
      <c r="V3" s="19" t="s">
        <v>11</v>
      </c>
      <c r="W3" s="19" t="s">
        <v>14368</v>
      </c>
      <c r="X3" s="19"/>
      <c r="Y3" s="19" t="s">
        <v>14369</v>
      </c>
      <c r="Z3" s="19" t="s">
        <v>14370</v>
      </c>
      <c r="AA3" s="19" t="s">
        <v>14371</v>
      </c>
      <c r="AB3" s="19" t="s">
        <v>14372</v>
      </c>
      <c r="AC3" s="19" t="s">
        <v>14373</v>
      </c>
      <c r="AD3" s="19" t="s">
        <v>14386</v>
      </c>
      <c r="AE3" s="19" t="s">
        <v>14375</v>
      </c>
      <c r="AF3" s="19" t="s">
        <v>14387</v>
      </c>
      <c r="AG3" s="19" t="s">
        <v>14377</v>
      </c>
      <c r="AH3" s="19" t="s">
        <v>14388</v>
      </c>
      <c r="AI3" s="19" t="s">
        <v>14379</v>
      </c>
      <c r="AJ3" s="19" t="s">
        <v>14382</v>
      </c>
      <c r="AK3" s="19" t="s">
        <v>14381</v>
      </c>
      <c r="AL3" s="19" t="s">
        <v>14382</v>
      </c>
      <c r="AM3" s="19" t="s">
        <v>1119</v>
      </c>
      <c r="AN3" s="19" t="s">
        <v>318</v>
      </c>
      <c r="AO3" s="19" t="s">
        <v>14383</v>
      </c>
      <c r="AP3" s="19" t="s">
        <v>15</v>
      </c>
      <c r="AQ3" s="19" t="s">
        <v>1121</v>
      </c>
      <c r="AR3" s="19"/>
      <c r="AS3" s="19" t="s">
        <v>1122</v>
      </c>
      <c r="AT3" s="19"/>
      <c r="AU3" s="19" t="s">
        <v>14384</v>
      </c>
      <c r="AV3" s="19" t="s">
        <v>11</v>
      </c>
      <c r="AW3" s="19" t="s">
        <v>1124</v>
      </c>
      <c r="AX3" s="19"/>
      <c r="AY3" s="19" t="s">
        <v>1125</v>
      </c>
      <c r="AZ3" s="19"/>
      <c r="BA3" s="19" t="s">
        <v>14385</v>
      </c>
      <c r="BB3" s="19"/>
      <c r="BC3" s="19" t="s">
        <v>1127</v>
      </c>
      <c r="BD3" s="19"/>
      <c r="BE3" s="19" t="s">
        <v>1128</v>
      </c>
      <c r="BF3" s="19"/>
      <c r="BG3" s="19" t="s">
        <v>1129</v>
      </c>
      <c r="BH3" s="19" t="s">
        <v>319</v>
      </c>
      <c r="BI3" s="19"/>
      <c r="BJ3" s="19"/>
      <c r="BK3" s="19"/>
      <c r="BL3" s="19"/>
      <c r="BM3" s="19"/>
      <c r="BN3" s="19"/>
      <c r="BO3" s="19"/>
      <c r="BP3" s="19"/>
      <c r="BQ3" s="19"/>
      <c r="BR3" s="19"/>
      <c r="BS3" s="19"/>
      <c r="BT3" s="19"/>
      <c r="BU3" s="19"/>
      <c r="BV3" s="19"/>
      <c r="BW3" s="19"/>
      <c r="BX3" s="19"/>
      <c r="BY3" s="19"/>
      <c r="BZ3" s="19"/>
      <c r="CA3" s="19"/>
      <c r="CB3" s="19"/>
      <c r="CC3" s="19"/>
      <c r="CD3" s="19"/>
      <c r="CE3" s="19"/>
      <c r="CF3" s="19"/>
      <c r="CG3" s="19"/>
    </row>
    <row r="4" spans="1:85" x14ac:dyDescent="0.4">
      <c r="A4" s="19" t="s">
        <v>322</v>
      </c>
      <c r="B4" s="19" t="s">
        <v>6</v>
      </c>
      <c r="C4" s="19" t="s">
        <v>1</v>
      </c>
      <c r="D4" s="19" t="s">
        <v>322</v>
      </c>
      <c r="E4" s="19" t="s">
        <v>17</v>
      </c>
      <c r="F4" s="19" t="s">
        <v>0</v>
      </c>
      <c r="G4" s="19" t="s">
        <v>323</v>
      </c>
      <c r="H4" s="19" t="s">
        <v>14365</v>
      </c>
      <c r="I4" s="19" t="s">
        <v>4</v>
      </c>
      <c r="J4" s="19" t="s">
        <v>2</v>
      </c>
      <c r="K4" s="19" t="s">
        <v>63</v>
      </c>
      <c r="L4" s="19"/>
      <c r="M4" s="19"/>
      <c r="N4" s="19" t="s">
        <v>82</v>
      </c>
      <c r="O4" s="19"/>
      <c r="P4" s="19"/>
      <c r="Q4" s="19" t="s">
        <v>13845</v>
      </c>
      <c r="R4" s="19"/>
      <c r="S4" s="19" t="s">
        <v>14366</v>
      </c>
      <c r="T4" s="19" t="s">
        <v>11</v>
      </c>
      <c r="U4" s="19" t="s">
        <v>14367</v>
      </c>
      <c r="V4" s="19" t="s">
        <v>11</v>
      </c>
      <c r="W4" s="19" t="s">
        <v>14368</v>
      </c>
      <c r="X4" s="19"/>
      <c r="Y4" s="19" t="s">
        <v>14369</v>
      </c>
      <c r="Z4" s="19"/>
      <c r="AA4" s="19" t="s">
        <v>14371</v>
      </c>
      <c r="AB4" s="19" t="s">
        <v>14372</v>
      </c>
      <c r="AC4" s="19" t="s">
        <v>14373</v>
      </c>
      <c r="AD4" s="19" t="s">
        <v>10021</v>
      </c>
      <c r="AE4" s="19" t="s">
        <v>14375</v>
      </c>
      <c r="AF4" s="19" t="s">
        <v>13326</v>
      </c>
      <c r="AG4" s="19" t="s">
        <v>14377</v>
      </c>
      <c r="AH4" s="19" t="s">
        <v>13326</v>
      </c>
      <c r="AI4" s="19" t="s">
        <v>14379</v>
      </c>
      <c r="AJ4" s="19" t="s">
        <v>13326</v>
      </c>
      <c r="AK4" s="19" t="s">
        <v>14381</v>
      </c>
      <c r="AL4" s="19"/>
      <c r="AM4" s="19" t="s">
        <v>1119</v>
      </c>
      <c r="AN4" s="19" t="s">
        <v>324</v>
      </c>
      <c r="AO4" s="19" t="s">
        <v>14383</v>
      </c>
      <c r="AP4" s="19" t="s">
        <v>15</v>
      </c>
      <c r="AQ4" s="19" t="s">
        <v>1121</v>
      </c>
      <c r="AR4" s="19"/>
      <c r="AS4" s="19" t="s">
        <v>1122</v>
      </c>
      <c r="AT4" s="19"/>
      <c r="AU4" s="19" t="s">
        <v>14384</v>
      </c>
      <c r="AV4" s="19" t="s">
        <v>11</v>
      </c>
      <c r="AW4" s="19" t="s">
        <v>1124</v>
      </c>
      <c r="AX4" s="19"/>
      <c r="AY4" s="19" t="s">
        <v>1125</v>
      </c>
      <c r="AZ4" s="19"/>
      <c r="BA4" s="19" t="s">
        <v>14385</v>
      </c>
      <c r="BB4" s="19"/>
      <c r="BC4" s="19" t="s">
        <v>1127</v>
      </c>
      <c r="BD4" s="19"/>
      <c r="BE4" s="19" t="s">
        <v>1128</v>
      </c>
      <c r="BF4" s="19"/>
      <c r="BG4" s="19" t="s">
        <v>1129</v>
      </c>
      <c r="BH4" s="19" t="s">
        <v>325</v>
      </c>
      <c r="BI4" s="19"/>
      <c r="BJ4" s="19"/>
      <c r="BK4" s="19"/>
      <c r="BL4" s="19"/>
      <c r="BM4" s="19"/>
      <c r="BN4" s="19"/>
      <c r="BO4" s="19"/>
      <c r="BP4" s="19"/>
      <c r="BQ4" s="19"/>
      <c r="BR4" s="19"/>
      <c r="BS4" s="19"/>
      <c r="BT4" s="19"/>
      <c r="BU4" s="19"/>
      <c r="BV4" s="19"/>
      <c r="BW4" s="19"/>
      <c r="BX4" s="19"/>
      <c r="BY4" s="19"/>
      <c r="BZ4" s="19"/>
      <c r="CA4" s="19"/>
      <c r="CB4" s="19"/>
      <c r="CC4" s="19"/>
      <c r="CD4" s="19"/>
      <c r="CE4" s="19"/>
      <c r="CF4" s="19"/>
      <c r="CG4" s="19"/>
    </row>
    <row r="5" spans="1:85" x14ac:dyDescent="0.4">
      <c r="A5" s="19" t="s">
        <v>338</v>
      </c>
      <c r="B5" s="19" t="s">
        <v>6</v>
      </c>
      <c r="C5" s="19" t="s">
        <v>1</v>
      </c>
      <c r="D5" s="19" t="s">
        <v>338</v>
      </c>
      <c r="E5" s="19" t="s">
        <v>17</v>
      </c>
      <c r="F5" s="19" t="s">
        <v>93</v>
      </c>
      <c r="G5" s="19" t="s">
        <v>339</v>
      </c>
      <c r="H5" s="19" t="s">
        <v>14365</v>
      </c>
      <c r="I5" s="19" t="s">
        <v>4</v>
      </c>
      <c r="J5" s="19" t="s">
        <v>2</v>
      </c>
      <c r="K5" s="19" t="s">
        <v>268</v>
      </c>
      <c r="L5" s="19"/>
      <c r="M5" s="19"/>
      <c r="N5" s="19" t="s">
        <v>295</v>
      </c>
      <c r="O5" s="19"/>
      <c r="P5" s="19"/>
      <c r="Q5" s="19" t="s">
        <v>13845</v>
      </c>
      <c r="R5" s="19"/>
      <c r="S5" s="19" t="s">
        <v>14366</v>
      </c>
      <c r="T5" s="19" t="s">
        <v>11</v>
      </c>
      <c r="U5" s="19" t="s">
        <v>14367</v>
      </c>
      <c r="V5" s="19" t="s">
        <v>11</v>
      </c>
      <c r="W5" s="19" t="s">
        <v>14368</v>
      </c>
      <c r="X5" s="19"/>
      <c r="Y5" s="19" t="s">
        <v>14369</v>
      </c>
      <c r="Z5" s="19"/>
      <c r="AA5" s="19" t="s">
        <v>14371</v>
      </c>
      <c r="AB5" s="19" t="s">
        <v>14372</v>
      </c>
      <c r="AC5" s="19" t="s">
        <v>14373</v>
      </c>
      <c r="AD5" s="19" t="s">
        <v>14374</v>
      </c>
      <c r="AE5" s="19" t="s">
        <v>14375</v>
      </c>
      <c r="AF5" s="19" t="s">
        <v>14389</v>
      </c>
      <c r="AG5" s="19" t="s">
        <v>14377</v>
      </c>
      <c r="AH5" s="19" t="s">
        <v>14390</v>
      </c>
      <c r="AI5" s="19" t="s">
        <v>14379</v>
      </c>
      <c r="AJ5" s="19" t="s">
        <v>14391</v>
      </c>
      <c r="AK5" s="19" t="s">
        <v>14381</v>
      </c>
      <c r="AL5" s="19" t="s">
        <v>14382</v>
      </c>
      <c r="AM5" s="19" t="s">
        <v>1119</v>
      </c>
      <c r="AN5" s="19" t="s">
        <v>340</v>
      </c>
      <c r="AO5" s="19" t="s">
        <v>14383</v>
      </c>
      <c r="AP5" s="19" t="s">
        <v>15</v>
      </c>
      <c r="AQ5" s="19" t="s">
        <v>1121</v>
      </c>
      <c r="AR5" s="19"/>
      <c r="AS5" s="19" t="s">
        <v>1122</v>
      </c>
      <c r="AT5" s="19"/>
      <c r="AU5" s="19" t="s">
        <v>14384</v>
      </c>
      <c r="AV5" s="19" t="s">
        <v>11</v>
      </c>
      <c r="AW5" s="19" t="s">
        <v>1124</v>
      </c>
      <c r="AX5" s="19"/>
      <c r="AY5" s="19" t="s">
        <v>1125</v>
      </c>
      <c r="AZ5" s="19"/>
      <c r="BA5" s="19" t="s">
        <v>14385</v>
      </c>
      <c r="BB5" s="19"/>
      <c r="BC5" s="19" t="s">
        <v>1127</v>
      </c>
      <c r="BD5" s="19"/>
      <c r="BE5" s="19" t="s">
        <v>1128</v>
      </c>
      <c r="BF5" s="19"/>
      <c r="BG5" s="19" t="s">
        <v>1129</v>
      </c>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row>
    <row r="6" spans="1:85" x14ac:dyDescent="0.4">
      <c r="A6" s="19" t="s">
        <v>230</v>
      </c>
      <c r="B6" s="19" t="s">
        <v>6</v>
      </c>
      <c r="C6" s="19" t="s">
        <v>1</v>
      </c>
      <c r="D6" s="19" t="s">
        <v>230</v>
      </c>
      <c r="E6" s="19" t="s">
        <v>17</v>
      </c>
      <c r="F6" s="19" t="s">
        <v>0</v>
      </c>
      <c r="G6" s="19" t="s">
        <v>231</v>
      </c>
      <c r="H6" s="19" t="s">
        <v>14392</v>
      </c>
      <c r="I6" s="19" t="s">
        <v>7</v>
      </c>
      <c r="J6" s="19"/>
      <c r="K6" s="19" t="s">
        <v>14393</v>
      </c>
      <c r="L6" s="19"/>
      <c r="M6" s="19"/>
      <c r="N6" s="19" t="s">
        <v>107</v>
      </c>
      <c r="O6" s="19"/>
      <c r="P6" s="19"/>
      <c r="Q6" s="19" t="s">
        <v>13845</v>
      </c>
      <c r="R6" s="19"/>
      <c r="S6" s="19" t="s">
        <v>14366</v>
      </c>
      <c r="T6" s="19" t="s">
        <v>11</v>
      </c>
      <c r="U6" s="19" t="s">
        <v>14367</v>
      </c>
      <c r="V6" s="19" t="s">
        <v>11</v>
      </c>
      <c r="W6" s="19" t="s">
        <v>14368</v>
      </c>
      <c r="X6" s="19"/>
      <c r="Y6" s="19" t="s">
        <v>14369</v>
      </c>
      <c r="Z6" s="19" t="s">
        <v>14370</v>
      </c>
      <c r="AA6" s="19" t="s">
        <v>14371</v>
      </c>
      <c r="AB6" s="19" t="s">
        <v>14372</v>
      </c>
      <c r="AC6" s="19" t="s">
        <v>14373</v>
      </c>
      <c r="AD6" s="19" t="s">
        <v>14394</v>
      </c>
      <c r="AE6" s="19" t="s">
        <v>14375</v>
      </c>
      <c r="AF6" s="19" t="s">
        <v>14395</v>
      </c>
      <c r="AG6" s="19" t="s">
        <v>14377</v>
      </c>
      <c r="AH6" s="19" t="s">
        <v>14396</v>
      </c>
      <c r="AI6" s="19" t="s">
        <v>14379</v>
      </c>
      <c r="AJ6" s="19" t="s">
        <v>14397</v>
      </c>
      <c r="AK6" s="19" t="s">
        <v>14381</v>
      </c>
      <c r="AL6" s="19" t="s">
        <v>14382</v>
      </c>
      <c r="AM6" s="19" t="s">
        <v>1119</v>
      </c>
      <c r="AN6" s="19" t="s">
        <v>232</v>
      </c>
      <c r="AO6" s="19" t="s">
        <v>14383</v>
      </c>
      <c r="AP6" s="19" t="s">
        <v>15</v>
      </c>
      <c r="AQ6" s="19" t="s">
        <v>1121</v>
      </c>
      <c r="AR6" s="19"/>
      <c r="AS6" s="19" t="s">
        <v>1122</v>
      </c>
      <c r="AT6" s="19"/>
      <c r="AU6" s="19" t="s">
        <v>14384</v>
      </c>
      <c r="AV6" s="19" t="s">
        <v>11</v>
      </c>
      <c r="AW6" s="19" t="s">
        <v>1124</v>
      </c>
      <c r="AX6" s="19"/>
      <c r="AY6" s="19" t="s">
        <v>1125</v>
      </c>
      <c r="AZ6" s="19"/>
      <c r="BA6" s="19" t="s">
        <v>14385</v>
      </c>
      <c r="BB6" s="19"/>
      <c r="BC6" s="19" t="s">
        <v>1127</v>
      </c>
      <c r="BD6" s="19"/>
      <c r="BE6" s="19" t="s">
        <v>1128</v>
      </c>
      <c r="BF6" s="19"/>
      <c r="BG6" s="19" t="s">
        <v>1129</v>
      </c>
      <c r="BH6" s="19" t="s">
        <v>233</v>
      </c>
      <c r="BI6" s="19"/>
      <c r="BJ6" s="19"/>
      <c r="BK6" s="19"/>
      <c r="BL6" s="19"/>
      <c r="BM6" s="19"/>
      <c r="BN6" s="19"/>
      <c r="BO6" s="19"/>
      <c r="BP6" s="19"/>
      <c r="BQ6" s="19"/>
      <c r="BR6" s="19"/>
      <c r="BS6" s="19"/>
      <c r="BT6" s="19"/>
      <c r="BU6" s="19"/>
      <c r="BV6" s="19"/>
      <c r="BW6" s="19"/>
      <c r="BX6" s="19"/>
      <c r="BY6" s="19"/>
      <c r="BZ6" s="19"/>
      <c r="CA6" s="19"/>
      <c r="CB6" s="19"/>
      <c r="CC6" s="19"/>
      <c r="CD6" s="19"/>
      <c r="CE6" s="19"/>
      <c r="CF6" s="19"/>
      <c r="CG6" s="19"/>
    </row>
    <row r="7" spans="1:85" x14ac:dyDescent="0.4">
      <c r="A7" s="19" t="s">
        <v>343</v>
      </c>
      <c r="B7" s="19" t="s">
        <v>6</v>
      </c>
      <c r="C7" s="19" t="s">
        <v>1</v>
      </c>
      <c r="D7" s="19" t="s">
        <v>343</v>
      </c>
      <c r="E7" s="19" t="s">
        <v>17</v>
      </c>
      <c r="F7" s="19" t="s">
        <v>0</v>
      </c>
      <c r="G7" s="19" t="s">
        <v>344</v>
      </c>
      <c r="H7" s="19" t="s">
        <v>14365</v>
      </c>
      <c r="I7" s="19" t="s">
        <v>7</v>
      </c>
      <c r="J7" s="19" t="s">
        <v>2</v>
      </c>
      <c r="K7" s="19" t="s">
        <v>35</v>
      </c>
      <c r="L7" s="19"/>
      <c r="M7" s="19"/>
      <c r="N7" s="19" t="s">
        <v>347</v>
      </c>
      <c r="O7" s="19"/>
      <c r="P7" s="19"/>
      <c r="Q7" s="19" t="s">
        <v>13845</v>
      </c>
      <c r="R7" s="19"/>
      <c r="S7" s="19" t="s">
        <v>14366</v>
      </c>
      <c r="T7" s="19" t="s">
        <v>11</v>
      </c>
      <c r="U7" s="19" t="s">
        <v>14367</v>
      </c>
      <c r="V7" s="19" t="s">
        <v>11</v>
      </c>
      <c r="W7" s="19" t="s">
        <v>14368</v>
      </c>
      <c r="X7" s="19"/>
      <c r="Y7" s="19" t="s">
        <v>14369</v>
      </c>
      <c r="Z7" s="19" t="s">
        <v>14370</v>
      </c>
      <c r="AA7" s="19" t="s">
        <v>14371</v>
      </c>
      <c r="AB7" s="19" t="s">
        <v>14372</v>
      </c>
      <c r="AC7" s="19" t="s">
        <v>14373</v>
      </c>
      <c r="AD7" s="19" t="s">
        <v>14394</v>
      </c>
      <c r="AE7" s="19" t="s">
        <v>14375</v>
      </c>
      <c r="AF7" s="19" t="s">
        <v>14391</v>
      </c>
      <c r="AG7" s="19" t="s">
        <v>14377</v>
      </c>
      <c r="AH7" s="19" t="s">
        <v>14398</v>
      </c>
      <c r="AI7" s="19" t="s">
        <v>14379</v>
      </c>
      <c r="AJ7" s="19" t="s">
        <v>14399</v>
      </c>
      <c r="AK7" s="19" t="s">
        <v>14381</v>
      </c>
      <c r="AL7" s="19"/>
      <c r="AM7" s="19" t="s">
        <v>1119</v>
      </c>
      <c r="AN7" s="19" t="s">
        <v>345</v>
      </c>
      <c r="AO7" s="19" t="s">
        <v>14383</v>
      </c>
      <c r="AP7" s="19" t="s">
        <v>15</v>
      </c>
      <c r="AQ7" s="19" t="s">
        <v>1121</v>
      </c>
      <c r="AR7" s="19"/>
      <c r="AS7" s="19" t="s">
        <v>1122</v>
      </c>
      <c r="AT7" s="19"/>
      <c r="AU7" s="19" t="s">
        <v>14384</v>
      </c>
      <c r="AV7" s="19" t="s">
        <v>11</v>
      </c>
      <c r="AW7" s="19" t="s">
        <v>1124</v>
      </c>
      <c r="AX7" s="19"/>
      <c r="AY7" s="19" t="s">
        <v>1125</v>
      </c>
      <c r="AZ7" s="19"/>
      <c r="BA7" s="19" t="s">
        <v>14385</v>
      </c>
      <c r="BB7" s="19"/>
      <c r="BC7" s="19" t="s">
        <v>1127</v>
      </c>
      <c r="BD7" s="19"/>
      <c r="BE7" s="19" t="s">
        <v>1128</v>
      </c>
      <c r="BF7" s="19"/>
      <c r="BG7" s="19" t="s">
        <v>1129</v>
      </c>
      <c r="BH7" s="19" t="s">
        <v>346</v>
      </c>
      <c r="BI7" s="19"/>
      <c r="BJ7" s="19"/>
      <c r="BK7" s="19"/>
      <c r="BL7" s="19"/>
      <c r="BM7" s="19"/>
      <c r="BN7" s="19"/>
      <c r="BO7" s="19"/>
      <c r="BP7" s="19"/>
      <c r="BQ7" s="19"/>
      <c r="BR7" s="19"/>
      <c r="BS7" s="19"/>
      <c r="BT7" s="19"/>
      <c r="BU7" s="19"/>
      <c r="BV7" s="19"/>
      <c r="BW7" s="19"/>
      <c r="BX7" s="19"/>
      <c r="BY7" s="19"/>
      <c r="BZ7" s="19"/>
      <c r="CA7" s="19"/>
      <c r="CB7" s="19"/>
      <c r="CC7" s="19"/>
      <c r="CD7" s="19"/>
      <c r="CE7" s="19"/>
      <c r="CF7" s="19"/>
      <c r="CG7" s="19"/>
    </row>
    <row r="8" spans="1:85" x14ac:dyDescent="0.4">
      <c r="A8" s="19" t="s">
        <v>350</v>
      </c>
      <c r="B8" s="19" t="s">
        <v>6</v>
      </c>
      <c r="C8" s="19" t="s">
        <v>1</v>
      </c>
      <c r="D8" s="19" t="s">
        <v>350</v>
      </c>
      <c r="E8" s="19" t="s">
        <v>17</v>
      </c>
      <c r="F8" s="19" t="s">
        <v>0</v>
      </c>
      <c r="G8" s="19" t="s">
        <v>351</v>
      </c>
      <c r="H8" s="19" t="s">
        <v>14365</v>
      </c>
      <c r="I8" s="19" t="s">
        <v>7</v>
      </c>
      <c r="J8" s="19" t="s">
        <v>2</v>
      </c>
      <c r="K8" s="19" t="s">
        <v>35</v>
      </c>
      <c r="L8" s="19"/>
      <c r="M8" s="19"/>
      <c r="N8" s="19" t="s">
        <v>82</v>
      </c>
      <c r="O8" s="19"/>
      <c r="P8" s="19"/>
      <c r="Q8" s="19" t="s">
        <v>13845</v>
      </c>
      <c r="R8" s="19"/>
      <c r="S8" s="19" t="s">
        <v>14366</v>
      </c>
      <c r="T8" s="19" t="s">
        <v>11</v>
      </c>
      <c r="U8" s="19" t="s">
        <v>14367</v>
      </c>
      <c r="V8" s="19" t="s">
        <v>11</v>
      </c>
      <c r="W8" s="19" t="s">
        <v>14368</v>
      </c>
      <c r="X8" s="19"/>
      <c r="Y8" s="19" t="s">
        <v>14369</v>
      </c>
      <c r="Z8" s="19" t="s">
        <v>14370</v>
      </c>
      <c r="AA8" s="19" t="s">
        <v>14371</v>
      </c>
      <c r="AB8" s="19" t="s">
        <v>14372</v>
      </c>
      <c r="AC8" s="19" t="s">
        <v>14373</v>
      </c>
      <c r="AD8" s="19" t="s">
        <v>14374</v>
      </c>
      <c r="AE8" s="19" t="s">
        <v>14375</v>
      </c>
      <c r="AF8" s="19" t="s">
        <v>14378</v>
      </c>
      <c r="AG8" s="19" t="s">
        <v>14377</v>
      </c>
      <c r="AH8" s="19" t="s">
        <v>14400</v>
      </c>
      <c r="AI8" s="19" t="s">
        <v>14379</v>
      </c>
      <c r="AJ8" s="19" t="s">
        <v>14376</v>
      </c>
      <c r="AK8" s="19" t="s">
        <v>14381</v>
      </c>
      <c r="AL8" s="19" t="s">
        <v>14382</v>
      </c>
      <c r="AM8" s="19" t="s">
        <v>1119</v>
      </c>
      <c r="AN8" s="19" t="s">
        <v>352</v>
      </c>
      <c r="AO8" s="19" t="s">
        <v>14383</v>
      </c>
      <c r="AP8" s="19" t="s">
        <v>15</v>
      </c>
      <c r="AQ8" s="19" t="s">
        <v>1121</v>
      </c>
      <c r="AR8" s="19"/>
      <c r="AS8" s="19" t="s">
        <v>1122</v>
      </c>
      <c r="AT8" s="19"/>
      <c r="AU8" s="19" t="s">
        <v>14384</v>
      </c>
      <c r="AV8" s="19" t="s">
        <v>11</v>
      </c>
      <c r="AW8" s="19" t="s">
        <v>1124</v>
      </c>
      <c r="AX8" s="19"/>
      <c r="AY8" s="19" t="s">
        <v>1125</v>
      </c>
      <c r="AZ8" s="19"/>
      <c r="BA8" s="19" t="s">
        <v>14385</v>
      </c>
      <c r="BB8" s="19"/>
      <c r="BC8" s="19" t="s">
        <v>1127</v>
      </c>
      <c r="BD8" s="19"/>
      <c r="BE8" s="19" t="s">
        <v>1128</v>
      </c>
      <c r="BF8" s="19"/>
      <c r="BG8" s="19" t="s">
        <v>1129</v>
      </c>
      <c r="BH8" s="19" t="s">
        <v>353</v>
      </c>
      <c r="BI8" s="19"/>
      <c r="BJ8" s="19"/>
      <c r="BK8" s="19"/>
      <c r="BL8" s="19"/>
      <c r="BM8" s="19"/>
      <c r="BN8" s="19"/>
      <c r="BO8" s="19"/>
      <c r="BP8" s="19"/>
      <c r="BQ8" s="19"/>
      <c r="BR8" s="19"/>
      <c r="BS8" s="19"/>
      <c r="BT8" s="19"/>
      <c r="BU8" s="19"/>
      <c r="BV8" s="19"/>
      <c r="BW8" s="19"/>
      <c r="BX8" s="19"/>
      <c r="BY8" s="19"/>
      <c r="BZ8" s="19"/>
      <c r="CA8" s="19"/>
      <c r="CB8" s="19"/>
      <c r="CC8" s="19"/>
      <c r="CD8" s="19"/>
      <c r="CE8" s="19"/>
      <c r="CF8" s="19"/>
      <c r="CG8" s="19"/>
    </row>
    <row r="9" spans="1:85" x14ac:dyDescent="0.4">
      <c r="A9" s="19" t="s">
        <v>366</v>
      </c>
      <c r="B9" s="19" t="s">
        <v>6</v>
      </c>
      <c r="C9" s="19" t="s">
        <v>1</v>
      </c>
      <c r="D9" s="19" t="s">
        <v>366</v>
      </c>
      <c r="E9" s="19" t="s">
        <v>17</v>
      </c>
      <c r="F9" s="19" t="s">
        <v>0</v>
      </c>
      <c r="G9" s="19" t="s">
        <v>367</v>
      </c>
      <c r="H9" s="19" t="s">
        <v>14365</v>
      </c>
      <c r="I9" s="19" t="s">
        <v>4</v>
      </c>
      <c r="J9" s="19" t="s">
        <v>2</v>
      </c>
      <c r="K9" s="19" t="s">
        <v>215</v>
      </c>
      <c r="L9" s="19"/>
      <c r="M9" s="19"/>
      <c r="N9" s="19" t="s">
        <v>95</v>
      </c>
      <c r="O9" s="19"/>
      <c r="P9" s="19"/>
      <c r="Q9" s="19" t="s">
        <v>13845</v>
      </c>
      <c r="R9" s="19"/>
      <c r="S9" s="19" t="s">
        <v>14366</v>
      </c>
      <c r="T9" s="19" t="s">
        <v>11</v>
      </c>
      <c r="U9" s="19" t="s">
        <v>14367</v>
      </c>
      <c r="V9" s="19" t="s">
        <v>11</v>
      </c>
      <c r="W9" s="19" t="s">
        <v>14368</v>
      </c>
      <c r="X9" s="19"/>
      <c r="Y9" s="19" t="s">
        <v>14369</v>
      </c>
      <c r="Z9" s="19" t="s">
        <v>14370</v>
      </c>
      <c r="AA9" s="19" t="s">
        <v>14371</v>
      </c>
      <c r="AB9" s="19" t="s">
        <v>14372</v>
      </c>
      <c r="AC9" s="19" t="s">
        <v>14373</v>
      </c>
      <c r="AD9" s="19" t="s">
        <v>14401</v>
      </c>
      <c r="AE9" s="19" t="s">
        <v>14375</v>
      </c>
      <c r="AF9" s="19" t="s">
        <v>14391</v>
      </c>
      <c r="AG9" s="19" t="s">
        <v>14377</v>
      </c>
      <c r="AH9" s="19" t="s">
        <v>14390</v>
      </c>
      <c r="AI9" s="19" t="s">
        <v>14379</v>
      </c>
      <c r="AJ9" s="19" t="s">
        <v>14402</v>
      </c>
      <c r="AK9" s="19" t="s">
        <v>14381</v>
      </c>
      <c r="AL9" s="19" t="s">
        <v>14382</v>
      </c>
      <c r="AM9" s="19" t="s">
        <v>1119</v>
      </c>
      <c r="AN9" s="19" t="s">
        <v>368</v>
      </c>
      <c r="AO9" s="19" t="s">
        <v>14383</v>
      </c>
      <c r="AP9" s="19" t="s">
        <v>15</v>
      </c>
      <c r="AQ9" s="19" t="s">
        <v>1121</v>
      </c>
      <c r="AR9" s="19"/>
      <c r="AS9" s="19" t="s">
        <v>1122</v>
      </c>
      <c r="AT9" s="19"/>
      <c r="AU9" s="19" t="s">
        <v>14384</v>
      </c>
      <c r="AV9" s="19" t="s">
        <v>11</v>
      </c>
      <c r="AW9" s="19" t="s">
        <v>1124</v>
      </c>
      <c r="AX9" s="19"/>
      <c r="AY9" s="19" t="s">
        <v>1125</v>
      </c>
      <c r="AZ9" s="19"/>
      <c r="BA9" s="19" t="s">
        <v>14385</v>
      </c>
      <c r="BB9" s="19"/>
      <c r="BC9" s="19" t="s">
        <v>1127</v>
      </c>
      <c r="BD9" s="19"/>
      <c r="BE9" s="19" t="s">
        <v>1128</v>
      </c>
      <c r="BF9" s="19"/>
      <c r="BG9" s="19" t="s">
        <v>1129</v>
      </c>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row>
    <row r="10" spans="1:85" x14ac:dyDescent="0.4">
      <c r="A10" s="19" t="s">
        <v>371</v>
      </c>
      <c r="B10" s="19" t="s">
        <v>6</v>
      </c>
      <c r="C10" s="19" t="s">
        <v>1</v>
      </c>
      <c r="D10" s="19" t="s">
        <v>371</v>
      </c>
      <c r="E10" s="19" t="s">
        <v>17</v>
      </c>
      <c r="F10" s="19" t="s">
        <v>0</v>
      </c>
      <c r="G10" s="19" t="s">
        <v>372</v>
      </c>
      <c r="H10" s="19" t="s">
        <v>14365</v>
      </c>
      <c r="I10" s="19" t="s">
        <v>7</v>
      </c>
      <c r="J10" s="19" t="s">
        <v>2</v>
      </c>
      <c r="K10" s="19" t="s">
        <v>209</v>
      </c>
      <c r="L10" s="19"/>
      <c r="M10" s="19"/>
      <c r="N10" s="19" t="s">
        <v>375</v>
      </c>
      <c r="O10" s="19"/>
      <c r="P10" s="19"/>
      <c r="Q10" s="19" t="s">
        <v>13845</v>
      </c>
      <c r="R10" s="19"/>
      <c r="S10" s="19" t="s">
        <v>14366</v>
      </c>
      <c r="T10" s="19" t="s">
        <v>11</v>
      </c>
      <c r="U10" s="19" t="s">
        <v>14367</v>
      </c>
      <c r="V10" s="19"/>
      <c r="W10" s="19" t="s">
        <v>14368</v>
      </c>
      <c r="X10" s="19"/>
      <c r="Y10" s="19" t="s">
        <v>14369</v>
      </c>
      <c r="Z10" s="19" t="s">
        <v>14370</v>
      </c>
      <c r="AA10" s="19" t="s">
        <v>14371</v>
      </c>
      <c r="AB10" s="19" t="s">
        <v>10021</v>
      </c>
      <c r="AC10" s="19" t="s">
        <v>14373</v>
      </c>
      <c r="AD10" s="19" t="s">
        <v>10021</v>
      </c>
      <c r="AE10" s="19" t="s">
        <v>14375</v>
      </c>
      <c r="AF10" s="19" t="s">
        <v>14388</v>
      </c>
      <c r="AG10" s="19" t="s">
        <v>14377</v>
      </c>
      <c r="AH10" s="19" t="s">
        <v>13326</v>
      </c>
      <c r="AI10" s="19" t="s">
        <v>14379</v>
      </c>
      <c r="AJ10" s="19" t="s">
        <v>14387</v>
      </c>
      <c r="AK10" s="19" t="s">
        <v>14381</v>
      </c>
      <c r="AL10" s="19"/>
      <c r="AM10" s="19" t="s">
        <v>1119</v>
      </c>
      <c r="AN10" s="19" t="s">
        <v>373</v>
      </c>
      <c r="AO10" s="19" t="s">
        <v>14383</v>
      </c>
      <c r="AP10" s="19" t="s">
        <v>15</v>
      </c>
      <c r="AQ10" s="19" t="s">
        <v>1121</v>
      </c>
      <c r="AR10" s="19"/>
      <c r="AS10" s="19" t="s">
        <v>1122</v>
      </c>
      <c r="AT10" s="19"/>
      <c r="AU10" s="19" t="s">
        <v>14384</v>
      </c>
      <c r="AV10" s="19" t="s">
        <v>11</v>
      </c>
      <c r="AW10" s="19" t="s">
        <v>1124</v>
      </c>
      <c r="AX10" s="19"/>
      <c r="AY10" s="19" t="s">
        <v>1125</v>
      </c>
      <c r="AZ10" s="19"/>
      <c r="BA10" s="19" t="s">
        <v>14385</v>
      </c>
      <c r="BB10" s="19"/>
      <c r="BC10" s="19" t="s">
        <v>1127</v>
      </c>
      <c r="BD10" s="19"/>
      <c r="BE10" s="19" t="s">
        <v>1128</v>
      </c>
      <c r="BF10" s="19"/>
      <c r="BG10" s="19" t="s">
        <v>1129</v>
      </c>
      <c r="BH10" s="19" t="s">
        <v>374</v>
      </c>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row>
    <row r="11" spans="1:85" x14ac:dyDescent="0.4">
      <c r="A11" s="19" t="s">
        <v>383</v>
      </c>
      <c r="B11" s="19" t="s">
        <v>6</v>
      </c>
      <c r="C11" s="19" t="s">
        <v>1</v>
      </c>
      <c r="D11" s="19" t="s">
        <v>383</v>
      </c>
      <c r="E11" s="19" t="s">
        <v>17</v>
      </c>
      <c r="F11" s="19" t="s">
        <v>0</v>
      </c>
      <c r="G11" s="19" t="s">
        <v>384</v>
      </c>
      <c r="H11" s="19" t="s">
        <v>14365</v>
      </c>
      <c r="I11" s="19" t="s">
        <v>4</v>
      </c>
      <c r="J11" s="19" t="s">
        <v>2</v>
      </c>
      <c r="K11" s="19" t="s">
        <v>264</v>
      </c>
      <c r="L11" s="19"/>
      <c r="M11" s="19"/>
      <c r="N11" s="19" t="s">
        <v>387</v>
      </c>
      <c r="O11" s="19"/>
      <c r="P11" s="19"/>
      <c r="Q11" s="19" t="s">
        <v>13845</v>
      </c>
      <c r="R11" s="19"/>
      <c r="S11" s="19" t="s">
        <v>14366</v>
      </c>
      <c r="T11" s="19" t="s">
        <v>11</v>
      </c>
      <c r="U11" s="19" t="s">
        <v>14367</v>
      </c>
      <c r="V11" s="19"/>
      <c r="W11" s="19" t="s">
        <v>14368</v>
      </c>
      <c r="X11" s="19"/>
      <c r="Y11" s="19" t="s">
        <v>14369</v>
      </c>
      <c r="Z11" s="19" t="s">
        <v>14370</v>
      </c>
      <c r="AA11" s="19" t="s">
        <v>14371</v>
      </c>
      <c r="AB11" s="19" t="s">
        <v>14372</v>
      </c>
      <c r="AC11" s="19" t="s">
        <v>14373</v>
      </c>
      <c r="AD11" s="19" t="s">
        <v>14403</v>
      </c>
      <c r="AE11" s="19" t="s">
        <v>14375</v>
      </c>
      <c r="AF11" s="19" t="s">
        <v>14387</v>
      </c>
      <c r="AG11" s="19" t="s">
        <v>14377</v>
      </c>
      <c r="AH11" s="19" t="s">
        <v>14388</v>
      </c>
      <c r="AI11" s="19" t="s">
        <v>14379</v>
      </c>
      <c r="AJ11" s="19" t="s">
        <v>14387</v>
      </c>
      <c r="AK11" s="19" t="s">
        <v>14381</v>
      </c>
      <c r="AL11" s="19" t="s">
        <v>14382</v>
      </c>
      <c r="AM11" s="19" t="s">
        <v>1119</v>
      </c>
      <c r="AN11" s="19" t="s">
        <v>385</v>
      </c>
      <c r="AO11" s="19" t="s">
        <v>14383</v>
      </c>
      <c r="AP11" s="19" t="s">
        <v>15</v>
      </c>
      <c r="AQ11" s="19" t="s">
        <v>1121</v>
      </c>
      <c r="AR11" s="19"/>
      <c r="AS11" s="19" t="s">
        <v>1122</v>
      </c>
      <c r="AT11" s="19"/>
      <c r="AU11" s="19" t="s">
        <v>14384</v>
      </c>
      <c r="AV11" s="19" t="s">
        <v>11</v>
      </c>
      <c r="AW11" s="19" t="s">
        <v>1124</v>
      </c>
      <c r="AX11" s="19"/>
      <c r="AY11" s="19" t="s">
        <v>1125</v>
      </c>
      <c r="AZ11" s="19"/>
      <c r="BA11" s="19" t="s">
        <v>14385</v>
      </c>
      <c r="BB11" s="19"/>
      <c r="BC11" s="19" t="s">
        <v>1127</v>
      </c>
      <c r="BD11" s="19"/>
      <c r="BE11" s="19" t="s">
        <v>1128</v>
      </c>
      <c r="BF11" s="19"/>
      <c r="BG11" s="19" t="s">
        <v>1129</v>
      </c>
      <c r="BH11" s="19" t="s">
        <v>386</v>
      </c>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row>
    <row r="12" spans="1:85" x14ac:dyDescent="0.4">
      <c r="A12" s="19" t="s">
        <v>390</v>
      </c>
      <c r="B12" s="19" t="s">
        <v>6</v>
      </c>
      <c r="C12" s="19" t="s">
        <v>1</v>
      </c>
      <c r="D12" s="19" t="s">
        <v>390</v>
      </c>
      <c r="E12" s="19" t="s">
        <v>17</v>
      </c>
      <c r="F12" s="19" t="s">
        <v>0</v>
      </c>
      <c r="G12" s="19" t="s">
        <v>391</v>
      </c>
      <c r="H12" s="19" t="s">
        <v>14365</v>
      </c>
      <c r="I12" s="19" t="s">
        <v>4</v>
      </c>
      <c r="J12" s="19" t="s">
        <v>2</v>
      </c>
      <c r="K12" s="19" t="s">
        <v>264</v>
      </c>
      <c r="L12" s="19"/>
      <c r="M12" s="19"/>
      <c r="N12" s="19" t="s">
        <v>394</v>
      </c>
      <c r="O12" s="19"/>
      <c r="P12" s="19"/>
      <c r="Q12" s="19" t="s">
        <v>13845</v>
      </c>
      <c r="R12" s="19"/>
      <c r="S12" s="19" t="s">
        <v>14366</v>
      </c>
      <c r="T12" s="19" t="s">
        <v>11</v>
      </c>
      <c r="U12" s="19" t="s">
        <v>14367</v>
      </c>
      <c r="V12" s="19"/>
      <c r="W12" s="19" t="s">
        <v>14368</v>
      </c>
      <c r="X12" s="19"/>
      <c r="Y12" s="19" t="s">
        <v>14369</v>
      </c>
      <c r="Z12" s="19" t="s">
        <v>14370</v>
      </c>
      <c r="AA12" s="19" t="s">
        <v>14371</v>
      </c>
      <c r="AB12" s="19" t="s">
        <v>14372</v>
      </c>
      <c r="AC12" s="19" t="s">
        <v>14373</v>
      </c>
      <c r="AD12" s="19" t="s">
        <v>14404</v>
      </c>
      <c r="AE12" s="19" t="s">
        <v>14375</v>
      </c>
      <c r="AF12" s="19" t="s">
        <v>14378</v>
      </c>
      <c r="AG12" s="19" t="s">
        <v>14377</v>
      </c>
      <c r="AH12" s="19" t="s">
        <v>14388</v>
      </c>
      <c r="AI12" s="19" t="s">
        <v>14379</v>
      </c>
      <c r="AJ12" s="19" t="s">
        <v>14405</v>
      </c>
      <c r="AK12" s="19" t="s">
        <v>14381</v>
      </c>
      <c r="AL12" s="19" t="s">
        <v>14382</v>
      </c>
      <c r="AM12" s="19" t="s">
        <v>1119</v>
      </c>
      <c r="AN12" s="19" t="s">
        <v>392</v>
      </c>
      <c r="AO12" s="19" t="s">
        <v>14383</v>
      </c>
      <c r="AP12" s="19" t="s">
        <v>15</v>
      </c>
      <c r="AQ12" s="19" t="s">
        <v>1121</v>
      </c>
      <c r="AR12" s="19"/>
      <c r="AS12" s="19" t="s">
        <v>1122</v>
      </c>
      <c r="AT12" s="19"/>
      <c r="AU12" s="19" t="s">
        <v>14384</v>
      </c>
      <c r="AV12" s="19" t="s">
        <v>11</v>
      </c>
      <c r="AW12" s="19" t="s">
        <v>1124</v>
      </c>
      <c r="AX12" s="19"/>
      <c r="AY12" s="19" t="s">
        <v>1125</v>
      </c>
      <c r="AZ12" s="19"/>
      <c r="BA12" s="19" t="s">
        <v>14385</v>
      </c>
      <c r="BB12" s="19"/>
      <c r="BC12" s="19" t="s">
        <v>1127</v>
      </c>
      <c r="BD12" s="19"/>
      <c r="BE12" s="19" t="s">
        <v>1128</v>
      </c>
      <c r="BF12" s="19"/>
      <c r="BG12" s="19" t="s">
        <v>1129</v>
      </c>
      <c r="BH12" s="19" t="s">
        <v>393</v>
      </c>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row>
    <row r="13" spans="1:85" x14ac:dyDescent="0.4">
      <c r="A13" s="19" t="s">
        <v>397</v>
      </c>
      <c r="B13" s="19" t="s">
        <v>6</v>
      </c>
      <c r="C13" s="19" t="s">
        <v>1</v>
      </c>
      <c r="D13" s="19" t="s">
        <v>397</v>
      </c>
      <c r="E13" s="19" t="s">
        <v>17</v>
      </c>
      <c r="F13" s="19" t="s">
        <v>0</v>
      </c>
      <c r="G13" s="19" t="s">
        <v>398</v>
      </c>
      <c r="H13" s="19" t="s">
        <v>14365</v>
      </c>
      <c r="I13" s="19" t="s">
        <v>4</v>
      </c>
      <c r="J13" s="19" t="s">
        <v>2</v>
      </c>
      <c r="K13" s="19" t="s">
        <v>264</v>
      </c>
      <c r="L13" s="19"/>
      <c r="M13" s="19"/>
      <c r="N13" s="19" t="s">
        <v>394</v>
      </c>
      <c r="O13" s="19"/>
      <c r="P13" s="19"/>
      <c r="Q13" s="19" t="s">
        <v>13845</v>
      </c>
      <c r="R13" s="19"/>
      <c r="S13" s="19" t="s">
        <v>14366</v>
      </c>
      <c r="T13" s="19" t="s">
        <v>11</v>
      </c>
      <c r="U13" s="19" t="s">
        <v>14367</v>
      </c>
      <c r="V13" s="19"/>
      <c r="W13" s="19" t="s">
        <v>14368</v>
      </c>
      <c r="X13" s="19"/>
      <c r="Y13" s="19" t="s">
        <v>14369</v>
      </c>
      <c r="Z13" s="19" t="s">
        <v>14370</v>
      </c>
      <c r="AA13" s="19" t="s">
        <v>14371</v>
      </c>
      <c r="AB13" s="19" t="s">
        <v>14372</v>
      </c>
      <c r="AC13" s="19" t="s">
        <v>14373</v>
      </c>
      <c r="AD13" s="19" t="s">
        <v>14404</v>
      </c>
      <c r="AE13" s="19" t="s">
        <v>14375</v>
      </c>
      <c r="AF13" s="19" t="s">
        <v>14378</v>
      </c>
      <c r="AG13" s="19" t="s">
        <v>14377</v>
      </c>
      <c r="AH13" s="19" t="s">
        <v>14388</v>
      </c>
      <c r="AI13" s="19" t="s">
        <v>14379</v>
      </c>
      <c r="AJ13" s="19" t="s">
        <v>14391</v>
      </c>
      <c r="AK13" s="19" t="s">
        <v>14381</v>
      </c>
      <c r="AL13" s="19" t="s">
        <v>14382</v>
      </c>
      <c r="AM13" s="19" t="s">
        <v>1119</v>
      </c>
      <c r="AN13" s="19" t="s">
        <v>399</v>
      </c>
      <c r="AO13" s="19" t="s">
        <v>14383</v>
      </c>
      <c r="AP13" s="19" t="s">
        <v>15</v>
      </c>
      <c r="AQ13" s="19" t="s">
        <v>1121</v>
      </c>
      <c r="AR13" s="19"/>
      <c r="AS13" s="19" t="s">
        <v>1122</v>
      </c>
      <c r="AT13" s="19"/>
      <c r="AU13" s="19" t="s">
        <v>14384</v>
      </c>
      <c r="AV13" s="19" t="s">
        <v>11</v>
      </c>
      <c r="AW13" s="19" t="s">
        <v>1124</v>
      </c>
      <c r="AX13" s="19"/>
      <c r="AY13" s="19" t="s">
        <v>1125</v>
      </c>
      <c r="AZ13" s="19"/>
      <c r="BA13" s="19" t="s">
        <v>14385</v>
      </c>
      <c r="BB13" s="19"/>
      <c r="BC13" s="19" t="s">
        <v>1127</v>
      </c>
      <c r="BD13" s="19"/>
      <c r="BE13" s="19" t="s">
        <v>1128</v>
      </c>
      <c r="BF13" s="19"/>
      <c r="BG13" s="19" t="s">
        <v>1129</v>
      </c>
      <c r="BH13" s="19" t="s">
        <v>400</v>
      </c>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row>
    <row r="14" spans="1:85" x14ac:dyDescent="0.4">
      <c r="A14" s="19" t="s">
        <v>403</v>
      </c>
      <c r="B14" s="19" t="s">
        <v>6</v>
      </c>
      <c r="C14" s="19" t="s">
        <v>1</v>
      </c>
      <c r="D14" s="19" t="s">
        <v>403</v>
      </c>
      <c r="E14" s="19" t="s">
        <v>17</v>
      </c>
      <c r="F14" s="19" t="s">
        <v>0</v>
      </c>
      <c r="G14" s="19" t="s">
        <v>404</v>
      </c>
      <c r="H14" s="19" t="s">
        <v>14365</v>
      </c>
      <c r="I14" s="19" t="s">
        <v>4</v>
      </c>
      <c r="J14" s="19" t="s">
        <v>2</v>
      </c>
      <c r="K14" s="19" t="s">
        <v>264</v>
      </c>
      <c r="L14" s="19"/>
      <c r="M14" s="19"/>
      <c r="N14" s="19" t="s">
        <v>162</v>
      </c>
      <c r="O14" s="19"/>
      <c r="P14" s="19"/>
      <c r="Q14" s="19" t="s">
        <v>13845</v>
      </c>
      <c r="R14" s="19"/>
      <c r="S14" s="19" t="s">
        <v>14366</v>
      </c>
      <c r="T14" s="19" t="s">
        <v>11</v>
      </c>
      <c r="U14" s="19" t="s">
        <v>14367</v>
      </c>
      <c r="V14" s="19"/>
      <c r="W14" s="19" t="s">
        <v>14368</v>
      </c>
      <c r="X14" s="19"/>
      <c r="Y14" s="19" t="s">
        <v>14369</v>
      </c>
      <c r="Z14" s="19" t="s">
        <v>14370</v>
      </c>
      <c r="AA14" s="19" t="s">
        <v>14371</v>
      </c>
      <c r="AB14" s="19" t="s">
        <v>14372</v>
      </c>
      <c r="AC14" s="19" t="s">
        <v>14373</v>
      </c>
      <c r="AD14" s="19" t="s">
        <v>14406</v>
      </c>
      <c r="AE14" s="19" t="s">
        <v>14375</v>
      </c>
      <c r="AF14" s="19" t="s">
        <v>14407</v>
      </c>
      <c r="AG14" s="19" t="s">
        <v>14377</v>
      </c>
      <c r="AH14" s="19" t="s">
        <v>14388</v>
      </c>
      <c r="AI14" s="19" t="s">
        <v>14379</v>
      </c>
      <c r="AJ14" s="19" t="s">
        <v>14408</v>
      </c>
      <c r="AK14" s="19" t="s">
        <v>14381</v>
      </c>
      <c r="AL14" s="19" t="s">
        <v>14382</v>
      </c>
      <c r="AM14" s="19" t="s">
        <v>1119</v>
      </c>
      <c r="AN14" s="19" t="s">
        <v>405</v>
      </c>
      <c r="AO14" s="19" t="s">
        <v>14383</v>
      </c>
      <c r="AP14" s="19" t="s">
        <v>15</v>
      </c>
      <c r="AQ14" s="19" t="s">
        <v>1121</v>
      </c>
      <c r="AR14" s="19"/>
      <c r="AS14" s="19" t="s">
        <v>1122</v>
      </c>
      <c r="AT14" s="19"/>
      <c r="AU14" s="19" t="s">
        <v>14384</v>
      </c>
      <c r="AV14" s="19" t="s">
        <v>11</v>
      </c>
      <c r="AW14" s="19" t="s">
        <v>1124</v>
      </c>
      <c r="AX14" s="19"/>
      <c r="AY14" s="19" t="s">
        <v>1125</v>
      </c>
      <c r="AZ14" s="19"/>
      <c r="BA14" s="19" t="s">
        <v>14385</v>
      </c>
      <c r="BB14" s="19"/>
      <c r="BC14" s="19" t="s">
        <v>1127</v>
      </c>
      <c r="BD14" s="19"/>
      <c r="BE14" s="19" t="s">
        <v>1128</v>
      </c>
      <c r="BF14" s="19"/>
      <c r="BG14" s="19" t="s">
        <v>1129</v>
      </c>
      <c r="BH14" s="19" t="s">
        <v>406</v>
      </c>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row>
    <row r="15" spans="1:85" x14ac:dyDescent="0.4">
      <c r="A15" s="19" t="s">
        <v>409</v>
      </c>
      <c r="B15" s="19" t="s">
        <v>6</v>
      </c>
      <c r="C15" s="19" t="s">
        <v>1</v>
      </c>
      <c r="D15" s="19" t="s">
        <v>409</v>
      </c>
      <c r="E15" s="19" t="s">
        <v>17</v>
      </c>
      <c r="F15" s="19" t="s">
        <v>0</v>
      </c>
      <c r="G15" s="19" t="s">
        <v>410</v>
      </c>
      <c r="H15" s="19" t="s">
        <v>14365</v>
      </c>
      <c r="I15" s="19" t="s">
        <v>4</v>
      </c>
      <c r="J15" s="19" t="s">
        <v>2</v>
      </c>
      <c r="K15" s="19" t="s">
        <v>63</v>
      </c>
      <c r="L15" s="19"/>
      <c r="M15" s="19"/>
      <c r="N15" s="19" t="s">
        <v>413</v>
      </c>
      <c r="O15" s="19"/>
      <c r="P15" s="19"/>
      <c r="Q15" s="19" t="s">
        <v>13845</v>
      </c>
      <c r="R15" s="19"/>
      <c r="S15" s="19" t="s">
        <v>14366</v>
      </c>
      <c r="T15" s="19" t="s">
        <v>11</v>
      </c>
      <c r="U15" s="19" t="s">
        <v>14367</v>
      </c>
      <c r="V15" s="19"/>
      <c r="W15" s="19" t="s">
        <v>14368</v>
      </c>
      <c r="X15" s="19"/>
      <c r="Y15" s="19" t="s">
        <v>14369</v>
      </c>
      <c r="Z15" s="19" t="s">
        <v>14370</v>
      </c>
      <c r="AA15" s="19" t="s">
        <v>14371</v>
      </c>
      <c r="AB15" s="19" t="s">
        <v>14372</v>
      </c>
      <c r="AC15" s="19" t="s">
        <v>14373</v>
      </c>
      <c r="AD15" s="19" t="s">
        <v>10021</v>
      </c>
      <c r="AE15" s="19" t="s">
        <v>14375</v>
      </c>
      <c r="AF15" s="19" t="s">
        <v>14378</v>
      </c>
      <c r="AG15" s="19" t="s">
        <v>14377</v>
      </c>
      <c r="AH15" s="19" t="s">
        <v>13326</v>
      </c>
      <c r="AI15" s="19" t="s">
        <v>14379</v>
      </c>
      <c r="AJ15" s="19" t="s">
        <v>14409</v>
      </c>
      <c r="AK15" s="19" t="s">
        <v>14381</v>
      </c>
      <c r="AL15" s="19"/>
      <c r="AM15" s="19" t="s">
        <v>1119</v>
      </c>
      <c r="AN15" s="19" t="s">
        <v>411</v>
      </c>
      <c r="AO15" s="19" t="s">
        <v>14383</v>
      </c>
      <c r="AP15" s="19" t="s">
        <v>15</v>
      </c>
      <c r="AQ15" s="19" t="s">
        <v>1121</v>
      </c>
      <c r="AR15" s="19"/>
      <c r="AS15" s="19" t="s">
        <v>1122</v>
      </c>
      <c r="AT15" s="19"/>
      <c r="AU15" s="19" t="s">
        <v>14384</v>
      </c>
      <c r="AV15" s="19" t="s">
        <v>11</v>
      </c>
      <c r="AW15" s="19" t="s">
        <v>1124</v>
      </c>
      <c r="AX15" s="19"/>
      <c r="AY15" s="19" t="s">
        <v>1125</v>
      </c>
      <c r="AZ15" s="19"/>
      <c r="BA15" s="19" t="s">
        <v>14385</v>
      </c>
      <c r="BB15" s="19"/>
      <c r="BC15" s="19" t="s">
        <v>1127</v>
      </c>
      <c r="BD15" s="19"/>
      <c r="BE15" s="19" t="s">
        <v>1128</v>
      </c>
      <c r="BF15" s="19"/>
      <c r="BG15" s="19" t="s">
        <v>1129</v>
      </c>
      <c r="BH15" s="19" t="s">
        <v>412</v>
      </c>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row>
    <row r="16" spans="1:85" x14ac:dyDescent="0.4">
      <c r="A16" s="19" t="s">
        <v>417</v>
      </c>
      <c r="B16" s="19" t="s">
        <v>6</v>
      </c>
      <c r="C16" s="19" t="s">
        <v>1</v>
      </c>
      <c r="D16" s="19" t="s">
        <v>417</v>
      </c>
      <c r="E16" s="19" t="s">
        <v>17</v>
      </c>
      <c r="F16" s="19" t="s">
        <v>0</v>
      </c>
      <c r="G16" s="19" t="s">
        <v>418</v>
      </c>
      <c r="H16" s="19" t="s">
        <v>14392</v>
      </c>
      <c r="I16" s="19" t="s">
        <v>4</v>
      </c>
      <c r="J16" s="19"/>
      <c r="K16" s="19" t="s">
        <v>63</v>
      </c>
      <c r="L16" s="19"/>
      <c r="M16" s="19"/>
      <c r="N16" s="19" t="s">
        <v>420</v>
      </c>
      <c r="O16" s="19"/>
      <c r="P16" s="19"/>
      <c r="Q16" s="19" t="s">
        <v>13845</v>
      </c>
      <c r="R16" s="19"/>
      <c r="S16" s="19" t="s">
        <v>14366</v>
      </c>
      <c r="T16" s="19" t="s">
        <v>11</v>
      </c>
      <c r="U16" s="19" t="s">
        <v>14367</v>
      </c>
      <c r="V16" s="19"/>
      <c r="W16" s="19" t="s">
        <v>14368</v>
      </c>
      <c r="X16" s="19"/>
      <c r="Y16" s="19" t="s">
        <v>14369</v>
      </c>
      <c r="Z16" s="19" t="s">
        <v>14370</v>
      </c>
      <c r="AA16" s="19" t="s">
        <v>14371</v>
      </c>
      <c r="AB16" s="19" t="s">
        <v>14372</v>
      </c>
      <c r="AC16" s="19" t="s">
        <v>14373</v>
      </c>
      <c r="AD16" s="19" t="s">
        <v>10021</v>
      </c>
      <c r="AE16" s="19" t="s">
        <v>14375</v>
      </c>
      <c r="AF16" s="19" t="s">
        <v>14378</v>
      </c>
      <c r="AG16" s="19" t="s">
        <v>14377</v>
      </c>
      <c r="AH16" s="19" t="s">
        <v>13326</v>
      </c>
      <c r="AI16" s="19" t="s">
        <v>14379</v>
      </c>
      <c r="AJ16" s="19" t="s">
        <v>3278</v>
      </c>
      <c r="AK16" s="19" t="s">
        <v>14381</v>
      </c>
      <c r="AL16" s="19"/>
      <c r="AM16" s="19" t="s">
        <v>1119</v>
      </c>
      <c r="AN16" s="19" t="s">
        <v>419</v>
      </c>
      <c r="AO16" s="19" t="s">
        <v>14383</v>
      </c>
      <c r="AP16" s="19" t="s">
        <v>15</v>
      </c>
      <c r="AQ16" s="19" t="s">
        <v>1121</v>
      </c>
      <c r="AR16" s="19"/>
      <c r="AS16" s="19" t="s">
        <v>1122</v>
      </c>
      <c r="AT16" s="19"/>
      <c r="AU16" s="19" t="s">
        <v>14384</v>
      </c>
      <c r="AV16" s="19" t="s">
        <v>11</v>
      </c>
      <c r="AW16" s="19" t="s">
        <v>1124</v>
      </c>
      <c r="AX16" s="19"/>
      <c r="AY16" s="19" t="s">
        <v>1125</v>
      </c>
      <c r="AZ16" s="19"/>
      <c r="BA16" s="19" t="s">
        <v>14385</v>
      </c>
      <c r="BB16" s="19"/>
      <c r="BC16" s="19" t="s">
        <v>1127</v>
      </c>
      <c r="BD16" s="19"/>
      <c r="BE16" s="19" t="s">
        <v>1128</v>
      </c>
      <c r="BF16" s="19"/>
      <c r="BG16" s="19" t="s">
        <v>1129</v>
      </c>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row>
    <row r="17" spans="1:85" x14ac:dyDescent="0.4">
      <c r="A17" s="19" t="s">
        <v>434</v>
      </c>
      <c r="B17" s="19" t="s">
        <v>6</v>
      </c>
      <c r="C17" s="19" t="s">
        <v>1</v>
      </c>
      <c r="D17" s="19" t="s">
        <v>434</v>
      </c>
      <c r="E17" s="19" t="s">
        <v>17</v>
      </c>
      <c r="F17" s="19" t="s">
        <v>0</v>
      </c>
      <c r="G17" s="19" t="s">
        <v>435</v>
      </c>
      <c r="H17" s="19" t="s">
        <v>14365</v>
      </c>
      <c r="I17" s="19" t="s">
        <v>4</v>
      </c>
      <c r="J17" s="19" t="s">
        <v>2</v>
      </c>
      <c r="K17" s="19" t="s">
        <v>127</v>
      </c>
      <c r="L17" s="19"/>
      <c r="M17" s="19"/>
      <c r="N17" s="19" t="s">
        <v>438</v>
      </c>
      <c r="O17" s="19"/>
      <c r="P17" s="19"/>
      <c r="Q17" s="19" t="s">
        <v>13845</v>
      </c>
      <c r="R17" s="19"/>
      <c r="S17" s="19" t="s">
        <v>14366</v>
      </c>
      <c r="T17" s="19" t="s">
        <v>11</v>
      </c>
      <c r="U17" s="19" t="s">
        <v>14367</v>
      </c>
      <c r="V17" s="19"/>
      <c r="W17" s="19" t="s">
        <v>14368</v>
      </c>
      <c r="X17" s="19"/>
      <c r="Y17" s="19" t="s">
        <v>14369</v>
      </c>
      <c r="Z17" s="19" t="s">
        <v>14370</v>
      </c>
      <c r="AA17" s="19" t="s">
        <v>14371</v>
      </c>
      <c r="AB17" s="19" t="s">
        <v>14372</v>
      </c>
      <c r="AC17" s="19" t="s">
        <v>14373</v>
      </c>
      <c r="AD17" s="19" t="s">
        <v>14386</v>
      </c>
      <c r="AE17" s="19" t="s">
        <v>14375</v>
      </c>
      <c r="AF17" s="19" t="s">
        <v>14376</v>
      </c>
      <c r="AG17" s="19" t="s">
        <v>14377</v>
      </c>
      <c r="AH17" s="19" t="s">
        <v>14378</v>
      </c>
      <c r="AI17" s="19" t="s">
        <v>14379</v>
      </c>
      <c r="AJ17" s="19" t="s">
        <v>14410</v>
      </c>
      <c r="AK17" s="19" t="s">
        <v>14381</v>
      </c>
      <c r="AL17" s="19" t="s">
        <v>14382</v>
      </c>
      <c r="AM17" s="19" t="s">
        <v>1119</v>
      </c>
      <c r="AN17" s="19" t="s">
        <v>436</v>
      </c>
      <c r="AO17" s="19" t="s">
        <v>14383</v>
      </c>
      <c r="AP17" s="19" t="s">
        <v>15</v>
      </c>
      <c r="AQ17" s="19" t="s">
        <v>1121</v>
      </c>
      <c r="AR17" s="19"/>
      <c r="AS17" s="19" t="s">
        <v>1122</v>
      </c>
      <c r="AT17" s="19"/>
      <c r="AU17" s="19" t="s">
        <v>14384</v>
      </c>
      <c r="AV17" s="19" t="s">
        <v>11</v>
      </c>
      <c r="AW17" s="19" t="s">
        <v>1124</v>
      </c>
      <c r="AX17" s="19"/>
      <c r="AY17" s="19" t="s">
        <v>1125</v>
      </c>
      <c r="AZ17" s="19"/>
      <c r="BA17" s="19" t="s">
        <v>14385</v>
      </c>
      <c r="BB17" s="19"/>
      <c r="BC17" s="19" t="s">
        <v>1127</v>
      </c>
      <c r="BD17" s="19"/>
      <c r="BE17" s="19" t="s">
        <v>1128</v>
      </c>
      <c r="BF17" s="19"/>
      <c r="BG17" s="19" t="s">
        <v>1129</v>
      </c>
      <c r="BH17" s="19" t="s">
        <v>437</v>
      </c>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row>
    <row r="18" spans="1:85" x14ac:dyDescent="0.4">
      <c r="A18" s="19" t="s">
        <v>269</v>
      </c>
      <c r="B18" s="19" t="s">
        <v>6</v>
      </c>
      <c r="C18" s="19" t="s">
        <v>1</v>
      </c>
      <c r="D18" s="19" t="s">
        <v>269</v>
      </c>
      <c r="E18" s="19" t="s">
        <v>17</v>
      </c>
      <c r="F18" s="19" t="s">
        <v>0</v>
      </c>
      <c r="G18" s="19" t="s">
        <v>270</v>
      </c>
      <c r="H18" s="19" t="s">
        <v>14392</v>
      </c>
      <c r="I18" s="19" t="s">
        <v>7</v>
      </c>
      <c r="J18" s="19"/>
      <c r="K18" s="19" t="s">
        <v>54</v>
      </c>
      <c r="L18" s="19"/>
      <c r="M18" s="19"/>
      <c r="N18" s="19" t="s">
        <v>107</v>
      </c>
      <c r="O18" s="19"/>
      <c r="P18" s="19"/>
      <c r="Q18" s="19" t="s">
        <v>13845</v>
      </c>
      <c r="R18" s="19"/>
      <c r="S18" s="19" t="s">
        <v>14366</v>
      </c>
      <c r="T18" s="19" t="s">
        <v>11</v>
      </c>
      <c r="U18" s="19" t="s">
        <v>14367</v>
      </c>
      <c r="V18" s="19" t="s">
        <v>11</v>
      </c>
      <c r="W18" s="19" t="s">
        <v>14368</v>
      </c>
      <c r="X18" s="19"/>
      <c r="Y18" s="19" t="s">
        <v>14369</v>
      </c>
      <c r="Z18" s="19" t="s">
        <v>14370</v>
      </c>
      <c r="AA18" s="19" t="s">
        <v>14371</v>
      </c>
      <c r="AB18" s="19" t="s">
        <v>14372</v>
      </c>
      <c r="AC18" s="19" t="s">
        <v>14373</v>
      </c>
      <c r="AD18" s="19" t="s">
        <v>14386</v>
      </c>
      <c r="AE18" s="19" t="s">
        <v>14375</v>
      </c>
      <c r="AF18" s="19" t="s">
        <v>3278</v>
      </c>
      <c r="AG18" s="19" t="s">
        <v>14377</v>
      </c>
      <c r="AH18" s="19" t="s">
        <v>14387</v>
      </c>
      <c r="AI18" s="19" t="s">
        <v>14379</v>
      </c>
      <c r="AJ18" s="19" t="s">
        <v>14399</v>
      </c>
      <c r="AK18" s="19" t="s">
        <v>14381</v>
      </c>
      <c r="AL18" s="19"/>
      <c r="AM18" s="19" t="s">
        <v>1119</v>
      </c>
      <c r="AN18" s="19" t="s">
        <v>271</v>
      </c>
      <c r="AO18" s="19" t="s">
        <v>14383</v>
      </c>
      <c r="AP18" s="19" t="s">
        <v>15</v>
      </c>
      <c r="AQ18" s="19" t="s">
        <v>1121</v>
      </c>
      <c r="AR18" s="19"/>
      <c r="AS18" s="19" t="s">
        <v>1122</v>
      </c>
      <c r="AT18" s="19"/>
      <c r="AU18" s="19" t="s">
        <v>14384</v>
      </c>
      <c r="AV18" s="19" t="s">
        <v>11</v>
      </c>
      <c r="AW18" s="19" t="s">
        <v>1124</v>
      </c>
      <c r="AX18" s="19"/>
      <c r="AY18" s="19" t="s">
        <v>1125</v>
      </c>
      <c r="AZ18" s="19"/>
      <c r="BA18" s="19" t="s">
        <v>14385</v>
      </c>
      <c r="BB18" s="19"/>
      <c r="BC18" s="19" t="s">
        <v>1127</v>
      </c>
      <c r="BD18" s="19"/>
      <c r="BE18" s="19" t="s">
        <v>1128</v>
      </c>
      <c r="BF18" s="19"/>
      <c r="BG18" s="19" t="s">
        <v>1129</v>
      </c>
      <c r="BH18" s="19" t="s">
        <v>272</v>
      </c>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row>
    <row r="19" spans="1:85" x14ac:dyDescent="0.4">
      <c r="A19" s="19" t="s">
        <v>297</v>
      </c>
      <c r="B19" s="19" t="s">
        <v>6</v>
      </c>
      <c r="C19" s="19" t="s">
        <v>1</v>
      </c>
      <c r="D19" s="19" t="s">
        <v>297</v>
      </c>
      <c r="E19" s="19" t="s">
        <v>17</v>
      </c>
      <c r="F19" s="19" t="s">
        <v>0</v>
      </c>
      <c r="G19" s="19" t="s">
        <v>298</v>
      </c>
      <c r="H19" s="19" t="s">
        <v>14392</v>
      </c>
      <c r="I19" s="19" t="s">
        <v>7</v>
      </c>
      <c r="J19" s="19"/>
      <c r="K19" s="19" t="s">
        <v>54</v>
      </c>
      <c r="L19" s="19"/>
      <c r="M19" s="19"/>
      <c r="N19" s="19" t="s">
        <v>244</v>
      </c>
      <c r="O19" s="19"/>
      <c r="P19" s="19"/>
      <c r="Q19" s="19" t="s">
        <v>13845</v>
      </c>
      <c r="R19" s="19"/>
      <c r="S19" s="19" t="s">
        <v>14366</v>
      </c>
      <c r="T19" s="19" t="s">
        <v>11</v>
      </c>
      <c r="U19" s="19" t="s">
        <v>14367</v>
      </c>
      <c r="V19" s="19" t="s">
        <v>11</v>
      </c>
      <c r="W19" s="19" t="s">
        <v>14368</v>
      </c>
      <c r="X19" s="19"/>
      <c r="Y19" s="19" t="s">
        <v>14369</v>
      </c>
      <c r="Z19" s="19" t="s">
        <v>14370</v>
      </c>
      <c r="AA19" s="19" t="s">
        <v>14371</v>
      </c>
      <c r="AB19" s="19" t="s">
        <v>14372</v>
      </c>
      <c r="AC19" s="19" t="s">
        <v>14373</v>
      </c>
      <c r="AD19" s="19" t="s">
        <v>10021</v>
      </c>
      <c r="AE19" s="19" t="s">
        <v>14375</v>
      </c>
      <c r="AF19" s="19" t="s">
        <v>14376</v>
      </c>
      <c r="AG19" s="19" t="s">
        <v>14377</v>
      </c>
      <c r="AH19" s="19" t="s">
        <v>13326</v>
      </c>
      <c r="AI19" s="19" t="s">
        <v>14379</v>
      </c>
      <c r="AJ19" s="19" t="s">
        <v>14391</v>
      </c>
      <c r="AK19" s="19" t="s">
        <v>14381</v>
      </c>
      <c r="AL19" s="19"/>
      <c r="AM19" s="19" t="s">
        <v>1119</v>
      </c>
      <c r="AN19" s="19" t="s">
        <v>299</v>
      </c>
      <c r="AO19" s="19" t="s">
        <v>14383</v>
      </c>
      <c r="AP19" s="19" t="s">
        <v>15</v>
      </c>
      <c r="AQ19" s="19" t="s">
        <v>1121</v>
      </c>
      <c r="AR19" s="19"/>
      <c r="AS19" s="19" t="s">
        <v>1122</v>
      </c>
      <c r="AT19" s="19"/>
      <c r="AU19" s="19" t="s">
        <v>14384</v>
      </c>
      <c r="AV19" s="19" t="s">
        <v>11</v>
      </c>
      <c r="AW19" s="19" t="s">
        <v>1124</v>
      </c>
      <c r="AX19" s="19"/>
      <c r="AY19" s="19" t="s">
        <v>1125</v>
      </c>
      <c r="AZ19" s="19"/>
      <c r="BA19" s="19" t="s">
        <v>14385</v>
      </c>
      <c r="BB19" s="19"/>
      <c r="BC19" s="19" t="s">
        <v>1127</v>
      </c>
      <c r="BD19" s="19"/>
      <c r="BE19" s="19" t="s">
        <v>1128</v>
      </c>
      <c r="BF19" s="19"/>
      <c r="BG19" s="19" t="s">
        <v>1129</v>
      </c>
      <c r="BH19" s="19" t="s">
        <v>300</v>
      </c>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row>
    <row r="20" spans="1:85" x14ac:dyDescent="0.4">
      <c r="A20" s="19" t="s">
        <v>449</v>
      </c>
      <c r="B20" s="19" t="s">
        <v>6</v>
      </c>
      <c r="C20" s="19" t="s">
        <v>1</v>
      </c>
      <c r="D20" s="19" t="s">
        <v>449</v>
      </c>
      <c r="E20" s="19" t="s">
        <v>17</v>
      </c>
      <c r="F20" s="19" t="s">
        <v>0</v>
      </c>
      <c r="G20" s="19" t="s">
        <v>450</v>
      </c>
      <c r="H20" s="19" t="s">
        <v>14365</v>
      </c>
      <c r="I20" s="19" t="s">
        <v>7</v>
      </c>
      <c r="J20" s="19" t="s">
        <v>2</v>
      </c>
      <c r="K20" s="19" t="s">
        <v>134</v>
      </c>
      <c r="L20" s="19"/>
      <c r="M20" s="19"/>
      <c r="N20" s="19" t="s">
        <v>454</v>
      </c>
      <c r="O20" s="19"/>
      <c r="P20" s="19"/>
      <c r="Q20" s="19" t="s">
        <v>13845</v>
      </c>
      <c r="R20" s="19"/>
      <c r="S20" s="19" t="s">
        <v>14366</v>
      </c>
      <c r="T20" s="19" t="s">
        <v>11</v>
      </c>
      <c r="U20" s="19" t="s">
        <v>14367</v>
      </c>
      <c r="V20" s="19"/>
      <c r="W20" s="19" t="s">
        <v>14368</v>
      </c>
      <c r="X20" s="19"/>
      <c r="Y20" s="19" t="s">
        <v>14369</v>
      </c>
      <c r="Z20" s="19" t="s">
        <v>14370</v>
      </c>
      <c r="AA20" s="19" t="s">
        <v>14371</v>
      </c>
      <c r="AB20" s="19" t="s">
        <v>14372</v>
      </c>
      <c r="AC20" s="19" t="s">
        <v>14373</v>
      </c>
      <c r="AD20" s="19" t="s">
        <v>14394</v>
      </c>
      <c r="AE20" s="19" t="s">
        <v>14375</v>
      </c>
      <c r="AF20" s="19" t="s">
        <v>14389</v>
      </c>
      <c r="AG20" s="19" t="s">
        <v>14377</v>
      </c>
      <c r="AH20" s="19" t="s">
        <v>14390</v>
      </c>
      <c r="AI20" s="19" t="s">
        <v>14379</v>
      </c>
      <c r="AJ20" s="19" t="s">
        <v>14399</v>
      </c>
      <c r="AK20" s="19" t="s">
        <v>14381</v>
      </c>
      <c r="AL20" s="19" t="s">
        <v>14382</v>
      </c>
      <c r="AM20" s="19" t="s">
        <v>1119</v>
      </c>
      <c r="AN20" s="19" t="s">
        <v>451</v>
      </c>
      <c r="AO20" s="19" t="s">
        <v>14383</v>
      </c>
      <c r="AP20" s="19" t="s">
        <v>19</v>
      </c>
      <c r="AQ20" s="19" t="s">
        <v>1121</v>
      </c>
      <c r="AR20" s="19"/>
      <c r="AS20" s="19" t="s">
        <v>1122</v>
      </c>
      <c r="AT20" s="19"/>
      <c r="AU20" s="19" t="s">
        <v>14384</v>
      </c>
      <c r="AV20" s="19" t="s">
        <v>11</v>
      </c>
      <c r="AW20" s="19" t="s">
        <v>1124</v>
      </c>
      <c r="AX20" s="19"/>
      <c r="AY20" s="19" t="s">
        <v>1125</v>
      </c>
      <c r="AZ20" s="19"/>
      <c r="BA20" s="19" t="s">
        <v>14385</v>
      </c>
      <c r="BB20" s="19"/>
      <c r="BC20" s="19" t="s">
        <v>1127</v>
      </c>
      <c r="BD20" s="19"/>
      <c r="BE20" s="19" t="s">
        <v>1128</v>
      </c>
      <c r="BF20" s="19"/>
      <c r="BG20" s="19" t="s">
        <v>1129</v>
      </c>
      <c r="BH20" s="19" t="s">
        <v>452</v>
      </c>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row>
    <row r="21" spans="1:85" x14ac:dyDescent="0.4">
      <c r="A21" s="19" t="s">
        <v>457</v>
      </c>
      <c r="B21" s="19" t="s">
        <v>6</v>
      </c>
      <c r="C21" s="19" t="s">
        <v>1</v>
      </c>
      <c r="D21" s="19" t="s">
        <v>457</v>
      </c>
      <c r="E21" s="19" t="s">
        <v>17</v>
      </c>
      <c r="F21" s="19" t="s">
        <v>0</v>
      </c>
      <c r="G21" s="19" t="s">
        <v>458</v>
      </c>
      <c r="H21" s="19" t="s">
        <v>14365</v>
      </c>
      <c r="I21" s="19" t="s">
        <v>4</v>
      </c>
      <c r="J21" s="19" t="s">
        <v>2</v>
      </c>
      <c r="K21" s="19" t="s">
        <v>160</v>
      </c>
      <c r="L21" s="19"/>
      <c r="M21" s="19"/>
      <c r="N21" s="19" t="s">
        <v>454</v>
      </c>
      <c r="O21" s="19"/>
      <c r="P21" s="19"/>
      <c r="Q21" s="19" t="s">
        <v>13845</v>
      </c>
      <c r="R21" s="19"/>
      <c r="S21" s="19" t="s">
        <v>14366</v>
      </c>
      <c r="T21" s="19" t="s">
        <v>11</v>
      </c>
      <c r="U21" s="19" t="s">
        <v>14367</v>
      </c>
      <c r="V21" s="19"/>
      <c r="W21" s="19" t="s">
        <v>14368</v>
      </c>
      <c r="X21" s="19"/>
      <c r="Y21" s="19" t="s">
        <v>14369</v>
      </c>
      <c r="Z21" s="19" t="s">
        <v>14370</v>
      </c>
      <c r="AA21" s="19" t="s">
        <v>14371</v>
      </c>
      <c r="AB21" s="19" t="s">
        <v>10021</v>
      </c>
      <c r="AC21" s="19" t="s">
        <v>14373</v>
      </c>
      <c r="AD21" s="19" t="s">
        <v>14386</v>
      </c>
      <c r="AE21" s="19" t="s">
        <v>14375</v>
      </c>
      <c r="AF21" s="19" t="s">
        <v>14387</v>
      </c>
      <c r="AG21" s="19" t="s">
        <v>14377</v>
      </c>
      <c r="AH21" s="19" t="s">
        <v>14388</v>
      </c>
      <c r="AI21" s="19" t="s">
        <v>14379</v>
      </c>
      <c r="AJ21" s="19" t="s">
        <v>14411</v>
      </c>
      <c r="AK21" s="19" t="s">
        <v>14381</v>
      </c>
      <c r="AL21" s="19" t="s">
        <v>14382</v>
      </c>
      <c r="AM21" s="19" t="s">
        <v>1119</v>
      </c>
      <c r="AN21" s="19" t="s">
        <v>459</v>
      </c>
      <c r="AO21" s="19" t="s">
        <v>14383</v>
      </c>
      <c r="AP21" s="19" t="s">
        <v>19</v>
      </c>
      <c r="AQ21" s="19" t="s">
        <v>1121</v>
      </c>
      <c r="AR21" s="19"/>
      <c r="AS21" s="19" t="s">
        <v>1122</v>
      </c>
      <c r="AT21" s="19"/>
      <c r="AU21" s="19" t="s">
        <v>14384</v>
      </c>
      <c r="AV21" s="19" t="s">
        <v>11</v>
      </c>
      <c r="AW21" s="19" t="s">
        <v>1124</v>
      </c>
      <c r="AX21" s="19"/>
      <c r="AY21" s="19" t="s">
        <v>1125</v>
      </c>
      <c r="AZ21" s="19"/>
      <c r="BA21" s="19" t="s">
        <v>14385</v>
      </c>
      <c r="BB21" s="19"/>
      <c r="BC21" s="19" t="s">
        <v>1127</v>
      </c>
      <c r="BD21" s="19"/>
      <c r="BE21" s="19" t="s">
        <v>1128</v>
      </c>
      <c r="BF21" s="19"/>
      <c r="BG21" s="19" t="s">
        <v>1129</v>
      </c>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row>
    <row r="22" spans="1:85" x14ac:dyDescent="0.4">
      <c r="A22" s="19" t="s">
        <v>464</v>
      </c>
      <c r="B22" s="19" t="s">
        <v>6</v>
      </c>
      <c r="C22" s="19" t="s">
        <v>1</v>
      </c>
      <c r="D22" s="19" t="s">
        <v>464</v>
      </c>
      <c r="E22" s="19" t="s">
        <v>17</v>
      </c>
      <c r="F22" s="19" t="s">
        <v>0</v>
      </c>
      <c r="G22" s="19" t="s">
        <v>465</v>
      </c>
      <c r="H22" s="19" t="s">
        <v>14365</v>
      </c>
      <c r="I22" s="19" t="s">
        <v>4</v>
      </c>
      <c r="J22" s="19" t="s">
        <v>2</v>
      </c>
      <c r="K22" s="19" t="s">
        <v>160</v>
      </c>
      <c r="L22" s="19"/>
      <c r="M22" s="19"/>
      <c r="N22" s="19" t="s">
        <v>420</v>
      </c>
      <c r="O22" s="19"/>
      <c r="P22" s="19"/>
      <c r="Q22" s="19" t="s">
        <v>13845</v>
      </c>
      <c r="R22" s="19"/>
      <c r="S22" s="19" t="s">
        <v>14366</v>
      </c>
      <c r="T22" s="19" t="s">
        <v>11</v>
      </c>
      <c r="U22" s="19" t="s">
        <v>14367</v>
      </c>
      <c r="V22" s="19"/>
      <c r="W22" s="19" t="s">
        <v>14368</v>
      </c>
      <c r="X22" s="19"/>
      <c r="Y22" s="19" t="s">
        <v>14369</v>
      </c>
      <c r="Z22" s="19" t="s">
        <v>14370</v>
      </c>
      <c r="AA22" s="19" t="s">
        <v>14371</v>
      </c>
      <c r="AB22" s="19" t="s">
        <v>14372</v>
      </c>
      <c r="AC22" s="19" t="s">
        <v>14373</v>
      </c>
      <c r="AD22" s="19" t="s">
        <v>14412</v>
      </c>
      <c r="AE22" s="19" t="s">
        <v>14375</v>
      </c>
      <c r="AF22" s="19" t="s">
        <v>14387</v>
      </c>
      <c r="AG22" s="19" t="s">
        <v>14377</v>
      </c>
      <c r="AH22" s="19" t="s">
        <v>14388</v>
      </c>
      <c r="AI22" s="19" t="s">
        <v>14379</v>
      </c>
      <c r="AJ22" s="19" t="s">
        <v>14398</v>
      </c>
      <c r="AK22" s="19" t="s">
        <v>14381</v>
      </c>
      <c r="AL22" s="19"/>
      <c r="AM22" s="19" t="s">
        <v>1119</v>
      </c>
      <c r="AN22" s="19" t="s">
        <v>466</v>
      </c>
      <c r="AO22" s="19" t="s">
        <v>14383</v>
      </c>
      <c r="AP22" s="19" t="s">
        <v>15</v>
      </c>
      <c r="AQ22" s="19" t="s">
        <v>1121</v>
      </c>
      <c r="AR22" s="19"/>
      <c r="AS22" s="19" t="s">
        <v>1122</v>
      </c>
      <c r="AT22" s="19"/>
      <c r="AU22" s="19" t="s">
        <v>14384</v>
      </c>
      <c r="AV22" s="19" t="s">
        <v>11</v>
      </c>
      <c r="AW22" s="19" t="s">
        <v>1124</v>
      </c>
      <c r="AX22" s="19"/>
      <c r="AY22" s="19" t="s">
        <v>1125</v>
      </c>
      <c r="AZ22" s="19"/>
      <c r="BA22" s="19" t="s">
        <v>14385</v>
      </c>
      <c r="BB22" s="19"/>
      <c r="BC22" s="19" t="s">
        <v>1127</v>
      </c>
      <c r="BD22" s="19"/>
      <c r="BE22" s="19" t="s">
        <v>1128</v>
      </c>
      <c r="BF22" s="19"/>
      <c r="BG22" s="19" t="s">
        <v>1129</v>
      </c>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row>
    <row r="23" spans="1:85" x14ac:dyDescent="0.4">
      <c r="A23" s="19" t="s">
        <v>469</v>
      </c>
      <c r="B23" s="19" t="s">
        <v>6</v>
      </c>
      <c r="C23" s="19" t="s">
        <v>1</v>
      </c>
      <c r="D23" s="19" t="s">
        <v>469</v>
      </c>
      <c r="E23" s="19" t="s">
        <v>17</v>
      </c>
      <c r="F23" s="19" t="s">
        <v>0</v>
      </c>
      <c r="G23" s="19" t="s">
        <v>470</v>
      </c>
      <c r="H23" s="19" t="s">
        <v>14365</v>
      </c>
      <c r="I23" s="19" t="s">
        <v>4</v>
      </c>
      <c r="J23" s="19" t="s">
        <v>2</v>
      </c>
      <c r="K23" s="19" t="s">
        <v>160</v>
      </c>
      <c r="L23" s="19"/>
      <c r="M23" s="19"/>
      <c r="N23" s="19" t="s">
        <v>472</v>
      </c>
      <c r="O23" s="19"/>
      <c r="P23" s="19"/>
      <c r="Q23" s="19" t="s">
        <v>13845</v>
      </c>
      <c r="R23" s="19"/>
      <c r="S23" s="19" t="s">
        <v>14366</v>
      </c>
      <c r="T23" s="19" t="s">
        <v>11</v>
      </c>
      <c r="U23" s="19" t="s">
        <v>14367</v>
      </c>
      <c r="V23" s="19"/>
      <c r="W23" s="19" t="s">
        <v>14368</v>
      </c>
      <c r="X23" s="19"/>
      <c r="Y23" s="19" t="s">
        <v>14369</v>
      </c>
      <c r="Z23" s="19" t="s">
        <v>14370</v>
      </c>
      <c r="AA23" s="19" t="s">
        <v>14371</v>
      </c>
      <c r="AB23" s="19" t="s">
        <v>14372</v>
      </c>
      <c r="AC23" s="19" t="s">
        <v>14373</v>
      </c>
      <c r="AD23" s="19" t="s">
        <v>14394</v>
      </c>
      <c r="AE23" s="19" t="s">
        <v>14375</v>
      </c>
      <c r="AF23" s="19" t="s">
        <v>14378</v>
      </c>
      <c r="AG23" s="19" t="s">
        <v>14377</v>
      </c>
      <c r="AH23" s="19" t="s">
        <v>14413</v>
      </c>
      <c r="AI23" s="19" t="s">
        <v>14379</v>
      </c>
      <c r="AJ23" s="19" t="s">
        <v>14414</v>
      </c>
      <c r="AK23" s="19" t="s">
        <v>14381</v>
      </c>
      <c r="AL23" s="19"/>
      <c r="AM23" s="19" t="s">
        <v>1119</v>
      </c>
      <c r="AN23" s="19" t="s">
        <v>471</v>
      </c>
      <c r="AO23" s="19" t="s">
        <v>14383</v>
      </c>
      <c r="AP23" s="19" t="s">
        <v>15</v>
      </c>
      <c r="AQ23" s="19" t="s">
        <v>1121</v>
      </c>
      <c r="AR23" s="19"/>
      <c r="AS23" s="19" t="s">
        <v>1122</v>
      </c>
      <c r="AT23" s="19"/>
      <c r="AU23" s="19" t="s">
        <v>14384</v>
      </c>
      <c r="AV23" s="19" t="s">
        <v>11</v>
      </c>
      <c r="AW23" s="19" t="s">
        <v>1124</v>
      </c>
      <c r="AX23" s="19"/>
      <c r="AY23" s="19" t="s">
        <v>1125</v>
      </c>
      <c r="AZ23" s="19"/>
      <c r="BA23" s="19" t="s">
        <v>14385</v>
      </c>
      <c r="BB23" s="19"/>
      <c r="BC23" s="19" t="s">
        <v>1127</v>
      </c>
      <c r="BD23" s="19"/>
      <c r="BE23" s="19" t="s">
        <v>1128</v>
      </c>
      <c r="BF23" s="19"/>
      <c r="BG23" s="19" t="s">
        <v>1129</v>
      </c>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row>
    <row r="24" spans="1:85" x14ac:dyDescent="0.4">
      <c r="A24" s="19" t="s">
        <v>186</v>
      </c>
      <c r="B24" s="19" t="s">
        <v>6</v>
      </c>
      <c r="C24" s="19" t="s">
        <v>1</v>
      </c>
      <c r="D24" s="19" t="s">
        <v>186</v>
      </c>
      <c r="E24" s="19" t="s">
        <v>17</v>
      </c>
      <c r="F24" s="19" t="s">
        <v>0</v>
      </c>
      <c r="G24" s="19" t="s">
        <v>187</v>
      </c>
      <c r="H24" s="19" t="s">
        <v>14415</v>
      </c>
      <c r="I24" s="19" t="s">
        <v>4</v>
      </c>
      <c r="J24" s="19"/>
      <c r="K24" s="19" t="s">
        <v>78</v>
      </c>
      <c r="L24" s="19"/>
      <c r="M24" s="19"/>
      <c r="N24" s="19" t="s">
        <v>190</v>
      </c>
      <c r="O24" s="19"/>
      <c r="P24" s="19"/>
      <c r="Q24" s="19" t="s">
        <v>13845</v>
      </c>
      <c r="R24" s="19"/>
      <c r="S24" s="19" t="s">
        <v>14366</v>
      </c>
      <c r="T24" s="19" t="s">
        <v>11</v>
      </c>
      <c r="U24" s="19" t="s">
        <v>14367</v>
      </c>
      <c r="V24" s="19" t="s">
        <v>11</v>
      </c>
      <c r="W24" s="19" t="s">
        <v>14368</v>
      </c>
      <c r="X24" s="19"/>
      <c r="Y24" s="19" t="s">
        <v>14369</v>
      </c>
      <c r="Z24" s="19"/>
      <c r="AA24" s="19" t="s">
        <v>14371</v>
      </c>
      <c r="AB24" s="19" t="s">
        <v>14372</v>
      </c>
      <c r="AC24" s="19" t="s">
        <v>14373</v>
      </c>
      <c r="AD24" s="19" t="s">
        <v>14416</v>
      </c>
      <c r="AE24" s="19" t="s">
        <v>14375</v>
      </c>
      <c r="AF24" s="19" t="s">
        <v>14417</v>
      </c>
      <c r="AG24" s="19" t="s">
        <v>14377</v>
      </c>
      <c r="AH24" s="19" t="s">
        <v>14418</v>
      </c>
      <c r="AI24" s="19" t="s">
        <v>14379</v>
      </c>
      <c r="AJ24" s="19" t="s">
        <v>14398</v>
      </c>
      <c r="AK24" s="19" t="s">
        <v>14381</v>
      </c>
      <c r="AL24" s="19" t="s">
        <v>14382</v>
      </c>
      <c r="AM24" s="19" t="s">
        <v>1119</v>
      </c>
      <c r="AN24" s="19" t="s">
        <v>188</v>
      </c>
      <c r="AO24" s="19" t="s">
        <v>14383</v>
      </c>
      <c r="AP24" s="19" t="s">
        <v>15</v>
      </c>
      <c r="AQ24" s="19" t="s">
        <v>1121</v>
      </c>
      <c r="AR24" s="19"/>
      <c r="AS24" s="19" t="s">
        <v>1122</v>
      </c>
      <c r="AT24" s="19"/>
      <c r="AU24" s="19" t="s">
        <v>14384</v>
      </c>
      <c r="AV24" s="19" t="s">
        <v>11</v>
      </c>
      <c r="AW24" s="19" t="s">
        <v>1124</v>
      </c>
      <c r="AX24" s="19"/>
      <c r="AY24" s="19" t="s">
        <v>1125</v>
      </c>
      <c r="AZ24" s="19"/>
      <c r="BA24" s="19" t="s">
        <v>14385</v>
      </c>
      <c r="BB24" s="19"/>
      <c r="BC24" s="19" t="s">
        <v>1127</v>
      </c>
      <c r="BD24" s="19"/>
      <c r="BE24" s="19" t="s">
        <v>1128</v>
      </c>
      <c r="BF24" s="19" t="s">
        <v>185</v>
      </c>
      <c r="BG24" s="19" t="s">
        <v>1129</v>
      </c>
      <c r="BH24" s="19" t="s">
        <v>189</v>
      </c>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row>
    <row r="25" spans="1:85" x14ac:dyDescent="0.4">
      <c r="A25" s="19" t="s">
        <v>482</v>
      </c>
      <c r="B25" s="19" t="s">
        <v>6</v>
      </c>
      <c r="C25" s="19" t="s">
        <v>1</v>
      </c>
      <c r="D25" s="19" t="s">
        <v>482</v>
      </c>
      <c r="E25" s="19" t="s">
        <v>17</v>
      </c>
      <c r="F25" s="19" t="s">
        <v>0</v>
      </c>
      <c r="G25" s="19" t="s">
        <v>483</v>
      </c>
      <c r="H25" s="19" t="s">
        <v>14365</v>
      </c>
      <c r="I25" s="19" t="s">
        <v>4</v>
      </c>
      <c r="J25" s="19" t="s">
        <v>2</v>
      </c>
      <c r="K25" s="19" t="s">
        <v>63</v>
      </c>
      <c r="L25" s="19"/>
      <c r="M25" s="19"/>
      <c r="N25" s="19" t="s">
        <v>294</v>
      </c>
      <c r="O25" s="19"/>
      <c r="P25" s="19"/>
      <c r="Q25" s="19" t="s">
        <v>13845</v>
      </c>
      <c r="R25" s="19"/>
      <c r="S25" s="19" t="s">
        <v>14366</v>
      </c>
      <c r="T25" s="19" t="s">
        <v>11</v>
      </c>
      <c r="U25" s="19" t="s">
        <v>14367</v>
      </c>
      <c r="V25" s="19"/>
      <c r="W25" s="19" t="s">
        <v>14368</v>
      </c>
      <c r="X25" s="19"/>
      <c r="Y25" s="19" t="s">
        <v>14369</v>
      </c>
      <c r="Z25" s="19" t="s">
        <v>14370</v>
      </c>
      <c r="AA25" s="19" t="s">
        <v>14371</v>
      </c>
      <c r="AB25" s="19" t="s">
        <v>14372</v>
      </c>
      <c r="AC25" s="19" t="s">
        <v>14373</v>
      </c>
      <c r="AD25" s="19" t="s">
        <v>14412</v>
      </c>
      <c r="AE25" s="19" t="s">
        <v>14375</v>
      </c>
      <c r="AF25" s="19" t="s">
        <v>14387</v>
      </c>
      <c r="AG25" s="19" t="s">
        <v>14377</v>
      </c>
      <c r="AH25" s="19" t="s">
        <v>14398</v>
      </c>
      <c r="AI25" s="19" t="s">
        <v>14379</v>
      </c>
      <c r="AJ25" s="19" t="s">
        <v>14419</v>
      </c>
      <c r="AK25" s="19" t="s">
        <v>14381</v>
      </c>
      <c r="AL25" s="19" t="s">
        <v>14420</v>
      </c>
      <c r="AM25" s="19" t="s">
        <v>1119</v>
      </c>
      <c r="AN25" s="19" t="s">
        <v>484</v>
      </c>
      <c r="AO25" s="19" t="s">
        <v>14383</v>
      </c>
      <c r="AP25" s="19" t="s">
        <v>15</v>
      </c>
      <c r="AQ25" s="19" t="s">
        <v>1121</v>
      </c>
      <c r="AR25" s="19"/>
      <c r="AS25" s="19" t="s">
        <v>1122</v>
      </c>
      <c r="AT25" s="19"/>
      <c r="AU25" s="19" t="s">
        <v>14384</v>
      </c>
      <c r="AV25" s="19" t="s">
        <v>11</v>
      </c>
      <c r="AW25" s="19" t="s">
        <v>1124</v>
      </c>
      <c r="AX25" s="19"/>
      <c r="AY25" s="19" t="s">
        <v>1125</v>
      </c>
      <c r="AZ25" s="19"/>
      <c r="BA25" s="19" t="s">
        <v>14385</v>
      </c>
      <c r="BB25" s="19"/>
      <c r="BC25" s="19" t="s">
        <v>1127</v>
      </c>
      <c r="BD25" s="19"/>
      <c r="BE25" s="19" t="s">
        <v>1128</v>
      </c>
      <c r="BF25" s="19"/>
      <c r="BG25" s="19" t="s">
        <v>1129</v>
      </c>
      <c r="BH25" s="19" t="s">
        <v>485</v>
      </c>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row>
    <row r="26" spans="1:85" x14ac:dyDescent="0.4">
      <c r="A26" s="19" t="s">
        <v>489</v>
      </c>
      <c r="B26" s="19" t="s">
        <v>6</v>
      </c>
      <c r="C26" s="19" t="s">
        <v>1</v>
      </c>
      <c r="D26" s="19" t="s">
        <v>489</v>
      </c>
      <c r="E26" s="19" t="s">
        <v>17</v>
      </c>
      <c r="F26" s="19" t="s">
        <v>0</v>
      </c>
      <c r="G26" s="19" t="s">
        <v>490</v>
      </c>
      <c r="H26" s="19" t="s">
        <v>14365</v>
      </c>
      <c r="I26" s="19" t="s">
        <v>7</v>
      </c>
      <c r="J26" s="19" t="s">
        <v>2</v>
      </c>
      <c r="K26" s="19" t="s">
        <v>211</v>
      </c>
      <c r="L26" s="19"/>
      <c r="M26" s="19"/>
      <c r="N26" s="19" t="s">
        <v>294</v>
      </c>
      <c r="O26" s="19"/>
      <c r="P26" s="19"/>
      <c r="Q26" s="19" t="s">
        <v>13845</v>
      </c>
      <c r="R26" s="19"/>
      <c r="S26" s="19" t="s">
        <v>14366</v>
      </c>
      <c r="T26" s="19" t="s">
        <v>11</v>
      </c>
      <c r="U26" s="19" t="s">
        <v>14367</v>
      </c>
      <c r="V26" s="19"/>
      <c r="W26" s="19" t="s">
        <v>14368</v>
      </c>
      <c r="X26" s="19"/>
      <c r="Y26" s="19" t="s">
        <v>14369</v>
      </c>
      <c r="Z26" s="19" t="s">
        <v>14370</v>
      </c>
      <c r="AA26" s="19" t="s">
        <v>14371</v>
      </c>
      <c r="AB26" s="19" t="s">
        <v>10021</v>
      </c>
      <c r="AC26" s="19" t="s">
        <v>14373</v>
      </c>
      <c r="AD26" s="19" t="s">
        <v>10021</v>
      </c>
      <c r="AE26" s="19" t="s">
        <v>14375</v>
      </c>
      <c r="AF26" s="19" t="s">
        <v>14378</v>
      </c>
      <c r="AG26" s="19" t="s">
        <v>14377</v>
      </c>
      <c r="AH26" s="19" t="s">
        <v>14413</v>
      </c>
      <c r="AI26" s="19" t="s">
        <v>14379</v>
      </c>
      <c r="AJ26" s="19" t="s">
        <v>14421</v>
      </c>
      <c r="AK26" s="19" t="s">
        <v>14381</v>
      </c>
      <c r="AL26" s="19"/>
      <c r="AM26" s="19" t="s">
        <v>1119</v>
      </c>
      <c r="AN26" s="19" t="s">
        <v>491</v>
      </c>
      <c r="AO26" s="19" t="s">
        <v>14383</v>
      </c>
      <c r="AP26" s="19" t="s">
        <v>15</v>
      </c>
      <c r="AQ26" s="19" t="s">
        <v>1121</v>
      </c>
      <c r="AR26" s="19"/>
      <c r="AS26" s="19" t="s">
        <v>1122</v>
      </c>
      <c r="AT26" s="19"/>
      <c r="AU26" s="19" t="s">
        <v>14384</v>
      </c>
      <c r="AV26" s="19" t="s">
        <v>11</v>
      </c>
      <c r="AW26" s="19" t="s">
        <v>1124</v>
      </c>
      <c r="AX26" s="19"/>
      <c r="AY26" s="19" t="s">
        <v>1125</v>
      </c>
      <c r="AZ26" s="19"/>
      <c r="BA26" s="19" t="s">
        <v>14385</v>
      </c>
      <c r="BB26" s="19"/>
      <c r="BC26" s="19" t="s">
        <v>1127</v>
      </c>
      <c r="BD26" s="19"/>
      <c r="BE26" s="19" t="s">
        <v>1128</v>
      </c>
      <c r="BF26" s="19"/>
      <c r="BG26" s="19" t="s">
        <v>1129</v>
      </c>
      <c r="BH26" s="19" t="s">
        <v>492</v>
      </c>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row>
    <row r="27" spans="1:85" x14ac:dyDescent="0.4">
      <c r="A27" s="19" t="s">
        <v>505</v>
      </c>
      <c r="B27" s="19" t="s">
        <v>6</v>
      </c>
      <c r="C27" s="19" t="s">
        <v>1</v>
      </c>
      <c r="D27" s="19" t="s">
        <v>505</v>
      </c>
      <c r="E27" s="19" t="s">
        <v>17</v>
      </c>
      <c r="F27" s="19" t="s">
        <v>0</v>
      </c>
      <c r="G27" s="19" t="s">
        <v>506</v>
      </c>
      <c r="H27" s="19" t="s">
        <v>14365</v>
      </c>
      <c r="I27" s="19" t="s">
        <v>4</v>
      </c>
      <c r="J27" s="19" t="s">
        <v>2</v>
      </c>
      <c r="K27" s="19" t="s">
        <v>211</v>
      </c>
      <c r="L27" s="19"/>
      <c r="M27" s="19"/>
      <c r="N27" s="19" t="s">
        <v>509</v>
      </c>
      <c r="O27" s="19"/>
      <c r="P27" s="19"/>
      <c r="Q27" s="19" t="s">
        <v>13845</v>
      </c>
      <c r="R27" s="19"/>
      <c r="S27" s="19" t="s">
        <v>14366</v>
      </c>
      <c r="T27" s="19" t="s">
        <v>11</v>
      </c>
      <c r="U27" s="19" t="s">
        <v>14367</v>
      </c>
      <c r="V27" s="19"/>
      <c r="W27" s="19" t="s">
        <v>14368</v>
      </c>
      <c r="X27" s="19"/>
      <c r="Y27" s="19" t="s">
        <v>14369</v>
      </c>
      <c r="Z27" s="19" t="s">
        <v>14370</v>
      </c>
      <c r="AA27" s="19" t="s">
        <v>14371</v>
      </c>
      <c r="AB27" s="19" t="s">
        <v>14372</v>
      </c>
      <c r="AC27" s="19" t="s">
        <v>14373</v>
      </c>
      <c r="AD27" s="19" t="s">
        <v>14412</v>
      </c>
      <c r="AE27" s="19" t="s">
        <v>14375</v>
      </c>
      <c r="AF27" s="19" t="s">
        <v>14387</v>
      </c>
      <c r="AG27" s="19" t="s">
        <v>14377</v>
      </c>
      <c r="AH27" s="19" t="s">
        <v>14388</v>
      </c>
      <c r="AI27" s="19" t="s">
        <v>14379</v>
      </c>
      <c r="AJ27" s="19" t="s">
        <v>14410</v>
      </c>
      <c r="AK27" s="19" t="s">
        <v>14381</v>
      </c>
      <c r="AL27" s="19"/>
      <c r="AM27" s="19" t="s">
        <v>1119</v>
      </c>
      <c r="AN27" s="19" t="s">
        <v>507</v>
      </c>
      <c r="AO27" s="19" t="s">
        <v>14383</v>
      </c>
      <c r="AP27" s="19" t="s">
        <v>15</v>
      </c>
      <c r="AQ27" s="19" t="s">
        <v>1121</v>
      </c>
      <c r="AR27" s="19"/>
      <c r="AS27" s="19" t="s">
        <v>1122</v>
      </c>
      <c r="AT27" s="19"/>
      <c r="AU27" s="19" t="s">
        <v>14384</v>
      </c>
      <c r="AV27" s="19" t="s">
        <v>11</v>
      </c>
      <c r="AW27" s="19" t="s">
        <v>1124</v>
      </c>
      <c r="AX27" s="19"/>
      <c r="AY27" s="19" t="s">
        <v>1125</v>
      </c>
      <c r="AZ27" s="19"/>
      <c r="BA27" s="19" t="s">
        <v>14385</v>
      </c>
      <c r="BB27" s="19"/>
      <c r="BC27" s="19" t="s">
        <v>1127</v>
      </c>
      <c r="BD27" s="19"/>
      <c r="BE27" s="19" t="s">
        <v>1128</v>
      </c>
      <c r="BF27" s="19"/>
      <c r="BG27" s="19" t="s">
        <v>1129</v>
      </c>
      <c r="BH27" s="19" t="s">
        <v>508</v>
      </c>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row>
    <row r="28" spans="1:85" x14ac:dyDescent="0.4">
      <c r="A28" s="19" t="s">
        <v>525</v>
      </c>
      <c r="B28" s="19" t="s">
        <v>6</v>
      </c>
      <c r="C28" s="19" t="s">
        <v>1</v>
      </c>
      <c r="D28" s="19" t="s">
        <v>525</v>
      </c>
      <c r="E28" s="19" t="s">
        <v>17</v>
      </c>
      <c r="F28" s="19" t="s">
        <v>0</v>
      </c>
      <c r="G28" s="19" t="s">
        <v>526</v>
      </c>
      <c r="H28" s="19" t="s">
        <v>14365</v>
      </c>
      <c r="I28" s="19" t="s">
        <v>4</v>
      </c>
      <c r="J28" s="19" t="s">
        <v>2</v>
      </c>
      <c r="K28" s="19" t="s">
        <v>54</v>
      </c>
      <c r="L28" s="19"/>
      <c r="M28" s="19"/>
      <c r="N28" s="19" t="s">
        <v>529</v>
      </c>
      <c r="O28" s="19"/>
      <c r="P28" s="19"/>
      <c r="Q28" s="19" t="s">
        <v>13845</v>
      </c>
      <c r="R28" s="19"/>
      <c r="S28" s="19" t="s">
        <v>14366</v>
      </c>
      <c r="T28" s="19" t="s">
        <v>11</v>
      </c>
      <c r="U28" s="19" t="s">
        <v>14367</v>
      </c>
      <c r="V28" s="19"/>
      <c r="W28" s="19" t="s">
        <v>14368</v>
      </c>
      <c r="X28" s="19"/>
      <c r="Y28" s="19" t="s">
        <v>14369</v>
      </c>
      <c r="Z28" s="19" t="s">
        <v>14370</v>
      </c>
      <c r="AA28" s="19" t="s">
        <v>14371</v>
      </c>
      <c r="AB28" s="19" t="s">
        <v>14372</v>
      </c>
      <c r="AC28" s="19" t="s">
        <v>14373</v>
      </c>
      <c r="AD28" s="19" t="s">
        <v>10021</v>
      </c>
      <c r="AE28" s="19" t="s">
        <v>14375</v>
      </c>
      <c r="AF28" s="19" t="s">
        <v>14378</v>
      </c>
      <c r="AG28" s="19" t="s">
        <v>14377</v>
      </c>
      <c r="AH28" s="19" t="s">
        <v>13326</v>
      </c>
      <c r="AI28" s="19" t="s">
        <v>14379</v>
      </c>
      <c r="AJ28" s="19" t="s">
        <v>14398</v>
      </c>
      <c r="AK28" s="19" t="s">
        <v>14381</v>
      </c>
      <c r="AL28" s="19"/>
      <c r="AM28" s="19" t="s">
        <v>1119</v>
      </c>
      <c r="AN28" s="19" t="s">
        <v>527</v>
      </c>
      <c r="AO28" s="19" t="s">
        <v>14383</v>
      </c>
      <c r="AP28" s="19" t="s">
        <v>15</v>
      </c>
      <c r="AQ28" s="19" t="s">
        <v>1121</v>
      </c>
      <c r="AR28" s="19"/>
      <c r="AS28" s="19" t="s">
        <v>1122</v>
      </c>
      <c r="AT28" s="19"/>
      <c r="AU28" s="19" t="s">
        <v>14384</v>
      </c>
      <c r="AV28" s="19" t="s">
        <v>11</v>
      </c>
      <c r="AW28" s="19" t="s">
        <v>1124</v>
      </c>
      <c r="AX28" s="19"/>
      <c r="AY28" s="19" t="s">
        <v>1125</v>
      </c>
      <c r="AZ28" s="19"/>
      <c r="BA28" s="19" t="s">
        <v>14385</v>
      </c>
      <c r="BB28" s="19"/>
      <c r="BC28" s="19" t="s">
        <v>1127</v>
      </c>
      <c r="BD28" s="19"/>
      <c r="BE28" s="19" t="s">
        <v>1128</v>
      </c>
      <c r="BF28" s="19"/>
      <c r="BG28" s="19" t="s">
        <v>1129</v>
      </c>
      <c r="BH28" s="19" t="s">
        <v>528</v>
      </c>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row>
    <row r="29" spans="1:85" x14ac:dyDescent="0.4">
      <c r="A29" s="19" t="s">
        <v>533</v>
      </c>
      <c r="B29" s="19" t="s">
        <v>6</v>
      </c>
      <c r="C29" s="19" t="s">
        <v>1</v>
      </c>
      <c r="D29" s="19" t="s">
        <v>533</v>
      </c>
      <c r="E29" s="19" t="s">
        <v>17</v>
      </c>
      <c r="F29" s="19" t="s">
        <v>0</v>
      </c>
      <c r="G29" s="19" t="s">
        <v>534</v>
      </c>
      <c r="H29" s="19" t="s">
        <v>14365</v>
      </c>
      <c r="I29" s="19" t="s">
        <v>4</v>
      </c>
      <c r="J29" s="19" t="s">
        <v>2</v>
      </c>
      <c r="K29" s="19" t="s">
        <v>81</v>
      </c>
      <c r="L29" s="19"/>
      <c r="M29" s="19"/>
      <c r="N29" s="19" t="s">
        <v>537</v>
      </c>
      <c r="O29" s="19"/>
      <c r="P29" s="19"/>
      <c r="Q29" s="19" t="s">
        <v>13845</v>
      </c>
      <c r="R29" s="19"/>
      <c r="S29" s="19" t="s">
        <v>14366</v>
      </c>
      <c r="T29" s="19" t="s">
        <v>11</v>
      </c>
      <c r="U29" s="19" t="s">
        <v>14367</v>
      </c>
      <c r="V29" s="19"/>
      <c r="W29" s="19" t="s">
        <v>14368</v>
      </c>
      <c r="X29" s="19"/>
      <c r="Y29" s="19" t="s">
        <v>14369</v>
      </c>
      <c r="Z29" s="19" t="s">
        <v>14370</v>
      </c>
      <c r="AA29" s="19" t="s">
        <v>14371</v>
      </c>
      <c r="AB29" s="19" t="s">
        <v>14372</v>
      </c>
      <c r="AC29" s="19" t="s">
        <v>14373</v>
      </c>
      <c r="AD29" s="19" t="s">
        <v>14374</v>
      </c>
      <c r="AE29" s="19" t="s">
        <v>14375</v>
      </c>
      <c r="AF29" s="19" t="s">
        <v>14376</v>
      </c>
      <c r="AG29" s="19" t="s">
        <v>14377</v>
      </c>
      <c r="AH29" s="19" t="s">
        <v>14378</v>
      </c>
      <c r="AI29" s="19" t="s">
        <v>14379</v>
      </c>
      <c r="AJ29" s="19" t="s">
        <v>14402</v>
      </c>
      <c r="AK29" s="19" t="s">
        <v>14381</v>
      </c>
      <c r="AL29" s="19"/>
      <c r="AM29" s="19" t="s">
        <v>1119</v>
      </c>
      <c r="AN29" s="19" t="s">
        <v>535</v>
      </c>
      <c r="AO29" s="19" t="s">
        <v>14383</v>
      </c>
      <c r="AP29" s="19" t="s">
        <v>15</v>
      </c>
      <c r="AQ29" s="19" t="s">
        <v>1121</v>
      </c>
      <c r="AR29" s="19"/>
      <c r="AS29" s="19" t="s">
        <v>1122</v>
      </c>
      <c r="AT29" s="19"/>
      <c r="AU29" s="19" t="s">
        <v>14384</v>
      </c>
      <c r="AV29" s="19" t="s">
        <v>11</v>
      </c>
      <c r="AW29" s="19" t="s">
        <v>1124</v>
      </c>
      <c r="AX29" s="19"/>
      <c r="AY29" s="19" t="s">
        <v>1125</v>
      </c>
      <c r="AZ29" s="19"/>
      <c r="BA29" s="19" t="s">
        <v>14385</v>
      </c>
      <c r="BB29" s="19"/>
      <c r="BC29" s="19" t="s">
        <v>1127</v>
      </c>
      <c r="BD29" s="19"/>
      <c r="BE29" s="19" t="s">
        <v>1128</v>
      </c>
      <c r="BF29" s="19"/>
      <c r="BG29" s="19" t="s">
        <v>1129</v>
      </c>
      <c r="BH29" s="19" t="s">
        <v>536</v>
      </c>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row>
    <row r="30" spans="1:85" x14ac:dyDescent="0.4">
      <c r="A30" s="19" t="s">
        <v>542</v>
      </c>
      <c r="B30" s="19" t="s">
        <v>6</v>
      </c>
      <c r="C30" s="19" t="s">
        <v>1</v>
      </c>
      <c r="D30" s="19" t="s">
        <v>542</v>
      </c>
      <c r="E30" s="19" t="s">
        <v>17</v>
      </c>
      <c r="F30" s="19" t="s">
        <v>0</v>
      </c>
      <c r="G30" s="19" t="s">
        <v>543</v>
      </c>
      <c r="H30" s="19" t="s">
        <v>14365</v>
      </c>
      <c r="I30" s="19" t="s">
        <v>7</v>
      </c>
      <c r="J30" s="19" t="s">
        <v>2</v>
      </c>
      <c r="K30" s="19" t="s">
        <v>158</v>
      </c>
      <c r="L30" s="19"/>
      <c r="M30" s="19"/>
      <c r="N30" s="19" t="s">
        <v>381</v>
      </c>
      <c r="O30" s="19"/>
      <c r="P30" s="19"/>
      <c r="Q30" s="19" t="s">
        <v>13845</v>
      </c>
      <c r="R30" s="19"/>
      <c r="S30" s="19" t="s">
        <v>14366</v>
      </c>
      <c r="T30" s="19" t="s">
        <v>11</v>
      </c>
      <c r="U30" s="19" t="s">
        <v>14367</v>
      </c>
      <c r="V30" s="19"/>
      <c r="W30" s="19" t="s">
        <v>14368</v>
      </c>
      <c r="X30" s="19"/>
      <c r="Y30" s="19" t="s">
        <v>14369</v>
      </c>
      <c r="Z30" s="19" t="s">
        <v>14370</v>
      </c>
      <c r="AA30" s="19" t="s">
        <v>14371</v>
      </c>
      <c r="AB30" s="19" t="s">
        <v>14372</v>
      </c>
      <c r="AC30" s="19" t="s">
        <v>14373</v>
      </c>
      <c r="AD30" s="19" t="s">
        <v>14394</v>
      </c>
      <c r="AE30" s="19" t="s">
        <v>14375</v>
      </c>
      <c r="AF30" s="19" t="s">
        <v>14407</v>
      </c>
      <c r="AG30" s="19" t="s">
        <v>14377</v>
      </c>
      <c r="AH30" s="19" t="s">
        <v>14388</v>
      </c>
      <c r="AI30" s="19" t="s">
        <v>14379</v>
      </c>
      <c r="AJ30" s="19" t="s">
        <v>14422</v>
      </c>
      <c r="AK30" s="19" t="s">
        <v>14381</v>
      </c>
      <c r="AL30" s="19"/>
      <c r="AM30" s="19" t="s">
        <v>1119</v>
      </c>
      <c r="AN30" s="19" t="s">
        <v>544</v>
      </c>
      <c r="AO30" s="19" t="s">
        <v>14383</v>
      </c>
      <c r="AP30" s="19" t="s">
        <v>15</v>
      </c>
      <c r="AQ30" s="19" t="s">
        <v>1121</v>
      </c>
      <c r="AR30" s="19"/>
      <c r="AS30" s="19" t="s">
        <v>1122</v>
      </c>
      <c r="AT30" s="19"/>
      <c r="AU30" s="19" t="s">
        <v>14384</v>
      </c>
      <c r="AV30" s="19" t="s">
        <v>11</v>
      </c>
      <c r="AW30" s="19" t="s">
        <v>1124</v>
      </c>
      <c r="AX30" s="19"/>
      <c r="AY30" s="19" t="s">
        <v>1125</v>
      </c>
      <c r="AZ30" s="19"/>
      <c r="BA30" s="19" t="s">
        <v>14385</v>
      </c>
      <c r="BB30" s="19"/>
      <c r="BC30" s="19" t="s">
        <v>1127</v>
      </c>
      <c r="BD30" s="19"/>
      <c r="BE30" s="19" t="s">
        <v>1128</v>
      </c>
      <c r="BF30" s="19"/>
      <c r="BG30" s="19" t="s">
        <v>1129</v>
      </c>
      <c r="BH30" s="19" t="s">
        <v>545</v>
      </c>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row>
    <row r="31" spans="1:85" x14ac:dyDescent="0.4">
      <c r="A31" s="19" t="s">
        <v>588</v>
      </c>
      <c r="B31" s="19" t="s">
        <v>6</v>
      </c>
      <c r="C31" s="19" t="s">
        <v>1</v>
      </c>
      <c r="D31" s="19" t="s">
        <v>588</v>
      </c>
      <c r="E31" s="19" t="s">
        <v>17</v>
      </c>
      <c r="F31" s="19" t="s">
        <v>0</v>
      </c>
      <c r="G31" s="19" t="s">
        <v>589</v>
      </c>
      <c r="H31" s="19" t="s">
        <v>14365</v>
      </c>
      <c r="I31" s="19" t="s">
        <v>4</v>
      </c>
      <c r="J31" s="19" t="s">
        <v>2</v>
      </c>
      <c r="K31" s="19" t="s">
        <v>565</v>
      </c>
      <c r="L31" s="19"/>
      <c r="M31" s="19"/>
      <c r="N31" s="19" t="s">
        <v>591</v>
      </c>
      <c r="O31" s="19"/>
      <c r="P31" s="19"/>
      <c r="Q31" s="19" t="s">
        <v>13845</v>
      </c>
      <c r="R31" s="19"/>
      <c r="S31" s="19" t="s">
        <v>14366</v>
      </c>
      <c r="T31" s="19" t="s">
        <v>11</v>
      </c>
      <c r="U31" s="19" t="s">
        <v>14367</v>
      </c>
      <c r="V31" s="19"/>
      <c r="W31" s="19" t="s">
        <v>14368</v>
      </c>
      <c r="X31" s="19"/>
      <c r="Y31" s="19" t="s">
        <v>14369</v>
      </c>
      <c r="Z31" s="19" t="s">
        <v>14370</v>
      </c>
      <c r="AA31" s="19" t="s">
        <v>14371</v>
      </c>
      <c r="AB31" s="19" t="s">
        <v>10021</v>
      </c>
      <c r="AC31" s="19" t="s">
        <v>14373</v>
      </c>
      <c r="AD31" s="19" t="s">
        <v>10021</v>
      </c>
      <c r="AE31" s="19" t="s">
        <v>14375</v>
      </c>
      <c r="AF31" s="19" t="s">
        <v>14417</v>
      </c>
      <c r="AG31" s="19" t="s">
        <v>14377</v>
      </c>
      <c r="AH31" s="19" t="s">
        <v>13326</v>
      </c>
      <c r="AI31" s="19" t="s">
        <v>14379</v>
      </c>
      <c r="AJ31" s="19" t="s">
        <v>3278</v>
      </c>
      <c r="AK31" s="19" t="s">
        <v>14381</v>
      </c>
      <c r="AL31" s="19"/>
      <c r="AM31" s="19" t="s">
        <v>1119</v>
      </c>
      <c r="AN31" s="19" t="s">
        <v>590</v>
      </c>
      <c r="AO31" s="19" t="s">
        <v>14383</v>
      </c>
      <c r="AP31" s="19" t="s">
        <v>15</v>
      </c>
      <c r="AQ31" s="19" t="s">
        <v>1121</v>
      </c>
      <c r="AR31" s="19"/>
      <c r="AS31" s="19" t="s">
        <v>1122</v>
      </c>
      <c r="AT31" s="19"/>
      <c r="AU31" s="19" t="s">
        <v>14384</v>
      </c>
      <c r="AV31" s="19" t="s">
        <v>11</v>
      </c>
      <c r="AW31" s="19" t="s">
        <v>1124</v>
      </c>
      <c r="AX31" s="19"/>
      <c r="AY31" s="19" t="s">
        <v>1125</v>
      </c>
      <c r="AZ31" s="19"/>
      <c r="BA31" s="19" t="s">
        <v>14385</v>
      </c>
      <c r="BB31" s="19"/>
      <c r="BC31" s="19" t="s">
        <v>1127</v>
      </c>
      <c r="BD31" s="19"/>
      <c r="BE31" s="19" t="s">
        <v>1128</v>
      </c>
      <c r="BF31" s="19"/>
      <c r="BG31" s="19" t="s">
        <v>1129</v>
      </c>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row>
    <row r="32" spans="1:85" x14ac:dyDescent="0.4">
      <c r="A32" s="19" t="s">
        <v>603</v>
      </c>
      <c r="B32" s="19" t="s">
        <v>6</v>
      </c>
      <c r="C32" s="19" t="s">
        <v>1</v>
      </c>
      <c r="D32" s="19" t="s">
        <v>603</v>
      </c>
      <c r="E32" s="19" t="s">
        <v>17</v>
      </c>
      <c r="F32" s="19" t="s">
        <v>0</v>
      </c>
      <c r="G32" s="19" t="s">
        <v>604</v>
      </c>
      <c r="H32" s="19" t="s">
        <v>14365</v>
      </c>
      <c r="I32" s="19" t="s">
        <v>7</v>
      </c>
      <c r="J32" s="19" t="s">
        <v>2</v>
      </c>
      <c r="K32" s="19" t="s">
        <v>158</v>
      </c>
      <c r="L32" s="19"/>
      <c r="M32" s="19"/>
      <c r="N32" s="19" t="s">
        <v>382</v>
      </c>
      <c r="O32" s="19"/>
      <c r="P32" s="19"/>
      <c r="Q32" s="19" t="s">
        <v>13845</v>
      </c>
      <c r="R32" s="19"/>
      <c r="S32" s="19" t="s">
        <v>14366</v>
      </c>
      <c r="T32" s="19" t="s">
        <v>11</v>
      </c>
      <c r="U32" s="19" t="s">
        <v>14367</v>
      </c>
      <c r="V32" s="19"/>
      <c r="W32" s="19" t="s">
        <v>14368</v>
      </c>
      <c r="X32" s="19"/>
      <c r="Y32" s="19" t="s">
        <v>14369</v>
      </c>
      <c r="Z32" s="19" t="s">
        <v>14370</v>
      </c>
      <c r="AA32" s="19" t="s">
        <v>14371</v>
      </c>
      <c r="AB32" s="19" t="s">
        <v>14372</v>
      </c>
      <c r="AC32" s="19" t="s">
        <v>14373</v>
      </c>
      <c r="AD32" s="19" t="s">
        <v>14374</v>
      </c>
      <c r="AE32" s="19" t="s">
        <v>14375</v>
      </c>
      <c r="AF32" s="19" t="s">
        <v>14407</v>
      </c>
      <c r="AG32" s="19" t="s">
        <v>14377</v>
      </c>
      <c r="AH32" s="19" t="s">
        <v>14388</v>
      </c>
      <c r="AI32" s="19" t="s">
        <v>14379</v>
      </c>
      <c r="AJ32" s="19" t="s">
        <v>14423</v>
      </c>
      <c r="AK32" s="19" t="s">
        <v>14381</v>
      </c>
      <c r="AL32" s="19"/>
      <c r="AM32" s="19" t="s">
        <v>1119</v>
      </c>
      <c r="AN32" s="19" t="s">
        <v>605</v>
      </c>
      <c r="AO32" s="19" t="s">
        <v>14383</v>
      </c>
      <c r="AP32" s="19" t="s">
        <v>15</v>
      </c>
      <c r="AQ32" s="19" t="s">
        <v>1121</v>
      </c>
      <c r="AR32" s="19"/>
      <c r="AS32" s="19" t="s">
        <v>1122</v>
      </c>
      <c r="AT32" s="19"/>
      <c r="AU32" s="19" t="s">
        <v>14384</v>
      </c>
      <c r="AV32" s="19" t="s">
        <v>11</v>
      </c>
      <c r="AW32" s="19" t="s">
        <v>1124</v>
      </c>
      <c r="AX32" s="19"/>
      <c r="AY32" s="19" t="s">
        <v>1125</v>
      </c>
      <c r="AZ32" s="19"/>
      <c r="BA32" s="19" t="s">
        <v>14385</v>
      </c>
      <c r="BB32" s="19"/>
      <c r="BC32" s="19" t="s">
        <v>1127</v>
      </c>
      <c r="BD32" s="19"/>
      <c r="BE32" s="19" t="s">
        <v>1128</v>
      </c>
      <c r="BF32" s="19"/>
      <c r="BG32" s="19" t="s">
        <v>1129</v>
      </c>
      <c r="BH32" s="19" t="s">
        <v>606</v>
      </c>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row>
    <row r="33" spans="1:85" x14ac:dyDescent="0.4">
      <c r="A33" s="19" t="s">
        <v>612</v>
      </c>
      <c r="B33" s="19" t="s">
        <v>6</v>
      </c>
      <c r="C33" s="19" t="s">
        <v>1</v>
      </c>
      <c r="D33" s="19" t="s">
        <v>612</v>
      </c>
      <c r="E33" s="19" t="s">
        <v>17</v>
      </c>
      <c r="F33" s="19" t="s">
        <v>0</v>
      </c>
      <c r="G33" s="19" t="s">
        <v>613</v>
      </c>
      <c r="H33" s="19" t="s">
        <v>14365</v>
      </c>
      <c r="I33" s="19" t="s">
        <v>7</v>
      </c>
      <c r="J33" s="19" t="s">
        <v>2</v>
      </c>
      <c r="K33" s="19" t="s">
        <v>363</v>
      </c>
      <c r="L33" s="19"/>
      <c r="M33" s="19"/>
      <c r="N33" s="19" t="s">
        <v>509</v>
      </c>
      <c r="O33" s="19"/>
      <c r="P33" s="19"/>
      <c r="Q33" s="19" t="s">
        <v>13845</v>
      </c>
      <c r="R33" s="19"/>
      <c r="S33" s="19" t="s">
        <v>14366</v>
      </c>
      <c r="T33" s="19" t="s">
        <v>11</v>
      </c>
      <c r="U33" s="19" t="s">
        <v>14367</v>
      </c>
      <c r="V33" s="19"/>
      <c r="W33" s="19" t="s">
        <v>14368</v>
      </c>
      <c r="X33" s="19"/>
      <c r="Y33" s="19" t="s">
        <v>14369</v>
      </c>
      <c r="Z33" s="19" t="s">
        <v>14370</v>
      </c>
      <c r="AA33" s="19" t="s">
        <v>14371</v>
      </c>
      <c r="AB33" s="19" t="s">
        <v>14372</v>
      </c>
      <c r="AC33" s="19" t="s">
        <v>14373</v>
      </c>
      <c r="AD33" s="19" t="s">
        <v>14386</v>
      </c>
      <c r="AE33" s="19" t="s">
        <v>14375</v>
      </c>
      <c r="AF33" s="19" t="s">
        <v>14387</v>
      </c>
      <c r="AG33" s="19" t="s">
        <v>14377</v>
      </c>
      <c r="AH33" s="19" t="s">
        <v>14388</v>
      </c>
      <c r="AI33" s="19" t="s">
        <v>14379</v>
      </c>
      <c r="AJ33" s="19" t="s">
        <v>14421</v>
      </c>
      <c r="AK33" s="19" t="s">
        <v>14381</v>
      </c>
      <c r="AL33" s="19" t="s">
        <v>14382</v>
      </c>
      <c r="AM33" s="19" t="s">
        <v>1119</v>
      </c>
      <c r="AN33" s="19" t="s">
        <v>614</v>
      </c>
      <c r="AO33" s="19" t="s">
        <v>14383</v>
      </c>
      <c r="AP33" s="19" t="s">
        <v>15</v>
      </c>
      <c r="AQ33" s="19" t="s">
        <v>1121</v>
      </c>
      <c r="AR33" s="19"/>
      <c r="AS33" s="19" t="s">
        <v>1122</v>
      </c>
      <c r="AT33" s="19"/>
      <c r="AU33" s="19" t="s">
        <v>14384</v>
      </c>
      <c r="AV33" s="19" t="s">
        <v>11</v>
      </c>
      <c r="AW33" s="19" t="s">
        <v>1124</v>
      </c>
      <c r="AX33" s="19"/>
      <c r="AY33" s="19" t="s">
        <v>1125</v>
      </c>
      <c r="AZ33" s="19"/>
      <c r="BA33" s="19" t="s">
        <v>14385</v>
      </c>
      <c r="BB33" s="19"/>
      <c r="BC33" s="19" t="s">
        <v>1127</v>
      </c>
      <c r="BD33" s="19"/>
      <c r="BE33" s="19" t="s">
        <v>1128</v>
      </c>
      <c r="BF33" s="19"/>
      <c r="BG33" s="19" t="s">
        <v>1129</v>
      </c>
      <c r="BH33" s="19" t="s">
        <v>615</v>
      </c>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row>
    <row r="34" spans="1:85" x14ac:dyDescent="0.4">
      <c r="A34" s="19" t="s">
        <v>38</v>
      </c>
      <c r="B34" s="19" t="s">
        <v>6</v>
      </c>
      <c r="C34" s="19" t="s">
        <v>1</v>
      </c>
      <c r="D34" s="19" t="s">
        <v>38</v>
      </c>
      <c r="E34" s="19" t="s">
        <v>17</v>
      </c>
      <c r="F34" s="19" t="s">
        <v>0</v>
      </c>
      <c r="G34" s="19" t="s">
        <v>39</v>
      </c>
      <c r="H34" s="19" t="s">
        <v>14392</v>
      </c>
      <c r="I34" s="19" t="s">
        <v>4</v>
      </c>
      <c r="J34" s="19"/>
      <c r="K34" s="19" t="s">
        <v>1611</v>
      </c>
      <c r="L34" s="19"/>
      <c r="M34" s="19"/>
      <c r="N34" s="19" t="s">
        <v>43</v>
      </c>
      <c r="O34" s="19"/>
      <c r="P34" s="19"/>
      <c r="Q34" s="19" t="s">
        <v>13845</v>
      </c>
      <c r="R34" s="19"/>
      <c r="S34" s="19" t="s">
        <v>14366</v>
      </c>
      <c r="T34" s="19" t="s">
        <v>11</v>
      </c>
      <c r="U34" s="19" t="s">
        <v>14367</v>
      </c>
      <c r="V34" s="19"/>
      <c r="W34" s="19" t="s">
        <v>14368</v>
      </c>
      <c r="X34" s="19"/>
      <c r="Y34" s="19" t="s">
        <v>14369</v>
      </c>
      <c r="Z34" s="19"/>
      <c r="AA34" s="19" t="s">
        <v>14371</v>
      </c>
      <c r="AB34" s="19" t="s">
        <v>14424</v>
      </c>
      <c r="AC34" s="19" t="s">
        <v>14373</v>
      </c>
      <c r="AD34" s="19" t="s">
        <v>14404</v>
      </c>
      <c r="AE34" s="19" t="s">
        <v>14375</v>
      </c>
      <c r="AF34" s="19" t="s">
        <v>14417</v>
      </c>
      <c r="AG34" s="19" t="s">
        <v>14377</v>
      </c>
      <c r="AH34" s="19" t="s">
        <v>14413</v>
      </c>
      <c r="AI34" s="19" t="s">
        <v>14379</v>
      </c>
      <c r="AJ34" s="19" t="s">
        <v>14425</v>
      </c>
      <c r="AK34" s="19" t="s">
        <v>14381</v>
      </c>
      <c r="AL34" s="19" t="s">
        <v>14426</v>
      </c>
      <c r="AM34" s="19" t="s">
        <v>1119</v>
      </c>
      <c r="AN34" s="19" t="s">
        <v>40</v>
      </c>
      <c r="AO34" s="19" t="s">
        <v>14383</v>
      </c>
      <c r="AP34" s="19" t="s">
        <v>15</v>
      </c>
      <c r="AQ34" s="19" t="s">
        <v>1121</v>
      </c>
      <c r="AR34" s="19"/>
      <c r="AS34" s="19" t="s">
        <v>1122</v>
      </c>
      <c r="AT34" s="19"/>
      <c r="AU34" s="19" t="s">
        <v>14384</v>
      </c>
      <c r="AV34" s="19" t="s">
        <v>11</v>
      </c>
      <c r="AW34" s="19" t="s">
        <v>1124</v>
      </c>
      <c r="AX34" s="19"/>
      <c r="AY34" s="19" t="s">
        <v>1125</v>
      </c>
      <c r="AZ34" s="19"/>
      <c r="BA34" s="19" t="s">
        <v>14385</v>
      </c>
      <c r="BB34" s="19"/>
      <c r="BC34" s="19" t="s">
        <v>1127</v>
      </c>
      <c r="BD34" s="19"/>
      <c r="BE34" s="19" t="s">
        <v>1128</v>
      </c>
      <c r="BF34" s="19" t="s">
        <v>41</v>
      </c>
      <c r="BG34" s="19" t="s">
        <v>1129</v>
      </c>
      <c r="BH34" s="19" t="s">
        <v>42</v>
      </c>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row>
    <row r="35" spans="1:85" x14ac:dyDescent="0.4">
      <c r="A35" s="19" t="s">
        <v>630</v>
      </c>
      <c r="B35" s="19" t="s">
        <v>6</v>
      </c>
      <c r="C35" s="19" t="s">
        <v>1</v>
      </c>
      <c r="D35" s="19" t="s">
        <v>630</v>
      </c>
      <c r="E35" s="19" t="s">
        <v>17</v>
      </c>
      <c r="F35" s="19" t="s">
        <v>0</v>
      </c>
      <c r="G35" s="19" t="s">
        <v>631</v>
      </c>
      <c r="H35" s="19" t="s">
        <v>14365</v>
      </c>
      <c r="I35" s="19" t="s">
        <v>4</v>
      </c>
      <c r="J35" s="19" t="s">
        <v>2</v>
      </c>
      <c r="K35" s="19" t="s">
        <v>277</v>
      </c>
      <c r="L35" s="19"/>
      <c r="M35" s="19"/>
      <c r="N35" s="19" t="s">
        <v>635</v>
      </c>
      <c r="O35" s="19"/>
      <c r="P35" s="19"/>
      <c r="Q35" s="19" t="s">
        <v>13845</v>
      </c>
      <c r="R35" s="19"/>
      <c r="S35" s="19" t="s">
        <v>14366</v>
      </c>
      <c r="T35" s="19" t="s">
        <v>11</v>
      </c>
      <c r="U35" s="19" t="s">
        <v>14367</v>
      </c>
      <c r="V35" s="19"/>
      <c r="W35" s="19" t="s">
        <v>14368</v>
      </c>
      <c r="X35" s="19"/>
      <c r="Y35" s="19" t="s">
        <v>14369</v>
      </c>
      <c r="Z35" s="19"/>
      <c r="AA35" s="19" t="s">
        <v>14371</v>
      </c>
      <c r="AB35" s="19" t="s">
        <v>14372</v>
      </c>
      <c r="AC35" s="19" t="s">
        <v>14373</v>
      </c>
      <c r="AD35" s="19" t="s">
        <v>14386</v>
      </c>
      <c r="AE35" s="19" t="s">
        <v>14375</v>
      </c>
      <c r="AF35" s="19" t="s">
        <v>3278</v>
      </c>
      <c r="AG35" s="19" t="s">
        <v>14377</v>
      </c>
      <c r="AH35" s="19" t="s">
        <v>14387</v>
      </c>
      <c r="AI35" s="19" t="s">
        <v>14379</v>
      </c>
      <c r="AJ35" s="19" t="s">
        <v>14427</v>
      </c>
      <c r="AK35" s="19" t="s">
        <v>14381</v>
      </c>
      <c r="AL35" s="19"/>
      <c r="AM35" s="19" t="s">
        <v>1119</v>
      </c>
      <c r="AN35" s="19" t="s">
        <v>632</v>
      </c>
      <c r="AO35" s="19" t="s">
        <v>14383</v>
      </c>
      <c r="AP35" s="19" t="s">
        <v>19</v>
      </c>
      <c r="AQ35" s="19" t="s">
        <v>1121</v>
      </c>
      <c r="AR35" s="19"/>
      <c r="AS35" s="19" t="s">
        <v>1122</v>
      </c>
      <c r="AT35" s="19"/>
      <c r="AU35" s="19" t="s">
        <v>14384</v>
      </c>
      <c r="AV35" s="19" t="s">
        <v>11</v>
      </c>
      <c r="AW35" s="19" t="s">
        <v>1124</v>
      </c>
      <c r="AX35" s="19"/>
      <c r="AY35" s="19" t="s">
        <v>1125</v>
      </c>
      <c r="AZ35" s="19"/>
      <c r="BA35" s="19" t="s">
        <v>14385</v>
      </c>
      <c r="BB35" s="19"/>
      <c r="BC35" s="19" t="s">
        <v>1127</v>
      </c>
      <c r="BD35" s="19"/>
      <c r="BE35" s="19" t="s">
        <v>1128</v>
      </c>
      <c r="BF35" s="19"/>
      <c r="BG35" s="19" t="s">
        <v>1129</v>
      </c>
      <c r="BH35" s="19" t="s">
        <v>633</v>
      </c>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row>
    <row r="36" spans="1:85" x14ac:dyDescent="0.4">
      <c r="A36" s="19" t="s">
        <v>680</v>
      </c>
      <c r="B36" s="19" t="s">
        <v>6</v>
      </c>
      <c r="C36" s="19" t="s">
        <v>1</v>
      </c>
      <c r="D36" s="19" t="s">
        <v>680</v>
      </c>
      <c r="E36" s="19" t="s">
        <v>17</v>
      </c>
      <c r="F36" s="19" t="s">
        <v>0</v>
      </c>
      <c r="G36" s="19" t="s">
        <v>681</v>
      </c>
      <c r="H36" s="19" t="s">
        <v>14365</v>
      </c>
      <c r="I36" s="19" t="s">
        <v>4</v>
      </c>
      <c r="J36" s="19" t="s">
        <v>2</v>
      </c>
      <c r="K36" s="19" t="s">
        <v>597</v>
      </c>
      <c r="L36" s="19"/>
      <c r="M36" s="19"/>
      <c r="N36" s="19" t="s">
        <v>425</v>
      </c>
      <c r="O36" s="19"/>
      <c r="P36" s="19"/>
      <c r="Q36" s="19" t="s">
        <v>13845</v>
      </c>
      <c r="R36" s="19"/>
      <c r="S36" s="19" t="s">
        <v>14366</v>
      </c>
      <c r="T36" s="19" t="s">
        <v>11</v>
      </c>
      <c r="U36" s="19" t="s">
        <v>14367</v>
      </c>
      <c r="V36" s="19"/>
      <c r="W36" s="19" t="s">
        <v>14368</v>
      </c>
      <c r="X36" s="19"/>
      <c r="Y36" s="19" t="s">
        <v>14369</v>
      </c>
      <c r="Z36" s="19" t="s">
        <v>14370</v>
      </c>
      <c r="AA36" s="19" t="s">
        <v>14371</v>
      </c>
      <c r="AB36" s="19" t="s">
        <v>14372</v>
      </c>
      <c r="AC36" s="19" t="s">
        <v>14373</v>
      </c>
      <c r="AD36" s="19" t="s">
        <v>14428</v>
      </c>
      <c r="AE36" s="19" t="s">
        <v>14375</v>
      </c>
      <c r="AF36" s="19" t="s">
        <v>14378</v>
      </c>
      <c r="AG36" s="19" t="s">
        <v>14377</v>
      </c>
      <c r="AH36" s="19" t="s">
        <v>14400</v>
      </c>
      <c r="AI36" s="19" t="s">
        <v>14379</v>
      </c>
      <c r="AJ36" s="19" t="s">
        <v>14378</v>
      </c>
      <c r="AK36" s="19" t="s">
        <v>14381</v>
      </c>
      <c r="AL36" s="19" t="s">
        <v>14382</v>
      </c>
      <c r="AM36" s="19" t="s">
        <v>1119</v>
      </c>
      <c r="AN36" s="19" t="s">
        <v>682</v>
      </c>
      <c r="AO36" s="19" t="s">
        <v>14383</v>
      </c>
      <c r="AP36" s="19" t="s">
        <v>15</v>
      </c>
      <c r="AQ36" s="19" t="s">
        <v>1121</v>
      </c>
      <c r="AR36" s="19"/>
      <c r="AS36" s="19" t="s">
        <v>1122</v>
      </c>
      <c r="AT36" s="19"/>
      <c r="AU36" s="19" t="s">
        <v>14384</v>
      </c>
      <c r="AV36" s="19" t="s">
        <v>11</v>
      </c>
      <c r="AW36" s="19" t="s">
        <v>1124</v>
      </c>
      <c r="AX36" s="19"/>
      <c r="AY36" s="19" t="s">
        <v>1125</v>
      </c>
      <c r="AZ36" s="19"/>
      <c r="BA36" s="19" t="s">
        <v>14385</v>
      </c>
      <c r="BB36" s="19"/>
      <c r="BC36" s="19" t="s">
        <v>1127</v>
      </c>
      <c r="BD36" s="19"/>
      <c r="BE36" s="19" t="s">
        <v>1128</v>
      </c>
      <c r="BF36" s="19"/>
      <c r="BG36" s="19" t="s">
        <v>1129</v>
      </c>
      <c r="BH36" s="19" t="s">
        <v>683</v>
      </c>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row>
    <row r="37" spans="1:85" x14ac:dyDescent="0.4">
      <c r="A37" s="19" t="s">
        <v>688</v>
      </c>
      <c r="B37" s="19" t="s">
        <v>6</v>
      </c>
      <c r="C37" s="19" t="s">
        <v>1</v>
      </c>
      <c r="D37" s="19" t="s">
        <v>688</v>
      </c>
      <c r="E37" s="19" t="s">
        <v>17</v>
      </c>
      <c r="F37" s="19" t="s">
        <v>0</v>
      </c>
      <c r="G37" s="19" t="s">
        <v>689</v>
      </c>
      <c r="H37" s="19" t="s">
        <v>14365</v>
      </c>
      <c r="I37" s="19" t="s">
        <v>4</v>
      </c>
      <c r="J37" s="19" t="s">
        <v>2</v>
      </c>
      <c r="K37" s="19" t="s">
        <v>597</v>
      </c>
      <c r="L37" s="19"/>
      <c r="M37" s="19"/>
      <c r="N37" s="19" t="s">
        <v>20</v>
      </c>
      <c r="O37" s="19"/>
      <c r="P37" s="19"/>
      <c r="Q37" s="19" t="s">
        <v>13845</v>
      </c>
      <c r="R37" s="19"/>
      <c r="S37" s="19" t="s">
        <v>14366</v>
      </c>
      <c r="T37" s="19" t="s">
        <v>11</v>
      </c>
      <c r="U37" s="19" t="s">
        <v>14367</v>
      </c>
      <c r="V37" s="19"/>
      <c r="W37" s="19" t="s">
        <v>14368</v>
      </c>
      <c r="X37" s="19"/>
      <c r="Y37" s="19" t="s">
        <v>14369</v>
      </c>
      <c r="Z37" s="19" t="s">
        <v>14370</v>
      </c>
      <c r="AA37" s="19" t="s">
        <v>14371</v>
      </c>
      <c r="AB37" s="19" t="s">
        <v>14372</v>
      </c>
      <c r="AC37" s="19" t="s">
        <v>14373</v>
      </c>
      <c r="AD37" s="19" t="s">
        <v>14386</v>
      </c>
      <c r="AE37" s="19" t="s">
        <v>14375</v>
      </c>
      <c r="AF37" s="19" t="s">
        <v>14391</v>
      </c>
      <c r="AG37" s="19" t="s">
        <v>14377</v>
      </c>
      <c r="AH37" s="19" t="s">
        <v>14398</v>
      </c>
      <c r="AI37" s="19" t="s">
        <v>14379</v>
      </c>
      <c r="AJ37" s="19" t="s">
        <v>14429</v>
      </c>
      <c r="AK37" s="19" t="s">
        <v>14381</v>
      </c>
      <c r="AL37" s="19" t="s">
        <v>14382</v>
      </c>
      <c r="AM37" s="19" t="s">
        <v>1119</v>
      </c>
      <c r="AN37" s="19" t="s">
        <v>690</v>
      </c>
      <c r="AO37" s="19" t="s">
        <v>14383</v>
      </c>
      <c r="AP37" s="19" t="s">
        <v>15</v>
      </c>
      <c r="AQ37" s="19" t="s">
        <v>1121</v>
      </c>
      <c r="AR37" s="19"/>
      <c r="AS37" s="19" t="s">
        <v>1122</v>
      </c>
      <c r="AT37" s="19"/>
      <c r="AU37" s="19" t="s">
        <v>14384</v>
      </c>
      <c r="AV37" s="19" t="s">
        <v>11</v>
      </c>
      <c r="AW37" s="19" t="s">
        <v>1124</v>
      </c>
      <c r="AX37" s="19"/>
      <c r="AY37" s="19" t="s">
        <v>1125</v>
      </c>
      <c r="AZ37" s="19"/>
      <c r="BA37" s="19" t="s">
        <v>14385</v>
      </c>
      <c r="BB37" s="19"/>
      <c r="BC37" s="19" t="s">
        <v>1127</v>
      </c>
      <c r="BD37" s="19"/>
      <c r="BE37" s="19" t="s">
        <v>1128</v>
      </c>
      <c r="BF37" s="19"/>
      <c r="BG37" s="19" t="s">
        <v>1129</v>
      </c>
      <c r="BH37" s="19" t="s">
        <v>691</v>
      </c>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row>
    <row r="38" spans="1:85" x14ac:dyDescent="0.4">
      <c r="A38" s="19" t="s">
        <v>710</v>
      </c>
      <c r="B38" s="19" t="s">
        <v>6</v>
      </c>
      <c r="C38" s="19" t="s">
        <v>1</v>
      </c>
      <c r="D38" s="19" t="s">
        <v>710</v>
      </c>
      <c r="E38" s="19" t="s">
        <v>17</v>
      </c>
      <c r="F38" s="19" t="s">
        <v>0</v>
      </c>
      <c r="G38" s="19" t="s">
        <v>711</v>
      </c>
      <c r="H38" s="19" t="s">
        <v>14365</v>
      </c>
      <c r="I38" s="19" t="s">
        <v>4</v>
      </c>
      <c r="J38" s="19" t="s">
        <v>2</v>
      </c>
      <c r="K38" s="19" t="s">
        <v>160</v>
      </c>
      <c r="L38" s="19"/>
      <c r="M38" s="19"/>
      <c r="N38" s="19"/>
      <c r="O38" s="19"/>
      <c r="P38" s="19"/>
      <c r="Q38" s="19" t="s">
        <v>13845</v>
      </c>
      <c r="R38" s="19"/>
      <c r="S38" s="19" t="s">
        <v>14366</v>
      </c>
      <c r="T38" s="19" t="s">
        <v>11</v>
      </c>
      <c r="U38" s="19" t="s">
        <v>14367</v>
      </c>
      <c r="V38" s="19"/>
      <c r="W38" s="19" t="s">
        <v>14368</v>
      </c>
      <c r="X38" s="19"/>
      <c r="Y38" s="19" t="s">
        <v>14369</v>
      </c>
      <c r="Z38" s="19" t="s">
        <v>14370</v>
      </c>
      <c r="AA38" s="19" t="s">
        <v>14371</v>
      </c>
      <c r="AB38" s="19" t="s">
        <v>14372</v>
      </c>
      <c r="AC38" s="19" t="s">
        <v>14373</v>
      </c>
      <c r="AD38" s="19" t="s">
        <v>14394</v>
      </c>
      <c r="AE38" s="19" t="s">
        <v>14375</v>
      </c>
      <c r="AF38" s="19" t="s">
        <v>14407</v>
      </c>
      <c r="AG38" s="19" t="s">
        <v>14377</v>
      </c>
      <c r="AH38" s="19" t="s">
        <v>14388</v>
      </c>
      <c r="AI38" s="19" t="s">
        <v>14379</v>
      </c>
      <c r="AJ38" s="19" t="s">
        <v>14387</v>
      </c>
      <c r="AK38" s="19" t="s">
        <v>14381</v>
      </c>
      <c r="AL38" s="19" t="s">
        <v>14382</v>
      </c>
      <c r="AM38" s="19" t="s">
        <v>1119</v>
      </c>
      <c r="AN38" s="19" t="s">
        <v>712</v>
      </c>
      <c r="AO38" s="19" t="s">
        <v>14383</v>
      </c>
      <c r="AP38" s="19" t="s">
        <v>15</v>
      </c>
      <c r="AQ38" s="19" t="s">
        <v>1121</v>
      </c>
      <c r="AR38" s="19"/>
      <c r="AS38" s="19" t="s">
        <v>1122</v>
      </c>
      <c r="AT38" s="19"/>
      <c r="AU38" s="19" t="s">
        <v>14384</v>
      </c>
      <c r="AV38" s="19" t="s">
        <v>11</v>
      </c>
      <c r="AW38" s="19" t="s">
        <v>1124</v>
      </c>
      <c r="AX38" s="19"/>
      <c r="AY38" s="19" t="s">
        <v>1125</v>
      </c>
      <c r="AZ38" s="19"/>
      <c r="BA38" s="19" t="s">
        <v>14385</v>
      </c>
      <c r="BB38" s="19"/>
      <c r="BC38" s="19" t="s">
        <v>1127</v>
      </c>
      <c r="BD38" s="19"/>
      <c r="BE38" s="19" t="s">
        <v>1128</v>
      </c>
      <c r="BF38" s="19"/>
      <c r="BG38" s="19" t="s">
        <v>1129</v>
      </c>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row>
    <row r="39" spans="1:85" x14ac:dyDescent="0.4">
      <c r="A39" s="19" t="s">
        <v>717</v>
      </c>
      <c r="B39" s="19" t="s">
        <v>6</v>
      </c>
      <c r="C39" s="19" t="s">
        <v>1</v>
      </c>
      <c r="D39" s="19" t="s">
        <v>717</v>
      </c>
      <c r="E39" s="19" t="s">
        <v>17</v>
      </c>
      <c r="F39" s="19" t="s">
        <v>0</v>
      </c>
      <c r="G39" s="19" t="s">
        <v>718</v>
      </c>
      <c r="H39" s="19" t="s">
        <v>14365</v>
      </c>
      <c r="I39" s="19" t="s">
        <v>4</v>
      </c>
      <c r="J39" s="19" t="s">
        <v>2</v>
      </c>
      <c r="K39" s="19" t="s">
        <v>51</v>
      </c>
      <c r="L39" s="19"/>
      <c r="M39" s="19"/>
      <c r="N39" s="19" t="s">
        <v>721</v>
      </c>
      <c r="O39" s="19"/>
      <c r="P39" s="19"/>
      <c r="Q39" s="19" t="s">
        <v>13845</v>
      </c>
      <c r="R39" s="19"/>
      <c r="S39" s="19" t="s">
        <v>14366</v>
      </c>
      <c r="T39" s="19" t="s">
        <v>11</v>
      </c>
      <c r="U39" s="19" t="s">
        <v>14367</v>
      </c>
      <c r="V39" s="19"/>
      <c r="W39" s="19" t="s">
        <v>14368</v>
      </c>
      <c r="X39" s="19"/>
      <c r="Y39" s="19" t="s">
        <v>14369</v>
      </c>
      <c r="Z39" s="19" t="s">
        <v>14370</v>
      </c>
      <c r="AA39" s="19" t="s">
        <v>14371</v>
      </c>
      <c r="AB39" s="19" t="s">
        <v>14430</v>
      </c>
      <c r="AC39" s="19" t="s">
        <v>14373</v>
      </c>
      <c r="AD39" s="19" t="s">
        <v>14394</v>
      </c>
      <c r="AE39" s="19" t="s">
        <v>14375</v>
      </c>
      <c r="AF39" s="19" t="s">
        <v>14391</v>
      </c>
      <c r="AG39" s="19" t="s">
        <v>14377</v>
      </c>
      <c r="AH39" s="19" t="s">
        <v>14398</v>
      </c>
      <c r="AI39" s="19" t="s">
        <v>14379</v>
      </c>
      <c r="AJ39" s="19" t="s">
        <v>14431</v>
      </c>
      <c r="AK39" s="19" t="s">
        <v>14381</v>
      </c>
      <c r="AL39" s="19"/>
      <c r="AM39" s="19" t="s">
        <v>1119</v>
      </c>
      <c r="AN39" s="19" t="s">
        <v>719</v>
      </c>
      <c r="AO39" s="19" t="s">
        <v>14383</v>
      </c>
      <c r="AP39" s="19" t="s">
        <v>15</v>
      </c>
      <c r="AQ39" s="19" t="s">
        <v>1121</v>
      </c>
      <c r="AR39" s="19"/>
      <c r="AS39" s="19" t="s">
        <v>1122</v>
      </c>
      <c r="AT39" s="19"/>
      <c r="AU39" s="19" t="s">
        <v>14384</v>
      </c>
      <c r="AV39" s="19" t="s">
        <v>11</v>
      </c>
      <c r="AW39" s="19" t="s">
        <v>1124</v>
      </c>
      <c r="AX39" s="19"/>
      <c r="AY39" s="19" t="s">
        <v>1125</v>
      </c>
      <c r="AZ39" s="19"/>
      <c r="BA39" s="19" t="s">
        <v>14385</v>
      </c>
      <c r="BB39" s="19"/>
      <c r="BC39" s="19" t="s">
        <v>1127</v>
      </c>
      <c r="BD39" s="19"/>
      <c r="BE39" s="19" t="s">
        <v>1128</v>
      </c>
      <c r="BF39" s="19"/>
      <c r="BG39" s="19" t="s">
        <v>1129</v>
      </c>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row>
    <row r="40" spans="1:85" x14ac:dyDescent="0.4">
      <c r="A40" s="19" t="s">
        <v>727</v>
      </c>
      <c r="B40" s="19" t="s">
        <v>6</v>
      </c>
      <c r="C40" s="19" t="s">
        <v>1</v>
      </c>
      <c r="D40" s="19" t="s">
        <v>727</v>
      </c>
      <c r="E40" s="19" t="s">
        <v>17</v>
      </c>
      <c r="F40" s="19" t="s">
        <v>0</v>
      </c>
      <c r="G40" s="19" t="s">
        <v>728</v>
      </c>
      <c r="H40" s="19" t="s">
        <v>14365</v>
      </c>
      <c r="I40" s="19" t="s">
        <v>4</v>
      </c>
      <c r="J40" s="19" t="s">
        <v>2</v>
      </c>
      <c r="K40" s="19" t="s">
        <v>160</v>
      </c>
      <c r="L40" s="19"/>
      <c r="M40" s="19"/>
      <c r="N40" s="19" t="s">
        <v>731</v>
      </c>
      <c r="O40" s="19"/>
      <c r="P40" s="19"/>
      <c r="Q40" s="19" t="s">
        <v>13845</v>
      </c>
      <c r="R40" s="19"/>
      <c r="S40" s="19" t="s">
        <v>14366</v>
      </c>
      <c r="T40" s="19" t="s">
        <v>11</v>
      </c>
      <c r="U40" s="19" t="s">
        <v>14367</v>
      </c>
      <c r="V40" s="19"/>
      <c r="W40" s="19" t="s">
        <v>14368</v>
      </c>
      <c r="X40" s="19"/>
      <c r="Y40" s="19" t="s">
        <v>14369</v>
      </c>
      <c r="Z40" s="19" t="s">
        <v>14370</v>
      </c>
      <c r="AA40" s="19" t="s">
        <v>14371</v>
      </c>
      <c r="AB40" s="19" t="s">
        <v>10021</v>
      </c>
      <c r="AC40" s="19" t="s">
        <v>14373</v>
      </c>
      <c r="AD40" s="19" t="s">
        <v>10021</v>
      </c>
      <c r="AE40" s="19" t="s">
        <v>14375</v>
      </c>
      <c r="AF40" s="19" t="s">
        <v>14417</v>
      </c>
      <c r="AG40" s="19" t="s">
        <v>14377</v>
      </c>
      <c r="AH40" s="19" t="s">
        <v>14432</v>
      </c>
      <c r="AI40" s="19" t="s">
        <v>14379</v>
      </c>
      <c r="AJ40" s="19" t="s">
        <v>14433</v>
      </c>
      <c r="AK40" s="19" t="s">
        <v>14381</v>
      </c>
      <c r="AL40" s="19" t="s">
        <v>14382</v>
      </c>
      <c r="AM40" s="19" t="s">
        <v>1119</v>
      </c>
      <c r="AN40" s="19" t="s">
        <v>729</v>
      </c>
      <c r="AO40" s="19" t="s">
        <v>14383</v>
      </c>
      <c r="AP40" s="19" t="s">
        <v>15</v>
      </c>
      <c r="AQ40" s="19" t="s">
        <v>1121</v>
      </c>
      <c r="AR40" s="19"/>
      <c r="AS40" s="19" t="s">
        <v>1122</v>
      </c>
      <c r="AT40" s="19"/>
      <c r="AU40" s="19" t="s">
        <v>14384</v>
      </c>
      <c r="AV40" s="19" t="s">
        <v>11</v>
      </c>
      <c r="AW40" s="19" t="s">
        <v>1124</v>
      </c>
      <c r="AX40" s="19"/>
      <c r="AY40" s="19" t="s">
        <v>1125</v>
      </c>
      <c r="AZ40" s="19"/>
      <c r="BA40" s="19" t="s">
        <v>14385</v>
      </c>
      <c r="BB40" s="19"/>
      <c r="BC40" s="19" t="s">
        <v>1127</v>
      </c>
      <c r="BD40" s="19"/>
      <c r="BE40" s="19" t="s">
        <v>1128</v>
      </c>
      <c r="BF40" s="19"/>
      <c r="BG40" s="19" t="s">
        <v>1129</v>
      </c>
      <c r="BH40" s="19" t="s">
        <v>730</v>
      </c>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row>
    <row r="41" spans="1:85" x14ac:dyDescent="0.4">
      <c r="A41" s="19" t="s">
        <v>736</v>
      </c>
      <c r="B41" s="19" t="s">
        <v>6</v>
      </c>
      <c r="C41" s="19" t="s">
        <v>1</v>
      </c>
      <c r="D41" s="19" t="s">
        <v>736</v>
      </c>
      <c r="E41" s="19" t="s">
        <v>17</v>
      </c>
      <c r="F41" s="19" t="s">
        <v>0</v>
      </c>
      <c r="G41" s="19" t="s">
        <v>737</v>
      </c>
      <c r="H41" s="19" t="s">
        <v>14365</v>
      </c>
      <c r="I41" s="19" t="s">
        <v>7</v>
      </c>
      <c r="J41" s="19" t="s">
        <v>2</v>
      </c>
      <c r="K41" s="19" t="s">
        <v>23</v>
      </c>
      <c r="L41" s="19"/>
      <c r="M41" s="19"/>
      <c r="N41" s="19" t="s">
        <v>509</v>
      </c>
      <c r="O41" s="19"/>
      <c r="P41" s="19"/>
      <c r="Q41" s="19" t="s">
        <v>13845</v>
      </c>
      <c r="R41" s="19"/>
      <c r="S41" s="19" t="s">
        <v>14366</v>
      </c>
      <c r="T41" s="19" t="s">
        <v>11</v>
      </c>
      <c r="U41" s="19" t="s">
        <v>14367</v>
      </c>
      <c r="V41" s="19"/>
      <c r="W41" s="19" t="s">
        <v>14368</v>
      </c>
      <c r="X41" s="19"/>
      <c r="Y41" s="19" t="s">
        <v>14369</v>
      </c>
      <c r="Z41" s="19" t="s">
        <v>14370</v>
      </c>
      <c r="AA41" s="19" t="s">
        <v>14371</v>
      </c>
      <c r="AB41" s="19" t="s">
        <v>10021</v>
      </c>
      <c r="AC41" s="19" t="s">
        <v>14373</v>
      </c>
      <c r="AD41" s="19" t="s">
        <v>10021</v>
      </c>
      <c r="AE41" s="19" t="s">
        <v>14375</v>
      </c>
      <c r="AF41" s="19" t="s">
        <v>14389</v>
      </c>
      <c r="AG41" s="19" t="s">
        <v>14377</v>
      </c>
      <c r="AH41" s="19" t="s">
        <v>14434</v>
      </c>
      <c r="AI41" s="19" t="s">
        <v>14379</v>
      </c>
      <c r="AJ41" s="19" t="s">
        <v>14433</v>
      </c>
      <c r="AK41" s="19" t="s">
        <v>14381</v>
      </c>
      <c r="AL41" s="19" t="s">
        <v>14382</v>
      </c>
      <c r="AM41" s="19" t="s">
        <v>1119</v>
      </c>
      <c r="AN41" s="19" t="s">
        <v>738</v>
      </c>
      <c r="AO41" s="19" t="s">
        <v>14383</v>
      </c>
      <c r="AP41" s="19" t="s">
        <v>15</v>
      </c>
      <c r="AQ41" s="19" t="s">
        <v>1121</v>
      </c>
      <c r="AR41" s="19"/>
      <c r="AS41" s="19" t="s">
        <v>1122</v>
      </c>
      <c r="AT41" s="19"/>
      <c r="AU41" s="19" t="s">
        <v>14384</v>
      </c>
      <c r="AV41" s="19" t="s">
        <v>11</v>
      </c>
      <c r="AW41" s="19" t="s">
        <v>1124</v>
      </c>
      <c r="AX41" s="19"/>
      <c r="AY41" s="19" t="s">
        <v>1125</v>
      </c>
      <c r="AZ41" s="19"/>
      <c r="BA41" s="19" t="s">
        <v>14385</v>
      </c>
      <c r="BB41" s="19"/>
      <c r="BC41" s="19" t="s">
        <v>1127</v>
      </c>
      <c r="BD41" s="19"/>
      <c r="BE41" s="19" t="s">
        <v>1128</v>
      </c>
      <c r="BF41" s="19"/>
      <c r="BG41" s="19" t="s">
        <v>1129</v>
      </c>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row>
    <row r="42" spans="1:85" x14ac:dyDescent="0.4">
      <c r="A42" s="19" t="s">
        <v>239</v>
      </c>
      <c r="B42" s="19" t="s">
        <v>6</v>
      </c>
      <c r="C42" s="19" t="s">
        <v>1</v>
      </c>
      <c r="D42" s="19" t="s">
        <v>239</v>
      </c>
      <c r="E42" s="19" t="s">
        <v>17</v>
      </c>
      <c r="F42" s="19" t="s">
        <v>0</v>
      </c>
      <c r="G42" s="19" t="s">
        <v>240</v>
      </c>
      <c r="H42" s="19" t="s">
        <v>14392</v>
      </c>
      <c r="I42" s="19" t="s">
        <v>4</v>
      </c>
      <c r="J42" s="19"/>
      <c r="K42" s="19" t="s">
        <v>277</v>
      </c>
      <c r="L42" s="19"/>
      <c r="M42" s="19"/>
      <c r="N42" s="19" t="s">
        <v>150</v>
      </c>
      <c r="O42" s="19"/>
      <c r="P42" s="19"/>
      <c r="Q42" s="19" t="s">
        <v>13845</v>
      </c>
      <c r="R42" s="19"/>
      <c r="S42" s="19" t="s">
        <v>14366</v>
      </c>
      <c r="T42" s="19" t="s">
        <v>11</v>
      </c>
      <c r="U42" s="19" t="s">
        <v>14367</v>
      </c>
      <c r="V42" s="19" t="s">
        <v>11</v>
      </c>
      <c r="W42" s="19" t="s">
        <v>14368</v>
      </c>
      <c r="X42" s="19"/>
      <c r="Y42" s="19" t="s">
        <v>14369</v>
      </c>
      <c r="Z42" s="19"/>
      <c r="AA42" s="19" t="s">
        <v>14371</v>
      </c>
      <c r="AB42" s="19" t="s">
        <v>10021</v>
      </c>
      <c r="AC42" s="19" t="s">
        <v>14373</v>
      </c>
      <c r="AD42" s="19" t="s">
        <v>10021</v>
      </c>
      <c r="AE42" s="19" t="s">
        <v>14375</v>
      </c>
      <c r="AF42" s="19" t="s">
        <v>14387</v>
      </c>
      <c r="AG42" s="19" t="s">
        <v>14377</v>
      </c>
      <c r="AH42" s="19" t="s">
        <v>13326</v>
      </c>
      <c r="AI42" s="19" t="s">
        <v>14379</v>
      </c>
      <c r="AJ42" s="19" t="s">
        <v>13326</v>
      </c>
      <c r="AK42" s="19" t="s">
        <v>14381</v>
      </c>
      <c r="AL42" s="19" t="s">
        <v>14382</v>
      </c>
      <c r="AM42" s="19" t="s">
        <v>1119</v>
      </c>
      <c r="AN42" s="19" t="s">
        <v>241</v>
      </c>
      <c r="AO42" s="19" t="s">
        <v>14383</v>
      </c>
      <c r="AP42" s="19" t="s">
        <v>15</v>
      </c>
      <c r="AQ42" s="19" t="s">
        <v>1121</v>
      </c>
      <c r="AR42" s="19"/>
      <c r="AS42" s="19" t="s">
        <v>1122</v>
      </c>
      <c r="AT42" s="19"/>
      <c r="AU42" s="19" t="s">
        <v>14384</v>
      </c>
      <c r="AV42" s="19" t="s">
        <v>11</v>
      </c>
      <c r="AW42" s="19" t="s">
        <v>1124</v>
      </c>
      <c r="AX42" s="19"/>
      <c r="AY42" s="19" t="s">
        <v>1125</v>
      </c>
      <c r="AZ42" s="19"/>
      <c r="BA42" s="19" t="s">
        <v>14385</v>
      </c>
      <c r="BB42" s="19"/>
      <c r="BC42" s="19" t="s">
        <v>1127</v>
      </c>
      <c r="BD42" s="19"/>
      <c r="BE42" s="19" t="s">
        <v>1128</v>
      </c>
      <c r="BF42" s="19"/>
      <c r="BG42" s="19" t="s">
        <v>1129</v>
      </c>
      <c r="BH42" s="19" t="s">
        <v>237</v>
      </c>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row>
    <row r="43" spans="1:85" x14ac:dyDescent="0.4">
      <c r="A43" s="19" t="s">
        <v>742</v>
      </c>
      <c r="B43" s="19" t="s">
        <v>6</v>
      </c>
      <c r="C43" s="19" t="s">
        <v>1</v>
      </c>
      <c r="D43" s="19" t="s">
        <v>742</v>
      </c>
      <c r="E43" s="19" t="s">
        <v>17</v>
      </c>
      <c r="F43" s="19" t="s">
        <v>0</v>
      </c>
      <c r="G43" s="19" t="s">
        <v>743</v>
      </c>
      <c r="H43" s="19" t="s">
        <v>14365</v>
      </c>
      <c r="I43" s="19" t="s">
        <v>4</v>
      </c>
      <c r="J43" s="19" t="s">
        <v>2</v>
      </c>
      <c r="K43" s="19" t="s">
        <v>148</v>
      </c>
      <c r="L43" s="19"/>
      <c r="M43" s="19"/>
      <c r="N43" s="19" t="s">
        <v>46</v>
      </c>
      <c r="O43" s="19"/>
      <c r="P43" s="19"/>
      <c r="Q43" s="19" t="s">
        <v>13845</v>
      </c>
      <c r="R43" s="19"/>
      <c r="S43" s="19" t="s">
        <v>14366</v>
      </c>
      <c r="T43" s="19" t="s">
        <v>11</v>
      </c>
      <c r="U43" s="19" t="s">
        <v>14367</v>
      </c>
      <c r="V43" s="19"/>
      <c r="W43" s="19" t="s">
        <v>14368</v>
      </c>
      <c r="X43" s="19"/>
      <c r="Y43" s="19" t="s">
        <v>14369</v>
      </c>
      <c r="Z43" s="19" t="s">
        <v>14370</v>
      </c>
      <c r="AA43" s="19" t="s">
        <v>14371</v>
      </c>
      <c r="AB43" s="19" t="s">
        <v>14372</v>
      </c>
      <c r="AC43" s="19" t="s">
        <v>14373</v>
      </c>
      <c r="AD43" s="19" t="s">
        <v>14435</v>
      </c>
      <c r="AE43" s="19" t="s">
        <v>14375</v>
      </c>
      <c r="AF43" s="19" t="s">
        <v>14387</v>
      </c>
      <c r="AG43" s="19" t="s">
        <v>14377</v>
      </c>
      <c r="AH43" s="19" t="s">
        <v>14388</v>
      </c>
      <c r="AI43" s="19" t="s">
        <v>14379</v>
      </c>
      <c r="AJ43" s="19" t="s">
        <v>3278</v>
      </c>
      <c r="AK43" s="19" t="s">
        <v>14381</v>
      </c>
      <c r="AL43" s="19" t="s">
        <v>14436</v>
      </c>
      <c r="AM43" s="19" t="s">
        <v>1119</v>
      </c>
      <c r="AN43" s="19" t="s">
        <v>744</v>
      </c>
      <c r="AO43" s="19" t="s">
        <v>14383</v>
      </c>
      <c r="AP43" s="19" t="s">
        <v>15</v>
      </c>
      <c r="AQ43" s="19" t="s">
        <v>1121</v>
      </c>
      <c r="AR43" s="19"/>
      <c r="AS43" s="19" t="s">
        <v>1122</v>
      </c>
      <c r="AT43" s="19"/>
      <c r="AU43" s="19" t="s">
        <v>14384</v>
      </c>
      <c r="AV43" s="19" t="s">
        <v>11</v>
      </c>
      <c r="AW43" s="19" t="s">
        <v>1124</v>
      </c>
      <c r="AX43" s="19"/>
      <c r="AY43" s="19" t="s">
        <v>1125</v>
      </c>
      <c r="AZ43" s="19"/>
      <c r="BA43" s="19" t="s">
        <v>14385</v>
      </c>
      <c r="BB43" s="19"/>
      <c r="BC43" s="19" t="s">
        <v>1127</v>
      </c>
      <c r="BD43" s="19"/>
      <c r="BE43" s="19" t="s">
        <v>1128</v>
      </c>
      <c r="BF43" s="19"/>
      <c r="BG43" s="19" t="s">
        <v>1129</v>
      </c>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row>
    <row r="44" spans="1:85" x14ac:dyDescent="0.4">
      <c r="A44" s="19" t="s">
        <v>762</v>
      </c>
      <c r="B44" s="19" t="s">
        <v>6</v>
      </c>
      <c r="C44" s="19" t="s">
        <v>1</v>
      </c>
      <c r="D44" s="19" t="s">
        <v>762</v>
      </c>
      <c r="E44" s="19" t="s">
        <v>17</v>
      </c>
      <c r="F44" s="19" t="s">
        <v>0</v>
      </c>
      <c r="G44" s="19" t="s">
        <v>763</v>
      </c>
      <c r="H44" s="19" t="s">
        <v>14365</v>
      </c>
      <c r="I44" s="19" t="s">
        <v>7</v>
      </c>
      <c r="J44" s="19" t="s">
        <v>2</v>
      </c>
      <c r="K44" s="19" t="s">
        <v>475</v>
      </c>
      <c r="L44" s="19"/>
      <c r="M44" s="19"/>
      <c r="N44" s="19"/>
      <c r="O44" s="19"/>
      <c r="P44" s="19"/>
      <c r="Q44" s="19" t="s">
        <v>13845</v>
      </c>
      <c r="R44" s="19"/>
      <c r="S44" s="19" t="s">
        <v>14366</v>
      </c>
      <c r="T44" s="19" t="s">
        <v>11</v>
      </c>
      <c r="U44" s="19" t="s">
        <v>14367</v>
      </c>
      <c r="V44" s="19"/>
      <c r="W44" s="19" t="s">
        <v>14368</v>
      </c>
      <c r="X44" s="19"/>
      <c r="Y44" s="19" t="s">
        <v>14369</v>
      </c>
      <c r="Z44" s="19" t="s">
        <v>14370</v>
      </c>
      <c r="AA44" s="19" t="s">
        <v>14371</v>
      </c>
      <c r="AB44" s="19" t="s">
        <v>14372</v>
      </c>
      <c r="AC44" s="19" t="s">
        <v>14373</v>
      </c>
      <c r="AD44" s="19" t="s">
        <v>14374</v>
      </c>
      <c r="AE44" s="19" t="s">
        <v>14375</v>
      </c>
      <c r="AF44" s="19" t="s">
        <v>3278</v>
      </c>
      <c r="AG44" s="19" t="s">
        <v>14377</v>
      </c>
      <c r="AH44" s="19" t="s">
        <v>3278</v>
      </c>
      <c r="AI44" s="19" t="s">
        <v>14379</v>
      </c>
      <c r="AJ44" s="19" t="s">
        <v>14437</v>
      </c>
      <c r="AK44" s="19" t="s">
        <v>14381</v>
      </c>
      <c r="AL44" s="19" t="s">
        <v>14413</v>
      </c>
      <c r="AM44" s="19" t="s">
        <v>1119</v>
      </c>
      <c r="AN44" s="19" t="s">
        <v>764</v>
      </c>
      <c r="AO44" s="19" t="s">
        <v>14383</v>
      </c>
      <c r="AP44" s="19" t="s">
        <v>15</v>
      </c>
      <c r="AQ44" s="19" t="s">
        <v>1121</v>
      </c>
      <c r="AR44" s="19"/>
      <c r="AS44" s="19" t="s">
        <v>1122</v>
      </c>
      <c r="AT44" s="19"/>
      <c r="AU44" s="19" t="s">
        <v>14384</v>
      </c>
      <c r="AV44" s="19" t="s">
        <v>11</v>
      </c>
      <c r="AW44" s="19" t="s">
        <v>1124</v>
      </c>
      <c r="AX44" s="19"/>
      <c r="AY44" s="19" t="s">
        <v>1125</v>
      </c>
      <c r="AZ44" s="19"/>
      <c r="BA44" s="19" t="s">
        <v>14385</v>
      </c>
      <c r="BB44" s="19"/>
      <c r="BC44" s="19" t="s">
        <v>1127</v>
      </c>
      <c r="BD44" s="19"/>
      <c r="BE44" s="19" t="s">
        <v>1128</v>
      </c>
      <c r="BF44" s="19"/>
      <c r="BG44" s="19" t="s">
        <v>1129</v>
      </c>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row>
    <row r="45" spans="1:85" x14ac:dyDescent="0.4">
      <c r="A45" s="19" t="s">
        <v>769</v>
      </c>
      <c r="B45" s="19" t="s">
        <v>6</v>
      </c>
      <c r="C45" s="19" t="s">
        <v>1</v>
      </c>
      <c r="D45" s="19" t="s">
        <v>769</v>
      </c>
      <c r="E45" s="19" t="s">
        <v>17</v>
      </c>
      <c r="F45" s="19" t="s">
        <v>0</v>
      </c>
      <c r="G45" s="19" t="s">
        <v>770</v>
      </c>
      <c r="H45" s="19" t="s">
        <v>14365</v>
      </c>
      <c r="I45" s="19" t="s">
        <v>7</v>
      </c>
      <c r="J45" s="19" t="s">
        <v>2</v>
      </c>
      <c r="K45" s="19" t="s">
        <v>79</v>
      </c>
      <c r="L45" s="19"/>
      <c r="M45" s="19"/>
      <c r="N45" s="19"/>
      <c r="O45" s="19"/>
      <c r="P45" s="19"/>
      <c r="Q45" s="19" t="s">
        <v>13845</v>
      </c>
      <c r="R45" s="19"/>
      <c r="S45" s="19" t="s">
        <v>14366</v>
      </c>
      <c r="T45" s="19" t="s">
        <v>11</v>
      </c>
      <c r="U45" s="19" t="s">
        <v>14367</v>
      </c>
      <c r="V45" s="19"/>
      <c r="W45" s="19" t="s">
        <v>14368</v>
      </c>
      <c r="X45" s="19"/>
      <c r="Y45" s="19" t="s">
        <v>14369</v>
      </c>
      <c r="Z45" s="19" t="s">
        <v>14370</v>
      </c>
      <c r="AA45" s="19" t="s">
        <v>14371</v>
      </c>
      <c r="AB45" s="19" t="s">
        <v>14372</v>
      </c>
      <c r="AC45" s="19" t="s">
        <v>14373</v>
      </c>
      <c r="AD45" s="19" t="s">
        <v>14394</v>
      </c>
      <c r="AE45" s="19" t="s">
        <v>14375</v>
      </c>
      <c r="AF45" s="19" t="s">
        <v>14389</v>
      </c>
      <c r="AG45" s="19" t="s">
        <v>14377</v>
      </c>
      <c r="AH45" s="19" t="s">
        <v>14389</v>
      </c>
      <c r="AI45" s="19" t="s">
        <v>14379</v>
      </c>
      <c r="AJ45" s="19" t="s">
        <v>14438</v>
      </c>
      <c r="AK45" s="19" t="s">
        <v>14381</v>
      </c>
      <c r="AL45" s="19"/>
      <c r="AM45" s="19" t="s">
        <v>1119</v>
      </c>
      <c r="AN45" s="19" t="s">
        <v>771</v>
      </c>
      <c r="AO45" s="19" t="s">
        <v>14383</v>
      </c>
      <c r="AP45" s="19" t="s">
        <v>15</v>
      </c>
      <c r="AQ45" s="19" t="s">
        <v>1121</v>
      </c>
      <c r="AR45" s="19"/>
      <c r="AS45" s="19" t="s">
        <v>1122</v>
      </c>
      <c r="AT45" s="19"/>
      <c r="AU45" s="19" t="s">
        <v>14384</v>
      </c>
      <c r="AV45" s="19" t="s">
        <v>11</v>
      </c>
      <c r="AW45" s="19" t="s">
        <v>1124</v>
      </c>
      <c r="AX45" s="19"/>
      <c r="AY45" s="19" t="s">
        <v>1125</v>
      </c>
      <c r="AZ45" s="19"/>
      <c r="BA45" s="19" t="s">
        <v>14385</v>
      </c>
      <c r="BB45" s="19"/>
      <c r="BC45" s="19" t="s">
        <v>1127</v>
      </c>
      <c r="BD45" s="19"/>
      <c r="BE45" s="19" t="s">
        <v>1128</v>
      </c>
      <c r="BF45" s="19"/>
      <c r="BG45" s="19" t="s">
        <v>1129</v>
      </c>
      <c r="BH45" s="19" t="s">
        <v>772</v>
      </c>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row>
    <row r="46" spans="1:85" x14ac:dyDescent="0.4">
      <c r="A46" s="19" t="s">
        <v>777</v>
      </c>
      <c r="B46" s="19" t="s">
        <v>6</v>
      </c>
      <c r="C46" s="19" t="s">
        <v>1</v>
      </c>
      <c r="D46" s="19" t="s">
        <v>777</v>
      </c>
      <c r="E46" s="19" t="s">
        <v>17</v>
      </c>
      <c r="F46" s="19" t="s">
        <v>0</v>
      </c>
      <c r="G46" s="19" t="s">
        <v>778</v>
      </c>
      <c r="H46" s="19" t="s">
        <v>14365</v>
      </c>
      <c r="I46" s="19" t="s">
        <v>4</v>
      </c>
      <c r="J46" s="19" t="s">
        <v>2</v>
      </c>
      <c r="K46" s="19" t="s">
        <v>595</v>
      </c>
      <c r="L46" s="19"/>
      <c r="M46" s="19"/>
      <c r="N46" s="19" t="s">
        <v>781</v>
      </c>
      <c r="O46" s="19"/>
      <c r="P46" s="19"/>
      <c r="Q46" s="19" t="s">
        <v>13845</v>
      </c>
      <c r="R46" s="19"/>
      <c r="S46" s="19" t="s">
        <v>14366</v>
      </c>
      <c r="T46" s="19" t="s">
        <v>11</v>
      </c>
      <c r="U46" s="19" t="s">
        <v>14367</v>
      </c>
      <c r="V46" s="19"/>
      <c r="W46" s="19" t="s">
        <v>14368</v>
      </c>
      <c r="X46" s="19"/>
      <c r="Y46" s="19" t="s">
        <v>14369</v>
      </c>
      <c r="Z46" s="19" t="s">
        <v>14370</v>
      </c>
      <c r="AA46" s="19" t="s">
        <v>14371</v>
      </c>
      <c r="AB46" s="19" t="s">
        <v>14439</v>
      </c>
      <c r="AC46" s="19" t="s">
        <v>14373</v>
      </c>
      <c r="AD46" s="19" t="s">
        <v>14412</v>
      </c>
      <c r="AE46" s="19" t="s">
        <v>14375</v>
      </c>
      <c r="AF46" s="19" t="s">
        <v>14378</v>
      </c>
      <c r="AG46" s="19" t="s">
        <v>14377</v>
      </c>
      <c r="AH46" s="19" t="s">
        <v>14413</v>
      </c>
      <c r="AI46" s="19" t="s">
        <v>14379</v>
      </c>
      <c r="AJ46" s="19" t="s">
        <v>14440</v>
      </c>
      <c r="AK46" s="19" t="s">
        <v>14381</v>
      </c>
      <c r="AL46" s="19" t="s">
        <v>14441</v>
      </c>
      <c r="AM46" s="19" t="s">
        <v>1119</v>
      </c>
      <c r="AN46" s="19" t="s">
        <v>779</v>
      </c>
      <c r="AO46" s="19" t="s">
        <v>14383</v>
      </c>
      <c r="AP46" s="19" t="s">
        <v>15</v>
      </c>
      <c r="AQ46" s="19" t="s">
        <v>1121</v>
      </c>
      <c r="AR46" s="19"/>
      <c r="AS46" s="19" t="s">
        <v>1122</v>
      </c>
      <c r="AT46" s="19"/>
      <c r="AU46" s="19" t="s">
        <v>14384</v>
      </c>
      <c r="AV46" s="19" t="s">
        <v>11</v>
      </c>
      <c r="AW46" s="19" t="s">
        <v>1124</v>
      </c>
      <c r="AX46" s="19"/>
      <c r="AY46" s="19" t="s">
        <v>1125</v>
      </c>
      <c r="AZ46" s="19"/>
      <c r="BA46" s="19" t="s">
        <v>14385</v>
      </c>
      <c r="BB46" s="19"/>
      <c r="BC46" s="19" t="s">
        <v>1127</v>
      </c>
      <c r="BD46" s="19"/>
      <c r="BE46" s="19" t="s">
        <v>1128</v>
      </c>
      <c r="BF46" s="19" t="s">
        <v>36</v>
      </c>
      <c r="BG46" s="19" t="s">
        <v>1129</v>
      </c>
      <c r="BH46" s="19" t="s">
        <v>780</v>
      </c>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row>
    <row r="47" spans="1:85" x14ac:dyDescent="0.4">
      <c r="A47" s="19" t="s">
        <v>785</v>
      </c>
      <c r="B47" s="19" t="s">
        <v>6</v>
      </c>
      <c r="C47" s="19" t="s">
        <v>1</v>
      </c>
      <c r="D47" s="19" t="s">
        <v>785</v>
      </c>
      <c r="E47" s="19" t="s">
        <v>17</v>
      </c>
      <c r="F47" s="19" t="s">
        <v>0</v>
      </c>
      <c r="G47" s="19" t="s">
        <v>786</v>
      </c>
      <c r="H47" s="19" t="s">
        <v>14365</v>
      </c>
      <c r="I47" s="19" t="s">
        <v>4</v>
      </c>
      <c r="J47" s="19" t="s">
        <v>2</v>
      </c>
      <c r="K47" s="19" t="s">
        <v>595</v>
      </c>
      <c r="L47" s="19"/>
      <c r="M47" s="19"/>
      <c r="N47" s="19" t="s">
        <v>781</v>
      </c>
      <c r="O47" s="19"/>
      <c r="P47" s="19"/>
      <c r="Q47" s="19" t="s">
        <v>13845</v>
      </c>
      <c r="R47" s="19"/>
      <c r="S47" s="19" t="s">
        <v>14366</v>
      </c>
      <c r="T47" s="19" t="s">
        <v>11</v>
      </c>
      <c r="U47" s="19" t="s">
        <v>14367</v>
      </c>
      <c r="V47" s="19"/>
      <c r="W47" s="19" t="s">
        <v>14368</v>
      </c>
      <c r="X47" s="19"/>
      <c r="Y47" s="19" t="s">
        <v>14369</v>
      </c>
      <c r="Z47" s="19" t="s">
        <v>14370</v>
      </c>
      <c r="AA47" s="19" t="s">
        <v>14371</v>
      </c>
      <c r="AB47" s="19" t="s">
        <v>14439</v>
      </c>
      <c r="AC47" s="19" t="s">
        <v>14373</v>
      </c>
      <c r="AD47" s="19" t="s">
        <v>14412</v>
      </c>
      <c r="AE47" s="19" t="s">
        <v>14375</v>
      </c>
      <c r="AF47" s="19" t="s">
        <v>14378</v>
      </c>
      <c r="AG47" s="19" t="s">
        <v>14377</v>
      </c>
      <c r="AH47" s="19" t="s">
        <v>14413</v>
      </c>
      <c r="AI47" s="19" t="s">
        <v>14379</v>
      </c>
      <c r="AJ47" s="19" t="s">
        <v>14442</v>
      </c>
      <c r="AK47" s="19" t="s">
        <v>14381</v>
      </c>
      <c r="AL47" s="19" t="s">
        <v>14382</v>
      </c>
      <c r="AM47" s="19" t="s">
        <v>1119</v>
      </c>
      <c r="AN47" s="19" t="s">
        <v>787</v>
      </c>
      <c r="AO47" s="19" t="s">
        <v>14383</v>
      </c>
      <c r="AP47" s="19" t="s">
        <v>15</v>
      </c>
      <c r="AQ47" s="19" t="s">
        <v>1121</v>
      </c>
      <c r="AR47" s="19"/>
      <c r="AS47" s="19" t="s">
        <v>1122</v>
      </c>
      <c r="AT47" s="19"/>
      <c r="AU47" s="19" t="s">
        <v>14384</v>
      </c>
      <c r="AV47" s="19" t="s">
        <v>11</v>
      </c>
      <c r="AW47" s="19" t="s">
        <v>1124</v>
      </c>
      <c r="AX47" s="19"/>
      <c r="AY47" s="19" t="s">
        <v>1125</v>
      </c>
      <c r="AZ47" s="19"/>
      <c r="BA47" s="19" t="s">
        <v>14385</v>
      </c>
      <c r="BB47" s="19"/>
      <c r="BC47" s="19" t="s">
        <v>1127</v>
      </c>
      <c r="BD47" s="19"/>
      <c r="BE47" s="19" t="s">
        <v>1128</v>
      </c>
      <c r="BF47" s="19" t="s">
        <v>36</v>
      </c>
      <c r="BG47" s="19" t="s">
        <v>1129</v>
      </c>
      <c r="BH47" s="19" t="s">
        <v>780</v>
      </c>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row>
    <row r="48" spans="1:85" x14ac:dyDescent="0.4">
      <c r="A48" s="19" t="s">
        <v>792</v>
      </c>
      <c r="B48" s="19" t="s">
        <v>6</v>
      </c>
      <c r="C48" s="19" t="s">
        <v>1</v>
      </c>
      <c r="D48" s="19" t="s">
        <v>792</v>
      </c>
      <c r="E48" s="19" t="s">
        <v>17</v>
      </c>
      <c r="F48" s="19" t="s">
        <v>0</v>
      </c>
      <c r="G48" s="19" t="s">
        <v>793</v>
      </c>
      <c r="H48" s="19" t="s">
        <v>14365</v>
      </c>
      <c r="I48" s="19" t="s">
        <v>4</v>
      </c>
      <c r="J48" s="19" t="s">
        <v>2</v>
      </c>
      <c r="K48" s="19" t="s">
        <v>153</v>
      </c>
      <c r="L48" s="19"/>
      <c r="M48" s="19"/>
      <c r="N48" s="19"/>
      <c r="O48" s="19"/>
      <c r="P48" s="19"/>
      <c r="Q48" s="19" t="s">
        <v>13845</v>
      </c>
      <c r="R48" s="19"/>
      <c r="S48" s="19" t="s">
        <v>14366</v>
      </c>
      <c r="T48" s="19" t="s">
        <v>11</v>
      </c>
      <c r="U48" s="19" t="s">
        <v>14367</v>
      </c>
      <c r="V48" s="19"/>
      <c r="W48" s="19" t="s">
        <v>14368</v>
      </c>
      <c r="X48" s="19"/>
      <c r="Y48" s="19" t="s">
        <v>14369</v>
      </c>
      <c r="Z48" s="19" t="s">
        <v>14370</v>
      </c>
      <c r="AA48" s="19" t="s">
        <v>14371</v>
      </c>
      <c r="AB48" s="19" t="s">
        <v>10021</v>
      </c>
      <c r="AC48" s="19" t="s">
        <v>14373</v>
      </c>
      <c r="AD48" s="19" t="s">
        <v>10021</v>
      </c>
      <c r="AE48" s="19" t="s">
        <v>14375</v>
      </c>
      <c r="AF48" s="19" t="s">
        <v>14399</v>
      </c>
      <c r="AG48" s="19" t="s">
        <v>14377</v>
      </c>
      <c r="AH48" s="19" t="s">
        <v>14443</v>
      </c>
      <c r="AI48" s="19" t="s">
        <v>14379</v>
      </c>
      <c r="AJ48" s="19" t="s">
        <v>14433</v>
      </c>
      <c r="AK48" s="19" t="s">
        <v>14381</v>
      </c>
      <c r="AL48" s="19" t="s">
        <v>14444</v>
      </c>
      <c r="AM48" s="19" t="s">
        <v>1119</v>
      </c>
      <c r="AN48" s="19" t="s">
        <v>794</v>
      </c>
      <c r="AO48" s="19" t="s">
        <v>14383</v>
      </c>
      <c r="AP48" s="19" t="s">
        <v>15</v>
      </c>
      <c r="AQ48" s="19" t="s">
        <v>1121</v>
      </c>
      <c r="AR48" s="19"/>
      <c r="AS48" s="19" t="s">
        <v>1122</v>
      </c>
      <c r="AT48" s="19"/>
      <c r="AU48" s="19" t="s">
        <v>14384</v>
      </c>
      <c r="AV48" s="19" t="s">
        <v>11</v>
      </c>
      <c r="AW48" s="19" t="s">
        <v>1124</v>
      </c>
      <c r="AX48" s="19"/>
      <c r="AY48" s="19" t="s">
        <v>1125</v>
      </c>
      <c r="AZ48" s="19"/>
      <c r="BA48" s="19" t="s">
        <v>14385</v>
      </c>
      <c r="BB48" s="19"/>
      <c r="BC48" s="19" t="s">
        <v>1127</v>
      </c>
      <c r="BD48" s="19"/>
      <c r="BE48" s="19" t="s">
        <v>1128</v>
      </c>
      <c r="BF48" s="19" t="s">
        <v>795</v>
      </c>
      <c r="BG48" s="19" t="s">
        <v>1129</v>
      </c>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row>
    <row r="49" spans="1:85" x14ac:dyDescent="0.4">
      <c r="A49" s="19" t="s">
        <v>356</v>
      </c>
      <c r="B49" s="19" t="s">
        <v>6</v>
      </c>
      <c r="C49" s="19" t="s">
        <v>1</v>
      </c>
      <c r="D49" s="19" t="s">
        <v>356</v>
      </c>
      <c r="E49" s="19" t="s">
        <v>17</v>
      </c>
      <c r="F49" s="19" t="s">
        <v>0</v>
      </c>
      <c r="G49" s="19" t="s">
        <v>357</v>
      </c>
      <c r="H49" s="19" t="s">
        <v>14392</v>
      </c>
      <c r="I49" s="19" t="s">
        <v>7</v>
      </c>
      <c r="J49" s="19"/>
      <c r="K49" s="19" t="s">
        <v>363</v>
      </c>
      <c r="L49" s="19"/>
      <c r="M49" s="19"/>
      <c r="N49" s="19" t="s">
        <v>62</v>
      </c>
      <c r="O49" s="19"/>
      <c r="P49" s="19"/>
      <c r="Q49" s="19" t="s">
        <v>13845</v>
      </c>
      <c r="R49" s="19"/>
      <c r="S49" s="19" t="s">
        <v>14366</v>
      </c>
      <c r="T49" s="19" t="s">
        <v>11</v>
      </c>
      <c r="U49" s="19" t="s">
        <v>14367</v>
      </c>
      <c r="V49" s="19" t="s">
        <v>11</v>
      </c>
      <c r="W49" s="19" t="s">
        <v>14368</v>
      </c>
      <c r="X49" s="19"/>
      <c r="Y49" s="19" t="s">
        <v>14369</v>
      </c>
      <c r="Z49" s="19" t="s">
        <v>14370</v>
      </c>
      <c r="AA49" s="19" t="s">
        <v>14371</v>
      </c>
      <c r="AB49" s="19" t="s">
        <v>14372</v>
      </c>
      <c r="AC49" s="19" t="s">
        <v>14373</v>
      </c>
      <c r="AD49" s="19" t="s">
        <v>14445</v>
      </c>
      <c r="AE49" s="19" t="s">
        <v>14375</v>
      </c>
      <c r="AF49" s="19" t="s">
        <v>14387</v>
      </c>
      <c r="AG49" s="19" t="s">
        <v>14377</v>
      </c>
      <c r="AH49" s="19" t="s">
        <v>14388</v>
      </c>
      <c r="AI49" s="19" t="s">
        <v>14379</v>
      </c>
      <c r="AJ49" s="19" t="s">
        <v>14446</v>
      </c>
      <c r="AK49" s="19" t="s">
        <v>14381</v>
      </c>
      <c r="AL49" s="19" t="s">
        <v>14382</v>
      </c>
      <c r="AM49" s="19" t="s">
        <v>1119</v>
      </c>
      <c r="AN49" s="19" t="s">
        <v>358</v>
      </c>
      <c r="AO49" s="19" t="s">
        <v>14383</v>
      </c>
      <c r="AP49" s="19" t="s">
        <v>15</v>
      </c>
      <c r="AQ49" s="19" t="s">
        <v>1121</v>
      </c>
      <c r="AR49" s="19"/>
      <c r="AS49" s="19" t="s">
        <v>1122</v>
      </c>
      <c r="AT49" s="19"/>
      <c r="AU49" s="19" t="s">
        <v>14384</v>
      </c>
      <c r="AV49" s="19" t="s">
        <v>11</v>
      </c>
      <c r="AW49" s="19" t="s">
        <v>1124</v>
      </c>
      <c r="AX49" s="19"/>
      <c r="AY49" s="19" t="s">
        <v>1125</v>
      </c>
      <c r="AZ49" s="19"/>
      <c r="BA49" s="19" t="s">
        <v>14385</v>
      </c>
      <c r="BB49" s="19"/>
      <c r="BC49" s="19" t="s">
        <v>1127</v>
      </c>
      <c r="BD49" s="19"/>
      <c r="BE49" s="19" t="s">
        <v>1128</v>
      </c>
      <c r="BF49" s="19"/>
      <c r="BG49" s="19" t="s">
        <v>1129</v>
      </c>
      <c r="BH49" s="19" t="s">
        <v>359</v>
      </c>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row>
    <row r="50" spans="1:85" x14ac:dyDescent="0.4">
      <c r="A50" s="19" t="s">
        <v>823</v>
      </c>
      <c r="B50" s="19" t="s">
        <v>6</v>
      </c>
      <c r="C50" s="19" t="s">
        <v>1</v>
      </c>
      <c r="D50" s="19" t="s">
        <v>823</v>
      </c>
      <c r="E50" s="19" t="s">
        <v>17</v>
      </c>
      <c r="F50" s="19" t="s">
        <v>0</v>
      </c>
      <c r="G50" s="19" t="s">
        <v>824</v>
      </c>
      <c r="H50" s="19" t="s">
        <v>14365</v>
      </c>
      <c r="I50" s="19" t="s">
        <v>7</v>
      </c>
      <c r="J50" s="19" t="s">
        <v>2</v>
      </c>
      <c r="K50" s="19" t="s">
        <v>142</v>
      </c>
      <c r="L50" s="19"/>
      <c r="M50" s="19"/>
      <c r="N50" s="19" t="s">
        <v>827</v>
      </c>
      <c r="O50" s="19"/>
      <c r="P50" s="19"/>
      <c r="Q50" s="19" t="s">
        <v>13845</v>
      </c>
      <c r="R50" s="19"/>
      <c r="S50" s="19" t="s">
        <v>14366</v>
      </c>
      <c r="T50" s="19" t="s">
        <v>11</v>
      </c>
      <c r="U50" s="19" t="s">
        <v>14367</v>
      </c>
      <c r="V50" s="19"/>
      <c r="W50" s="19" t="s">
        <v>14368</v>
      </c>
      <c r="X50" s="19"/>
      <c r="Y50" s="19" t="s">
        <v>14369</v>
      </c>
      <c r="Z50" s="19" t="s">
        <v>14370</v>
      </c>
      <c r="AA50" s="19" t="s">
        <v>14371</v>
      </c>
      <c r="AB50" s="19" t="s">
        <v>14372</v>
      </c>
      <c r="AC50" s="19" t="s">
        <v>14373</v>
      </c>
      <c r="AD50" s="19" t="s">
        <v>14394</v>
      </c>
      <c r="AE50" s="19" t="s">
        <v>14375</v>
      </c>
      <c r="AF50" s="19" t="s">
        <v>14407</v>
      </c>
      <c r="AG50" s="19" t="s">
        <v>14377</v>
      </c>
      <c r="AH50" s="19" t="s">
        <v>14388</v>
      </c>
      <c r="AI50" s="19" t="s">
        <v>14379</v>
      </c>
      <c r="AJ50" s="19" t="s">
        <v>14399</v>
      </c>
      <c r="AK50" s="19" t="s">
        <v>14381</v>
      </c>
      <c r="AL50" s="19" t="s">
        <v>14426</v>
      </c>
      <c r="AM50" s="19" t="s">
        <v>1119</v>
      </c>
      <c r="AN50" s="19" t="s">
        <v>825</v>
      </c>
      <c r="AO50" s="19" t="s">
        <v>14383</v>
      </c>
      <c r="AP50" s="19" t="s">
        <v>15</v>
      </c>
      <c r="AQ50" s="19" t="s">
        <v>1121</v>
      </c>
      <c r="AR50" s="19"/>
      <c r="AS50" s="19" t="s">
        <v>1122</v>
      </c>
      <c r="AT50" s="19"/>
      <c r="AU50" s="19" t="s">
        <v>14384</v>
      </c>
      <c r="AV50" s="19" t="s">
        <v>11</v>
      </c>
      <c r="AW50" s="19" t="s">
        <v>1124</v>
      </c>
      <c r="AX50" s="19"/>
      <c r="AY50" s="19" t="s">
        <v>1125</v>
      </c>
      <c r="AZ50" s="19"/>
      <c r="BA50" s="19" t="s">
        <v>14385</v>
      </c>
      <c r="BB50" s="19"/>
      <c r="BC50" s="19" t="s">
        <v>1127</v>
      </c>
      <c r="BD50" s="19"/>
      <c r="BE50" s="19" t="s">
        <v>1128</v>
      </c>
      <c r="BF50" s="19"/>
      <c r="BG50" s="19" t="s">
        <v>1129</v>
      </c>
      <c r="BH50" s="19" t="s">
        <v>826</v>
      </c>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row>
    <row r="51" spans="1:85" x14ac:dyDescent="0.4">
      <c r="A51" s="19" t="s">
        <v>807</v>
      </c>
      <c r="B51" s="19" t="s">
        <v>6</v>
      </c>
      <c r="C51" s="19" t="s">
        <v>1</v>
      </c>
      <c r="D51" s="19" t="s">
        <v>807</v>
      </c>
      <c r="E51" s="19" t="s">
        <v>17</v>
      </c>
      <c r="F51" s="19" t="s">
        <v>0</v>
      </c>
      <c r="G51" s="19" t="s">
        <v>808</v>
      </c>
      <c r="H51" s="19" t="s">
        <v>14365</v>
      </c>
      <c r="I51" s="19" t="s">
        <v>7</v>
      </c>
      <c r="J51" s="19" t="s">
        <v>2</v>
      </c>
      <c r="K51" s="19" t="s">
        <v>475</v>
      </c>
      <c r="L51" s="19"/>
      <c r="M51" s="19"/>
      <c r="N51" s="19"/>
      <c r="O51" s="19"/>
      <c r="P51" s="19"/>
      <c r="Q51" s="19" t="s">
        <v>13845</v>
      </c>
      <c r="R51" s="19"/>
      <c r="S51" s="19" t="s">
        <v>14366</v>
      </c>
      <c r="T51" s="19" t="s">
        <v>11</v>
      </c>
      <c r="U51" s="19" t="s">
        <v>14367</v>
      </c>
      <c r="V51" s="19"/>
      <c r="W51" s="19" t="s">
        <v>14368</v>
      </c>
      <c r="X51" s="19"/>
      <c r="Y51" s="19" t="s">
        <v>14369</v>
      </c>
      <c r="Z51" s="19" t="s">
        <v>14370</v>
      </c>
      <c r="AA51" s="19" t="s">
        <v>14371</v>
      </c>
      <c r="AB51" s="19" t="s">
        <v>14372</v>
      </c>
      <c r="AC51" s="19" t="s">
        <v>14373</v>
      </c>
      <c r="AD51" s="19" t="s">
        <v>14374</v>
      </c>
      <c r="AE51" s="19" t="s">
        <v>14375</v>
      </c>
      <c r="AF51" s="19" t="s">
        <v>14402</v>
      </c>
      <c r="AG51" s="19" t="s">
        <v>14377</v>
      </c>
      <c r="AH51" s="19" t="s">
        <v>14402</v>
      </c>
      <c r="AI51" s="19" t="s">
        <v>14379</v>
      </c>
      <c r="AJ51" s="19" t="s">
        <v>14447</v>
      </c>
      <c r="AK51" s="19" t="s">
        <v>14381</v>
      </c>
      <c r="AL51" s="19"/>
      <c r="AM51" s="19" t="s">
        <v>1119</v>
      </c>
      <c r="AN51" s="19" t="s">
        <v>809</v>
      </c>
      <c r="AO51" s="19" t="s">
        <v>14383</v>
      </c>
      <c r="AP51" s="19" t="s">
        <v>15</v>
      </c>
      <c r="AQ51" s="19" t="s">
        <v>1121</v>
      </c>
      <c r="AR51" s="19"/>
      <c r="AS51" s="19" t="s">
        <v>1122</v>
      </c>
      <c r="AT51" s="19"/>
      <c r="AU51" s="19" t="s">
        <v>14384</v>
      </c>
      <c r="AV51" s="19" t="s">
        <v>11</v>
      </c>
      <c r="AW51" s="19" t="s">
        <v>1124</v>
      </c>
      <c r="AX51" s="19"/>
      <c r="AY51" s="19" t="s">
        <v>1125</v>
      </c>
      <c r="AZ51" s="19"/>
      <c r="BA51" s="19" t="s">
        <v>14385</v>
      </c>
      <c r="BB51" s="19"/>
      <c r="BC51" s="19" t="s">
        <v>1127</v>
      </c>
      <c r="BD51" s="19"/>
      <c r="BE51" s="19" t="s">
        <v>1128</v>
      </c>
      <c r="BF51" s="19" t="s">
        <v>810</v>
      </c>
      <c r="BG51" s="19" t="s">
        <v>1129</v>
      </c>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row>
    <row r="52" spans="1:85" x14ac:dyDescent="0.4">
      <c r="A52" s="19" t="s">
        <v>833</v>
      </c>
      <c r="B52" s="19" t="s">
        <v>6</v>
      </c>
      <c r="C52" s="19" t="s">
        <v>1</v>
      </c>
      <c r="D52" s="19" t="s">
        <v>833</v>
      </c>
      <c r="E52" s="19" t="s">
        <v>17</v>
      </c>
      <c r="F52" s="19" t="s">
        <v>0</v>
      </c>
      <c r="G52" s="19" t="s">
        <v>834</v>
      </c>
      <c r="H52" s="19" t="s">
        <v>14365</v>
      </c>
      <c r="I52" s="19" t="s">
        <v>4</v>
      </c>
      <c r="J52" s="19" t="s">
        <v>2</v>
      </c>
      <c r="K52" s="19" t="s">
        <v>142</v>
      </c>
      <c r="L52" s="19"/>
      <c r="M52" s="19"/>
      <c r="N52" s="19" t="s">
        <v>837</v>
      </c>
      <c r="O52" s="19"/>
      <c r="P52" s="19"/>
      <c r="Q52" s="19" t="s">
        <v>13845</v>
      </c>
      <c r="R52" s="19"/>
      <c r="S52" s="19" t="s">
        <v>14366</v>
      </c>
      <c r="T52" s="19" t="s">
        <v>11</v>
      </c>
      <c r="U52" s="19" t="s">
        <v>14367</v>
      </c>
      <c r="V52" s="19"/>
      <c r="W52" s="19" t="s">
        <v>14368</v>
      </c>
      <c r="X52" s="19"/>
      <c r="Y52" s="19" t="s">
        <v>14369</v>
      </c>
      <c r="Z52" s="19" t="s">
        <v>14370</v>
      </c>
      <c r="AA52" s="19" t="s">
        <v>14371</v>
      </c>
      <c r="AB52" s="19" t="s">
        <v>14372</v>
      </c>
      <c r="AC52" s="19" t="s">
        <v>14373</v>
      </c>
      <c r="AD52" s="19" t="s">
        <v>14394</v>
      </c>
      <c r="AE52" s="19" t="s">
        <v>14375</v>
      </c>
      <c r="AF52" s="19" t="s">
        <v>14389</v>
      </c>
      <c r="AG52" s="19" t="s">
        <v>14377</v>
      </c>
      <c r="AH52" s="19" t="s">
        <v>14390</v>
      </c>
      <c r="AI52" s="19" t="s">
        <v>14379</v>
      </c>
      <c r="AJ52" s="19" t="s">
        <v>14397</v>
      </c>
      <c r="AK52" s="19" t="s">
        <v>14381</v>
      </c>
      <c r="AL52" s="19" t="s">
        <v>14382</v>
      </c>
      <c r="AM52" s="19" t="s">
        <v>1119</v>
      </c>
      <c r="AN52" s="19" t="s">
        <v>835</v>
      </c>
      <c r="AO52" s="19" t="s">
        <v>14383</v>
      </c>
      <c r="AP52" s="19" t="s">
        <v>15</v>
      </c>
      <c r="AQ52" s="19" t="s">
        <v>1121</v>
      </c>
      <c r="AR52" s="19"/>
      <c r="AS52" s="19" t="s">
        <v>1122</v>
      </c>
      <c r="AT52" s="19"/>
      <c r="AU52" s="19" t="s">
        <v>14384</v>
      </c>
      <c r="AV52" s="19" t="s">
        <v>11</v>
      </c>
      <c r="AW52" s="19" t="s">
        <v>1124</v>
      </c>
      <c r="AX52" s="19"/>
      <c r="AY52" s="19" t="s">
        <v>1125</v>
      </c>
      <c r="AZ52" s="19"/>
      <c r="BA52" s="19" t="s">
        <v>14385</v>
      </c>
      <c r="BB52" s="19"/>
      <c r="BC52" s="19" t="s">
        <v>1127</v>
      </c>
      <c r="BD52" s="19"/>
      <c r="BE52" s="19" t="s">
        <v>1128</v>
      </c>
      <c r="BF52" s="19"/>
      <c r="BG52" s="19" t="s">
        <v>1129</v>
      </c>
      <c r="BH52" s="19" t="s">
        <v>836</v>
      </c>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row>
    <row r="53" spans="1:85" x14ac:dyDescent="0.4">
      <c r="A53" s="19" t="s">
        <v>841</v>
      </c>
      <c r="B53" s="19" t="s">
        <v>6</v>
      </c>
      <c r="C53" s="19" t="s">
        <v>1</v>
      </c>
      <c r="D53" s="19" t="s">
        <v>841</v>
      </c>
      <c r="E53" s="19" t="s">
        <v>17</v>
      </c>
      <c r="F53" s="19" t="s">
        <v>0</v>
      </c>
      <c r="G53" s="19" t="s">
        <v>842</v>
      </c>
      <c r="H53" s="19" t="s">
        <v>14365</v>
      </c>
      <c r="I53" s="19" t="s">
        <v>7</v>
      </c>
      <c r="J53" s="19" t="s">
        <v>2</v>
      </c>
      <c r="K53" s="19" t="s">
        <v>158</v>
      </c>
      <c r="L53" s="19"/>
      <c r="M53" s="19"/>
      <c r="N53" s="19" t="s">
        <v>425</v>
      </c>
      <c r="O53" s="19"/>
      <c r="P53" s="19"/>
      <c r="Q53" s="19" t="s">
        <v>13845</v>
      </c>
      <c r="R53" s="19"/>
      <c r="S53" s="19" t="s">
        <v>14366</v>
      </c>
      <c r="T53" s="19" t="s">
        <v>11</v>
      </c>
      <c r="U53" s="19" t="s">
        <v>14367</v>
      </c>
      <c r="V53" s="19"/>
      <c r="W53" s="19" t="s">
        <v>14368</v>
      </c>
      <c r="X53" s="19"/>
      <c r="Y53" s="19" t="s">
        <v>14369</v>
      </c>
      <c r="Z53" s="19" t="s">
        <v>14370</v>
      </c>
      <c r="AA53" s="19" t="s">
        <v>14371</v>
      </c>
      <c r="AB53" s="19" t="s">
        <v>14372</v>
      </c>
      <c r="AC53" s="19" t="s">
        <v>14373</v>
      </c>
      <c r="AD53" s="19" t="s">
        <v>14406</v>
      </c>
      <c r="AE53" s="19" t="s">
        <v>14375</v>
      </c>
      <c r="AF53" s="19" t="s">
        <v>14378</v>
      </c>
      <c r="AG53" s="19" t="s">
        <v>14377</v>
      </c>
      <c r="AH53" s="19" t="s">
        <v>14400</v>
      </c>
      <c r="AI53" s="19" t="s">
        <v>14379</v>
      </c>
      <c r="AJ53" s="19" t="s">
        <v>14409</v>
      </c>
      <c r="AK53" s="19" t="s">
        <v>14381</v>
      </c>
      <c r="AL53" s="19" t="s">
        <v>14382</v>
      </c>
      <c r="AM53" s="19" t="s">
        <v>1119</v>
      </c>
      <c r="AN53" s="19" t="s">
        <v>843</v>
      </c>
      <c r="AO53" s="19" t="s">
        <v>14383</v>
      </c>
      <c r="AP53" s="19" t="s">
        <v>15</v>
      </c>
      <c r="AQ53" s="19" t="s">
        <v>1121</v>
      </c>
      <c r="AR53" s="19"/>
      <c r="AS53" s="19" t="s">
        <v>1122</v>
      </c>
      <c r="AT53" s="19"/>
      <c r="AU53" s="19" t="s">
        <v>14384</v>
      </c>
      <c r="AV53" s="19" t="s">
        <v>11</v>
      </c>
      <c r="AW53" s="19" t="s">
        <v>1124</v>
      </c>
      <c r="AX53" s="19"/>
      <c r="AY53" s="19" t="s">
        <v>1125</v>
      </c>
      <c r="AZ53" s="19"/>
      <c r="BA53" s="19" t="s">
        <v>14385</v>
      </c>
      <c r="BB53" s="19"/>
      <c r="BC53" s="19" t="s">
        <v>1127</v>
      </c>
      <c r="BD53" s="19"/>
      <c r="BE53" s="19" t="s">
        <v>1128</v>
      </c>
      <c r="BF53" s="19"/>
      <c r="BG53" s="19" t="s">
        <v>1129</v>
      </c>
      <c r="BH53" s="19" t="s">
        <v>844</v>
      </c>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row>
    <row r="54" spans="1:85" x14ac:dyDescent="0.4">
      <c r="A54" s="19" t="s">
        <v>308</v>
      </c>
      <c r="B54" s="19" t="s">
        <v>6</v>
      </c>
      <c r="C54" s="19" t="s">
        <v>1</v>
      </c>
      <c r="D54" s="19" t="s">
        <v>308</v>
      </c>
      <c r="E54" s="19" t="s">
        <v>17</v>
      </c>
      <c r="F54" s="19" t="s">
        <v>0</v>
      </c>
      <c r="G54" s="19" t="s">
        <v>309</v>
      </c>
      <c r="H54" s="19" t="s">
        <v>14392</v>
      </c>
      <c r="I54" s="19" t="s">
        <v>4</v>
      </c>
      <c r="J54" s="19"/>
      <c r="K54" s="19" t="s">
        <v>7285</v>
      </c>
      <c r="L54" s="19"/>
      <c r="M54" s="19"/>
      <c r="N54" s="19" t="s">
        <v>20</v>
      </c>
      <c r="O54" s="19"/>
      <c r="P54" s="19"/>
      <c r="Q54" s="19" t="s">
        <v>13845</v>
      </c>
      <c r="R54" s="19"/>
      <c r="S54" s="19" t="s">
        <v>14366</v>
      </c>
      <c r="T54" s="19" t="s">
        <v>11</v>
      </c>
      <c r="U54" s="19" t="s">
        <v>14367</v>
      </c>
      <c r="V54" s="19" t="s">
        <v>11</v>
      </c>
      <c r="W54" s="19" t="s">
        <v>14368</v>
      </c>
      <c r="X54" s="19"/>
      <c r="Y54" s="19" t="s">
        <v>14369</v>
      </c>
      <c r="Z54" s="19"/>
      <c r="AA54" s="19" t="s">
        <v>14371</v>
      </c>
      <c r="AB54" s="19" t="s">
        <v>14372</v>
      </c>
      <c r="AC54" s="19" t="s">
        <v>14373</v>
      </c>
      <c r="AD54" s="19" t="s">
        <v>14394</v>
      </c>
      <c r="AE54" s="19" t="s">
        <v>14375</v>
      </c>
      <c r="AF54" s="19" t="s">
        <v>14378</v>
      </c>
      <c r="AG54" s="19" t="s">
        <v>14377</v>
      </c>
      <c r="AH54" s="19" t="s">
        <v>14413</v>
      </c>
      <c r="AI54" s="19" t="s">
        <v>14379</v>
      </c>
      <c r="AJ54" s="19" t="s">
        <v>14399</v>
      </c>
      <c r="AK54" s="19" t="s">
        <v>14381</v>
      </c>
      <c r="AL54" s="19" t="s">
        <v>14448</v>
      </c>
      <c r="AM54" s="19" t="s">
        <v>1119</v>
      </c>
      <c r="AN54" s="19" t="s">
        <v>310</v>
      </c>
      <c r="AO54" s="19" t="s">
        <v>14383</v>
      </c>
      <c r="AP54" s="19" t="s">
        <v>15</v>
      </c>
      <c r="AQ54" s="19" t="s">
        <v>1121</v>
      </c>
      <c r="AR54" s="19"/>
      <c r="AS54" s="19" t="s">
        <v>1122</v>
      </c>
      <c r="AT54" s="19"/>
      <c r="AU54" s="19" t="s">
        <v>14384</v>
      </c>
      <c r="AV54" s="19" t="s">
        <v>11</v>
      </c>
      <c r="AW54" s="19" t="s">
        <v>1124</v>
      </c>
      <c r="AX54" s="19"/>
      <c r="AY54" s="19" t="s">
        <v>1125</v>
      </c>
      <c r="AZ54" s="19"/>
      <c r="BA54" s="19" t="s">
        <v>14385</v>
      </c>
      <c r="BB54" s="19"/>
      <c r="BC54" s="19" t="s">
        <v>1127</v>
      </c>
      <c r="BD54" s="19"/>
      <c r="BE54" s="19" t="s">
        <v>1128</v>
      </c>
      <c r="BF54" s="19"/>
      <c r="BG54" s="19" t="s">
        <v>1129</v>
      </c>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row>
    <row r="55" spans="1:85" x14ac:dyDescent="0.4">
      <c r="A55" s="19" t="s">
        <v>851</v>
      </c>
      <c r="B55" s="19" t="s">
        <v>6</v>
      </c>
      <c r="C55" s="19" t="s">
        <v>1</v>
      </c>
      <c r="D55" s="19" t="s">
        <v>851</v>
      </c>
      <c r="E55" s="19" t="s">
        <v>17</v>
      </c>
      <c r="F55" s="19" t="s">
        <v>0</v>
      </c>
      <c r="G55" s="19" t="s">
        <v>852</v>
      </c>
      <c r="H55" s="19" t="s">
        <v>14365</v>
      </c>
      <c r="I55" s="19" t="s">
        <v>7</v>
      </c>
      <c r="J55" s="19" t="s">
        <v>2</v>
      </c>
      <c r="K55" s="19" t="s">
        <v>55</v>
      </c>
      <c r="L55" s="19"/>
      <c r="M55" s="19"/>
      <c r="N55" s="19" t="s">
        <v>294</v>
      </c>
      <c r="O55" s="19"/>
      <c r="P55" s="19"/>
      <c r="Q55" s="19" t="s">
        <v>13845</v>
      </c>
      <c r="R55" s="19"/>
      <c r="S55" s="19" t="s">
        <v>14366</v>
      </c>
      <c r="T55" s="19" t="s">
        <v>11</v>
      </c>
      <c r="U55" s="19" t="s">
        <v>14367</v>
      </c>
      <c r="V55" s="19"/>
      <c r="W55" s="19" t="s">
        <v>14368</v>
      </c>
      <c r="X55" s="19"/>
      <c r="Y55" s="19" t="s">
        <v>14369</v>
      </c>
      <c r="Z55" s="19" t="s">
        <v>14370</v>
      </c>
      <c r="AA55" s="19" t="s">
        <v>14371</v>
      </c>
      <c r="AB55" s="19" t="s">
        <v>14372</v>
      </c>
      <c r="AC55" s="19" t="s">
        <v>14373</v>
      </c>
      <c r="AD55" s="19" t="s">
        <v>14445</v>
      </c>
      <c r="AE55" s="19" t="s">
        <v>14375</v>
      </c>
      <c r="AF55" s="19" t="s">
        <v>14389</v>
      </c>
      <c r="AG55" s="19" t="s">
        <v>14377</v>
      </c>
      <c r="AH55" s="19" t="s">
        <v>14387</v>
      </c>
      <c r="AI55" s="19" t="s">
        <v>14379</v>
      </c>
      <c r="AJ55" s="19" t="s">
        <v>3278</v>
      </c>
      <c r="AK55" s="19" t="s">
        <v>14381</v>
      </c>
      <c r="AL55" s="19" t="s">
        <v>14382</v>
      </c>
      <c r="AM55" s="19" t="s">
        <v>1119</v>
      </c>
      <c r="AN55" s="19" t="s">
        <v>853</v>
      </c>
      <c r="AO55" s="19" t="s">
        <v>14383</v>
      </c>
      <c r="AP55" s="19" t="s">
        <v>15</v>
      </c>
      <c r="AQ55" s="19" t="s">
        <v>1121</v>
      </c>
      <c r="AR55" s="19"/>
      <c r="AS55" s="19" t="s">
        <v>1122</v>
      </c>
      <c r="AT55" s="19"/>
      <c r="AU55" s="19" t="s">
        <v>14384</v>
      </c>
      <c r="AV55" s="19" t="s">
        <v>11</v>
      </c>
      <c r="AW55" s="19" t="s">
        <v>1124</v>
      </c>
      <c r="AX55" s="19"/>
      <c r="AY55" s="19" t="s">
        <v>1125</v>
      </c>
      <c r="AZ55" s="19"/>
      <c r="BA55" s="19" t="s">
        <v>14385</v>
      </c>
      <c r="BB55" s="19"/>
      <c r="BC55" s="19" t="s">
        <v>1127</v>
      </c>
      <c r="BD55" s="19"/>
      <c r="BE55" s="19" t="s">
        <v>1128</v>
      </c>
      <c r="BF55" s="19"/>
      <c r="BG55" s="19" t="s">
        <v>1129</v>
      </c>
      <c r="BH55" s="19" t="s">
        <v>854</v>
      </c>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row>
    <row r="56" spans="1:85" x14ac:dyDescent="0.4">
      <c r="A56" s="19" t="s">
        <v>864</v>
      </c>
      <c r="B56" s="19" t="s">
        <v>6</v>
      </c>
      <c r="C56" s="19" t="s">
        <v>1</v>
      </c>
      <c r="D56" s="19" t="s">
        <v>864</v>
      </c>
      <c r="E56" s="19" t="s">
        <v>17</v>
      </c>
      <c r="F56" s="19" t="s">
        <v>0</v>
      </c>
      <c r="G56" s="19" t="s">
        <v>865</v>
      </c>
      <c r="H56" s="19" t="s">
        <v>14365</v>
      </c>
      <c r="I56" s="19" t="s">
        <v>4</v>
      </c>
      <c r="J56" s="19" t="s">
        <v>2</v>
      </c>
      <c r="K56" s="19" t="s">
        <v>49</v>
      </c>
      <c r="L56" s="19"/>
      <c r="M56" s="19"/>
      <c r="N56" s="19" t="s">
        <v>868</v>
      </c>
      <c r="O56" s="19"/>
      <c r="P56" s="19"/>
      <c r="Q56" s="19" t="s">
        <v>13845</v>
      </c>
      <c r="R56" s="19"/>
      <c r="S56" s="19" t="s">
        <v>14366</v>
      </c>
      <c r="T56" s="19" t="s">
        <v>11</v>
      </c>
      <c r="U56" s="19" t="s">
        <v>14367</v>
      </c>
      <c r="V56" s="19"/>
      <c r="W56" s="19" t="s">
        <v>14368</v>
      </c>
      <c r="X56" s="19"/>
      <c r="Y56" s="19" t="s">
        <v>14369</v>
      </c>
      <c r="Z56" s="19" t="s">
        <v>14370</v>
      </c>
      <c r="AA56" s="19" t="s">
        <v>14371</v>
      </c>
      <c r="AB56" s="19" t="s">
        <v>14372</v>
      </c>
      <c r="AC56" s="19" t="s">
        <v>14373</v>
      </c>
      <c r="AD56" s="19" t="s">
        <v>14406</v>
      </c>
      <c r="AE56" s="19" t="s">
        <v>14375</v>
      </c>
      <c r="AF56" s="19" t="s">
        <v>14449</v>
      </c>
      <c r="AG56" s="19" t="s">
        <v>14377</v>
      </c>
      <c r="AH56" s="19" t="s">
        <v>13326</v>
      </c>
      <c r="AI56" s="19" t="s">
        <v>14379</v>
      </c>
      <c r="AJ56" s="19" t="s">
        <v>14423</v>
      </c>
      <c r="AK56" s="19" t="s">
        <v>14381</v>
      </c>
      <c r="AL56" s="19" t="s">
        <v>14450</v>
      </c>
      <c r="AM56" s="19" t="s">
        <v>1119</v>
      </c>
      <c r="AN56" s="19" t="s">
        <v>866</v>
      </c>
      <c r="AO56" s="19" t="s">
        <v>14383</v>
      </c>
      <c r="AP56" s="19" t="s">
        <v>15</v>
      </c>
      <c r="AQ56" s="19" t="s">
        <v>1121</v>
      </c>
      <c r="AR56" s="19"/>
      <c r="AS56" s="19" t="s">
        <v>1122</v>
      </c>
      <c r="AT56" s="19"/>
      <c r="AU56" s="19" t="s">
        <v>14384</v>
      </c>
      <c r="AV56" s="19" t="s">
        <v>11</v>
      </c>
      <c r="AW56" s="19" t="s">
        <v>1124</v>
      </c>
      <c r="AX56" s="19"/>
      <c r="AY56" s="19" t="s">
        <v>1125</v>
      </c>
      <c r="AZ56" s="19"/>
      <c r="BA56" s="19" t="s">
        <v>14385</v>
      </c>
      <c r="BB56" s="19"/>
      <c r="BC56" s="19" t="s">
        <v>1127</v>
      </c>
      <c r="BD56" s="19"/>
      <c r="BE56" s="19" t="s">
        <v>1128</v>
      </c>
      <c r="BF56" s="19"/>
      <c r="BG56" s="19" t="s">
        <v>1129</v>
      </c>
      <c r="BH56" s="19" t="s">
        <v>867</v>
      </c>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row>
    <row r="57" spans="1:85" x14ac:dyDescent="0.4">
      <c r="A57" s="19" t="s">
        <v>891</v>
      </c>
      <c r="B57" s="19" t="s">
        <v>6</v>
      </c>
      <c r="C57" s="19" t="s">
        <v>1</v>
      </c>
      <c r="D57" s="19" t="s">
        <v>891</v>
      </c>
      <c r="E57" s="19" t="s">
        <v>17</v>
      </c>
      <c r="F57" s="19" t="s">
        <v>0</v>
      </c>
      <c r="G57" s="19" t="s">
        <v>892</v>
      </c>
      <c r="H57" s="19" t="s">
        <v>14365</v>
      </c>
      <c r="I57" s="19" t="s">
        <v>4</v>
      </c>
      <c r="J57" s="19" t="s">
        <v>2</v>
      </c>
      <c r="K57" s="19" t="s">
        <v>59</v>
      </c>
      <c r="L57" s="19"/>
      <c r="M57" s="19"/>
      <c r="N57" s="19" t="s">
        <v>600</v>
      </c>
      <c r="O57" s="19"/>
      <c r="P57" s="19"/>
      <c r="Q57" s="19" t="s">
        <v>13845</v>
      </c>
      <c r="R57" s="19"/>
      <c r="S57" s="19" t="s">
        <v>14366</v>
      </c>
      <c r="T57" s="19" t="s">
        <v>11</v>
      </c>
      <c r="U57" s="19" t="s">
        <v>14367</v>
      </c>
      <c r="V57" s="19"/>
      <c r="W57" s="19" t="s">
        <v>14368</v>
      </c>
      <c r="X57" s="19"/>
      <c r="Y57" s="19" t="s">
        <v>14369</v>
      </c>
      <c r="Z57" s="19" t="s">
        <v>14370</v>
      </c>
      <c r="AA57" s="19" t="s">
        <v>14371</v>
      </c>
      <c r="AB57" s="19" t="s">
        <v>14372</v>
      </c>
      <c r="AC57" s="19" t="s">
        <v>14373</v>
      </c>
      <c r="AD57" s="19" t="s">
        <v>14386</v>
      </c>
      <c r="AE57" s="19" t="s">
        <v>14375</v>
      </c>
      <c r="AF57" s="19" t="s">
        <v>14398</v>
      </c>
      <c r="AG57" s="19" t="s">
        <v>14377</v>
      </c>
      <c r="AH57" s="19" t="s">
        <v>14391</v>
      </c>
      <c r="AI57" s="19" t="s">
        <v>14379</v>
      </c>
      <c r="AJ57" s="19" t="s">
        <v>14437</v>
      </c>
      <c r="AK57" s="19" t="s">
        <v>14381</v>
      </c>
      <c r="AL57" s="19" t="s">
        <v>13326</v>
      </c>
      <c r="AM57" s="19" t="s">
        <v>1119</v>
      </c>
      <c r="AN57" s="19" t="s">
        <v>893</v>
      </c>
      <c r="AO57" s="19" t="s">
        <v>14383</v>
      </c>
      <c r="AP57" s="19" t="s">
        <v>19</v>
      </c>
      <c r="AQ57" s="19" t="s">
        <v>1121</v>
      </c>
      <c r="AR57" s="19"/>
      <c r="AS57" s="19" t="s">
        <v>1122</v>
      </c>
      <c r="AT57" s="19"/>
      <c r="AU57" s="19" t="s">
        <v>14384</v>
      </c>
      <c r="AV57" s="19" t="s">
        <v>11</v>
      </c>
      <c r="AW57" s="19" t="s">
        <v>1124</v>
      </c>
      <c r="AX57" s="19"/>
      <c r="AY57" s="19" t="s">
        <v>1125</v>
      </c>
      <c r="AZ57" s="19"/>
      <c r="BA57" s="19" t="s">
        <v>14385</v>
      </c>
      <c r="BB57" s="19"/>
      <c r="BC57" s="19" t="s">
        <v>1127</v>
      </c>
      <c r="BD57" s="19"/>
      <c r="BE57" s="19" t="s">
        <v>1128</v>
      </c>
      <c r="BF57" s="19"/>
      <c r="BG57" s="19" t="s">
        <v>1129</v>
      </c>
      <c r="BH57" s="19" t="s">
        <v>894</v>
      </c>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row>
    <row r="58" spans="1:85" x14ac:dyDescent="0.4">
      <c r="A58" s="19" t="s">
        <v>899</v>
      </c>
      <c r="B58" s="19" t="s">
        <v>6</v>
      </c>
      <c r="C58" s="19" t="s">
        <v>1</v>
      </c>
      <c r="D58" s="19" t="s">
        <v>899</v>
      </c>
      <c r="E58" s="19" t="s">
        <v>17</v>
      </c>
      <c r="F58" s="19" t="s">
        <v>0</v>
      </c>
      <c r="G58" s="19" t="s">
        <v>900</v>
      </c>
      <c r="H58" s="19" t="s">
        <v>14365</v>
      </c>
      <c r="I58" s="19" t="s">
        <v>4</v>
      </c>
      <c r="J58" s="19" t="s">
        <v>2</v>
      </c>
      <c r="K58" s="19" t="s">
        <v>59</v>
      </c>
      <c r="L58" s="19"/>
      <c r="M58" s="19"/>
      <c r="N58" s="19" t="s">
        <v>20</v>
      </c>
      <c r="O58" s="19"/>
      <c r="P58" s="19"/>
      <c r="Q58" s="19" t="s">
        <v>13845</v>
      </c>
      <c r="R58" s="19"/>
      <c r="S58" s="19" t="s">
        <v>14366</v>
      </c>
      <c r="T58" s="19" t="s">
        <v>11</v>
      </c>
      <c r="U58" s="19" t="s">
        <v>14367</v>
      </c>
      <c r="V58" s="19"/>
      <c r="W58" s="19" t="s">
        <v>14368</v>
      </c>
      <c r="X58" s="19"/>
      <c r="Y58" s="19" t="s">
        <v>14369</v>
      </c>
      <c r="Z58" s="19" t="s">
        <v>14370</v>
      </c>
      <c r="AA58" s="19" t="s">
        <v>14371</v>
      </c>
      <c r="AB58" s="19" t="s">
        <v>14372</v>
      </c>
      <c r="AC58" s="19" t="s">
        <v>14373</v>
      </c>
      <c r="AD58" s="19" t="s">
        <v>14374</v>
      </c>
      <c r="AE58" s="19" t="s">
        <v>14375</v>
      </c>
      <c r="AF58" s="19" t="s">
        <v>14447</v>
      </c>
      <c r="AG58" s="19" t="s">
        <v>14377</v>
      </c>
      <c r="AH58" s="19" t="s">
        <v>13326</v>
      </c>
      <c r="AI58" s="19" t="s">
        <v>14379</v>
      </c>
      <c r="AJ58" s="19" t="s">
        <v>14438</v>
      </c>
      <c r="AK58" s="19" t="s">
        <v>14381</v>
      </c>
      <c r="AL58" s="19" t="s">
        <v>13326</v>
      </c>
      <c r="AM58" s="19" t="s">
        <v>1119</v>
      </c>
      <c r="AN58" s="19" t="s">
        <v>901</v>
      </c>
      <c r="AO58" s="19" t="s">
        <v>14383</v>
      </c>
      <c r="AP58" s="19" t="s">
        <v>15</v>
      </c>
      <c r="AQ58" s="19" t="s">
        <v>1121</v>
      </c>
      <c r="AR58" s="19"/>
      <c r="AS58" s="19" t="s">
        <v>1122</v>
      </c>
      <c r="AT58" s="19"/>
      <c r="AU58" s="19" t="s">
        <v>14384</v>
      </c>
      <c r="AV58" s="19" t="s">
        <v>11</v>
      </c>
      <c r="AW58" s="19" t="s">
        <v>1124</v>
      </c>
      <c r="AX58" s="19"/>
      <c r="AY58" s="19" t="s">
        <v>1125</v>
      </c>
      <c r="AZ58" s="19"/>
      <c r="BA58" s="19" t="s">
        <v>14385</v>
      </c>
      <c r="BB58" s="19"/>
      <c r="BC58" s="19" t="s">
        <v>1127</v>
      </c>
      <c r="BD58" s="19"/>
      <c r="BE58" s="19" t="s">
        <v>1128</v>
      </c>
      <c r="BF58" s="19"/>
      <c r="BG58" s="19" t="s">
        <v>1129</v>
      </c>
      <c r="BH58" s="19" t="s">
        <v>902</v>
      </c>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row>
    <row r="59" spans="1:85" x14ac:dyDescent="0.4">
      <c r="A59" s="19" t="s">
        <v>918</v>
      </c>
      <c r="B59" s="19" t="s">
        <v>6</v>
      </c>
      <c r="C59" s="19" t="s">
        <v>1</v>
      </c>
      <c r="D59" s="19" t="s">
        <v>918</v>
      </c>
      <c r="E59" s="19" t="s">
        <v>17</v>
      </c>
      <c r="F59" s="19" t="s">
        <v>0</v>
      </c>
      <c r="G59" s="19" t="s">
        <v>919</v>
      </c>
      <c r="H59" s="19" t="s">
        <v>14365</v>
      </c>
      <c r="I59" s="19" t="s">
        <v>4</v>
      </c>
      <c r="J59" s="19" t="s">
        <v>2</v>
      </c>
      <c r="K59" s="19" t="s">
        <v>160</v>
      </c>
      <c r="L59" s="19"/>
      <c r="M59" s="19"/>
      <c r="N59" s="19" t="s">
        <v>425</v>
      </c>
      <c r="O59" s="19"/>
      <c r="P59" s="19"/>
      <c r="Q59" s="19" t="s">
        <v>13845</v>
      </c>
      <c r="R59" s="19"/>
      <c r="S59" s="19" t="s">
        <v>14366</v>
      </c>
      <c r="T59" s="19" t="s">
        <v>11</v>
      </c>
      <c r="U59" s="19" t="s">
        <v>14367</v>
      </c>
      <c r="V59" s="19"/>
      <c r="W59" s="19" t="s">
        <v>14368</v>
      </c>
      <c r="X59" s="19"/>
      <c r="Y59" s="19" t="s">
        <v>14369</v>
      </c>
      <c r="Z59" s="19" t="s">
        <v>14370</v>
      </c>
      <c r="AA59" s="19" t="s">
        <v>14371</v>
      </c>
      <c r="AB59" s="19" t="s">
        <v>14372</v>
      </c>
      <c r="AC59" s="19" t="s">
        <v>14373</v>
      </c>
      <c r="AD59" s="19" t="s">
        <v>14451</v>
      </c>
      <c r="AE59" s="19" t="s">
        <v>14375</v>
      </c>
      <c r="AF59" s="19" t="s">
        <v>14378</v>
      </c>
      <c r="AG59" s="19" t="s">
        <v>14377</v>
      </c>
      <c r="AH59" s="19" t="s">
        <v>13326</v>
      </c>
      <c r="AI59" s="19" t="s">
        <v>14379</v>
      </c>
      <c r="AJ59" s="19" t="s">
        <v>14447</v>
      </c>
      <c r="AK59" s="19" t="s">
        <v>14381</v>
      </c>
      <c r="AL59" s="19" t="s">
        <v>14382</v>
      </c>
      <c r="AM59" s="19" t="s">
        <v>1119</v>
      </c>
      <c r="AN59" s="19" t="s">
        <v>920</v>
      </c>
      <c r="AO59" s="19" t="s">
        <v>14383</v>
      </c>
      <c r="AP59" s="19" t="s">
        <v>15</v>
      </c>
      <c r="AQ59" s="19" t="s">
        <v>1121</v>
      </c>
      <c r="AR59" s="19"/>
      <c r="AS59" s="19" t="s">
        <v>1122</v>
      </c>
      <c r="AT59" s="19"/>
      <c r="AU59" s="19" t="s">
        <v>14384</v>
      </c>
      <c r="AV59" s="19" t="s">
        <v>11</v>
      </c>
      <c r="AW59" s="19" t="s">
        <v>1124</v>
      </c>
      <c r="AX59" s="19"/>
      <c r="AY59" s="19" t="s">
        <v>1125</v>
      </c>
      <c r="AZ59" s="19"/>
      <c r="BA59" s="19" t="s">
        <v>14385</v>
      </c>
      <c r="BB59" s="19"/>
      <c r="BC59" s="19" t="s">
        <v>1127</v>
      </c>
      <c r="BD59" s="19"/>
      <c r="BE59" s="19" t="s">
        <v>1128</v>
      </c>
      <c r="BF59" s="19"/>
      <c r="BG59" s="19" t="s">
        <v>1129</v>
      </c>
      <c r="BH59" s="19" t="s">
        <v>921</v>
      </c>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row>
    <row r="60" spans="1:85" x14ac:dyDescent="0.4">
      <c r="A60" s="19" t="s">
        <v>925</v>
      </c>
      <c r="B60" s="19" t="s">
        <v>6</v>
      </c>
      <c r="C60" s="19" t="s">
        <v>1</v>
      </c>
      <c r="D60" s="19" t="s">
        <v>925</v>
      </c>
      <c r="E60" s="19" t="s">
        <v>17</v>
      </c>
      <c r="F60" s="19" t="s">
        <v>0</v>
      </c>
      <c r="G60" s="19" t="s">
        <v>926</v>
      </c>
      <c r="H60" s="19" t="s">
        <v>14365</v>
      </c>
      <c r="I60" s="19" t="s">
        <v>7</v>
      </c>
      <c r="J60" s="19" t="s">
        <v>2</v>
      </c>
      <c r="K60" s="19" t="s">
        <v>23</v>
      </c>
      <c r="L60" s="19"/>
      <c r="M60" s="19"/>
      <c r="N60" s="19" t="s">
        <v>529</v>
      </c>
      <c r="O60" s="19"/>
      <c r="P60" s="19"/>
      <c r="Q60" s="19" t="s">
        <v>13845</v>
      </c>
      <c r="R60" s="19"/>
      <c r="S60" s="19" t="s">
        <v>14366</v>
      </c>
      <c r="T60" s="19" t="s">
        <v>11</v>
      </c>
      <c r="U60" s="19" t="s">
        <v>14367</v>
      </c>
      <c r="V60" s="19"/>
      <c r="W60" s="19" t="s">
        <v>14368</v>
      </c>
      <c r="X60" s="19"/>
      <c r="Y60" s="19" t="s">
        <v>14369</v>
      </c>
      <c r="Z60" s="19" t="s">
        <v>14370</v>
      </c>
      <c r="AA60" s="19" t="s">
        <v>14371</v>
      </c>
      <c r="AB60" s="19" t="s">
        <v>14372</v>
      </c>
      <c r="AC60" s="19" t="s">
        <v>14373</v>
      </c>
      <c r="AD60" s="19" t="s">
        <v>10021</v>
      </c>
      <c r="AE60" s="19" t="s">
        <v>14375</v>
      </c>
      <c r="AF60" s="19" t="s">
        <v>14389</v>
      </c>
      <c r="AG60" s="19" t="s">
        <v>14377</v>
      </c>
      <c r="AH60" s="19" t="s">
        <v>14452</v>
      </c>
      <c r="AI60" s="19" t="s">
        <v>14379</v>
      </c>
      <c r="AJ60" s="19" t="s">
        <v>14453</v>
      </c>
      <c r="AK60" s="19" t="s">
        <v>14381</v>
      </c>
      <c r="AL60" s="19" t="s">
        <v>14382</v>
      </c>
      <c r="AM60" s="19" t="s">
        <v>1119</v>
      </c>
      <c r="AN60" s="19" t="s">
        <v>927</v>
      </c>
      <c r="AO60" s="19" t="s">
        <v>14383</v>
      </c>
      <c r="AP60" s="19" t="s">
        <v>15</v>
      </c>
      <c r="AQ60" s="19" t="s">
        <v>1121</v>
      </c>
      <c r="AR60" s="19"/>
      <c r="AS60" s="19" t="s">
        <v>1122</v>
      </c>
      <c r="AT60" s="19"/>
      <c r="AU60" s="19" t="s">
        <v>14384</v>
      </c>
      <c r="AV60" s="19" t="s">
        <v>11</v>
      </c>
      <c r="AW60" s="19" t="s">
        <v>1124</v>
      </c>
      <c r="AX60" s="19"/>
      <c r="AY60" s="19" t="s">
        <v>1125</v>
      </c>
      <c r="AZ60" s="19"/>
      <c r="BA60" s="19" t="s">
        <v>14385</v>
      </c>
      <c r="BB60" s="19"/>
      <c r="BC60" s="19" t="s">
        <v>1127</v>
      </c>
      <c r="BD60" s="19"/>
      <c r="BE60" s="19" t="s">
        <v>1128</v>
      </c>
      <c r="BF60" s="19"/>
      <c r="BG60" s="19" t="s">
        <v>1129</v>
      </c>
      <c r="BH60" s="19" t="s">
        <v>928</v>
      </c>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row>
    <row r="61" spans="1:85" x14ac:dyDescent="0.4">
      <c r="A61" s="19" t="s">
        <v>932</v>
      </c>
      <c r="B61" s="19" t="s">
        <v>6</v>
      </c>
      <c r="C61" s="19" t="s">
        <v>1</v>
      </c>
      <c r="D61" s="19" t="s">
        <v>932</v>
      </c>
      <c r="E61" s="19" t="s">
        <v>17</v>
      </c>
      <c r="F61" s="19" t="s">
        <v>0</v>
      </c>
      <c r="G61" s="19" t="s">
        <v>933</v>
      </c>
      <c r="H61" s="19" t="s">
        <v>14365</v>
      </c>
      <c r="I61" s="19" t="s">
        <v>7</v>
      </c>
      <c r="J61" s="19" t="s">
        <v>2</v>
      </c>
      <c r="K61" s="19" t="s">
        <v>23</v>
      </c>
      <c r="L61" s="19"/>
      <c r="M61" s="19"/>
      <c r="N61" s="19" t="s">
        <v>18</v>
      </c>
      <c r="O61" s="19"/>
      <c r="P61" s="19"/>
      <c r="Q61" s="19" t="s">
        <v>13845</v>
      </c>
      <c r="R61" s="19"/>
      <c r="S61" s="19" t="s">
        <v>14366</v>
      </c>
      <c r="T61" s="19" t="s">
        <v>11</v>
      </c>
      <c r="U61" s="19" t="s">
        <v>14367</v>
      </c>
      <c r="V61" s="19"/>
      <c r="W61" s="19" t="s">
        <v>14368</v>
      </c>
      <c r="X61" s="19"/>
      <c r="Y61" s="19" t="s">
        <v>14369</v>
      </c>
      <c r="Z61" s="19" t="s">
        <v>14370</v>
      </c>
      <c r="AA61" s="19" t="s">
        <v>14371</v>
      </c>
      <c r="AB61" s="19" t="s">
        <v>14439</v>
      </c>
      <c r="AC61" s="19" t="s">
        <v>14373</v>
      </c>
      <c r="AD61" s="19" t="s">
        <v>10021</v>
      </c>
      <c r="AE61" s="19" t="s">
        <v>14375</v>
      </c>
      <c r="AF61" s="19" t="s">
        <v>14395</v>
      </c>
      <c r="AG61" s="19" t="s">
        <v>14377</v>
      </c>
      <c r="AH61" s="19" t="s">
        <v>14396</v>
      </c>
      <c r="AI61" s="19" t="s">
        <v>14379</v>
      </c>
      <c r="AJ61" s="19" t="s">
        <v>14454</v>
      </c>
      <c r="AK61" s="19" t="s">
        <v>14381</v>
      </c>
      <c r="AL61" s="19" t="s">
        <v>14382</v>
      </c>
      <c r="AM61" s="19" t="s">
        <v>1119</v>
      </c>
      <c r="AN61" s="19" t="s">
        <v>934</v>
      </c>
      <c r="AO61" s="19" t="s">
        <v>14383</v>
      </c>
      <c r="AP61" s="19" t="s">
        <v>15</v>
      </c>
      <c r="AQ61" s="19" t="s">
        <v>1121</v>
      </c>
      <c r="AR61" s="19"/>
      <c r="AS61" s="19" t="s">
        <v>1122</v>
      </c>
      <c r="AT61" s="19"/>
      <c r="AU61" s="19" t="s">
        <v>14384</v>
      </c>
      <c r="AV61" s="19" t="s">
        <v>11</v>
      </c>
      <c r="AW61" s="19" t="s">
        <v>1124</v>
      </c>
      <c r="AX61" s="19"/>
      <c r="AY61" s="19" t="s">
        <v>1125</v>
      </c>
      <c r="AZ61" s="19"/>
      <c r="BA61" s="19" t="s">
        <v>14385</v>
      </c>
      <c r="BB61" s="19"/>
      <c r="BC61" s="19" t="s">
        <v>1127</v>
      </c>
      <c r="BD61" s="19"/>
      <c r="BE61" s="19" t="s">
        <v>1128</v>
      </c>
      <c r="BF61" s="19"/>
      <c r="BG61" s="19" t="s">
        <v>1129</v>
      </c>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row>
    <row r="62" spans="1:85" x14ac:dyDescent="0.4">
      <c r="A62" s="19" t="s">
        <v>940</v>
      </c>
      <c r="B62" s="19" t="s">
        <v>6</v>
      </c>
      <c r="C62" s="19" t="s">
        <v>1</v>
      </c>
      <c r="D62" s="19" t="s">
        <v>940</v>
      </c>
      <c r="E62" s="19" t="s">
        <v>17</v>
      </c>
      <c r="F62" s="19" t="s">
        <v>0</v>
      </c>
      <c r="G62" s="19" t="s">
        <v>941</v>
      </c>
      <c r="H62" s="19" t="s">
        <v>14365</v>
      </c>
      <c r="I62" s="19" t="s">
        <v>7</v>
      </c>
      <c r="J62" s="19" t="s">
        <v>2</v>
      </c>
      <c r="K62" s="19" t="s">
        <v>202</v>
      </c>
      <c r="L62" s="19"/>
      <c r="M62" s="19"/>
      <c r="N62" s="19" t="s">
        <v>294</v>
      </c>
      <c r="O62" s="19"/>
      <c r="P62" s="19"/>
      <c r="Q62" s="19" t="s">
        <v>13845</v>
      </c>
      <c r="R62" s="19"/>
      <c r="S62" s="19" t="s">
        <v>14366</v>
      </c>
      <c r="T62" s="19" t="s">
        <v>11</v>
      </c>
      <c r="U62" s="19" t="s">
        <v>14367</v>
      </c>
      <c r="V62" s="19"/>
      <c r="W62" s="19" t="s">
        <v>14368</v>
      </c>
      <c r="X62" s="19"/>
      <c r="Y62" s="19" t="s">
        <v>14369</v>
      </c>
      <c r="Z62" s="19" t="s">
        <v>14370</v>
      </c>
      <c r="AA62" s="19" t="s">
        <v>14371</v>
      </c>
      <c r="AB62" s="19" t="s">
        <v>14372</v>
      </c>
      <c r="AC62" s="19" t="s">
        <v>14373</v>
      </c>
      <c r="AD62" s="19" t="s">
        <v>14394</v>
      </c>
      <c r="AE62" s="19" t="s">
        <v>14375</v>
      </c>
      <c r="AF62" s="19" t="s">
        <v>14389</v>
      </c>
      <c r="AG62" s="19" t="s">
        <v>14377</v>
      </c>
      <c r="AH62" s="19" t="s">
        <v>14390</v>
      </c>
      <c r="AI62" s="19" t="s">
        <v>14379</v>
      </c>
      <c r="AJ62" s="19" t="s">
        <v>14438</v>
      </c>
      <c r="AK62" s="19" t="s">
        <v>14381</v>
      </c>
      <c r="AL62" s="19" t="s">
        <v>14382</v>
      </c>
      <c r="AM62" s="19" t="s">
        <v>1119</v>
      </c>
      <c r="AN62" s="19" t="s">
        <v>942</v>
      </c>
      <c r="AO62" s="19" t="s">
        <v>14383</v>
      </c>
      <c r="AP62" s="19" t="s">
        <v>15</v>
      </c>
      <c r="AQ62" s="19" t="s">
        <v>1121</v>
      </c>
      <c r="AR62" s="19"/>
      <c r="AS62" s="19" t="s">
        <v>1122</v>
      </c>
      <c r="AT62" s="19"/>
      <c r="AU62" s="19" t="s">
        <v>14384</v>
      </c>
      <c r="AV62" s="19" t="s">
        <v>11</v>
      </c>
      <c r="AW62" s="19" t="s">
        <v>1124</v>
      </c>
      <c r="AX62" s="19"/>
      <c r="AY62" s="19" t="s">
        <v>1125</v>
      </c>
      <c r="AZ62" s="19"/>
      <c r="BA62" s="19" t="s">
        <v>14385</v>
      </c>
      <c r="BB62" s="19"/>
      <c r="BC62" s="19" t="s">
        <v>1127</v>
      </c>
      <c r="BD62" s="19"/>
      <c r="BE62" s="19" t="s">
        <v>1128</v>
      </c>
      <c r="BF62" s="19"/>
      <c r="BG62" s="19" t="s">
        <v>1129</v>
      </c>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row>
    <row r="63" spans="1:85" x14ac:dyDescent="0.4">
      <c r="A63" s="19" t="s">
        <v>955</v>
      </c>
      <c r="B63" s="19" t="s">
        <v>6</v>
      </c>
      <c r="C63" s="19" t="s">
        <v>1</v>
      </c>
      <c r="D63" s="19" t="s">
        <v>955</v>
      </c>
      <c r="E63" s="19" t="s">
        <v>17</v>
      </c>
      <c r="F63" s="19" t="s">
        <v>0</v>
      </c>
      <c r="G63" s="19" t="s">
        <v>956</v>
      </c>
      <c r="H63" s="19" t="s">
        <v>14365</v>
      </c>
      <c r="I63" s="19" t="s">
        <v>4</v>
      </c>
      <c r="J63" s="19" t="s">
        <v>2</v>
      </c>
      <c r="K63" s="19" t="s">
        <v>160</v>
      </c>
      <c r="L63" s="19"/>
      <c r="M63" s="19"/>
      <c r="N63" s="19" t="s">
        <v>141</v>
      </c>
      <c r="O63" s="19"/>
      <c r="P63" s="19"/>
      <c r="Q63" s="19" t="s">
        <v>13845</v>
      </c>
      <c r="R63" s="19"/>
      <c r="S63" s="19" t="s">
        <v>14366</v>
      </c>
      <c r="T63" s="19" t="s">
        <v>11</v>
      </c>
      <c r="U63" s="19" t="s">
        <v>14367</v>
      </c>
      <c r="V63" s="19"/>
      <c r="W63" s="19" t="s">
        <v>14368</v>
      </c>
      <c r="X63" s="19"/>
      <c r="Y63" s="19" t="s">
        <v>14369</v>
      </c>
      <c r="Z63" s="19" t="s">
        <v>14370</v>
      </c>
      <c r="AA63" s="19" t="s">
        <v>14371</v>
      </c>
      <c r="AB63" s="19" t="s">
        <v>10021</v>
      </c>
      <c r="AC63" s="19" t="s">
        <v>14373</v>
      </c>
      <c r="AD63" s="19" t="s">
        <v>10021</v>
      </c>
      <c r="AE63" s="19" t="s">
        <v>14375</v>
      </c>
      <c r="AF63" s="19" t="s">
        <v>14378</v>
      </c>
      <c r="AG63" s="19" t="s">
        <v>14377</v>
      </c>
      <c r="AH63" s="19" t="s">
        <v>14413</v>
      </c>
      <c r="AI63" s="19" t="s">
        <v>14379</v>
      </c>
      <c r="AJ63" s="19" t="s">
        <v>14438</v>
      </c>
      <c r="AK63" s="19" t="s">
        <v>14381</v>
      </c>
      <c r="AL63" s="19" t="s">
        <v>14455</v>
      </c>
      <c r="AM63" s="19" t="s">
        <v>1119</v>
      </c>
      <c r="AN63" s="19" t="s">
        <v>957</v>
      </c>
      <c r="AO63" s="19" t="s">
        <v>14383</v>
      </c>
      <c r="AP63" s="19" t="s">
        <v>15</v>
      </c>
      <c r="AQ63" s="19" t="s">
        <v>1121</v>
      </c>
      <c r="AR63" s="19"/>
      <c r="AS63" s="19" t="s">
        <v>1122</v>
      </c>
      <c r="AT63" s="19"/>
      <c r="AU63" s="19" t="s">
        <v>14384</v>
      </c>
      <c r="AV63" s="19" t="s">
        <v>11</v>
      </c>
      <c r="AW63" s="19" t="s">
        <v>1124</v>
      </c>
      <c r="AX63" s="19"/>
      <c r="AY63" s="19" t="s">
        <v>1125</v>
      </c>
      <c r="AZ63" s="19"/>
      <c r="BA63" s="19" t="s">
        <v>14385</v>
      </c>
      <c r="BB63" s="19"/>
      <c r="BC63" s="19" t="s">
        <v>1127</v>
      </c>
      <c r="BD63" s="19"/>
      <c r="BE63" s="19" t="s">
        <v>1128</v>
      </c>
      <c r="BF63" s="19"/>
      <c r="BG63" s="19" t="s">
        <v>1129</v>
      </c>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row>
    <row r="64" spans="1:85" x14ac:dyDescent="0.4">
      <c r="A64" s="19" t="s">
        <v>946</v>
      </c>
      <c r="B64" s="19" t="s">
        <v>6</v>
      </c>
      <c r="C64" s="19" t="s">
        <v>1</v>
      </c>
      <c r="D64" s="19" t="s">
        <v>946</v>
      </c>
      <c r="E64" s="19" t="s">
        <v>17</v>
      </c>
      <c r="F64" s="19" t="s">
        <v>0</v>
      </c>
      <c r="G64" s="19" t="s">
        <v>947</v>
      </c>
      <c r="H64" s="19" t="s">
        <v>14392</v>
      </c>
      <c r="I64" s="19" t="s">
        <v>7</v>
      </c>
      <c r="J64" s="19"/>
      <c r="K64" s="19" t="s">
        <v>14456</v>
      </c>
      <c r="L64" s="19"/>
      <c r="M64" s="19"/>
      <c r="N64" s="19" t="s">
        <v>950</v>
      </c>
      <c r="O64" s="19"/>
      <c r="P64" s="19"/>
      <c r="Q64" s="19" t="s">
        <v>13845</v>
      </c>
      <c r="R64" s="19"/>
      <c r="S64" s="19" t="s">
        <v>14366</v>
      </c>
      <c r="T64" s="19" t="s">
        <v>11</v>
      </c>
      <c r="U64" s="19" t="s">
        <v>14367</v>
      </c>
      <c r="V64" s="19"/>
      <c r="W64" s="19" t="s">
        <v>14368</v>
      </c>
      <c r="X64" s="19"/>
      <c r="Y64" s="19" t="s">
        <v>14369</v>
      </c>
      <c r="Z64" s="19" t="s">
        <v>14370</v>
      </c>
      <c r="AA64" s="19" t="s">
        <v>14371</v>
      </c>
      <c r="AB64" s="19" t="s">
        <v>10021</v>
      </c>
      <c r="AC64" s="19" t="s">
        <v>14373</v>
      </c>
      <c r="AD64" s="19" t="s">
        <v>10021</v>
      </c>
      <c r="AE64" s="19" t="s">
        <v>14375</v>
      </c>
      <c r="AF64" s="19" t="s">
        <v>14390</v>
      </c>
      <c r="AG64" s="19" t="s">
        <v>14377</v>
      </c>
      <c r="AH64" s="19" t="s">
        <v>14390</v>
      </c>
      <c r="AI64" s="19" t="s">
        <v>14379</v>
      </c>
      <c r="AJ64" s="19" t="s">
        <v>14457</v>
      </c>
      <c r="AK64" s="19" t="s">
        <v>14381</v>
      </c>
      <c r="AL64" s="19" t="s">
        <v>14458</v>
      </c>
      <c r="AM64" s="19" t="s">
        <v>1119</v>
      </c>
      <c r="AN64" s="19" t="s">
        <v>948</v>
      </c>
      <c r="AO64" s="19" t="s">
        <v>14383</v>
      </c>
      <c r="AP64" s="19" t="s">
        <v>15</v>
      </c>
      <c r="AQ64" s="19" t="s">
        <v>1121</v>
      </c>
      <c r="AR64" s="19"/>
      <c r="AS64" s="19" t="s">
        <v>1122</v>
      </c>
      <c r="AT64" s="19"/>
      <c r="AU64" s="19" t="s">
        <v>14384</v>
      </c>
      <c r="AV64" s="19" t="s">
        <v>11</v>
      </c>
      <c r="AW64" s="19" t="s">
        <v>1124</v>
      </c>
      <c r="AX64" s="19"/>
      <c r="AY64" s="19" t="s">
        <v>1125</v>
      </c>
      <c r="AZ64" s="19"/>
      <c r="BA64" s="19" t="s">
        <v>14385</v>
      </c>
      <c r="BB64" s="19"/>
      <c r="BC64" s="19" t="s">
        <v>1127</v>
      </c>
      <c r="BD64" s="19"/>
      <c r="BE64" s="19" t="s">
        <v>1128</v>
      </c>
      <c r="BF64" s="19" t="s">
        <v>949</v>
      </c>
      <c r="BG64" s="19" t="s">
        <v>1129</v>
      </c>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row>
    <row r="65" spans="1:85" x14ac:dyDescent="0.4">
      <c r="A65" s="19" t="s">
        <v>330</v>
      </c>
      <c r="B65" s="19" t="s">
        <v>6</v>
      </c>
      <c r="C65" s="19" t="s">
        <v>1</v>
      </c>
      <c r="D65" s="19" t="s">
        <v>330</v>
      </c>
      <c r="E65" s="19" t="s">
        <v>17</v>
      </c>
      <c r="F65" s="19" t="s">
        <v>0</v>
      </c>
      <c r="G65" s="19" t="s">
        <v>331</v>
      </c>
      <c r="H65" s="19" t="s">
        <v>14392</v>
      </c>
      <c r="I65" s="19" t="s">
        <v>7</v>
      </c>
      <c r="J65" s="19"/>
      <c r="K65" s="19" t="s">
        <v>14456</v>
      </c>
      <c r="L65" s="19"/>
      <c r="M65" s="19"/>
      <c r="N65" s="19" t="s">
        <v>335</v>
      </c>
      <c r="O65" s="19"/>
      <c r="P65" s="19"/>
      <c r="Q65" s="19" t="s">
        <v>13845</v>
      </c>
      <c r="R65" s="19"/>
      <c r="S65" s="19" t="s">
        <v>14366</v>
      </c>
      <c r="T65" s="19" t="s">
        <v>11</v>
      </c>
      <c r="U65" s="19" t="s">
        <v>14367</v>
      </c>
      <c r="V65" s="19" t="s">
        <v>11</v>
      </c>
      <c r="W65" s="19" t="s">
        <v>14368</v>
      </c>
      <c r="X65" s="19"/>
      <c r="Y65" s="19" t="s">
        <v>14369</v>
      </c>
      <c r="Z65" s="19"/>
      <c r="AA65" s="19" t="s">
        <v>14371</v>
      </c>
      <c r="AB65" s="19" t="s">
        <v>10021</v>
      </c>
      <c r="AC65" s="19" t="s">
        <v>14373</v>
      </c>
      <c r="AD65" s="19" t="s">
        <v>10021</v>
      </c>
      <c r="AE65" s="19" t="s">
        <v>14375</v>
      </c>
      <c r="AF65" s="19" t="s">
        <v>14413</v>
      </c>
      <c r="AG65" s="19" t="s">
        <v>14377</v>
      </c>
      <c r="AH65" s="19" t="s">
        <v>14382</v>
      </c>
      <c r="AI65" s="19" t="s">
        <v>14379</v>
      </c>
      <c r="AJ65" s="19" t="s">
        <v>14391</v>
      </c>
      <c r="AK65" s="19" t="s">
        <v>14381</v>
      </c>
      <c r="AL65" s="19" t="s">
        <v>13326</v>
      </c>
      <c r="AM65" s="19" t="s">
        <v>1119</v>
      </c>
      <c r="AN65" s="19" t="s">
        <v>332</v>
      </c>
      <c r="AO65" s="19" t="s">
        <v>14383</v>
      </c>
      <c r="AP65" s="19" t="s">
        <v>15</v>
      </c>
      <c r="AQ65" s="19" t="s">
        <v>1121</v>
      </c>
      <c r="AR65" s="19"/>
      <c r="AS65" s="19" t="s">
        <v>1122</v>
      </c>
      <c r="AT65" s="19"/>
      <c r="AU65" s="19" t="s">
        <v>14384</v>
      </c>
      <c r="AV65" s="19" t="s">
        <v>11</v>
      </c>
      <c r="AW65" s="19" t="s">
        <v>1124</v>
      </c>
      <c r="AX65" s="19"/>
      <c r="AY65" s="19" t="s">
        <v>1125</v>
      </c>
      <c r="AZ65" s="19"/>
      <c r="BA65" s="19" t="s">
        <v>14385</v>
      </c>
      <c r="BB65" s="19"/>
      <c r="BC65" s="19" t="s">
        <v>1127</v>
      </c>
      <c r="BD65" s="19"/>
      <c r="BE65" s="19" t="s">
        <v>1128</v>
      </c>
      <c r="BF65" s="19" t="s">
        <v>333</v>
      </c>
      <c r="BG65" s="19" t="s">
        <v>1129</v>
      </c>
      <c r="BH65" s="19" t="s">
        <v>334</v>
      </c>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row>
    <row r="66" spans="1:85" x14ac:dyDescent="0.4">
      <c r="A66" s="19" t="s">
        <v>960</v>
      </c>
      <c r="B66" s="19" t="s">
        <v>6</v>
      </c>
      <c r="C66" s="19" t="s">
        <v>1</v>
      </c>
      <c r="D66" s="19" t="s">
        <v>960</v>
      </c>
      <c r="E66" s="19" t="s">
        <v>17</v>
      </c>
      <c r="F66" s="19" t="s">
        <v>0</v>
      </c>
      <c r="G66" s="19" t="s">
        <v>961</v>
      </c>
      <c r="H66" s="19" t="s">
        <v>14365</v>
      </c>
      <c r="I66" s="19" t="s">
        <v>7</v>
      </c>
      <c r="J66" s="19" t="s">
        <v>2</v>
      </c>
      <c r="K66" s="19" t="s">
        <v>49</v>
      </c>
      <c r="L66" s="19"/>
      <c r="M66" s="19"/>
      <c r="N66" s="19" t="s">
        <v>18</v>
      </c>
      <c r="O66" s="19"/>
      <c r="P66" s="19"/>
      <c r="Q66" s="19" t="s">
        <v>13845</v>
      </c>
      <c r="R66" s="19"/>
      <c r="S66" s="19" t="s">
        <v>14366</v>
      </c>
      <c r="T66" s="19" t="s">
        <v>11</v>
      </c>
      <c r="U66" s="19" t="s">
        <v>14367</v>
      </c>
      <c r="V66" s="19"/>
      <c r="W66" s="19" t="s">
        <v>14368</v>
      </c>
      <c r="X66" s="19"/>
      <c r="Y66" s="19" t="s">
        <v>14369</v>
      </c>
      <c r="Z66" s="19" t="s">
        <v>14370</v>
      </c>
      <c r="AA66" s="19" t="s">
        <v>14371</v>
      </c>
      <c r="AB66" s="19" t="s">
        <v>14372</v>
      </c>
      <c r="AC66" s="19" t="s">
        <v>14373</v>
      </c>
      <c r="AD66" s="19" t="s">
        <v>14374</v>
      </c>
      <c r="AE66" s="19" t="s">
        <v>14375</v>
      </c>
      <c r="AF66" s="19" t="s">
        <v>14399</v>
      </c>
      <c r="AG66" s="19" t="s">
        <v>14377</v>
      </c>
      <c r="AH66" s="19" t="s">
        <v>14459</v>
      </c>
      <c r="AI66" s="19" t="s">
        <v>14379</v>
      </c>
      <c r="AJ66" s="19" t="s">
        <v>14409</v>
      </c>
      <c r="AK66" s="19" t="s">
        <v>14381</v>
      </c>
      <c r="AL66" s="19" t="s">
        <v>14460</v>
      </c>
      <c r="AM66" s="19" t="s">
        <v>1119</v>
      </c>
      <c r="AN66" s="19" t="s">
        <v>962</v>
      </c>
      <c r="AO66" s="19" t="s">
        <v>14383</v>
      </c>
      <c r="AP66" s="19" t="s">
        <v>15</v>
      </c>
      <c r="AQ66" s="19" t="s">
        <v>1121</v>
      </c>
      <c r="AR66" s="19"/>
      <c r="AS66" s="19" t="s">
        <v>1122</v>
      </c>
      <c r="AT66" s="19"/>
      <c r="AU66" s="19" t="s">
        <v>14384</v>
      </c>
      <c r="AV66" s="19" t="s">
        <v>11</v>
      </c>
      <c r="AW66" s="19" t="s">
        <v>1124</v>
      </c>
      <c r="AX66" s="19"/>
      <c r="AY66" s="19" t="s">
        <v>1125</v>
      </c>
      <c r="AZ66" s="19"/>
      <c r="BA66" s="19" t="s">
        <v>14385</v>
      </c>
      <c r="BB66" s="19"/>
      <c r="BC66" s="19" t="s">
        <v>1127</v>
      </c>
      <c r="BD66" s="19"/>
      <c r="BE66" s="19" t="s">
        <v>1128</v>
      </c>
      <c r="BF66" s="19" t="s">
        <v>963</v>
      </c>
      <c r="BG66" s="19" t="s">
        <v>1129</v>
      </c>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row>
    <row r="67" spans="1:85" x14ac:dyDescent="0.4">
      <c r="A67" s="19" t="s">
        <v>109</v>
      </c>
      <c r="B67" s="19" t="s">
        <v>6</v>
      </c>
      <c r="C67" s="19" t="s">
        <v>1</v>
      </c>
      <c r="D67" s="19" t="s">
        <v>109</v>
      </c>
      <c r="E67" s="19" t="s">
        <v>17</v>
      </c>
      <c r="F67" s="19" t="s">
        <v>0</v>
      </c>
      <c r="G67" s="19" t="s">
        <v>110</v>
      </c>
      <c r="H67" s="19" t="s">
        <v>14415</v>
      </c>
      <c r="I67" s="19" t="s">
        <v>4</v>
      </c>
      <c r="J67" s="19"/>
      <c r="K67" s="19" t="s">
        <v>1528</v>
      </c>
      <c r="L67" s="19"/>
      <c r="M67" s="19"/>
      <c r="N67" s="19" t="s">
        <v>113</v>
      </c>
      <c r="O67" s="19"/>
      <c r="P67" s="19"/>
      <c r="Q67" s="19" t="s">
        <v>13845</v>
      </c>
      <c r="R67" s="19"/>
      <c r="S67" s="19" t="s">
        <v>14366</v>
      </c>
      <c r="T67" s="19" t="s">
        <v>11</v>
      </c>
      <c r="U67" s="19" t="s">
        <v>14367</v>
      </c>
      <c r="V67" s="19" t="s">
        <v>11</v>
      </c>
      <c r="W67" s="19" t="s">
        <v>14368</v>
      </c>
      <c r="X67" s="19"/>
      <c r="Y67" s="19" t="s">
        <v>14369</v>
      </c>
      <c r="Z67" s="19" t="s">
        <v>14370</v>
      </c>
      <c r="AA67" s="19" t="s">
        <v>14371</v>
      </c>
      <c r="AB67" s="19" t="s">
        <v>14372</v>
      </c>
      <c r="AC67" s="19" t="s">
        <v>14373</v>
      </c>
      <c r="AD67" s="19" t="s">
        <v>14461</v>
      </c>
      <c r="AE67" s="19" t="s">
        <v>14375</v>
      </c>
      <c r="AF67" s="19" t="s">
        <v>14449</v>
      </c>
      <c r="AG67" s="19" t="s">
        <v>14377</v>
      </c>
      <c r="AH67" s="19" t="s">
        <v>14462</v>
      </c>
      <c r="AI67" s="19" t="s">
        <v>14379</v>
      </c>
      <c r="AJ67" s="19" t="s">
        <v>14463</v>
      </c>
      <c r="AK67" s="19" t="s">
        <v>14381</v>
      </c>
      <c r="AL67" s="19" t="s">
        <v>14382</v>
      </c>
      <c r="AM67" s="19" t="s">
        <v>1119</v>
      </c>
      <c r="AN67" s="19" t="s">
        <v>111</v>
      </c>
      <c r="AO67" s="19" t="s">
        <v>14383</v>
      </c>
      <c r="AP67" s="19" t="s">
        <v>15</v>
      </c>
      <c r="AQ67" s="19" t="s">
        <v>1121</v>
      </c>
      <c r="AR67" s="19"/>
      <c r="AS67" s="19" t="s">
        <v>1122</v>
      </c>
      <c r="AT67" s="19"/>
      <c r="AU67" s="19" t="s">
        <v>14384</v>
      </c>
      <c r="AV67" s="19" t="s">
        <v>11</v>
      </c>
      <c r="AW67" s="19" t="s">
        <v>1124</v>
      </c>
      <c r="AX67" s="19"/>
      <c r="AY67" s="19" t="s">
        <v>1125</v>
      </c>
      <c r="AZ67" s="19"/>
      <c r="BA67" s="19" t="s">
        <v>14385</v>
      </c>
      <c r="BB67" s="19"/>
      <c r="BC67" s="19" t="s">
        <v>1127</v>
      </c>
      <c r="BD67" s="19"/>
      <c r="BE67" s="19" t="s">
        <v>1128</v>
      </c>
      <c r="BF67" s="19"/>
      <c r="BG67" s="19" t="s">
        <v>1129</v>
      </c>
      <c r="BH67" s="19" t="s">
        <v>112</v>
      </c>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row>
    <row r="68" spans="1:85" x14ac:dyDescent="0.4">
      <c r="A68" s="19" t="s">
        <v>979</v>
      </c>
      <c r="B68" s="19" t="s">
        <v>6</v>
      </c>
      <c r="C68" s="19" t="s">
        <v>1</v>
      </c>
      <c r="D68" s="19" t="s">
        <v>979</v>
      </c>
      <c r="E68" s="19" t="s">
        <v>17</v>
      </c>
      <c r="F68" s="19" t="s">
        <v>0</v>
      </c>
      <c r="G68" s="19" t="s">
        <v>980</v>
      </c>
      <c r="H68" s="19" t="s">
        <v>14365</v>
      </c>
      <c r="I68" s="19" t="s">
        <v>7</v>
      </c>
      <c r="J68" s="19" t="s">
        <v>2</v>
      </c>
      <c r="K68" s="19" t="s">
        <v>363</v>
      </c>
      <c r="L68" s="19"/>
      <c r="M68" s="19"/>
      <c r="N68" s="19" t="s">
        <v>983</v>
      </c>
      <c r="O68" s="19"/>
      <c r="P68" s="19"/>
      <c r="Q68" s="19" t="s">
        <v>13845</v>
      </c>
      <c r="R68" s="19"/>
      <c r="S68" s="19" t="s">
        <v>14366</v>
      </c>
      <c r="T68" s="19" t="s">
        <v>11</v>
      </c>
      <c r="U68" s="19" t="s">
        <v>14367</v>
      </c>
      <c r="V68" s="19"/>
      <c r="W68" s="19" t="s">
        <v>14368</v>
      </c>
      <c r="X68" s="19"/>
      <c r="Y68" s="19" t="s">
        <v>14369</v>
      </c>
      <c r="Z68" s="19" t="s">
        <v>14370</v>
      </c>
      <c r="AA68" s="19" t="s">
        <v>14371</v>
      </c>
      <c r="AB68" s="19" t="s">
        <v>10021</v>
      </c>
      <c r="AC68" s="19" t="s">
        <v>14373</v>
      </c>
      <c r="AD68" s="19" t="s">
        <v>10021</v>
      </c>
      <c r="AE68" s="19" t="s">
        <v>14375</v>
      </c>
      <c r="AF68" s="19" t="s">
        <v>14387</v>
      </c>
      <c r="AG68" s="19" t="s">
        <v>14377</v>
      </c>
      <c r="AH68" s="19" t="s">
        <v>14378</v>
      </c>
      <c r="AI68" s="19" t="s">
        <v>14379</v>
      </c>
      <c r="AJ68" s="19" t="s">
        <v>14410</v>
      </c>
      <c r="AK68" s="19" t="s">
        <v>14381</v>
      </c>
      <c r="AL68" s="19" t="s">
        <v>14460</v>
      </c>
      <c r="AM68" s="19" t="s">
        <v>1119</v>
      </c>
      <c r="AN68" s="19" t="s">
        <v>981</v>
      </c>
      <c r="AO68" s="19" t="s">
        <v>14383</v>
      </c>
      <c r="AP68" s="19" t="s">
        <v>15</v>
      </c>
      <c r="AQ68" s="19" t="s">
        <v>1121</v>
      </c>
      <c r="AR68" s="19"/>
      <c r="AS68" s="19" t="s">
        <v>1122</v>
      </c>
      <c r="AT68" s="19"/>
      <c r="AU68" s="19" t="s">
        <v>14384</v>
      </c>
      <c r="AV68" s="19" t="s">
        <v>11</v>
      </c>
      <c r="AW68" s="19" t="s">
        <v>1124</v>
      </c>
      <c r="AX68" s="19"/>
      <c r="AY68" s="19" t="s">
        <v>1125</v>
      </c>
      <c r="AZ68" s="19"/>
      <c r="BA68" s="19" t="s">
        <v>14385</v>
      </c>
      <c r="BB68" s="19"/>
      <c r="BC68" s="19" t="s">
        <v>1127</v>
      </c>
      <c r="BD68" s="19"/>
      <c r="BE68" s="19" t="s">
        <v>1128</v>
      </c>
      <c r="BF68" s="19"/>
      <c r="BG68" s="19" t="s">
        <v>1129</v>
      </c>
      <c r="BH68" s="19" t="s">
        <v>982</v>
      </c>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row>
    <row r="69" spans="1:85" x14ac:dyDescent="0.4">
      <c r="A69" s="19" t="s">
        <v>986</v>
      </c>
      <c r="B69" s="19" t="s">
        <v>6</v>
      </c>
      <c r="C69" s="19" t="s">
        <v>1</v>
      </c>
      <c r="D69" s="19" t="s">
        <v>986</v>
      </c>
      <c r="E69" s="19" t="s">
        <v>17</v>
      </c>
      <c r="F69" s="19" t="s">
        <v>0</v>
      </c>
      <c r="G69" s="19" t="s">
        <v>987</v>
      </c>
      <c r="H69" s="19" t="s">
        <v>14365</v>
      </c>
      <c r="I69" s="19" t="s">
        <v>7</v>
      </c>
      <c r="J69" s="19" t="s">
        <v>2</v>
      </c>
      <c r="K69" s="19" t="s">
        <v>498</v>
      </c>
      <c r="L69" s="19"/>
      <c r="M69" s="19"/>
      <c r="N69" s="19" t="s">
        <v>20</v>
      </c>
      <c r="O69" s="19"/>
      <c r="P69" s="19"/>
      <c r="Q69" s="19" t="s">
        <v>13845</v>
      </c>
      <c r="R69" s="19"/>
      <c r="S69" s="19" t="s">
        <v>14366</v>
      </c>
      <c r="T69" s="19" t="s">
        <v>11</v>
      </c>
      <c r="U69" s="19" t="s">
        <v>14367</v>
      </c>
      <c r="V69" s="19"/>
      <c r="W69" s="19" t="s">
        <v>14368</v>
      </c>
      <c r="X69" s="19"/>
      <c r="Y69" s="19" t="s">
        <v>14369</v>
      </c>
      <c r="Z69" s="19" t="s">
        <v>14370</v>
      </c>
      <c r="AA69" s="19" t="s">
        <v>14371</v>
      </c>
      <c r="AB69" s="19" t="s">
        <v>14372</v>
      </c>
      <c r="AC69" s="19" t="s">
        <v>14373</v>
      </c>
      <c r="AD69" s="19" t="s">
        <v>10021</v>
      </c>
      <c r="AE69" s="19" t="s">
        <v>14375</v>
      </c>
      <c r="AF69" s="19" t="s">
        <v>14390</v>
      </c>
      <c r="AG69" s="19" t="s">
        <v>14377</v>
      </c>
      <c r="AH69" s="19" t="s">
        <v>14390</v>
      </c>
      <c r="AI69" s="19" t="s">
        <v>14379</v>
      </c>
      <c r="AJ69" s="19" t="s">
        <v>14390</v>
      </c>
      <c r="AK69" s="19" t="s">
        <v>14381</v>
      </c>
      <c r="AL69" s="19" t="s">
        <v>14382</v>
      </c>
      <c r="AM69" s="19" t="s">
        <v>1119</v>
      </c>
      <c r="AN69" s="19" t="s">
        <v>988</v>
      </c>
      <c r="AO69" s="19" t="s">
        <v>14383</v>
      </c>
      <c r="AP69" s="19" t="s">
        <v>15</v>
      </c>
      <c r="AQ69" s="19" t="s">
        <v>1121</v>
      </c>
      <c r="AR69" s="19"/>
      <c r="AS69" s="19" t="s">
        <v>1122</v>
      </c>
      <c r="AT69" s="19"/>
      <c r="AU69" s="19" t="s">
        <v>14384</v>
      </c>
      <c r="AV69" s="19" t="s">
        <v>11</v>
      </c>
      <c r="AW69" s="19" t="s">
        <v>1124</v>
      </c>
      <c r="AX69" s="19"/>
      <c r="AY69" s="19" t="s">
        <v>1125</v>
      </c>
      <c r="AZ69" s="19"/>
      <c r="BA69" s="19" t="s">
        <v>14385</v>
      </c>
      <c r="BB69" s="19"/>
      <c r="BC69" s="19" t="s">
        <v>1127</v>
      </c>
      <c r="BD69" s="19"/>
      <c r="BE69" s="19" t="s">
        <v>1128</v>
      </c>
      <c r="BF69" s="19"/>
      <c r="BG69" s="19" t="s">
        <v>1129</v>
      </c>
      <c r="BH69" s="19" t="s">
        <v>989</v>
      </c>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row>
    <row r="70" spans="1:85" x14ac:dyDescent="0.4">
      <c r="A70" s="19" t="s">
        <v>994</v>
      </c>
      <c r="B70" s="19" t="s">
        <v>6</v>
      </c>
      <c r="C70" s="19" t="s">
        <v>1</v>
      </c>
      <c r="D70" s="19" t="s">
        <v>994</v>
      </c>
      <c r="E70" s="19" t="s">
        <v>17</v>
      </c>
      <c r="F70" s="19" t="s">
        <v>0</v>
      </c>
      <c r="G70" s="19" t="s">
        <v>995</v>
      </c>
      <c r="H70" s="19" t="s">
        <v>14365</v>
      </c>
      <c r="I70" s="19" t="s">
        <v>7</v>
      </c>
      <c r="J70" s="19" t="s">
        <v>2</v>
      </c>
      <c r="K70" s="19" t="s">
        <v>498</v>
      </c>
      <c r="L70" s="19"/>
      <c r="M70" s="19"/>
      <c r="N70" s="19" t="s">
        <v>20</v>
      </c>
      <c r="O70" s="19"/>
      <c r="P70" s="19"/>
      <c r="Q70" s="19" t="s">
        <v>13845</v>
      </c>
      <c r="R70" s="19"/>
      <c r="S70" s="19" t="s">
        <v>14366</v>
      </c>
      <c r="T70" s="19" t="s">
        <v>11</v>
      </c>
      <c r="U70" s="19" t="s">
        <v>14367</v>
      </c>
      <c r="V70" s="19"/>
      <c r="W70" s="19" t="s">
        <v>14368</v>
      </c>
      <c r="X70" s="19"/>
      <c r="Y70" s="19" t="s">
        <v>14369</v>
      </c>
      <c r="Z70" s="19" t="s">
        <v>14370</v>
      </c>
      <c r="AA70" s="19" t="s">
        <v>14371</v>
      </c>
      <c r="AB70" s="19" t="s">
        <v>14372</v>
      </c>
      <c r="AC70" s="19" t="s">
        <v>14373</v>
      </c>
      <c r="AD70" s="19" t="s">
        <v>10021</v>
      </c>
      <c r="AE70" s="19" t="s">
        <v>14375</v>
      </c>
      <c r="AF70" s="19" t="s">
        <v>14413</v>
      </c>
      <c r="AG70" s="19" t="s">
        <v>14377</v>
      </c>
      <c r="AH70" s="19" t="s">
        <v>14413</v>
      </c>
      <c r="AI70" s="19" t="s">
        <v>14379</v>
      </c>
      <c r="AJ70" s="19" t="s">
        <v>14390</v>
      </c>
      <c r="AK70" s="19" t="s">
        <v>14381</v>
      </c>
      <c r="AL70" s="19" t="s">
        <v>14426</v>
      </c>
      <c r="AM70" s="19" t="s">
        <v>1119</v>
      </c>
      <c r="AN70" s="19" t="s">
        <v>996</v>
      </c>
      <c r="AO70" s="19" t="s">
        <v>14383</v>
      </c>
      <c r="AP70" s="19" t="s">
        <v>15</v>
      </c>
      <c r="AQ70" s="19" t="s">
        <v>1121</v>
      </c>
      <c r="AR70" s="19"/>
      <c r="AS70" s="19" t="s">
        <v>1122</v>
      </c>
      <c r="AT70" s="19"/>
      <c r="AU70" s="19" t="s">
        <v>14384</v>
      </c>
      <c r="AV70" s="19" t="s">
        <v>11</v>
      </c>
      <c r="AW70" s="19" t="s">
        <v>1124</v>
      </c>
      <c r="AX70" s="19"/>
      <c r="AY70" s="19" t="s">
        <v>1125</v>
      </c>
      <c r="AZ70" s="19"/>
      <c r="BA70" s="19" t="s">
        <v>14385</v>
      </c>
      <c r="BB70" s="19"/>
      <c r="BC70" s="19" t="s">
        <v>1127</v>
      </c>
      <c r="BD70" s="19"/>
      <c r="BE70" s="19" t="s">
        <v>1128</v>
      </c>
      <c r="BF70" s="19"/>
      <c r="BG70" s="19" t="s">
        <v>1129</v>
      </c>
      <c r="BH70" s="19" t="s">
        <v>997</v>
      </c>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row>
    <row r="71" spans="1:85" x14ac:dyDescent="0.4">
      <c r="A71" s="19" t="s">
        <v>14464</v>
      </c>
      <c r="B71" s="19" t="s">
        <v>6</v>
      </c>
      <c r="C71" s="19" t="s">
        <v>1</v>
      </c>
      <c r="D71" s="19" t="s">
        <v>14464</v>
      </c>
      <c r="E71" s="19" t="s">
        <v>17</v>
      </c>
      <c r="F71" s="19" t="s">
        <v>0</v>
      </c>
      <c r="G71" s="19" t="s">
        <v>1010</v>
      </c>
      <c r="H71" s="19" t="s">
        <v>14365</v>
      </c>
      <c r="I71" s="19" t="s">
        <v>7</v>
      </c>
      <c r="J71" s="19" t="s">
        <v>2</v>
      </c>
      <c r="K71" s="19" t="s">
        <v>498</v>
      </c>
      <c r="L71" s="19"/>
      <c r="M71" s="19"/>
      <c r="N71" s="19" t="s">
        <v>20</v>
      </c>
      <c r="O71" s="19"/>
      <c r="P71" s="19"/>
      <c r="Q71" s="19" t="s">
        <v>13845</v>
      </c>
      <c r="R71" s="19"/>
      <c r="S71" s="19" t="s">
        <v>14366</v>
      </c>
      <c r="T71" s="19" t="s">
        <v>11</v>
      </c>
      <c r="U71" s="19" t="s">
        <v>14367</v>
      </c>
      <c r="V71" s="19"/>
      <c r="W71" s="19" t="s">
        <v>14368</v>
      </c>
      <c r="X71" s="19"/>
      <c r="Y71" s="19" t="s">
        <v>14369</v>
      </c>
      <c r="Z71" s="19" t="s">
        <v>14370</v>
      </c>
      <c r="AA71" s="19" t="s">
        <v>14371</v>
      </c>
      <c r="AB71" s="19" t="s">
        <v>14372</v>
      </c>
      <c r="AC71" s="19" t="s">
        <v>14373</v>
      </c>
      <c r="AD71" s="19" t="s">
        <v>10021</v>
      </c>
      <c r="AE71" s="19" t="s">
        <v>14375</v>
      </c>
      <c r="AF71" s="19" t="s">
        <v>14413</v>
      </c>
      <c r="AG71" s="19" t="s">
        <v>14377</v>
      </c>
      <c r="AH71" s="19" t="s">
        <v>14413</v>
      </c>
      <c r="AI71" s="19" t="s">
        <v>14379</v>
      </c>
      <c r="AJ71" s="19" t="s">
        <v>14390</v>
      </c>
      <c r="AK71" s="19" t="s">
        <v>14381</v>
      </c>
      <c r="AL71" s="19" t="s">
        <v>14382</v>
      </c>
      <c r="AM71" s="19" t="s">
        <v>1119</v>
      </c>
      <c r="AN71" s="19" t="s">
        <v>1011</v>
      </c>
      <c r="AO71" s="19" t="s">
        <v>14383</v>
      </c>
      <c r="AP71" s="19" t="s">
        <v>15</v>
      </c>
      <c r="AQ71" s="19" t="s">
        <v>1121</v>
      </c>
      <c r="AR71" s="19"/>
      <c r="AS71" s="19" t="s">
        <v>1122</v>
      </c>
      <c r="AT71" s="19"/>
      <c r="AU71" s="19" t="s">
        <v>14384</v>
      </c>
      <c r="AV71" s="19" t="s">
        <v>11</v>
      </c>
      <c r="AW71" s="19" t="s">
        <v>1124</v>
      </c>
      <c r="AX71" s="19"/>
      <c r="AY71" s="19" t="s">
        <v>1125</v>
      </c>
      <c r="AZ71" s="19"/>
      <c r="BA71" s="19" t="s">
        <v>14385</v>
      </c>
      <c r="BB71" s="19"/>
      <c r="BC71" s="19" t="s">
        <v>1127</v>
      </c>
      <c r="BD71" s="19"/>
      <c r="BE71" s="19" t="s">
        <v>1128</v>
      </c>
      <c r="BF71" s="19"/>
      <c r="BG71" s="19" t="s">
        <v>1129</v>
      </c>
      <c r="BH71" s="19" t="s">
        <v>1012</v>
      </c>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row>
    <row r="72" spans="1:85" x14ac:dyDescent="0.4">
      <c r="A72" s="19" t="s">
        <v>1002</v>
      </c>
      <c r="B72" s="19" t="s">
        <v>6</v>
      </c>
      <c r="C72" s="19" t="s">
        <v>1</v>
      </c>
      <c r="D72" s="19" t="s">
        <v>1002</v>
      </c>
      <c r="E72" s="19" t="s">
        <v>17</v>
      </c>
      <c r="F72" s="19" t="s">
        <v>0</v>
      </c>
      <c r="G72" s="19" t="s">
        <v>1003</v>
      </c>
      <c r="H72" s="19" t="s">
        <v>14365</v>
      </c>
      <c r="I72" s="19" t="s">
        <v>7</v>
      </c>
      <c r="J72" s="19" t="s">
        <v>2</v>
      </c>
      <c r="K72" s="19" t="s">
        <v>498</v>
      </c>
      <c r="L72" s="19"/>
      <c r="M72" s="19"/>
      <c r="N72" s="19" t="s">
        <v>20</v>
      </c>
      <c r="O72" s="19"/>
      <c r="P72" s="19"/>
      <c r="Q72" s="19" t="s">
        <v>13845</v>
      </c>
      <c r="R72" s="19"/>
      <c r="S72" s="19" t="s">
        <v>14366</v>
      </c>
      <c r="T72" s="19" t="s">
        <v>11</v>
      </c>
      <c r="U72" s="19" t="s">
        <v>14367</v>
      </c>
      <c r="V72" s="19"/>
      <c r="W72" s="19" t="s">
        <v>14368</v>
      </c>
      <c r="X72" s="19"/>
      <c r="Y72" s="19" t="s">
        <v>14369</v>
      </c>
      <c r="Z72" s="19" t="s">
        <v>14370</v>
      </c>
      <c r="AA72" s="19" t="s">
        <v>14371</v>
      </c>
      <c r="AB72" s="19" t="s">
        <v>14372</v>
      </c>
      <c r="AC72" s="19" t="s">
        <v>14373</v>
      </c>
      <c r="AD72" s="19" t="s">
        <v>10021</v>
      </c>
      <c r="AE72" s="19" t="s">
        <v>14375</v>
      </c>
      <c r="AF72" s="19" t="s">
        <v>14390</v>
      </c>
      <c r="AG72" s="19" t="s">
        <v>14377</v>
      </c>
      <c r="AH72" s="19" t="s">
        <v>14390</v>
      </c>
      <c r="AI72" s="19" t="s">
        <v>14379</v>
      </c>
      <c r="AJ72" s="19" t="s">
        <v>14398</v>
      </c>
      <c r="AK72" s="19" t="s">
        <v>14381</v>
      </c>
      <c r="AL72" s="19" t="s">
        <v>14426</v>
      </c>
      <c r="AM72" s="19" t="s">
        <v>1119</v>
      </c>
      <c r="AN72" s="19" t="s">
        <v>1004</v>
      </c>
      <c r="AO72" s="19" t="s">
        <v>14383</v>
      </c>
      <c r="AP72" s="19" t="s">
        <v>15</v>
      </c>
      <c r="AQ72" s="19" t="s">
        <v>1121</v>
      </c>
      <c r="AR72" s="19"/>
      <c r="AS72" s="19" t="s">
        <v>1122</v>
      </c>
      <c r="AT72" s="19"/>
      <c r="AU72" s="19" t="s">
        <v>14384</v>
      </c>
      <c r="AV72" s="19" t="s">
        <v>11</v>
      </c>
      <c r="AW72" s="19" t="s">
        <v>1124</v>
      </c>
      <c r="AX72" s="19"/>
      <c r="AY72" s="19" t="s">
        <v>1125</v>
      </c>
      <c r="AZ72" s="19"/>
      <c r="BA72" s="19" t="s">
        <v>14385</v>
      </c>
      <c r="BB72" s="19"/>
      <c r="BC72" s="19" t="s">
        <v>1127</v>
      </c>
      <c r="BD72" s="19"/>
      <c r="BE72" s="19" t="s">
        <v>1128</v>
      </c>
      <c r="BF72" s="19"/>
      <c r="BG72" s="19" t="s">
        <v>1129</v>
      </c>
      <c r="BH72" s="19" t="s">
        <v>1005</v>
      </c>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row>
    <row r="73" spans="1:85" x14ac:dyDescent="0.4">
      <c r="A73" s="19" t="s">
        <v>27</v>
      </c>
      <c r="B73" s="19" t="s">
        <v>6</v>
      </c>
      <c r="C73" s="19" t="s">
        <v>1</v>
      </c>
      <c r="D73" s="19" t="s">
        <v>27</v>
      </c>
      <c r="E73" s="19" t="s">
        <v>17</v>
      </c>
      <c r="F73" s="19" t="s">
        <v>0</v>
      </c>
      <c r="G73" s="19" t="s">
        <v>28</v>
      </c>
      <c r="H73" s="19" t="s">
        <v>14392</v>
      </c>
      <c r="I73" s="19" t="s">
        <v>7</v>
      </c>
      <c r="J73" s="19"/>
      <c r="K73" s="19" t="s">
        <v>78</v>
      </c>
      <c r="L73" s="19"/>
      <c r="M73" s="19"/>
      <c r="N73" s="19" t="s">
        <v>31</v>
      </c>
      <c r="O73" s="19"/>
      <c r="P73" s="19"/>
      <c r="Q73" s="19" t="s">
        <v>13845</v>
      </c>
      <c r="R73" s="19"/>
      <c r="S73" s="19" t="s">
        <v>14366</v>
      </c>
      <c r="T73" s="19" t="s">
        <v>11</v>
      </c>
      <c r="U73" s="19" t="s">
        <v>14367</v>
      </c>
      <c r="V73" s="19"/>
      <c r="W73" s="19" t="s">
        <v>14368</v>
      </c>
      <c r="X73" s="19"/>
      <c r="Y73" s="19" t="s">
        <v>14369</v>
      </c>
      <c r="Z73" s="19" t="s">
        <v>14370</v>
      </c>
      <c r="AA73" s="19" t="s">
        <v>14371</v>
      </c>
      <c r="AB73" s="19" t="s">
        <v>14372</v>
      </c>
      <c r="AC73" s="19" t="s">
        <v>14373</v>
      </c>
      <c r="AD73" s="19" t="s">
        <v>14404</v>
      </c>
      <c r="AE73" s="19" t="s">
        <v>14375</v>
      </c>
      <c r="AF73" s="19" t="s">
        <v>14407</v>
      </c>
      <c r="AG73" s="19" t="s">
        <v>14377</v>
      </c>
      <c r="AH73" s="19" t="s">
        <v>14388</v>
      </c>
      <c r="AI73" s="19" t="s">
        <v>14379</v>
      </c>
      <c r="AJ73" s="19" t="s">
        <v>14378</v>
      </c>
      <c r="AK73" s="19" t="s">
        <v>14381</v>
      </c>
      <c r="AL73" s="19" t="s">
        <v>14450</v>
      </c>
      <c r="AM73" s="19" t="s">
        <v>1119</v>
      </c>
      <c r="AN73" s="19" t="s">
        <v>29</v>
      </c>
      <c r="AO73" s="19" t="s">
        <v>14383</v>
      </c>
      <c r="AP73" s="19" t="s">
        <v>15</v>
      </c>
      <c r="AQ73" s="19" t="s">
        <v>1121</v>
      </c>
      <c r="AR73" s="19"/>
      <c r="AS73" s="19" t="s">
        <v>1122</v>
      </c>
      <c r="AT73" s="19"/>
      <c r="AU73" s="19" t="s">
        <v>14384</v>
      </c>
      <c r="AV73" s="19" t="s">
        <v>11</v>
      </c>
      <c r="AW73" s="19" t="s">
        <v>1124</v>
      </c>
      <c r="AX73" s="19"/>
      <c r="AY73" s="19" t="s">
        <v>1125</v>
      </c>
      <c r="AZ73" s="19"/>
      <c r="BA73" s="19" t="s">
        <v>14385</v>
      </c>
      <c r="BB73" s="19"/>
      <c r="BC73" s="19" t="s">
        <v>1127</v>
      </c>
      <c r="BD73" s="19"/>
      <c r="BE73" s="19" t="s">
        <v>1128</v>
      </c>
      <c r="BF73" s="19"/>
      <c r="BG73" s="19" t="s">
        <v>1129</v>
      </c>
      <c r="BH73" s="19" t="s">
        <v>30</v>
      </c>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row>
    <row r="74" spans="1:85" x14ac:dyDescent="0.4">
      <c r="A74" s="19" t="s">
        <v>1018</v>
      </c>
      <c r="B74" s="19" t="s">
        <v>6</v>
      </c>
      <c r="C74" s="19" t="s">
        <v>1</v>
      </c>
      <c r="D74" s="19" t="s">
        <v>1018</v>
      </c>
      <c r="E74" s="19" t="s">
        <v>17</v>
      </c>
      <c r="F74" s="19" t="s">
        <v>0</v>
      </c>
      <c r="G74" s="19" t="s">
        <v>1019</v>
      </c>
      <c r="H74" s="19" t="s">
        <v>14365</v>
      </c>
      <c r="I74" s="19" t="s">
        <v>7</v>
      </c>
      <c r="J74" s="19" t="s">
        <v>2</v>
      </c>
      <c r="K74" s="19" t="s">
        <v>78</v>
      </c>
      <c r="L74" s="19"/>
      <c r="M74" s="19"/>
      <c r="N74" s="19" t="s">
        <v>1024</v>
      </c>
      <c r="O74" s="19"/>
      <c r="P74" s="19"/>
      <c r="Q74" s="19" t="s">
        <v>13845</v>
      </c>
      <c r="R74" s="19"/>
      <c r="S74" s="19" t="s">
        <v>14366</v>
      </c>
      <c r="T74" s="19" t="s">
        <v>11</v>
      </c>
      <c r="U74" s="19" t="s">
        <v>14367</v>
      </c>
      <c r="V74" s="19"/>
      <c r="W74" s="19" t="s">
        <v>14368</v>
      </c>
      <c r="X74" s="19"/>
      <c r="Y74" s="19" t="s">
        <v>14369</v>
      </c>
      <c r="Z74" s="19" t="s">
        <v>14370</v>
      </c>
      <c r="AA74" s="19" t="s">
        <v>14371</v>
      </c>
      <c r="AB74" s="19" t="s">
        <v>14372</v>
      </c>
      <c r="AC74" s="19" t="s">
        <v>14373</v>
      </c>
      <c r="AD74" s="19" t="s">
        <v>14374</v>
      </c>
      <c r="AE74" s="19" t="s">
        <v>14375</v>
      </c>
      <c r="AF74" s="19" t="s">
        <v>14407</v>
      </c>
      <c r="AG74" s="19" t="s">
        <v>14377</v>
      </c>
      <c r="AH74" s="19" t="s">
        <v>14388</v>
      </c>
      <c r="AI74" s="19" t="s">
        <v>14379</v>
      </c>
      <c r="AJ74" s="19" t="s">
        <v>14465</v>
      </c>
      <c r="AK74" s="19" t="s">
        <v>14381</v>
      </c>
      <c r="AL74" s="19" t="s">
        <v>14382</v>
      </c>
      <c r="AM74" s="19" t="s">
        <v>1119</v>
      </c>
      <c r="AN74" s="19" t="s">
        <v>1020</v>
      </c>
      <c r="AO74" s="19" t="s">
        <v>14383</v>
      </c>
      <c r="AP74" s="19" t="s">
        <v>15</v>
      </c>
      <c r="AQ74" s="19" t="s">
        <v>1121</v>
      </c>
      <c r="AR74" s="19"/>
      <c r="AS74" s="19" t="s">
        <v>1122</v>
      </c>
      <c r="AT74" s="19"/>
      <c r="AU74" s="19" t="s">
        <v>14384</v>
      </c>
      <c r="AV74" s="19" t="s">
        <v>11</v>
      </c>
      <c r="AW74" s="19" t="s">
        <v>1124</v>
      </c>
      <c r="AX74" s="19"/>
      <c r="AY74" s="19" t="s">
        <v>1125</v>
      </c>
      <c r="AZ74" s="19"/>
      <c r="BA74" s="19" t="s">
        <v>14385</v>
      </c>
      <c r="BB74" s="19"/>
      <c r="BC74" s="19" t="s">
        <v>1127</v>
      </c>
      <c r="BD74" s="19"/>
      <c r="BE74" s="19" t="s">
        <v>1128</v>
      </c>
      <c r="BF74" s="19" t="s">
        <v>1021</v>
      </c>
      <c r="BG74" s="19" t="s">
        <v>1129</v>
      </c>
      <c r="BH74" s="19" t="s">
        <v>1022</v>
      </c>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row>
    <row r="75" spans="1:85" x14ac:dyDescent="0.4">
      <c r="A75" s="19" t="s">
        <v>14466</v>
      </c>
      <c r="B75" s="19" t="s">
        <v>6</v>
      </c>
      <c r="C75" s="19" t="s">
        <v>1</v>
      </c>
      <c r="D75" s="19" t="s">
        <v>14466</v>
      </c>
      <c r="E75" s="19" t="s">
        <v>17</v>
      </c>
      <c r="F75" s="19" t="s">
        <v>0</v>
      </c>
      <c r="G75" s="19" t="s">
        <v>1028</v>
      </c>
      <c r="H75" s="19" t="s">
        <v>14365</v>
      </c>
      <c r="I75" s="19" t="s">
        <v>4</v>
      </c>
      <c r="J75" s="19" t="s">
        <v>2</v>
      </c>
      <c r="K75" s="19" t="s">
        <v>304</v>
      </c>
      <c r="L75" s="19"/>
      <c r="M75" s="19"/>
      <c r="N75" s="19" t="s">
        <v>1032</v>
      </c>
      <c r="O75" s="19"/>
      <c r="P75" s="19"/>
      <c r="Q75" s="19" t="s">
        <v>13845</v>
      </c>
      <c r="R75" s="19"/>
      <c r="S75" s="19" t="s">
        <v>14366</v>
      </c>
      <c r="T75" s="19" t="s">
        <v>11</v>
      </c>
      <c r="U75" s="19" t="s">
        <v>14367</v>
      </c>
      <c r="V75" s="19"/>
      <c r="W75" s="19" t="s">
        <v>14368</v>
      </c>
      <c r="X75" s="19"/>
      <c r="Y75" s="19" t="s">
        <v>14369</v>
      </c>
      <c r="Z75" s="19" t="s">
        <v>14370</v>
      </c>
      <c r="AA75" s="19" t="s">
        <v>14371</v>
      </c>
      <c r="AB75" s="19" t="s">
        <v>10021</v>
      </c>
      <c r="AC75" s="19" t="s">
        <v>14373</v>
      </c>
      <c r="AD75" s="19" t="s">
        <v>14374</v>
      </c>
      <c r="AE75" s="19" t="s">
        <v>14375</v>
      </c>
      <c r="AF75" s="19" t="s">
        <v>14391</v>
      </c>
      <c r="AG75" s="19" t="s">
        <v>14377</v>
      </c>
      <c r="AH75" s="19" t="s">
        <v>14398</v>
      </c>
      <c r="AI75" s="19" t="s">
        <v>14379</v>
      </c>
      <c r="AJ75" s="19" t="s">
        <v>14423</v>
      </c>
      <c r="AK75" s="19" t="s">
        <v>14381</v>
      </c>
      <c r="AL75" s="19" t="s">
        <v>14382</v>
      </c>
      <c r="AM75" s="19" t="s">
        <v>1119</v>
      </c>
      <c r="AN75" s="19" t="s">
        <v>1029</v>
      </c>
      <c r="AO75" s="19" t="s">
        <v>14383</v>
      </c>
      <c r="AP75" s="19" t="s">
        <v>15</v>
      </c>
      <c r="AQ75" s="19" t="s">
        <v>1121</v>
      </c>
      <c r="AR75" s="19"/>
      <c r="AS75" s="19" t="s">
        <v>1122</v>
      </c>
      <c r="AT75" s="19"/>
      <c r="AU75" s="19" t="s">
        <v>14384</v>
      </c>
      <c r="AV75" s="19" t="s">
        <v>11</v>
      </c>
      <c r="AW75" s="19" t="s">
        <v>1124</v>
      </c>
      <c r="AX75" s="19"/>
      <c r="AY75" s="19" t="s">
        <v>1125</v>
      </c>
      <c r="AZ75" s="19"/>
      <c r="BA75" s="19" t="s">
        <v>14385</v>
      </c>
      <c r="BB75" s="19"/>
      <c r="BC75" s="19" t="s">
        <v>1127</v>
      </c>
      <c r="BD75" s="19"/>
      <c r="BE75" s="19" t="s">
        <v>1128</v>
      </c>
      <c r="BF75" s="19"/>
      <c r="BG75" s="19" t="s">
        <v>1129</v>
      </c>
      <c r="BH75" s="19" t="s">
        <v>1030</v>
      </c>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row>
    <row r="76" spans="1:85" x14ac:dyDescent="0.4">
      <c r="A76" s="19" t="s">
        <v>1036</v>
      </c>
      <c r="B76" s="19" t="s">
        <v>6</v>
      </c>
      <c r="C76" s="19" t="s">
        <v>1</v>
      </c>
      <c r="D76" s="19" t="s">
        <v>1036</v>
      </c>
      <c r="E76" s="19" t="s">
        <v>17</v>
      </c>
      <c r="F76" s="19" t="s">
        <v>0</v>
      </c>
      <c r="G76" s="19" t="s">
        <v>1037</v>
      </c>
      <c r="H76" s="19" t="s">
        <v>14365</v>
      </c>
      <c r="I76" s="19" t="s">
        <v>7</v>
      </c>
      <c r="J76" s="19" t="s">
        <v>2</v>
      </c>
      <c r="K76" s="19" t="s">
        <v>228</v>
      </c>
      <c r="L76" s="19"/>
      <c r="M76" s="19"/>
      <c r="N76" s="19" t="s">
        <v>1039</v>
      </c>
      <c r="O76" s="19"/>
      <c r="P76" s="19"/>
      <c r="Q76" s="19" t="s">
        <v>13845</v>
      </c>
      <c r="R76" s="19"/>
      <c r="S76" s="19" t="s">
        <v>14366</v>
      </c>
      <c r="T76" s="19" t="s">
        <v>11</v>
      </c>
      <c r="U76" s="19" t="s">
        <v>14367</v>
      </c>
      <c r="V76" s="19"/>
      <c r="W76" s="19" t="s">
        <v>14368</v>
      </c>
      <c r="X76" s="19"/>
      <c r="Y76" s="19" t="s">
        <v>14369</v>
      </c>
      <c r="Z76" s="19" t="s">
        <v>14370</v>
      </c>
      <c r="AA76" s="19" t="s">
        <v>14371</v>
      </c>
      <c r="AB76" s="19" t="s">
        <v>14372</v>
      </c>
      <c r="AC76" s="19" t="s">
        <v>14373</v>
      </c>
      <c r="AD76" s="19" t="s">
        <v>14386</v>
      </c>
      <c r="AE76" s="19" t="s">
        <v>14375</v>
      </c>
      <c r="AF76" s="19" t="s">
        <v>14407</v>
      </c>
      <c r="AG76" s="19" t="s">
        <v>14377</v>
      </c>
      <c r="AH76" s="19" t="s">
        <v>14388</v>
      </c>
      <c r="AI76" s="19" t="s">
        <v>14379</v>
      </c>
      <c r="AJ76" s="19" t="s">
        <v>14467</v>
      </c>
      <c r="AK76" s="19" t="s">
        <v>14381</v>
      </c>
      <c r="AL76" s="19" t="s">
        <v>14382</v>
      </c>
      <c r="AM76" s="19" t="s">
        <v>1119</v>
      </c>
      <c r="AN76" s="19" t="s">
        <v>1038</v>
      </c>
      <c r="AO76" s="19" t="s">
        <v>14383</v>
      </c>
      <c r="AP76" s="19" t="s">
        <v>15</v>
      </c>
      <c r="AQ76" s="19" t="s">
        <v>1121</v>
      </c>
      <c r="AR76" s="19"/>
      <c r="AS76" s="19" t="s">
        <v>1122</v>
      </c>
      <c r="AT76" s="19"/>
      <c r="AU76" s="19" t="s">
        <v>14384</v>
      </c>
      <c r="AV76" s="19" t="s">
        <v>11</v>
      </c>
      <c r="AW76" s="19" t="s">
        <v>1124</v>
      </c>
      <c r="AX76" s="19"/>
      <c r="AY76" s="19" t="s">
        <v>1125</v>
      </c>
      <c r="AZ76" s="19"/>
      <c r="BA76" s="19" t="s">
        <v>14385</v>
      </c>
      <c r="BB76" s="19"/>
      <c r="BC76" s="19" t="s">
        <v>1127</v>
      </c>
      <c r="BD76" s="19"/>
      <c r="BE76" s="19" t="s">
        <v>1128</v>
      </c>
      <c r="BF76" s="19"/>
      <c r="BG76" s="19" t="s">
        <v>1129</v>
      </c>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row>
    <row r="77" spans="1:85" x14ac:dyDescent="0.4">
      <c r="A77" s="19" t="s">
        <v>1061</v>
      </c>
      <c r="B77" s="19" t="s">
        <v>6</v>
      </c>
      <c r="C77" s="19" t="s">
        <v>1</v>
      </c>
      <c r="D77" s="19" t="s">
        <v>1061</v>
      </c>
      <c r="E77" s="19" t="s">
        <v>17</v>
      </c>
      <c r="F77" s="19" t="s">
        <v>0</v>
      </c>
      <c r="G77" s="19" t="s">
        <v>1062</v>
      </c>
      <c r="H77" s="19" t="s">
        <v>14365</v>
      </c>
      <c r="I77" s="19" t="s">
        <v>7</v>
      </c>
      <c r="J77" s="19" t="s">
        <v>2</v>
      </c>
      <c r="K77" s="19" t="s">
        <v>119</v>
      </c>
      <c r="L77" s="19"/>
      <c r="M77" s="19"/>
      <c r="N77" s="19" t="s">
        <v>1065</v>
      </c>
      <c r="O77" s="19"/>
      <c r="P77" s="19"/>
      <c r="Q77" s="19" t="s">
        <v>13845</v>
      </c>
      <c r="R77" s="19"/>
      <c r="S77" s="19" t="s">
        <v>14366</v>
      </c>
      <c r="T77" s="19" t="s">
        <v>11</v>
      </c>
      <c r="U77" s="19" t="s">
        <v>14367</v>
      </c>
      <c r="V77" s="19"/>
      <c r="W77" s="19" t="s">
        <v>14368</v>
      </c>
      <c r="X77" s="19"/>
      <c r="Y77" s="19" t="s">
        <v>14369</v>
      </c>
      <c r="Z77" s="19" t="s">
        <v>14370</v>
      </c>
      <c r="AA77" s="19" t="s">
        <v>14371</v>
      </c>
      <c r="AB77" s="19" t="s">
        <v>14372</v>
      </c>
      <c r="AC77" s="19" t="s">
        <v>14373</v>
      </c>
      <c r="AD77" s="19" t="s">
        <v>14404</v>
      </c>
      <c r="AE77" s="19" t="s">
        <v>14375</v>
      </c>
      <c r="AF77" s="19" t="s">
        <v>14387</v>
      </c>
      <c r="AG77" s="19" t="s">
        <v>14377</v>
      </c>
      <c r="AH77" s="19" t="s">
        <v>14388</v>
      </c>
      <c r="AI77" s="19" t="s">
        <v>14379</v>
      </c>
      <c r="AJ77" s="19" t="s">
        <v>14391</v>
      </c>
      <c r="AK77" s="19" t="s">
        <v>14381</v>
      </c>
      <c r="AL77" s="19" t="s">
        <v>14436</v>
      </c>
      <c r="AM77" s="19" t="s">
        <v>1119</v>
      </c>
      <c r="AN77" s="19" t="s">
        <v>1063</v>
      </c>
      <c r="AO77" s="19" t="s">
        <v>14383</v>
      </c>
      <c r="AP77" s="19" t="s">
        <v>15</v>
      </c>
      <c r="AQ77" s="19" t="s">
        <v>1121</v>
      </c>
      <c r="AR77" s="19"/>
      <c r="AS77" s="19" t="s">
        <v>1122</v>
      </c>
      <c r="AT77" s="19"/>
      <c r="AU77" s="19" t="s">
        <v>14384</v>
      </c>
      <c r="AV77" s="19" t="s">
        <v>11</v>
      </c>
      <c r="AW77" s="19" t="s">
        <v>1124</v>
      </c>
      <c r="AX77" s="19"/>
      <c r="AY77" s="19" t="s">
        <v>1125</v>
      </c>
      <c r="AZ77" s="19"/>
      <c r="BA77" s="19" t="s">
        <v>14385</v>
      </c>
      <c r="BB77" s="19"/>
      <c r="BC77" s="19" t="s">
        <v>1127</v>
      </c>
      <c r="BD77" s="19"/>
      <c r="BE77" s="19" t="s">
        <v>1128</v>
      </c>
      <c r="BF77" s="19"/>
      <c r="BG77" s="19" t="s">
        <v>1129</v>
      </c>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row>
    <row r="78" spans="1:85" x14ac:dyDescent="0.4">
      <c r="A78" s="19" t="s">
        <v>179</v>
      </c>
      <c r="B78" s="19" t="s">
        <v>6</v>
      </c>
      <c r="C78" s="19" t="s">
        <v>1</v>
      </c>
      <c r="D78" s="19" t="s">
        <v>179</v>
      </c>
      <c r="E78" s="19" t="s">
        <v>17</v>
      </c>
      <c r="F78" s="19" t="s">
        <v>0</v>
      </c>
      <c r="G78" s="19" t="s">
        <v>180</v>
      </c>
      <c r="H78" s="19" t="s">
        <v>14392</v>
      </c>
      <c r="I78" s="19" t="s">
        <v>4</v>
      </c>
      <c r="J78" s="19"/>
      <c r="K78" s="19" t="s">
        <v>160</v>
      </c>
      <c r="L78" s="19"/>
      <c r="M78" s="19"/>
      <c r="N78" s="19" t="s">
        <v>183</v>
      </c>
      <c r="O78" s="19"/>
      <c r="P78" s="19"/>
      <c r="Q78" s="19" t="s">
        <v>13845</v>
      </c>
      <c r="R78" s="19"/>
      <c r="S78" s="19" t="s">
        <v>14366</v>
      </c>
      <c r="T78" s="19" t="s">
        <v>11</v>
      </c>
      <c r="U78" s="19" t="s">
        <v>14367</v>
      </c>
      <c r="V78" s="19" t="s">
        <v>11</v>
      </c>
      <c r="W78" s="19" t="s">
        <v>14368</v>
      </c>
      <c r="X78" s="19"/>
      <c r="Y78" s="19" t="s">
        <v>14369</v>
      </c>
      <c r="Z78" s="19" t="s">
        <v>14370</v>
      </c>
      <c r="AA78" s="19" t="s">
        <v>14371</v>
      </c>
      <c r="AB78" s="19" t="s">
        <v>14372</v>
      </c>
      <c r="AC78" s="19" t="s">
        <v>14373</v>
      </c>
      <c r="AD78" s="19" t="s">
        <v>14386</v>
      </c>
      <c r="AE78" s="19" t="s">
        <v>14375</v>
      </c>
      <c r="AF78" s="19" t="s">
        <v>14376</v>
      </c>
      <c r="AG78" s="19" t="s">
        <v>14377</v>
      </c>
      <c r="AH78" s="19" t="s">
        <v>14378</v>
      </c>
      <c r="AI78" s="19" t="s">
        <v>14379</v>
      </c>
      <c r="AJ78" s="19" t="s">
        <v>14389</v>
      </c>
      <c r="AK78" s="19" t="s">
        <v>14381</v>
      </c>
      <c r="AL78" s="19" t="s">
        <v>14382</v>
      </c>
      <c r="AM78" s="19" t="s">
        <v>1119</v>
      </c>
      <c r="AN78" s="19" t="s">
        <v>181</v>
      </c>
      <c r="AO78" s="19" t="s">
        <v>14383</v>
      </c>
      <c r="AP78" s="19" t="s">
        <v>15</v>
      </c>
      <c r="AQ78" s="19" t="s">
        <v>1121</v>
      </c>
      <c r="AR78" s="19"/>
      <c r="AS78" s="19" t="s">
        <v>1122</v>
      </c>
      <c r="AT78" s="19"/>
      <c r="AU78" s="19" t="s">
        <v>14384</v>
      </c>
      <c r="AV78" s="19" t="s">
        <v>11</v>
      </c>
      <c r="AW78" s="19" t="s">
        <v>1124</v>
      </c>
      <c r="AX78" s="19"/>
      <c r="AY78" s="19" t="s">
        <v>1125</v>
      </c>
      <c r="AZ78" s="19"/>
      <c r="BA78" s="19" t="s">
        <v>14385</v>
      </c>
      <c r="BB78" s="19"/>
      <c r="BC78" s="19" t="s">
        <v>1127</v>
      </c>
      <c r="BD78" s="19"/>
      <c r="BE78" s="19" t="s">
        <v>1128</v>
      </c>
      <c r="BF78" s="19"/>
      <c r="BG78" s="19" t="s">
        <v>1129</v>
      </c>
      <c r="BH78" s="19" t="s">
        <v>182</v>
      </c>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row>
    <row r="79" spans="1:85" x14ac:dyDescent="0.4">
      <c r="A79" s="19" t="s">
        <v>1056</v>
      </c>
      <c r="B79" s="19" t="s">
        <v>6</v>
      </c>
      <c r="C79" s="19" t="s">
        <v>1</v>
      </c>
      <c r="D79" s="19" t="s">
        <v>1056</v>
      </c>
      <c r="E79" s="19" t="s">
        <v>17</v>
      </c>
      <c r="F79" s="19" t="s">
        <v>0</v>
      </c>
      <c r="G79" s="19" t="s">
        <v>1057</v>
      </c>
      <c r="H79" s="19" t="s">
        <v>14392</v>
      </c>
      <c r="I79" s="19" t="s">
        <v>7</v>
      </c>
      <c r="J79" s="19" t="s">
        <v>2</v>
      </c>
      <c r="K79" s="19" t="s">
        <v>14456</v>
      </c>
      <c r="L79" s="19"/>
      <c r="M79" s="19"/>
      <c r="N79" s="19" t="s">
        <v>46</v>
      </c>
      <c r="O79" s="19"/>
      <c r="P79" s="19"/>
      <c r="Q79" s="19" t="s">
        <v>13845</v>
      </c>
      <c r="R79" s="19"/>
      <c r="S79" s="19" t="s">
        <v>14366</v>
      </c>
      <c r="T79" s="19" t="s">
        <v>11</v>
      </c>
      <c r="U79" s="19" t="s">
        <v>14367</v>
      </c>
      <c r="V79" s="19"/>
      <c r="W79" s="19" t="s">
        <v>14368</v>
      </c>
      <c r="X79" s="19"/>
      <c r="Y79" s="19" t="s">
        <v>14369</v>
      </c>
      <c r="Z79" s="19" t="s">
        <v>14370</v>
      </c>
      <c r="AA79" s="19" t="s">
        <v>14371</v>
      </c>
      <c r="AB79" s="19" t="s">
        <v>14468</v>
      </c>
      <c r="AC79" s="19" t="s">
        <v>14373</v>
      </c>
      <c r="AD79" s="19" t="s">
        <v>10021</v>
      </c>
      <c r="AE79" s="19" t="s">
        <v>14375</v>
      </c>
      <c r="AF79" s="19" t="s">
        <v>14417</v>
      </c>
      <c r="AG79" s="19" t="s">
        <v>14377</v>
      </c>
      <c r="AH79" s="19" t="s">
        <v>14418</v>
      </c>
      <c r="AI79" s="19" t="s">
        <v>14379</v>
      </c>
      <c r="AJ79" s="19" t="s">
        <v>14387</v>
      </c>
      <c r="AK79" s="19" t="s">
        <v>14381</v>
      </c>
      <c r="AL79" s="19" t="s">
        <v>14382</v>
      </c>
      <c r="AM79" s="19" t="s">
        <v>1119</v>
      </c>
      <c r="AN79" s="19" t="s">
        <v>1058</v>
      </c>
      <c r="AO79" s="19" t="s">
        <v>14383</v>
      </c>
      <c r="AP79" s="19" t="s">
        <v>15</v>
      </c>
      <c r="AQ79" s="19" t="s">
        <v>1121</v>
      </c>
      <c r="AR79" s="19"/>
      <c r="AS79" s="19" t="s">
        <v>1122</v>
      </c>
      <c r="AT79" s="19" t="s">
        <v>12</v>
      </c>
      <c r="AU79" s="19" t="s">
        <v>14384</v>
      </c>
      <c r="AV79" s="19" t="s">
        <v>11</v>
      </c>
      <c r="AW79" s="19" t="s">
        <v>1124</v>
      </c>
      <c r="AX79" s="19"/>
      <c r="AY79" s="19" t="s">
        <v>1125</v>
      </c>
      <c r="AZ79" s="19" t="s">
        <v>12</v>
      </c>
      <c r="BA79" s="19" t="s">
        <v>14385</v>
      </c>
      <c r="BB79" s="19" t="s">
        <v>11</v>
      </c>
      <c r="BC79" s="19" t="s">
        <v>1127</v>
      </c>
      <c r="BD79" s="19"/>
      <c r="BE79" s="19" t="s">
        <v>1128</v>
      </c>
      <c r="BF79" s="19"/>
      <c r="BG79" s="19" t="s">
        <v>1129</v>
      </c>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row>
    <row r="80" spans="1:85" x14ac:dyDescent="0.4">
      <c r="A80" s="19" t="s">
        <v>1094</v>
      </c>
      <c r="B80" s="19" t="s">
        <v>6</v>
      </c>
      <c r="C80" s="19" t="s">
        <v>1</v>
      </c>
      <c r="D80" s="19" t="s">
        <v>1094</v>
      </c>
      <c r="E80" s="19" t="s">
        <v>17</v>
      </c>
      <c r="F80" s="19" t="s">
        <v>0</v>
      </c>
      <c r="G80" s="19" t="s">
        <v>1095</v>
      </c>
      <c r="H80" s="19" t="s">
        <v>14365</v>
      </c>
      <c r="I80" s="19" t="s">
        <v>7</v>
      </c>
      <c r="J80" s="19" t="s">
        <v>2</v>
      </c>
      <c r="K80" s="19" t="s">
        <v>83</v>
      </c>
      <c r="L80" s="19"/>
      <c r="M80" s="19"/>
      <c r="N80" s="19" t="s">
        <v>18</v>
      </c>
      <c r="O80" s="19"/>
      <c r="P80" s="19"/>
      <c r="Q80" s="19" t="s">
        <v>13845</v>
      </c>
      <c r="R80" s="19"/>
      <c r="S80" s="19" t="s">
        <v>14366</v>
      </c>
      <c r="T80" s="19" t="s">
        <v>11</v>
      </c>
      <c r="U80" s="19" t="s">
        <v>14367</v>
      </c>
      <c r="V80" s="19"/>
      <c r="W80" s="19" t="s">
        <v>14368</v>
      </c>
      <c r="X80" s="19"/>
      <c r="Y80" s="19" t="s">
        <v>14369</v>
      </c>
      <c r="Z80" s="19" t="s">
        <v>14370</v>
      </c>
      <c r="AA80" s="19" t="s">
        <v>14371</v>
      </c>
      <c r="AB80" s="19" t="s">
        <v>14372</v>
      </c>
      <c r="AC80" s="19" t="s">
        <v>14373</v>
      </c>
      <c r="AD80" s="19" t="s">
        <v>14401</v>
      </c>
      <c r="AE80" s="19" t="s">
        <v>14375</v>
      </c>
      <c r="AF80" s="19" t="s">
        <v>3278</v>
      </c>
      <c r="AG80" s="19" t="s">
        <v>14377</v>
      </c>
      <c r="AH80" s="19" t="s">
        <v>14387</v>
      </c>
      <c r="AI80" s="19" t="s">
        <v>14379</v>
      </c>
      <c r="AJ80" s="19" t="s">
        <v>14469</v>
      </c>
      <c r="AK80" s="19" t="s">
        <v>14381</v>
      </c>
      <c r="AL80" s="19" t="s">
        <v>14382</v>
      </c>
      <c r="AM80" s="19" t="s">
        <v>1119</v>
      </c>
      <c r="AN80" s="19" t="s">
        <v>1096</v>
      </c>
      <c r="AO80" s="19" t="s">
        <v>14383</v>
      </c>
      <c r="AP80" s="19" t="s">
        <v>15</v>
      </c>
      <c r="AQ80" s="19" t="s">
        <v>1121</v>
      </c>
      <c r="AR80" s="19"/>
      <c r="AS80" s="19" t="s">
        <v>1122</v>
      </c>
      <c r="AT80" s="19" t="s">
        <v>12</v>
      </c>
      <c r="AU80" s="19" t="s">
        <v>14384</v>
      </c>
      <c r="AV80" s="19" t="s">
        <v>11</v>
      </c>
      <c r="AW80" s="19" t="s">
        <v>1124</v>
      </c>
      <c r="AX80" s="19"/>
      <c r="AY80" s="19" t="s">
        <v>1125</v>
      </c>
      <c r="AZ80" s="19" t="s">
        <v>12</v>
      </c>
      <c r="BA80" s="19" t="s">
        <v>14385</v>
      </c>
      <c r="BB80" s="19" t="s">
        <v>11</v>
      </c>
      <c r="BC80" s="19" t="s">
        <v>1127</v>
      </c>
      <c r="BD80" s="19"/>
      <c r="BE80" s="19" t="s">
        <v>1128</v>
      </c>
      <c r="BF80" s="19"/>
      <c r="BG80" s="19" t="s">
        <v>1129</v>
      </c>
      <c r="BH80" s="19" t="s">
        <v>1097</v>
      </c>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row>
    <row r="81" spans="1:85" x14ac:dyDescent="0.4">
      <c r="A81" s="19" t="s">
        <v>1101</v>
      </c>
      <c r="B81" s="19" t="s">
        <v>6</v>
      </c>
      <c r="C81" s="19" t="s">
        <v>1</v>
      </c>
      <c r="D81" s="19" t="s">
        <v>1101</v>
      </c>
      <c r="E81" s="19" t="s">
        <v>17</v>
      </c>
      <c r="F81" s="19" t="s">
        <v>0</v>
      </c>
      <c r="G81" s="19" t="s">
        <v>1102</v>
      </c>
      <c r="H81" s="19" t="s">
        <v>14365</v>
      </c>
      <c r="I81" s="19" t="s">
        <v>4</v>
      </c>
      <c r="J81" s="19" t="s">
        <v>2</v>
      </c>
      <c r="K81" s="19" t="s">
        <v>848</v>
      </c>
      <c r="L81" s="19"/>
      <c r="M81" s="19"/>
      <c r="N81" s="19"/>
      <c r="O81" s="19"/>
      <c r="P81" s="19"/>
      <c r="Q81" s="19" t="s">
        <v>13845</v>
      </c>
      <c r="R81" s="19"/>
      <c r="S81" s="19" t="s">
        <v>14366</v>
      </c>
      <c r="T81" s="19" t="s">
        <v>11</v>
      </c>
      <c r="U81" s="19" t="s">
        <v>14367</v>
      </c>
      <c r="V81" s="19"/>
      <c r="W81" s="19" t="s">
        <v>14368</v>
      </c>
      <c r="X81" s="19"/>
      <c r="Y81" s="19" t="s">
        <v>14369</v>
      </c>
      <c r="Z81" s="19" t="s">
        <v>14370</v>
      </c>
      <c r="AA81" s="19" t="s">
        <v>14371</v>
      </c>
      <c r="AB81" s="19" t="s">
        <v>14372</v>
      </c>
      <c r="AC81" s="19" t="s">
        <v>14373</v>
      </c>
      <c r="AD81" s="19" t="s">
        <v>14394</v>
      </c>
      <c r="AE81" s="19" t="s">
        <v>14375</v>
      </c>
      <c r="AF81" s="19" t="s">
        <v>3278</v>
      </c>
      <c r="AG81" s="19" t="s">
        <v>14377</v>
      </c>
      <c r="AH81" s="19" t="s">
        <v>13326</v>
      </c>
      <c r="AI81" s="19" t="s">
        <v>14379</v>
      </c>
      <c r="AJ81" s="19" t="s">
        <v>14470</v>
      </c>
      <c r="AK81" s="19" t="s">
        <v>14381</v>
      </c>
      <c r="AL81" s="19" t="s">
        <v>13326</v>
      </c>
      <c r="AM81" s="19" t="s">
        <v>1119</v>
      </c>
      <c r="AN81" s="19" t="s">
        <v>1103</v>
      </c>
      <c r="AO81" s="19" t="s">
        <v>14383</v>
      </c>
      <c r="AP81" s="19" t="s">
        <v>15</v>
      </c>
      <c r="AQ81" s="19" t="s">
        <v>1121</v>
      </c>
      <c r="AR81" s="19"/>
      <c r="AS81" s="19" t="s">
        <v>1122</v>
      </c>
      <c r="AT81" s="19" t="s">
        <v>12</v>
      </c>
      <c r="AU81" s="19" t="s">
        <v>14384</v>
      </c>
      <c r="AV81" s="19" t="s">
        <v>11</v>
      </c>
      <c r="AW81" s="19" t="s">
        <v>1124</v>
      </c>
      <c r="AX81" s="19"/>
      <c r="AY81" s="19" t="s">
        <v>1125</v>
      </c>
      <c r="AZ81" s="19" t="s">
        <v>12</v>
      </c>
      <c r="BA81" s="19" t="s">
        <v>14385</v>
      </c>
      <c r="BB81" s="19" t="s">
        <v>11</v>
      </c>
      <c r="BC81" s="19" t="s">
        <v>1127</v>
      </c>
      <c r="BD81" s="19"/>
      <c r="BE81" s="19" t="s">
        <v>1128</v>
      </c>
      <c r="BF81" s="19"/>
      <c r="BG81" s="19" t="s">
        <v>1129</v>
      </c>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28090-3D66-4D3C-BEB8-C029018803C1}">
  <sheetPr codeName="Sheet1" filterMode="1"/>
  <dimension ref="A1:AU93"/>
  <sheetViews>
    <sheetView workbookViewId="0">
      <selection activeCell="D2" sqref="C2:D18"/>
    </sheetView>
  </sheetViews>
  <sheetFormatPr defaultRowHeight="17.399999999999999" x14ac:dyDescent="0.4"/>
  <cols>
    <col min="1" max="1" width="10.796875" customWidth="1"/>
    <col min="2" max="2" width="8.796875" style="12"/>
    <col min="6" max="27" width="0" hidden="1" customWidth="1"/>
    <col min="28" max="28" width="57.69921875" customWidth="1"/>
    <col min="29" max="29" width="45.59765625" customWidth="1"/>
    <col min="31" max="31" width="25.19921875" customWidth="1"/>
  </cols>
  <sheetData>
    <row r="1" spans="1:47" ht="18" thickBot="1" x14ac:dyDescent="0.45">
      <c r="A1" s="3" t="s">
        <v>1107</v>
      </c>
      <c r="B1" s="3">
        <f>COUNTA(B2:B1048576)</f>
        <v>26</v>
      </c>
      <c r="C1" s="3" t="s">
        <v>1108</v>
      </c>
      <c r="D1" s="3" t="s">
        <v>1109</v>
      </c>
      <c r="E1" s="3" t="s">
        <v>1110</v>
      </c>
      <c r="F1" s="3" t="s">
        <v>1111</v>
      </c>
      <c r="G1" s="3" t="s">
        <v>1112</v>
      </c>
      <c r="H1" s="3" t="s">
        <v>1113</v>
      </c>
      <c r="I1" s="3" t="s">
        <v>1114</v>
      </c>
      <c r="J1" s="3" t="s">
        <v>1115</v>
      </c>
      <c r="K1" s="3" t="s">
        <v>1116</v>
      </c>
      <c r="L1" s="3" t="s">
        <v>1117</v>
      </c>
      <c r="M1" s="3" t="s">
        <v>1118</v>
      </c>
      <c r="N1" s="3" t="s">
        <v>1119</v>
      </c>
      <c r="O1" s="3" t="s">
        <v>1120</v>
      </c>
      <c r="P1" s="3" t="s">
        <v>1121</v>
      </c>
      <c r="Q1" s="3" t="s">
        <v>1122</v>
      </c>
      <c r="R1" s="3" t="s">
        <v>1123</v>
      </c>
      <c r="S1" s="3" t="s">
        <v>1124</v>
      </c>
      <c r="T1" s="3" t="s">
        <v>1125</v>
      </c>
      <c r="U1" s="3" t="s">
        <v>1126</v>
      </c>
      <c r="V1" s="3" t="s">
        <v>1127</v>
      </c>
      <c r="W1" s="3" t="s">
        <v>1128</v>
      </c>
      <c r="X1" s="3" t="s">
        <v>1129</v>
      </c>
      <c r="Y1" s="3" t="s">
        <v>1130</v>
      </c>
      <c r="Z1" s="3" t="s">
        <v>1131</v>
      </c>
      <c r="AA1" s="3" t="s">
        <v>1132</v>
      </c>
      <c r="AB1" s="5" t="s">
        <v>1133</v>
      </c>
      <c r="AC1" s="3" t="s">
        <v>1134</v>
      </c>
      <c r="AD1" s="3" t="s">
        <v>1135</v>
      </c>
      <c r="AE1" s="5" t="s">
        <v>1136</v>
      </c>
      <c r="AF1" s="3" t="s">
        <v>1137</v>
      </c>
      <c r="AG1" s="3" t="s">
        <v>1138</v>
      </c>
      <c r="AH1" s="3" t="s">
        <v>1139</v>
      </c>
      <c r="AI1" s="3" t="s">
        <v>1140</v>
      </c>
      <c r="AJ1" s="3" t="s">
        <v>1141</v>
      </c>
      <c r="AK1" s="3" t="s">
        <v>1142</v>
      </c>
      <c r="AL1" s="3" t="s">
        <v>1143</v>
      </c>
      <c r="AM1" s="3" t="s">
        <v>1144</v>
      </c>
      <c r="AN1" s="3" t="s">
        <v>1145</v>
      </c>
      <c r="AO1" s="3" t="s">
        <v>1146</v>
      </c>
      <c r="AP1" s="4" t="s">
        <v>1147</v>
      </c>
      <c r="AQ1" s="4" t="s">
        <v>1151</v>
      </c>
      <c r="AR1" s="3" t="s">
        <v>1148</v>
      </c>
      <c r="AS1" s="3" t="s">
        <v>1149</v>
      </c>
      <c r="AT1" s="3" t="s">
        <v>1150</v>
      </c>
      <c r="AU1" s="3"/>
    </row>
    <row r="2" spans="1:47" x14ac:dyDescent="0.4">
      <c r="A2" s="1" t="s">
        <v>1409</v>
      </c>
      <c r="B2" s="10">
        <v>0</v>
      </c>
      <c r="C2" s="1" t="s">
        <v>0</v>
      </c>
      <c r="D2" s="1" t="s">
        <v>1158</v>
      </c>
      <c r="E2" s="1" t="s">
        <v>1159</v>
      </c>
      <c r="F2" s="1" t="s">
        <v>14</v>
      </c>
      <c r="G2" s="1" t="s">
        <v>1</v>
      </c>
      <c r="H2" s="1" t="s">
        <v>6</v>
      </c>
      <c r="I2" s="1" t="s">
        <v>2</v>
      </c>
      <c r="J2" s="1" t="s">
        <v>3</v>
      </c>
      <c r="K2" s="1" t="s">
        <v>1410</v>
      </c>
      <c r="L2" s="1" t="s">
        <v>4</v>
      </c>
      <c r="M2" s="1" t="s">
        <v>9</v>
      </c>
      <c r="N2" s="1" t="s">
        <v>1411</v>
      </c>
      <c r="O2" s="1" t="s">
        <v>1412</v>
      </c>
      <c r="P2" s="1"/>
      <c r="Q2" s="1"/>
      <c r="R2" s="1" t="s">
        <v>11</v>
      </c>
      <c r="S2" s="1"/>
      <c r="T2" s="1"/>
      <c r="U2" s="1"/>
      <c r="V2" s="1"/>
      <c r="W2" s="1" t="s">
        <v>1413</v>
      </c>
      <c r="X2" s="1"/>
      <c r="Y2" s="1"/>
      <c r="Z2" s="1"/>
      <c r="AA2" s="1"/>
      <c r="AB2" s="1" t="s">
        <v>1414</v>
      </c>
      <c r="AC2" s="1"/>
      <c r="AD2" s="1"/>
      <c r="AE2" s="1"/>
      <c r="AF2" s="1"/>
      <c r="AG2" s="1"/>
      <c r="AH2" s="1" t="s">
        <v>1415</v>
      </c>
      <c r="AI2" s="1"/>
      <c r="AJ2" s="1" t="s">
        <v>595</v>
      </c>
      <c r="AK2" s="1" t="s">
        <v>568</v>
      </c>
      <c r="AL2" s="1" t="s">
        <v>596</v>
      </c>
      <c r="AM2" s="1" t="s">
        <v>166</v>
      </c>
      <c r="AN2" s="1" t="s">
        <v>568</v>
      </c>
      <c r="AO2" s="1" t="s">
        <v>191</v>
      </c>
      <c r="AP2" s="2" t="s">
        <v>1416</v>
      </c>
      <c r="AQ2" s="2" t="s">
        <v>1154</v>
      </c>
      <c r="AR2" s="1" t="s">
        <v>286</v>
      </c>
      <c r="AS2" s="1" t="s">
        <v>1417</v>
      </c>
      <c r="AT2" s="1" t="s">
        <v>5</v>
      </c>
    </row>
    <row r="3" spans="1:47" hidden="1" x14ac:dyDescent="0.4">
      <c r="A3" s="1" t="s">
        <v>1862</v>
      </c>
      <c r="B3" s="10">
        <v>0</v>
      </c>
      <c r="C3" s="1" t="s">
        <v>0</v>
      </c>
      <c r="D3" s="1" t="s">
        <v>1158</v>
      </c>
      <c r="E3" s="1" t="s">
        <v>1159</v>
      </c>
      <c r="F3" s="1" t="s">
        <v>14</v>
      </c>
      <c r="G3" s="1" t="s">
        <v>1</v>
      </c>
      <c r="H3" s="1" t="s">
        <v>6</v>
      </c>
      <c r="I3" s="1" t="s">
        <v>2</v>
      </c>
      <c r="J3" s="1" t="s">
        <v>3</v>
      </c>
      <c r="K3" s="1" t="s">
        <v>1863</v>
      </c>
      <c r="L3" s="1" t="s">
        <v>4</v>
      </c>
      <c r="M3" s="1" t="s">
        <v>9</v>
      </c>
      <c r="N3" s="1" t="s">
        <v>1864</v>
      </c>
      <c r="O3" s="1" t="s">
        <v>1865</v>
      </c>
      <c r="P3" s="1" t="s">
        <v>1866</v>
      </c>
      <c r="Q3" s="1"/>
      <c r="R3" s="1" t="s">
        <v>11</v>
      </c>
      <c r="S3" s="1"/>
      <c r="T3" s="1"/>
      <c r="U3" s="1"/>
      <c r="V3" s="1"/>
      <c r="W3" s="1"/>
      <c r="X3" s="1"/>
      <c r="Y3" s="1"/>
      <c r="Z3" s="1"/>
      <c r="AA3" s="1"/>
      <c r="AB3" s="1" t="s">
        <v>1867</v>
      </c>
      <c r="AC3" s="1"/>
      <c r="AD3" s="1"/>
      <c r="AE3" s="1" t="s">
        <v>1868</v>
      </c>
      <c r="AF3" s="1"/>
      <c r="AG3" s="1"/>
      <c r="AH3" s="1" t="s">
        <v>1869</v>
      </c>
      <c r="AI3" s="1"/>
      <c r="AJ3" s="1" t="s">
        <v>23</v>
      </c>
      <c r="AK3" s="1" t="s">
        <v>516</v>
      </c>
      <c r="AL3" s="1" t="s">
        <v>567</v>
      </c>
      <c r="AM3" s="1" t="s">
        <v>1870</v>
      </c>
      <c r="AN3" s="1" t="s">
        <v>516</v>
      </c>
      <c r="AO3" s="1" t="s">
        <v>1871</v>
      </c>
      <c r="AP3" s="2" t="s">
        <v>1872</v>
      </c>
      <c r="AQ3" s="2" t="s">
        <v>1155</v>
      </c>
      <c r="AR3" s="1" t="s">
        <v>286</v>
      </c>
      <c r="AS3" s="1" t="s">
        <v>1873</v>
      </c>
      <c r="AT3" s="1" t="s">
        <v>5</v>
      </c>
    </row>
    <row r="4" spans="1:47" x14ac:dyDescent="0.4">
      <c r="A4" s="1" t="s">
        <v>1437</v>
      </c>
      <c r="B4" s="10">
        <v>0</v>
      </c>
      <c r="C4" s="1" t="s">
        <v>0</v>
      </c>
      <c r="D4" s="1" t="s">
        <v>1158</v>
      </c>
      <c r="E4" s="1" t="s">
        <v>1159</v>
      </c>
      <c r="F4" s="1" t="s">
        <v>14</v>
      </c>
      <c r="G4" s="1" t="s">
        <v>1</v>
      </c>
      <c r="H4" s="1" t="s">
        <v>6</v>
      </c>
      <c r="I4" s="1" t="s">
        <v>2</v>
      </c>
      <c r="J4" s="1" t="s">
        <v>3</v>
      </c>
      <c r="K4" s="1" t="s">
        <v>1438</v>
      </c>
      <c r="L4" s="1" t="s">
        <v>4</v>
      </c>
      <c r="M4" s="1" t="s">
        <v>9</v>
      </c>
      <c r="N4" s="1" t="s">
        <v>1439</v>
      </c>
      <c r="O4" s="1" t="s">
        <v>1221</v>
      </c>
      <c r="P4" s="1"/>
      <c r="Q4" s="1"/>
      <c r="R4" s="1" t="s">
        <v>11</v>
      </c>
      <c r="S4" s="1"/>
      <c r="T4" s="1"/>
      <c r="U4" s="1"/>
      <c r="V4" s="1"/>
      <c r="W4" s="1"/>
      <c r="X4" s="1"/>
      <c r="Y4" s="1"/>
      <c r="Z4" s="1"/>
      <c r="AA4" s="1"/>
      <c r="AB4" s="1" t="s">
        <v>1440</v>
      </c>
      <c r="AC4" s="1"/>
      <c r="AD4" s="1"/>
      <c r="AE4" s="1" t="s">
        <v>1441</v>
      </c>
      <c r="AF4" s="1"/>
      <c r="AG4" s="1"/>
      <c r="AH4" s="1" t="s">
        <v>1442</v>
      </c>
      <c r="AI4" s="1"/>
      <c r="AJ4" s="1" t="s">
        <v>1443</v>
      </c>
      <c r="AK4" s="1" t="s">
        <v>519</v>
      </c>
      <c r="AL4" s="1"/>
      <c r="AM4" s="1" t="s">
        <v>1444</v>
      </c>
      <c r="AN4" s="1" t="s">
        <v>519</v>
      </c>
      <c r="AO4" s="1" t="s">
        <v>1445</v>
      </c>
      <c r="AP4" s="2" t="s">
        <v>1446</v>
      </c>
      <c r="AQ4" s="2" t="s">
        <v>1154</v>
      </c>
      <c r="AR4" s="1" t="s">
        <v>286</v>
      </c>
      <c r="AS4" s="1" t="s">
        <v>1447</v>
      </c>
      <c r="AT4" s="1" t="s">
        <v>5</v>
      </c>
    </row>
    <row r="5" spans="1:47" x14ac:dyDescent="0.4">
      <c r="A5" s="1" t="s">
        <v>1939</v>
      </c>
      <c r="B5" s="10">
        <v>0</v>
      </c>
      <c r="C5" s="1" t="s">
        <v>0</v>
      </c>
      <c r="D5" s="1" t="s">
        <v>1158</v>
      </c>
      <c r="E5" s="1" t="s">
        <v>1159</v>
      </c>
      <c r="F5" s="1" t="s">
        <v>14</v>
      </c>
      <c r="G5" s="1" t="s">
        <v>1</v>
      </c>
      <c r="H5" s="1" t="s">
        <v>6</v>
      </c>
      <c r="I5" s="1" t="s">
        <v>2</v>
      </c>
      <c r="J5" s="1" t="s">
        <v>3</v>
      </c>
      <c r="K5" s="1" t="s">
        <v>1940</v>
      </c>
      <c r="L5" s="1" t="s">
        <v>7</v>
      </c>
      <c r="M5" s="1" t="s">
        <v>9</v>
      </c>
      <c r="N5" s="1" t="s">
        <v>1941</v>
      </c>
      <c r="O5" s="1" t="s">
        <v>1162</v>
      </c>
      <c r="P5" s="1"/>
      <c r="Q5" s="1"/>
      <c r="R5" s="1" t="s">
        <v>11</v>
      </c>
      <c r="S5" s="1"/>
      <c r="T5" s="1"/>
      <c r="U5" s="1"/>
      <c r="V5" s="1"/>
      <c r="W5" s="1"/>
      <c r="X5" s="1"/>
      <c r="Y5" s="1"/>
      <c r="Z5" s="1"/>
      <c r="AA5" s="1"/>
      <c r="AB5" s="13" t="s">
        <v>14268</v>
      </c>
      <c r="AC5" s="1"/>
      <c r="AD5" s="1"/>
      <c r="AE5" s="1" t="s">
        <v>1942</v>
      </c>
      <c r="AF5" s="1"/>
      <c r="AG5" s="1"/>
      <c r="AH5" s="1" t="s">
        <v>1943</v>
      </c>
      <c r="AI5" s="1"/>
      <c r="AJ5" s="1" t="s">
        <v>119</v>
      </c>
      <c r="AK5" s="1" t="s">
        <v>208</v>
      </c>
      <c r="AL5" s="1" t="s">
        <v>120</v>
      </c>
      <c r="AM5" s="1" t="s">
        <v>479</v>
      </c>
      <c r="AN5" s="1" t="s">
        <v>208</v>
      </c>
      <c r="AO5" s="1" t="s">
        <v>480</v>
      </c>
      <c r="AP5" s="2" t="s">
        <v>1944</v>
      </c>
      <c r="AQ5" s="2" t="s">
        <v>1155</v>
      </c>
      <c r="AR5" s="1" t="s">
        <v>286</v>
      </c>
      <c r="AS5" s="1"/>
      <c r="AT5" s="1" t="s">
        <v>5</v>
      </c>
    </row>
    <row r="6" spans="1:47" hidden="1" x14ac:dyDescent="0.4">
      <c r="A6" s="1" t="s">
        <v>1945</v>
      </c>
      <c r="B6" s="10">
        <v>0</v>
      </c>
      <c r="C6" s="1" t="s">
        <v>0</v>
      </c>
      <c r="D6" s="1" t="s">
        <v>1158</v>
      </c>
      <c r="E6" s="1" t="s">
        <v>1159</v>
      </c>
      <c r="F6" s="1" t="s">
        <v>14</v>
      </c>
      <c r="G6" s="1" t="s">
        <v>1</v>
      </c>
      <c r="H6" s="1" t="s">
        <v>6</v>
      </c>
      <c r="I6" s="1" t="s">
        <v>2</v>
      </c>
      <c r="J6" s="1" t="s">
        <v>3</v>
      </c>
      <c r="K6" s="1" t="s">
        <v>1946</v>
      </c>
      <c r="L6" s="1" t="s">
        <v>7</v>
      </c>
      <c r="M6" s="1" t="s">
        <v>9</v>
      </c>
      <c r="N6" s="1" t="s">
        <v>1941</v>
      </c>
      <c r="O6" s="1" t="s">
        <v>1162</v>
      </c>
      <c r="P6" s="1" t="s">
        <v>1947</v>
      </c>
      <c r="Q6" s="1"/>
      <c r="R6" s="1" t="s">
        <v>11</v>
      </c>
      <c r="S6" s="1"/>
      <c r="T6" s="1"/>
      <c r="U6" s="1"/>
      <c r="V6" s="1"/>
      <c r="W6" s="1"/>
      <c r="X6" s="1"/>
      <c r="Y6" s="1"/>
      <c r="Z6" s="1"/>
      <c r="AA6" s="1"/>
      <c r="AB6" s="1" t="s">
        <v>1948</v>
      </c>
      <c r="AC6" s="1"/>
      <c r="AD6" s="1"/>
      <c r="AE6" s="1" t="s">
        <v>1949</v>
      </c>
      <c r="AF6" s="1"/>
      <c r="AG6" s="1"/>
      <c r="AH6" s="1" t="s">
        <v>1950</v>
      </c>
      <c r="AI6" s="1"/>
      <c r="AJ6" s="1" t="s">
        <v>119</v>
      </c>
      <c r="AK6" s="1" t="s">
        <v>208</v>
      </c>
      <c r="AL6" s="1" t="s">
        <v>120</v>
      </c>
      <c r="AM6" s="1" t="s">
        <v>479</v>
      </c>
      <c r="AN6" s="1" t="s">
        <v>208</v>
      </c>
      <c r="AO6" s="1" t="s">
        <v>480</v>
      </c>
      <c r="AP6" s="2" t="s">
        <v>1951</v>
      </c>
      <c r="AQ6" s="2" t="s">
        <v>1155</v>
      </c>
      <c r="AR6" s="1" t="s">
        <v>286</v>
      </c>
      <c r="AS6" s="1"/>
      <c r="AT6" s="1" t="s">
        <v>5</v>
      </c>
    </row>
    <row r="7" spans="1:47" x14ac:dyDescent="0.4">
      <c r="A7" s="1" t="s">
        <v>1952</v>
      </c>
      <c r="B7" s="10">
        <v>0</v>
      </c>
      <c r="C7" s="1" t="s">
        <v>0</v>
      </c>
      <c r="D7" s="1" t="s">
        <v>1158</v>
      </c>
      <c r="E7" s="1" t="s">
        <v>1159</v>
      </c>
      <c r="F7" s="1" t="s">
        <v>14</v>
      </c>
      <c r="G7" s="1" t="s">
        <v>1</v>
      </c>
      <c r="H7" s="1" t="s">
        <v>6</v>
      </c>
      <c r="I7" s="1" t="s">
        <v>2</v>
      </c>
      <c r="J7" s="1" t="s">
        <v>3</v>
      </c>
      <c r="K7" s="1" t="s">
        <v>1953</v>
      </c>
      <c r="L7" s="1" t="s">
        <v>7</v>
      </c>
      <c r="M7" s="1" t="s">
        <v>9</v>
      </c>
      <c r="N7" s="1" t="s">
        <v>1941</v>
      </c>
      <c r="O7" s="1" t="s">
        <v>1162</v>
      </c>
      <c r="P7" s="1" t="s">
        <v>1947</v>
      </c>
      <c r="Q7" s="1"/>
      <c r="R7" s="1" t="s">
        <v>11</v>
      </c>
      <c r="S7" s="1"/>
      <c r="T7" s="1"/>
      <c r="U7" s="1"/>
      <c r="V7" s="1"/>
      <c r="W7" s="1"/>
      <c r="X7" s="1"/>
      <c r="Y7" s="1"/>
      <c r="Z7" s="1"/>
      <c r="AA7" s="1"/>
      <c r="AB7" s="16" t="s">
        <v>14269</v>
      </c>
      <c r="AC7" s="15"/>
      <c r="AD7" s="1"/>
      <c r="AE7" s="1" t="s">
        <v>1942</v>
      </c>
      <c r="AF7" s="1"/>
      <c r="AG7" s="1"/>
      <c r="AH7" s="1" t="s">
        <v>1954</v>
      </c>
      <c r="AI7" s="1"/>
      <c r="AJ7" s="1" t="s">
        <v>119</v>
      </c>
      <c r="AK7" s="1" t="s">
        <v>208</v>
      </c>
      <c r="AL7" s="1" t="s">
        <v>120</v>
      </c>
      <c r="AM7" s="1" t="s">
        <v>479</v>
      </c>
      <c r="AN7" s="1" t="s">
        <v>208</v>
      </c>
      <c r="AO7" s="1" t="s">
        <v>480</v>
      </c>
      <c r="AP7" s="2" t="s">
        <v>1955</v>
      </c>
      <c r="AQ7" s="2" t="s">
        <v>1155</v>
      </c>
      <c r="AR7" s="1" t="s">
        <v>286</v>
      </c>
      <c r="AS7" s="1" t="s">
        <v>1068</v>
      </c>
      <c r="AT7" s="1" t="s">
        <v>5</v>
      </c>
    </row>
    <row r="8" spans="1:47" x14ac:dyDescent="0.4">
      <c r="A8" s="1" t="s">
        <v>1306</v>
      </c>
      <c r="B8" s="10">
        <v>0</v>
      </c>
      <c r="C8" s="1" t="s">
        <v>0</v>
      </c>
      <c r="D8" s="1" t="s">
        <v>1158</v>
      </c>
      <c r="E8" s="1" t="s">
        <v>1159</v>
      </c>
      <c r="F8" s="1" t="s">
        <v>14</v>
      </c>
      <c r="G8" s="1" t="s">
        <v>1</v>
      </c>
      <c r="H8" s="1" t="s">
        <v>6</v>
      </c>
      <c r="I8" s="1" t="s">
        <v>2</v>
      </c>
      <c r="J8" s="1" t="s">
        <v>3</v>
      </c>
      <c r="K8" s="1" t="s">
        <v>1307</v>
      </c>
      <c r="L8" s="1" t="s">
        <v>7</v>
      </c>
      <c r="M8" s="1" t="s">
        <v>9</v>
      </c>
      <c r="N8" s="1" t="s">
        <v>1308</v>
      </c>
      <c r="O8" s="1" t="s">
        <v>1162</v>
      </c>
      <c r="P8" s="1" t="s">
        <v>1309</v>
      </c>
      <c r="Q8" s="1"/>
      <c r="R8" s="1" t="s">
        <v>11</v>
      </c>
      <c r="S8" s="1"/>
      <c r="T8" s="1"/>
      <c r="U8" s="1"/>
      <c r="V8" s="1"/>
      <c r="W8" s="1"/>
      <c r="X8" s="1"/>
      <c r="Y8" s="1"/>
      <c r="Z8" s="1"/>
      <c r="AA8" s="1"/>
      <c r="AB8" s="1" t="s">
        <v>14270</v>
      </c>
      <c r="AC8" s="1"/>
      <c r="AD8" s="1"/>
      <c r="AE8" s="1"/>
      <c r="AF8" s="1"/>
      <c r="AG8" s="1"/>
      <c r="AH8" s="1" t="s">
        <v>1310</v>
      </c>
      <c r="AI8" s="1"/>
      <c r="AJ8" s="1" t="s">
        <v>1277</v>
      </c>
      <c r="AK8" s="1" t="s">
        <v>598</v>
      </c>
      <c r="AL8" s="1" t="s">
        <v>1278</v>
      </c>
      <c r="AM8" s="1" t="s">
        <v>1279</v>
      </c>
      <c r="AN8" s="1" t="s">
        <v>598</v>
      </c>
      <c r="AO8" s="1" t="s">
        <v>1280</v>
      </c>
      <c r="AP8" s="2" t="s">
        <v>1311</v>
      </c>
      <c r="AQ8" s="2" t="s">
        <v>1154</v>
      </c>
      <c r="AR8" s="1" t="s">
        <v>286</v>
      </c>
      <c r="AS8" s="1"/>
      <c r="AT8" s="1" t="s">
        <v>5</v>
      </c>
    </row>
    <row r="9" spans="1:47" x14ac:dyDescent="0.4">
      <c r="A9" s="1" t="s">
        <v>1302</v>
      </c>
      <c r="B9" s="10">
        <v>0</v>
      </c>
      <c r="C9" s="1" t="s">
        <v>0</v>
      </c>
      <c r="D9" s="1" t="s">
        <v>1158</v>
      </c>
      <c r="E9" s="1" t="s">
        <v>1159</v>
      </c>
      <c r="F9" s="1" t="s">
        <v>14</v>
      </c>
      <c r="G9" s="1" t="s">
        <v>1</v>
      </c>
      <c r="H9" s="1" t="s">
        <v>6</v>
      </c>
      <c r="I9" s="1" t="s">
        <v>2</v>
      </c>
      <c r="J9" s="1" t="s">
        <v>3</v>
      </c>
      <c r="K9" s="1" t="s">
        <v>1303</v>
      </c>
      <c r="L9" s="1" t="s">
        <v>7</v>
      </c>
      <c r="M9" s="1" t="s">
        <v>9</v>
      </c>
      <c r="N9" s="1" t="s">
        <v>1298</v>
      </c>
      <c r="O9" s="1" t="s">
        <v>1162</v>
      </c>
      <c r="P9" s="1" t="s">
        <v>1299</v>
      </c>
      <c r="Q9" s="1"/>
      <c r="R9" s="1" t="s">
        <v>11</v>
      </c>
      <c r="S9" s="1"/>
      <c r="T9" s="1"/>
      <c r="U9" s="1"/>
      <c r="V9" s="1"/>
      <c r="W9" s="1"/>
      <c r="X9" s="1"/>
      <c r="Y9" s="1"/>
      <c r="Z9" s="1"/>
      <c r="AA9" s="1"/>
      <c r="AB9" s="1" t="s">
        <v>14271</v>
      </c>
      <c r="AC9" s="1"/>
      <c r="AD9" s="1"/>
      <c r="AE9" s="1"/>
      <c r="AF9" s="1"/>
      <c r="AG9" s="1"/>
      <c r="AH9" s="1" t="s">
        <v>1304</v>
      </c>
      <c r="AI9" s="1"/>
      <c r="AJ9" s="1" t="s">
        <v>1277</v>
      </c>
      <c r="AK9" s="1" t="s">
        <v>598</v>
      </c>
      <c r="AL9" s="1" t="s">
        <v>1278</v>
      </c>
      <c r="AM9" s="1" t="s">
        <v>1279</v>
      </c>
      <c r="AN9" s="1" t="s">
        <v>598</v>
      </c>
      <c r="AO9" s="1" t="s">
        <v>1280</v>
      </c>
      <c r="AP9" s="2" t="s">
        <v>1305</v>
      </c>
      <c r="AQ9" s="2" t="s">
        <v>1154</v>
      </c>
      <c r="AR9" s="1" t="s">
        <v>286</v>
      </c>
      <c r="AS9" s="1" t="s">
        <v>735</v>
      </c>
      <c r="AT9" s="1" t="s">
        <v>5</v>
      </c>
    </row>
    <row r="10" spans="1:47" x14ac:dyDescent="0.4">
      <c r="A10" s="1" t="s">
        <v>1289</v>
      </c>
      <c r="B10" s="10">
        <v>0</v>
      </c>
      <c r="C10" s="1" t="s">
        <v>0</v>
      </c>
      <c r="D10" s="1" t="s">
        <v>1158</v>
      </c>
      <c r="E10" s="1" t="s">
        <v>1159</v>
      </c>
      <c r="F10" s="1" t="s">
        <v>14</v>
      </c>
      <c r="G10" s="1" t="s">
        <v>1</v>
      </c>
      <c r="H10" s="1" t="s">
        <v>6</v>
      </c>
      <c r="I10" s="1" t="s">
        <v>2</v>
      </c>
      <c r="J10" s="1" t="s">
        <v>3</v>
      </c>
      <c r="K10" s="1" t="s">
        <v>1290</v>
      </c>
      <c r="L10" s="1" t="s">
        <v>7</v>
      </c>
      <c r="M10" s="1" t="s">
        <v>9</v>
      </c>
      <c r="N10" s="1" t="s">
        <v>1291</v>
      </c>
      <c r="O10" s="1" t="s">
        <v>1162</v>
      </c>
      <c r="P10" s="1" t="s">
        <v>1292</v>
      </c>
      <c r="Q10" s="1"/>
      <c r="R10" s="1" t="s">
        <v>11</v>
      </c>
      <c r="S10" s="1"/>
      <c r="T10" s="1"/>
      <c r="U10" s="1"/>
      <c r="V10" s="1"/>
      <c r="W10" s="1" t="s">
        <v>1293</v>
      </c>
      <c r="X10" s="1"/>
      <c r="Y10" s="1"/>
      <c r="Z10" s="1"/>
      <c r="AA10" s="1"/>
      <c r="AB10" s="1" t="s">
        <v>14272</v>
      </c>
      <c r="AC10" s="1"/>
      <c r="AD10" s="1"/>
      <c r="AE10" s="1"/>
      <c r="AF10" s="1"/>
      <c r="AG10" s="1"/>
      <c r="AH10" s="1" t="s">
        <v>1294</v>
      </c>
      <c r="AI10" s="1"/>
      <c r="AJ10" s="1" t="s">
        <v>1277</v>
      </c>
      <c r="AK10" s="1" t="s">
        <v>598</v>
      </c>
      <c r="AL10" s="1" t="s">
        <v>1278</v>
      </c>
      <c r="AM10" s="1" t="s">
        <v>1279</v>
      </c>
      <c r="AN10" s="1" t="s">
        <v>598</v>
      </c>
      <c r="AO10" s="1" t="s">
        <v>1280</v>
      </c>
      <c r="AP10" s="2" t="s">
        <v>1295</v>
      </c>
      <c r="AQ10" s="2" t="s">
        <v>1154</v>
      </c>
      <c r="AR10" s="1" t="s">
        <v>286</v>
      </c>
      <c r="AS10" s="1" t="s">
        <v>1282</v>
      </c>
      <c r="AT10" s="1" t="s">
        <v>5</v>
      </c>
    </row>
    <row r="11" spans="1:47" x14ac:dyDescent="0.4">
      <c r="A11" s="1" t="s">
        <v>1272</v>
      </c>
      <c r="B11" s="10">
        <v>0</v>
      </c>
      <c r="C11" s="1" t="s">
        <v>0</v>
      </c>
      <c r="D11" s="1" t="s">
        <v>1158</v>
      </c>
      <c r="E11" s="1" t="s">
        <v>1159</v>
      </c>
      <c r="F11" s="1" t="s">
        <v>14</v>
      </c>
      <c r="G11" s="1" t="s">
        <v>1</v>
      </c>
      <c r="H11" s="1" t="s">
        <v>6</v>
      </c>
      <c r="I11" s="1" t="s">
        <v>2</v>
      </c>
      <c r="J11" s="1" t="s">
        <v>3</v>
      </c>
      <c r="K11" s="1" t="s">
        <v>1273</v>
      </c>
      <c r="L11" s="1" t="s">
        <v>7</v>
      </c>
      <c r="M11" s="1" t="s">
        <v>9</v>
      </c>
      <c r="N11" s="1" t="s">
        <v>1274</v>
      </c>
      <c r="O11" s="1" t="s">
        <v>1162</v>
      </c>
      <c r="P11" s="1" t="s">
        <v>1275</v>
      </c>
      <c r="Q11" s="1"/>
      <c r="R11" s="1" t="s">
        <v>11</v>
      </c>
      <c r="S11" s="1"/>
      <c r="T11" s="1"/>
      <c r="U11" s="1"/>
      <c r="V11" s="1"/>
      <c r="W11" s="1"/>
      <c r="X11" s="1"/>
      <c r="Y11" s="1"/>
      <c r="Z11" s="1"/>
      <c r="AA11" s="1"/>
      <c r="AB11" s="1" t="s">
        <v>14273</v>
      </c>
      <c r="AC11" s="1"/>
      <c r="AD11" s="1"/>
      <c r="AE11" s="1"/>
      <c r="AF11" s="1"/>
      <c r="AG11" s="1"/>
      <c r="AH11" s="1" t="s">
        <v>1276</v>
      </c>
      <c r="AI11" s="1"/>
      <c r="AJ11" s="1" t="s">
        <v>1277</v>
      </c>
      <c r="AK11" s="1" t="s">
        <v>598</v>
      </c>
      <c r="AL11" s="1" t="s">
        <v>1278</v>
      </c>
      <c r="AM11" s="1" t="s">
        <v>1279</v>
      </c>
      <c r="AN11" s="1" t="s">
        <v>598</v>
      </c>
      <c r="AO11" s="1" t="s">
        <v>1280</v>
      </c>
      <c r="AP11" s="2" t="s">
        <v>1281</v>
      </c>
      <c r="AQ11" s="2" t="s">
        <v>1154</v>
      </c>
      <c r="AR11" s="1" t="s">
        <v>286</v>
      </c>
      <c r="AS11" s="1" t="s">
        <v>1282</v>
      </c>
      <c r="AT11" s="1" t="s">
        <v>5</v>
      </c>
    </row>
    <row r="12" spans="1:47" x14ac:dyDescent="0.4">
      <c r="A12" s="1" t="s">
        <v>1283</v>
      </c>
      <c r="B12" s="10">
        <v>0</v>
      </c>
      <c r="C12" s="1" t="s">
        <v>0</v>
      </c>
      <c r="D12" s="1" t="s">
        <v>1158</v>
      </c>
      <c r="E12" s="1" t="s">
        <v>1159</v>
      </c>
      <c r="F12" s="1" t="s">
        <v>14</v>
      </c>
      <c r="G12" s="1" t="s">
        <v>1</v>
      </c>
      <c r="H12" s="1" t="s">
        <v>6</v>
      </c>
      <c r="I12" s="1" t="s">
        <v>2</v>
      </c>
      <c r="J12" s="1" t="s">
        <v>3</v>
      </c>
      <c r="K12" s="1" t="s">
        <v>1284</v>
      </c>
      <c r="L12" s="1" t="s">
        <v>7</v>
      </c>
      <c r="M12" s="1" t="s">
        <v>9</v>
      </c>
      <c r="N12" s="1" t="s">
        <v>1285</v>
      </c>
      <c r="O12" s="1" t="s">
        <v>1162</v>
      </c>
      <c r="P12" s="1" t="s">
        <v>1286</v>
      </c>
      <c r="Q12" s="1"/>
      <c r="R12" s="1" t="s">
        <v>11</v>
      </c>
      <c r="S12" s="1"/>
      <c r="T12" s="1"/>
      <c r="U12" s="1"/>
      <c r="V12" s="1"/>
      <c r="W12" s="1"/>
      <c r="X12" s="1"/>
      <c r="Y12" s="1"/>
      <c r="Z12" s="1"/>
      <c r="AA12" s="1"/>
      <c r="AB12" s="1" t="s">
        <v>14274</v>
      </c>
      <c r="AC12" s="1"/>
      <c r="AD12" s="1"/>
      <c r="AE12" s="1"/>
      <c r="AF12" s="1"/>
      <c r="AG12" s="1"/>
      <c r="AH12" s="1" t="s">
        <v>1287</v>
      </c>
      <c r="AI12" s="1"/>
      <c r="AJ12" s="1" t="s">
        <v>1277</v>
      </c>
      <c r="AK12" s="1" t="s">
        <v>598</v>
      </c>
      <c r="AL12" s="1" t="s">
        <v>1278</v>
      </c>
      <c r="AM12" s="1" t="s">
        <v>1279</v>
      </c>
      <c r="AN12" s="1" t="s">
        <v>598</v>
      </c>
      <c r="AO12" s="1" t="s">
        <v>1280</v>
      </c>
      <c r="AP12" s="2" t="s">
        <v>1288</v>
      </c>
      <c r="AQ12" s="2" t="s">
        <v>1154</v>
      </c>
      <c r="AR12" s="1" t="s">
        <v>286</v>
      </c>
      <c r="AS12" s="1"/>
      <c r="AT12" s="1" t="s">
        <v>5</v>
      </c>
    </row>
    <row r="13" spans="1:47" x14ac:dyDescent="0.4">
      <c r="A13" s="1" t="s">
        <v>1296</v>
      </c>
      <c r="B13" s="10">
        <v>0</v>
      </c>
      <c r="C13" s="1" t="s">
        <v>0</v>
      </c>
      <c r="D13" s="1" t="s">
        <v>1158</v>
      </c>
      <c r="E13" s="1" t="s">
        <v>1159</v>
      </c>
      <c r="F13" s="1" t="s">
        <v>14</v>
      </c>
      <c r="G13" s="1" t="s">
        <v>1</v>
      </c>
      <c r="H13" s="1" t="s">
        <v>6</v>
      </c>
      <c r="I13" s="1" t="s">
        <v>2</v>
      </c>
      <c r="J13" s="1" t="s">
        <v>3</v>
      </c>
      <c r="K13" s="1" t="s">
        <v>1297</v>
      </c>
      <c r="L13" s="1" t="s">
        <v>7</v>
      </c>
      <c r="M13" s="1" t="s">
        <v>9</v>
      </c>
      <c r="N13" s="1" t="s">
        <v>1298</v>
      </c>
      <c r="O13" s="1" t="s">
        <v>1162</v>
      </c>
      <c r="P13" s="1" t="s">
        <v>1299</v>
      </c>
      <c r="Q13" s="1"/>
      <c r="R13" s="1" t="s">
        <v>11</v>
      </c>
      <c r="S13" s="1"/>
      <c r="T13" s="1"/>
      <c r="U13" s="1"/>
      <c r="V13" s="1"/>
      <c r="W13" s="1"/>
      <c r="X13" s="1"/>
      <c r="Y13" s="1"/>
      <c r="Z13" s="1"/>
      <c r="AA13" s="1"/>
      <c r="AB13" s="1" t="s">
        <v>14275</v>
      </c>
      <c r="AC13" s="1"/>
      <c r="AD13" s="1"/>
      <c r="AE13" s="1"/>
      <c r="AF13" s="1"/>
      <c r="AG13" s="1"/>
      <c r="AH13" s="1" t="s">
        <v>1300</v>
      </c>
      <c r="AI13" s="1"/>
      <c r="AJ13" s="1" t="s">
        <v>1277</v>
      </c>
      <c r="AK13" s="1" t="s">
        <v>598</v>
      </c>
      <c r="AL13" s="1" t="s">
        <v>1278</v>
      </c>
      <c r="AM13" s="1" t="s">
        <v>1279</v>
      </c>
      <c r="AN13" s="1" t="s">
        <v>598</v>
      </c>
      <c r="AO13" s="1" t="s">
        <v>1280</v>
      </c>
      <c r="AP13" s="2" t="s">
        <v>1301</v>
      </c>
      <c r="AQ13" s="2" t="s">
        <v>1154</v>
      </c>
      <c r="AR13" s="1" t="s">
        <v>286</v>
      </c>
      <c r="AS13" s="1" t="s">
        <v>735</v>
      </c>
      <c r="AT13" s="1" t="s">
        <v>5</v>
      </c>
    </row>
    <row r="14" spans="1:47" hidden="1" x14ac:dyDescent="0.4">
      <c r="A14" s="1" t="s">
        <v>1261</v>
      </c>
      <c r="B14" s="10">
        <v>0</v>
      </c>
      <c r="C14" s="1" t="s">
        <v>0</v>
      </c>
      <c r="D14" s="1" t="s">
        <v>1158</v>
      </c>
      <c r="E14" s="1" t="s">
        <v>1159</v>
      </c>
      <c r="F14" s="1" t="s">
        <v>14</v>
      </c>
      <c r="G14" s="1" t="s">
        <v>1</v>
      </c>
      <c r="H14" s="1" t="s">
        <v>6</v>
      </c>
      <c r="I14" s="1" t="s">
        <v>2</v>
      </c>
      <c r="J14" s="1" t="s">
        <v>3</v>
      </c>
      <c r="K14" s="1" t="s">
        <v>1262</v>
      </c>
      <c r="L14" s="1" t="s">
        <v>7</v>
      </c>
      <c r="M14" s="1" t="s">
        <v>9</v>
      </c>
      <c r="N14" s="1" t="s">
        <v>1263</v>
      </c>
      <c r="O14" s="1" t="s">
        <v>1221</v>
      </c>
      <c r="P14" s="1"/>
      <c r="Q14" s="1"/>
      <c r="R14" s="1" t="s">
        <v>11</v>
      </c>
      <c r="S14" s="1"/>
      <c r="T14" s="1"/>
      <c r="U14" s="1"/>
      <c r="V14" s="1"/>
      <c r="W14" s="1" t="s">
        <v>1264</v>
      </c>
      <c r="X14" s="1"/>
      <c r="Y14" s="1"/>
      <c r="Z14" s="1"/>
      <c r="AA14" s="1"/>
      <c r="AB14" s="1" t="s">
        <v>14276</v>
      </c>
      <c r="AC14" s="1"/>
      <c r="AD14" s="1"/>
      <c r="AE14" s="1" t="s">
        <v>1265</v>
      </c>
      <c r="AF14" s="1"/>
      <c r="AG14" s="1"/>
      <c r="AH14" s="1" t="s">
        <v>1266</v>
      </c>
      <c r="AI14" s="1" t="s">
        <v>1267</v>
      </c>
      <c r="AJ14" s="1" t="s">
        <v>1268</v>
      </c>
      <c r="AK14" s="1" t="s">
        <v>98</v>
      </c>
      <c r="AL14" s="1"/>
      <c r="AM14" s="1" t="s">
        <v>1269</v>
      </c>
      <c r="AN14" s="1" t="s">
        <v>98</v>
      </c>
      <c r="AO14" s="1" t="s">
        <v>1270</v>
      </c>
      <c r="AP14" s="2" t="s">
        <v>1271</v>
      </c>
      <c r="AQ14" s="2" t="s">
        <v>1155</v>
      </c>
      <c r="AR14" s="1"/>
      <c r="AS14" s="1"/>
      <c r="AT14" s="1" t="s">
        <v>10</v>
      </c>
    </row>
    <row r="15" spans="1:47" hidden="1" x14ac:dyDescent="0.4">
      <c r="A15" s="1" t="s">
        <v>1426</v>
      </c>
      <c r="B15" s="10">
        <v>0</v>
      </c>
      <c r="C15" s="1" t="s">
        <v>0</v>
      </c>
      <c r="D15" s="1" t="s">
        <v>1158</v>
      </c>
      <c r="E15" s="1" t="s">
        <v>1159</v>
      </c>
      <c r="F15" s="1" t="s">
        <v>14</v>
      </c>
      <c r="G15" s="1" t="s">
        <v>1</v>
      </c>
      <c r="H15" s="1" t="s">
        <v>6</v>
      </c>
      <c r="I15" s="1" t="s">
        <v>2</v>
      </c>
      <c r="J15" s="1" t="s">
        <v>3</v>
      </c>
      <c r="K15" s="1" t="s">
        <v>1427</v>
      </c>
      <c r="L15" s="1" t="s">
        <v>4</v>
      </c>
      <c r="M15" s="1" t="s">
        <v>9</v>
      </c>
      <c r="N15" s="1" t="s">
        <v>1428</v>
      </c>
      <c r="O15" s="1" t="s">
        <v>1221</v>
      </c>
      <c r="P15" s="1"/>
      <c r="Q15" s="1"/>
      <c r="R15" s="1" t="s">
        <v>11</v>
      </c>
      <c r="S15" s="1"/>
      <c r="T15" s="1"/>
      <c r="U15" s="1"/>
      <c r="V15" s="1"/>
      <c r="W15" s="1"/>
      <c r="X15" s="1"/>
      <c r="Y15" s="1"/>
      <c r="Z15" s="1"/>
      <c r="AA15" s="1"/>
      <c r="AB15" s="1" t="s">
        <v>1429</v>
      </c>
      <c r="AC15" s="1"/>
      <c r="AD15" s="1"/>
      <c r="AE15" s="1"/>
      <c r="AF15" s="1"/>
      <c r="AG15" s="1"/>
      <c r="AH15" s="1" t="s">
        <v>1430</v>
      </c>
      <c r="AI15" s="1"/>
      <c r="AJ15" s="1" t="s">
        <v>1431</v>
      </c>
      <c r="AK15" s="1" t="s">
        <v>515</v>
      </c>
      <c r="AL15" s="1" t="s">
        <v>1432</v>
      </c>
      <c r="AM15" s="1" t="s">
        <v>1433</v>
      </c>
      <c r="AN15" s="1" t="s">
        <v>515</v>
      </c>
      <c r="AO15" s="1" t="s">
        <v>1434</v>
      </c>
      <c r="AP15" s="2" t="s">
        <v>1435</v>
      </c>
      <c r="AQ15" s="2" t="s">
        <v>1154</v>
      </c>
      <c r="AR15" s="1" t="s">
        <v>286</v>
      </c>
      <c r="AS15" s="1" t="s">
        <v>1436</v>
      </c>
      <c r="AT15" s="1" t="s">
        <v>5</v>
      </c>
    </row>
    <row r="16" spans="1:47" hidden="1" x14ac:dyDescent="0.4">
      <c r="A16" s="1" t="s">
        <v>1616</v>
      </c>
      <c r="B16" s="10">
        <v>0</v>
      </c>
      <c r="C16" s="1" t="s">
        <v>0</v>
      </c>
      <c r="D16" s="1" t="s">
        <v>1158</v>
      </c>
      <c r="E16" s="1" t="s">
        <v>1159</v>
      </c>
      <c r="F16" s="1" t="s">
        <v>14</v>
      </c>
      <c r="G16" s="1" t="s">
        <v>1</v>
      </c>
      <c r="H16" s="1" t="s">
        <v>6</v>
      </c>
      <c r="I16" s="1" t="s">
        <v>2</v>
      </c>
      <c r="J16" s="1" t="s">
        <v>3</v>
      </c>
      <c r="K16" s="1" t="s">
        <v>1617</v>
      </c>
      <c r="L16" s="1" t="s">
        <v>4</v>
      </c>
      <c r="M16" s="1" t="s">
        <v>9</v>
      </c>
      <c r="N16" s="1" t="s">
        <v>1618</v>
      </c>
      <c r="O16" s="1" t="s">
        <v>1221</v>
      </c>
      <c r="P16" s="1"/>
      <c r="Q16" s="1"/>
      <c r="R16" s="1" t="s">
        <v>11</v>
      </c>
      <c r="S16" s="1"/>
      <c r="T16" s="1"/>
      <c r="U16" s="1"/>
      <c r="V16" s="1"/>
      <c r="W16" s="1" t="s">
        <v>1619</v>
      </c>
      <c r="X16" s="1"/>
      <c r="Y16" s="1"/>
      <c r="Z16" s="1"/>
      <c r="AA16" s="1"/>
      <c r="AB16" s="1" t="s">
        <v>1620</v>
      </c>
      <c r="AC16" s="1"/>
      <c r="AD16" s="1"/>
      <c r="AE16" s="1" t="s">
        <v>1621</v>
      </c>
      <c r="AF16" s="1"/>
      <c r="AG16" s="1"/>
      <c r="AH16" s="1" t="s">
        <v>1622</v>
      </c>
      <c r="AI16" s="1"/>
      <c r="AJ16" s="1" t="s">
        <v>1623</v>
      </c>
      <c r="AK16" s="1" t="s">
        <v>282</v>
      </c>
      <c r="AL16" s="1" t="s">
        <v>1624</v>
      </c>
      <c r="AM16" s="1" t="s">
        <v>1625</v>
      </c>
      <c r="AN16" s="1" t="s">
        <v>282</v>
      </c>
      <c r="AO16" s="1" t="s">
        <v>1626</v>
      </c>
      <c r="AP16" s="2" t="s">
        <v>1627</v>
      </c>
      <c r="AQ16" s="2" t="s">
        <v>1154</v>
      </c>
      <c r="AR16" s="1" t="s">
        <v>286</v>
      </c>
      <c r="AS16" s="1" t="s">
        <v>1628</v>
      </c>
      <c r="AT16" s="1" t="s">
        <v>5</v>
      </c>
    </row>
    <row r="17" spans="1:46" hidden="1" x14ac:dyDescent="0.4">
      <c r="A17" s="1" t="s">
        <v>1488</v>
      </c>
      <c r="B17" s="10">
        <v>0</v>
      </c>
      <c r="C17" s="1" t="s">
        <v>0</v>
      </c>
      <c r="D17" s="1" t="s">
        <v>1158</v>
      </c>
      <c r="E17" s="1" t="s">
        <v>1159</v>
      </c>
      <c r="F17" s="1" t="s">
        <v>14</v>
      </c>
      <c r="G17" s="1" t="s">
        <v>1</v>
      </c>
      <c r="H17" s="1" t="s">
        <v>6</v>
      </c>
      <c r="I17" s="1" t="s">
        <v>2</v>
      </c>
      <c r="J17" s="1" t="s">
        <v>3</v>
      </c>
      <c r="K17" s="1" t="s">
        <v>1489</v>
      </c>
      <c r="L17" s="1" t="s">
        <v>4</v>
      </c>
      <c r="M17" s="1" t="s">
        <v>9</v>
      </c>
      <c r="N17" s="1" t="s">
        <v>1490</v>
      </c>
      <c r="O17" s="1" t="s">
        <v>1188</v>
      </c>
      <c r="P17" s="1"/>
      <c r="Q17" s="1"/>
      <c r="R17" s="1" t="s">
        <v>11</v>
      </c>
      <c r="S17" s="1"/>
      <c r="T17" s="1"/>
      <c r="U17" s="1"/>
      <c r="V17" s="1"/>
      <c r="W17" s="1" t="s">
        <v>1491</v>
      </c>
      <c r="X17" s="1"/>
      <c r="Y17" s="1"/>
      <c r="Z17" s="1"/>
      <c r="AA17" s="1"/>
      <c r="AB17" s="1" t="s">
        <v>14277</v>
      </c>
      <c r="AC17" s="1"/>
      <c r="AD17" s="1"/>
      <c r="AE17" s="1" t="s">
        <v>1492</v>
      </c>
      <c r="AF17" s="1"/>
      <c r="AG17" s="1"/>
      <c r="AH17" s="1" t="s">
        <v>1493</v>
      </c>
      <c r="AI17" s="1"/>
      <c r="AJ17" s="1" t="s">
        <v>158</v>
      </c>
      <c r="AK17" s="1" t="s">
        <v>504</v>
      </c>
      <c r="AL17" s="1" t="s">
        <v>159</v>
      </c>
      <c r="AM17" s="1" t="s">
        <v>1494</v>
      </c>
      <c r="AN17" s="1" t="s">
        <v>504</v>
      </c>
      <c r="AO17" s="1" t="s">
        <v>1495</v>
      </c>
      <c r="AP17" s="2" t="s">
        <v>1496</v>
      </c>
      <c r="AQ17" s="2" t="s">
        <v>1154</v>
      </c>
      <c r="AR17" s="1" t="s">
        <v>286</v>
      </c>
      <c r="AS17" s="1" t="s">
        <v>1497</v>
      </c>
      <c r="AT17" s="1" t="s">
        <v>5</v>
      </c>
    </row>
    <row r="18" spans="1:46" x14ac:dyDescent="0.4">
      <c r="A18" s="1" t="s">
        <v>1640</v>
      </c>
      <c r="B18" s="10">
        <v>0</v>
      </c>
      <c r="C18" s="1" t="s">
        <v>0</v>
      </c>
      <c r="D18" s="1" t="s">
        <v>1158</v>
      </c>
      <c r="E18" s="1" t="s">
        <v>1159</v>
      </c>
      <c r="F18" s="1" t="s">
        <v>14</v>
      </c>
      <c r="G18" s="1" t="s">
        <v>1</v>
      </c>
      <c r="H18" s="1" t="s">
        <v>6</v>
      </c>
      <c r="I18" s="1" t="s">
        <v>2</v>
      </c>
      <c r="J18" s="1" t="s">
        <v>3</v>
      </c>
      <c r="K18" s="1" t="s">
        <v>1641</v>
      </c>
      <c r="L18" s="1" t="s">
        <v>4</v>
      </c>
      <c r="M18" s="1" t="s">
        <v>9</v>
      </c>
      <c r="N18" s="1" t="s">
        <v>1642</v>
      </c>
      <c r="O18" s="1" t="s">
        <v>1643</v>
      </c>
      <c r="P18" s="1"/>
      <c r="Q18" s="1"/>
      <c r="R18" s="1" t="s">
        <v>11</v>
      </c>
      <c r="S18" s="1"/>
      <c r="T18" s="1"/>
      <c r="U18" s="1"/>
      <c r="V18" s="1"/>
      <c r="W18" s="1"/>
      <c r="X18" s="1"/>
      <c r="Y18" s="1"/>
      <c r="Z18" s="1"/>
      <c r="AA18" s="1"/>
      <c r="AB18" s="1" t="s">
        <v>1644</v>
      </c>
      <c r="AC18" s="1"/>
      <c r="AD18" s="1"/>
      <c r="AE18" s="1" t="s">
        <v>1645</v>
      </c>
      <c r="AF18" s="1"/>
      <c r="AG18" s="1"/>
      <c r="AH18" s="1" t="s">
        <v>1646</v>
      </c>
      <c r="AI18" s="1"/>
      <c r="AJ18" s="1" t="s">
        <v>1647</v>
      </c>
      <c r="AK18" s="1" t="s">
        <v>1648</v>
      </c>
      <c r="AL18" s="1"/>
      <c r="AM18" s="1" t="s">
        <v>1649</v>
      </c>
      <c r="AN18" s="1" t="s">
        <v>1648</v>
      </c>
      <c r="AO18" s="1" t="s">
        <v>1650</v>
      </c>
      <c r="AP18" s="2" t="s">
        <v>1651</v>
      </c>
      <c r="AQ18" s="2" t="s">
        <v>1155</v>
      </c>
      <c r="AR18" s="1" t="s">
        <v>286</v>
      </c>
      <c r="AS18" s="1" t="s">
        <v>1652</v>
      </c>
      <c r="AT18" s="1" t="s">
        <v>5</v>
      </c>
    </row>
    <row r="19" spans="1:46" hidden="1" x14ac:dyDescent="0.4">
      <c r="A19" s="1" t="s">
        <v>1723</v>
      </c>
      <c r="B19" s="10"/>
      <c r="C19" s="1" t="s">
        <v>0</v>
      </c>
      <c r="D19" s="1" t="s">
        <v>1158</v>
      </c>
      <c r="E19" s="1" t="s">
        <v>1159</v>
      </c>
      <c r="F19" s="1" t="s">
        <v>14</v>
      </c>
      <c r="G19" s="1" t="s">
        <v>1</v>
      </c>
      <c r="H19" s="1" t="s">
        <v>6</v>
      </c>
      <c r="I19" s="1" t="s">
        <v>2</v>
      </c>
      <c r="J19" s="1" t="s">
        <v>3</v>
      </c>
      <c r="K19" s="1" t="s">
        <v>1724</v>
      </c>
      <c r="L19" s="1" t="s">
        <v>4</v>
      </c>
      <c r="M19" s="1" t="s">
        <v>9</v>
      </c>
      <c r="N19" s="1" t="s">
        <v>1725</v>
      </c>
      <c r="O19" s="1" t="s">
        <v>1726</v>
      </c>
      <c r="P19" s="1"/>
      <c r="Q19" s="1"/>
      <c r="R19" s="1" t="s">
        <v>11</v>
      </c>
      <c r="S19" s="1"/>
      <c r="T19" s="1"/>
      <c r="U19" s="1"/>
      <c r="V19" s="1"/>
      <c r="W19" s="1"/>
      <c r="X19" s="1"/>
      <c r="Y19" s="1"/>
      <c r="Z19" s="1"/>
      <c r="AA19" s="1"/>
      <c r="AB19" s="1" t="s">
        <v>14278</v>
      </c>
      <c r="AC19" s="1"/>
      <c r="AD19" s="1"/>
      <c r="AE19" s="1" t="s">
        <v>1727</v>
      </c>
      <c r="AF19" s="1"/>
      <c r="AG19" s="1"/>
      <c r="AH19" s="1" t="s">
        <v>1728</v>
      </c>
      <c r="AI19" s="1"/>
      <c r="AJ19" s="1" t="s">
        <v>1578</v>
      </c>
      <c r="AK19" s="1" t="s">
        <v>1579</v>
      </c>
      <c r="AL19" s="1" t="s">
        <v>1580</v>
      </c>
      <c r="AM19" s="1" t="s">
        <v>1729</v>
      </c>
      <c r="AN19" s="1" t="s">
        <v>1579</v>
      </c>
      <c r="AO19" s="1" t="s">
        <v>1730</v>
      </c>
      <c r="AP19" s="2" t="s">
        <v>1731</v>
      </c>
      <c r="AQ19" s="2" t="s">
        <v>1155</v>
      </c>
      <c r="AR19" s="1" t="s">
        <v>286</v>
      </c>
      <c r="AS19" s="1" t="s">
        <v>1725</v>
      </c>
      <c r="AT19" s="1" t="s">
        <v>5</v>
      </c>
    </row>
    <row r="20" spans="1:46" hidden="1" x14ac:dyDescent="0.4">
      <c r="A20" s="1" t="s">
        <v>1653</v>
      </c>
      <c r="B20" s="10"/>
      <c r="C20" s="1" t="s">
        <v>0</v>
      </c>
      <c r="D20" s="1" t="s">
        <v>1158</v>
      </c>
      <c r="E20" s="1" t="s">
        <v>1159</v>
      </c>
      <c r="F20" s="1" t="s">
        <v>14</v>
      </c>
      <c r="G20" s="1" t="s">
        <v>1</v>
      </c>
      <c r="H20" s="1" t="s">
        <v>6</v>
      </c>
      <c r="I20" s="1" t="s">
        <v>2</v>
      </c>
      <c r="J20" s="1" t="s">
        <v>3</v>
      </c>
      <c r="K20" s="1" t="s">
        <v>1654</v>
      </c>
      <c r="L20" s="1" t="s">
        <v>7</v>
      </c>
      <c r="M20" s="1" t="s">
        <v>9</v>
      </c>
      <c r="N20" s="1" t="s">
        <v>1655</v>
      </c>
      <c r="O20" s="1" t="s">
        <v>1221</v>
      </c>
      <c r="P20" s="1"/>
      <c r="Q20" s="1"/>
      <c r="R20" s="1" t="s">
        <v>11</v>
      </c>
      <c r="S20" s="1"/>
      <c r="T20" s="1"/>
      <c r="U20" s="1"/>
      <c r="V20" s="1"/>
      <c r="W20" s="1"/>
      <c r="X20" s="1"/>
      <c r="Y20" s="1"/>
      <c r="Z20" s="1"/>
      <c r="AA20" s="1"/>
      <c r="AB20" s="1" t="s">
        <v>1656</v>
      </c>
      <c r="AC20" s="1"/>
      <c r="AD20" s="1"/>
      <c r="AE20" s="1" t="s">
        <v>1657</v>
      </c>
      <c r="AF20" s="1"/>
      <c r="AG20" s="1"/>
      <c r="AH20" s="1" t="s">
        <v>1658</v>
      </c>
      <c r="AI20" s="1"/>
      <c r="AJ20" s="1" t="s">
        <v>51</v>
      </c>
      <c r="AK20" s="1" t="s">
        <v>1394</v>
      </c>
      <c r="AL20" s="1" t="s">
        <v>136</v>
      </c>
      <c r="AM20" s="1" t="s">
        <v>1659</v>
      </c>
      <c r="AN20" s="1" t="s">
        <v>1613</v>
      </c>
      <c r="AO20" s="1" t="s">
        <v>1660</v>
      </c>
      <c r="AP20" s="2" t="s">
        <v>1661</v>
      </c>
      <c r="AQ20" s="2" t="s">
        <v>1155</v>
      </c>
      <c r="AR20" s="1" t="s">
        <v>286</v>
      </c>
      <c r="AS20" s="1" t="s">
        <v>1662</v>
      </c>
      <c r="AT20" s="1" t="s">
        <v>5</v>
      </c>
    </row>
    <row r="21" spans="1:46" hidden="1" x14ac:dyDescent="0.4">
      <c r="A21" s="1" t="s">
        <v>1239</v>
      </c>
      <c r="B21" s="10"/>
      <c r="C21" s="1" t="s">
        <v>0</v>
      </c>
      <c r="D21" s="1" t="s">
        <v>1158</v>
      </c>
      <c r="E21" s="1" t="s">
        <v>1159</v>
      </c>
      <c r="F21" s="1" t="s">
        <v>14</v>
      </c>
      <c r="G21" s="1" t="s">
        <v>1</v>
      </c>
      <c r="H21" s="1" t="s">
        <v>6</v>
      </c>
      <c r="I21" s="1" t="s">
        <v>2</v>
      </c>
      <c r="J21" s="1" t="s">
        <v>3</v>
      </c>
      <c r="K21" s="1" t="s">
        <v>1240</v>
      </c>
      <c r="L21" s="1" t="s">
        <v>7</v>
      </c>
      <c r="M21" s="1" t="s">
        <v>9</v>
      </c>
      <c r="N21" s="1" t="s">
        <v>1241</v>
      </c>
      <c r="O21" s="1" t="s">
        <v>1221</v>
      </c>
      <c r="P21" s="1"/>
      <c r="Q21" s="1"/>
      <c r="R21" s="1" t="s">
        <v>11</v>
      </c>
      <c r="S21" s="1"/>
      <c r="T21" s="1"/>
      <c r="U21" s="1"/>
      <c r="V21" s="1"/>
      <c r="W21" s="1" t="s">
        <v>1242</v>
      </c>
      <c r="X21" s="1"/>
      <c r="Y21" s="1"/>
      <c r="Z21" s="1"/>
      <c r="AA21" s="1"/>
      <c r="AB21" s="1" t="s">
        <v>1243</v>
      </c>
      <c r="AC21" s="1"/>
      <c r="AD21" s="1"/>
      <c r="AE21" s="1" t="s">
        <v>1223</v>
      </c>
      <c r="AF21" s="1"/>
      <c r="AG21" s="1"/>
      <c r="AH21" s="1" t="s">
        <v>1244</v>
      </c>
      <c r="AI21" s="1"/>
      <c r="AJ21" s="1" t="s">
        <v>1245</v>
      </c>
      <c r="AK21" s="1" t="s">
        <v>1246</v>
      </c>
      <c r="AL21" s="1"/>
      <c r="AM21" s="1" t="s">
        <v>1247</v>
      </c>
      <c r="AN21" s="1" t="s">
        <v>1246</v>
      </c>
      <c r="AO21" s="1"/>
      <c r="AP21" s="2" t="s">
        <v>1248</v>
      </c>
      <c r="AQ21" s="2" t="s">
        <v>1154</v>
      </c>
      <c r="AR21" s="1"/>
      <c r="AS21" s="1"/>
      <c r="AT21" s="1" t="s">
        <v>10</v>
      </c>
    </row>
    <row r="22" spans="1:46" hidden="1" x14ac:dyDescent="0.4">
      <c r="A22" s="1" t="s">
        <v>1675</v>
      </c>
      <c r="B22" s="10"/>
      <c r="C22" s="1" t="s">
        <v>0</v>
      </c>
      <c r="D22" s="1" t="s">
        <v>1158</v>
      </c>
      <c r="E22" s="1" t="s">
        <v>1159</v>
      </c>
      <c r="F22" s="1" t="s">
        <v>14</v>
      </c>
      <c r="G22" s="1" t="s">
        <v>1</v>
      </c>
      <c r="H22" s="1" t="s">
        <v>6</v>
      </c>
      <c r="I22" s="1" t="s">
        <v>2</v>
      </c>
      <c r="J22" s="1" t="s">
        <v>3</v>
      </c>
      <c r="K22" s="1" t="s">
        <v>1676</v>
      </c>
      <c r="L22" s="1" t="s">
        <v>7</v>
      </c>
      <c r="M22" s="1" t="s">
        <v>9</v>
      </c>
      <c r="N22" s="1" t="s">
        <v>1677</v>
      </c>
      <c r="O22" s="1" t="s">
        <v>1678</v>
      </c>
      <c r="P22" s="1"/>
      <c r="Q22" s="1"/>
      <c r="R22" s="1" t="s">
        <v>11</v>
      </c>
      <c r="S22" s="1"/>
      <c r="T22" s="1"/>
      <c r="U22" s="1"/>
      <c r="V22" s="1"/>
      <c r="W22" s="1"/>
      <c r="X22" s="1"/>
      <c r="Y22" s="1"/>
      <c r="Z22" s="1"/>
      <c r="AA22" s="1"/>
      <c r="AB22" s="1" t="s">
        <v>1679</v>
      </c>
      <c r="AC22" s="1"/>
      <c r="AD22" s="1"/>
      <c r="AE22" s="1" t="s">
        <v>1680</v>
      </c>
      <c r="AF22" s="1"/>
      <c r="AG22" s="1"/>
      <c r="AH22" s="1" t="s">
        <v>1681</v>
      </c>
      <c r="AI22" s="1"/>
      <c r="AJ22" s="1" t="s">
        <v>1682</v>
      </c>
      <c r="AK22" s="1" t="s">
        <v>1683</v>
      </c>
      <c r="AL22" s="1" t="s">
        <v>1684</v>
      </c>
      <c r="AM22" s="1" t="s">
        <v>1685</v>
      </c>
      <c r="AN22" s="1" t="s">
        <v>1683</v>
      </c>
      <c r="AO22" s="1" t="s">
        <v>1686</v>
      </c>
      <c r="AP22" s="2" t="s">
        <v>1687</v>
      </c>
      <c r="AQ22" s="2" t="s">
        <v>1155</v>
      </c>
      <c r="AR22" s="1" t="s">
        <v>286</v>
      </c>
      <c r="AS22" s="1" t="s">
        <v>1688</v>
      </c>
      <c r="AT22" s="1" t="s">
        <v>5</v>
      </c>
    </row>
    <row r="23" spans="1:46" hidden="1" x14ac:dyDescent="0.4">
      <c r="A23" s="1" t="s">
        <v>1689</v>
      </c>
      <c r="B23" s="10"/>
      <c r="C23" s="1" t="s">
        <v>0</v>
      </c>
      <c r="D23" s="1" t="s">
        <v>1158</v>
      </c>
      <c r="E23" s="1" t="s">
        <v>1159</v>
      </c>
      <c r="F23" s="1" t="s">
        <v>14</v>
      </c>
      <c r="G23" s="1" t="s">
        <v>1</v>
      </c>
      <c r="H23" s="1" t="s">
        <v>6</v>
      </c>
      <c r="I23" s="1" t="s">
        <v>2</v>
      </c>
      <c r="J23" s="1" t="s">
        <v>3</v>
      </c>
      <c r="K23" s="1" t="s">
        <v>1690</v>
      </c>
      <c r="L23" s="1" t="s">
        <v>7</v>
      </c>
      <c r="M23" s="1" t="s">
        <v>9</v>
      </c>
      <c r="N23" s="1" t="s">
        <v>1691</v>
      </c>
      <c r="O23" s="1" t="s">
        <v>1692</v>
      </c>
      <c r="P23" s="1"/>
      <c r="Q23" s="1"/>
      <c r="R23" s="1" t="s">
        <v>11</v>
      </c>
      <c r="S23" s="1"/>
      <c r="T23" s="1"/>
      <c r="U23" s="1"/>
      <c r="V23" s="1"/>
      <c r="W23" s="1" t="s">
        <v>1693</v>
      </c>
      <c r="X23" s="1"/>
      <c r="Y23" s="1"/>
      <c r="Z23" s="1"/>
      <c r="AA23" s="1"/>
      <c r="AB23" s="1" t="s">
        <v>1694</v>
      </c>
      <c r="AC23" s="1"/>
      <c r="AD23" s="1"/>
      <c r="AE23" s="1" t="s">
        <v>1695</v>
      </c>
      <c r="AF23" s="1"/>
      <c r="AG23" s="1"/>
      <c r="AH23" s="1" t="s">
        <v>1696</v>
      </c>
      <c r="AI23" s="1"/>
      <c r="AJ23" s="1" t="s">
        <v>1682</v>
      </c>
      <c r="AK23" s="1" t="s">
        <v>1683</v>
      </c>
      <c r="AL23" s="1" t="s">
        <v>1684</v>
      </c>
      <c r="AM23" s="1" t="s">
        <v>1697</v>
      </c>
      <c r="AN23" s="1" t="s">
        <v>1683</v>
      </c>
      <c r="AO23" s="1" t="s">
        <v>1698</v>
      </c>
      <c r="AP23" s="2" t="s">
        <v>1699</v>
      </c>
      <c r="AQ23" s="2" t="s">
        <v>1155</v>
      </c>
      <c r="AR23" s="1" t="s">
        <v>286</v>
      </c>
      <c r="AS23" s="1" t="s">
        <v>1700</v>
      </c>
      <c r="AT23" s="1" t="s">
        <v>5</v>
      </c>
    </row>
    <row r="24" spans="1:46" hidden="1" x14ac:dyDescent="0.4">
      <c r="A24" s="1" t="s">
        <v>1712</v>
      </c>
      <c r="B24" s="10"/>
      <c r="C24" s="1" t="s">
        <v>0</v>
      </c>
      <c r="D24" s="1" t="s">
        <v>1158</v>
      </c>
      <c r="E24" s="1" t="s">
        <v>1159</v>
      </c>
      <c r="F24" s="1" t="s">
        <v>14</v>
      </c>
      <c r="G24" s="1" t="s">
        <v>1</v>
      </c>
      <c r="H24" s="1" t="s">
        <v>6</v>
      </c>
      <c r="I24" s="1" t="s">
        <v>2</v>
      </c>
      <c r="J24" s="1" t="s">
        <v>3</v>
      </c>
      <c r="K24" s="1" t="s">
        <v>1713</v>
      </c>
      <c r="L24" s="1" t="s">
        <v>4</v>
      </c>
      <c r="M24" s="1" t="s">
        <v>9</v>
      </c>
      <c r="N24" s="1" t="s">
        <v>1714</v>
      </c>
      <c r="O24" s="1" t="s">
        <v>1643</v>
      </c>
      <c r="P24" s="1"/>
      <c r="Q24" s="1"/>
      <c r="R24" s="1" t="s">
        <v>11</v>
      </c>
      <c r="S24" s="1"/>
      <c r="T24" s="1"/>
      <c r="U24" s="1"/>
      <c r="V24" s="1"/>
      <c r="W24" s="1" t="s">
        <v>1715</v>
      </c>
      <c r="X24" s="1"/>
      <c r="Y24" s="1"/>
      <c r="Z24" s="1"/>
      <c r="AA24" s="1"/>
      <c r="AB24" s="1" t="s">
        <v>1716</v>
      </c>
      <c r="AC24" s="1"/>
      <c r="AD24" s="1"/>
      <c r="AE24" s="1" t="s">
        <v>1717</v>
      </c>
      <c r="AF24" s="1"/>
      <c r="AG24" s="1"/>
      <c r="AH24" s="1" t="s">
        <v>1718</v>
      </c>
      <c r="AI24" s="1"/>
      <c r="AJ24" s="1" t="s">
        <v>1578</v>
      </c>
      <c r="AK24" s="1" t="s">
        <v>1579</v>
      </c>
      <c r="AL24" s="1" t="s">
        <v>1580</v>
      </c>
      <c r="AM24" s="1" t="s">
        <v>1719</v>
      </c>
      <c r="AN24" s="1" t="s">
        <v>1579</v>
      </c>
      <c r="AO24" s="1" t="s">
        <v>1720</v>
      </c>
      <c r="AP24" s="2" t="s">
        <v>1721</v>
      </c>
      <c r="AQ24" s="2" t="s">
        <v>1155</v>
      </c>
      <c r="AR24" s="1" t="s">
        <v>286</v>
      </c>
      <c r="AS24" s="1" t="s">
        <v>1722</v>
      </c>
      <c r="AT24" s="1" t="s">
        <v>5</v>
      </c>
    </row>
    <row r="25" spans="1:46" hidden="1" x14ac:dyDescent="0.4">
      <c r="A25" s="1" t="s">
        <v>1593</v>
      </c>
      <c r="B25" s="10"/>
      <c r="C25" s="1" t="s">
        <v>0</v>
      </c>
      <c r="D25" s="1" t="s">
        <v>1158</v>
      </c>
      <c r="E25" s="1" t="s">
        <v>1159</v>
      </c>
      <c r="F25" s="1" t="s">
        <v>14</v>
      </c>
      <c r="G25" s="1" t="s">
        <v>1</v>
      </c>
      <c r="H25" s="1" t="s">
        <v>6</v>
      </c>
      <c r="I25" s="1" t="s">
        <v>2</v>
      </c>
      <c r="J25" s="1" t="s">
        <v>3</v>
      </c>
      <c r="K25" s="1" t="s">
        <v>1594</v>
      </c>
      <c r="L25" s="1" t="s">
        <v>4</v>
      </c>
      <c r="M25" s="1" t="s">
        <v>9</v>
      </c>
      <c r="N25" s="1" t="s">
        <v>1595</v>
      </c>
      <c r="O25" s="1" t="s">
        <v>1596</v>
      </c>
      <c r="P25" s="1"/>
      <c r="Q25" s="1"/>
      <c r="R25" s="1" t="s">
        <v>11</v>
      </c>
      <c r="S25" s="1"/>
      <c r="T25" s="1"/>
      <c r="U25" s="1"/>
      <c r="V25" s="1"/>
      <c r="W25" s="1" t="s">
        <v>1597</v>
      </c>
      <c r="X25" s="1"/>
      <c r="Y25" s="1"/>
      <c r="Z25" s="1"/>
      <c r="AA25" s="1"/>
      <c r="AB25" s="1" t="s">
        <v>1598</v>
      </c>
      <c r="AC25" s="1"/>
      <c r="AD25" s="1"/>
      <c r="AE25" s="1" t="s">
        <v>1599</v>
      </c>
      <c r="AF25" s="1"/>
      <c r="AG25" s="1"/>
      <c r="AH25" s="1" t="s">
        <v>1600</v>
      </c>
      <c r="AI25" s="1"/>
      <c r="AJ25" s="1" t="s">
        <v>23</v>
      </c>
      <c r="AK25" s="1" t="s">
        <v>516</v>
      </c>
      <c r="AL25" s="1" t="s">
        <v>567</v>
      </c>
      <c r="AM25" s="1" t="s">
        <v>1601</v>
      </c>
      <c r="AN25" s="1" t="s">
        <v>516</v>
      </c>
      <c r="AO25" s="1" t="s">
        <v>1602</v>
      </c>
      <c r="AP25" s="2" t="s">
        <v>1603</v>
      </c>
      <c r="AQ25" s="2" t="s">
        <v>1155</v>
      </c>
      <c r="AR25" s="1" t="s">
        <v>286</v>
      </c>
      <c r="AS25" s="1"/>
      <c r="AT25" s="1" t="s">
        <v>5</v>
      </c>
    </row>
    <row r="26" spans="1:46" hidden="1" x14ac:dyDescent="0.4">
      <c r="A26" s="1" t="s">
        <v>1585</v>
      </c>
      <c r="B26" s="10"/>
      <c r="C26" s="1" t="s">
        <v>0</v>
      </c>
      <c r="D26" s="1" t="s">
        <v>1158</v>
      </c>
      <c r="E26" s="1" t="s">
        <v>1159</v>
      </c>
      <c r="F26" s="1" t="s">
        <v>14</v>
      </c>
      <c r="G26" s="1" t="s">
        <v>1</v>
      </c>
      <c r="H26" s="1" t="s">
        <v>6</v>
      </c>
      <c r="I26" s="1" t="s">
        <v>2</v>
      </c>
      <c r="J26" s="1" t="s">
        <v>3</v>
      </c>
      <c r="K26" s="1" t="s">
        <v>1586</v>
      </c>
      <c r="L26" s="1" t="s">
        <v>4</v>
      </c>
      <c r="M26" s="1" t="s">
        <v>9</v>
      </c>
      <c r="N26" s="1" t="s">
        <v>1587</v>
      </c>
      <c r="O26" s="1" t="s">
        <v>1252</v>
      </c>
      <c r="P26" s="1"/>
      <c r="Q26" s="1"/>
      <c r="R26" s="1" t="s">
        <v>11</v>
      </c>
      <c r="S26" s="1"/>
      <c r="T26" s="1"/>
      <c r="U26" s="1"/>
      <c r="V26" s="1"/>
      <c r="W26" s="1" t="s">
        <v>1588</v>
      </c>
      <c r="X26" s="1"/>
      <c r="Y26" s="1"/>
      <c r="Z26" s="1"/>
      <c r="AA26" s="1"/>
      <c r="AB26" s="1" t="s">
        <v>1589</v>
      </c>
      <c r="AC26" s="1"/>
      <c r="AD26" s="1"/>
      <c r="AE26" s="1" t="s">
        <v>1502</v>
      </c>
      <c r="AF26" s="1"/>
      <c r="AG26" s="1"/>
      <c r="AH26" s="1" t="s">
        <v>1590</v>
      </c>
      <c r="AI26" s="1"/>
      <c r="AJ26" s="1" t="s">
        <v>202</v>
      </c>
      <c r="AK26" s="1" t="s">
        <v>518</v>
      </c>
      <c r="AL26" s="1" t="s">
        <v>203</v>
      </c>
      <c r="AM26" s="1" t="s">
        <v>1591</v>
      </c>
      <c r="AN26" s="1" t="s">
        <v>518</v>
      </c>
      <c r="AO26" s="1"/>
      <c r="AP26" s="2" t="s">
        <v>1592</v>
      </c>
      <c r="AQ26" s="2" t="s">
        <v>1154</v>
      </c>
      <c r="AR26" s="1" t="s">
        <v>286</v>
      </c>
      <c r="AS26" s="1"/>
      <c r="AT26" s="1" t="s">
        <v>5</v>
      </c>
    </row>
    <row r="27" spans="1:46" hidden="1" x14ac:dyDescent="0.4">
      <c r="A27" s="1" t="s">
        <v>1852</v>
      </c>
      <c r="B27" s="10"/>
      <c r="C27" s="1" t="s">
        <v>0</v>
      </c>
      <c r="D27" s="1" t="s">
        <v>1158</v>
      </c>
      <c r="E27" s="1" t="s">
        <v>1159</v>
      </c>
      <c r="F27" s="1" t="s">
        <v>14</v>
      </c>
      <c r="G27" s="1" t="s">
        <v>1</v>
      </c>
      <c r="H27" s="1" t="s">
        <v>6</v>
      </c>
      <c r="I27" s="1" t="s">
        <v>2</v>
      </c>
      <c r="J27" s="1" t="s">
        <v>3</v>
      </c>
      <c r="K27" s="1" t="s">
        <v>1853</v>
      </c>
      <c r="L27" s="1" t="s">
        <v>4</v>
      </c>
      <c r="M27" s="1" t="s">
        <v>9</v>
      </c>
      <c r="N27" s="1" t="s">
        <v>1854</v>
      </c>
      <c r="O27" s="1" t="s">
        <v>1252</v>
      </c>
      <c r="P27" s="1"/>
      <c r="Q27" s="1"/>
      <c r="R27" s="1" t="s">
        <v>11</v>
      </c>
      <c r="S27" s="1"/>
      <c r="T27" s="1"/>
      <c r="U27" s="1"/>
      <c r="V27" s="1"/>
      <c r="W27" s="1" t="s">
        <v>1201</v>
      </c>
      <c r="X27" s="1"/>
      <c r="Y27" s="1"/>
      <c r="Z27" s="1"/>
      <c r="AA27" s="1"/>
      <c r="AB27" s="1" t="s">
        <v>1855</v>
      </c>
      <c r="AC27" s="1"/>
      <c r="AD27" s="1"/>
      <c r="AE27" s="1" t="s">
        <v>1856</v>
      </c>
      <c r="AF27" s="1"/>
      <c r="AG27" s="1"/>
      <c r="AH27" s="1" t="s">
        <v>1857</v>
      </c>
      <c r="AI27" s="1"/>
      <c r="AJ27" s="1" t="s">
        <v>202</v>
      </c>
      <c r="AK27" s="1" t="s">
        <v>518</v>
      </c>
      <c r="AL27" s="1" t="s">
        <v>203</v>
      </c>
      <c r="AM27" s="1" t="s">
        <v>1858</v>
      </c>
      <c r="AN27" s="1" t="s">
        <v>518</v>
      </c>
      <c r="AO27" s="1" t="s">
        <v>1859</v>
      </c>
      <c r="AP27" s="2" t="s">
        <v>1860</v>
      </c>
      <c r="AQ27" s="2" t="s">
        <v>1155</v>
      </c>
      <c r="AR27" s="1" t="s">
        <v>286</v>
      </c>
      <c r="AS27" s="1" t="s">
        <v>1861</v>
      </c>
      <c r="AT27" s="1" t="s">
        <v>5</v>
      </c>
    </row>
    <row r="28" spans="1:46" hidden="1" x14ac:dyDescent="0.4">
      <c r="A28" s="1" t="s">
        <v>1418</v>
      </c>
      <c r="B28" s="10"/>
      <c r="C28" s="1" t="s">
        <v>0</v>
      </c>
      <c r="D28" s="1" t="s">
        <v>1158</v>
      </c>
      <c r="E28" s="1" t="s">
        <v>1159</v>
      </c>
      <c r="F28" s="1" t="s">
        <v>14</v>
      </c>
      <c r="G28" s="1" t="s">
        <v>1</v>
      </c>
      <c r="H28" s="1" t="s">
        <v>6</v>
      </c>
      <c r="I28" s="1" t="s">
        <v>2</v>
      </c>
      <c r="J28" s="1" t="s">
        <v>3</v>
      </c>
      <c r="K28" s="1" t="s">
        <v>1419</v>
      </c>
      <c r="L28" s="1" t="s">
        <v>4</v>
      </c>
      <c r="M28" s="1" t="s">
        <v>9</v>
      </c>
      <c r="N28" s="1" t="s">
        <v>1420</v>
      </c>
      <c r="O28" s="1" t="s">
        <v>1221</v>
      </c>
      <c r="P28" s="1"/>
      <c r="Q28" s="1"/>
      <c r="R28" s="1" t="s">
        <v>11</v>
      </c>
      <c r="S28" s="1"/>
      <c r="T28" s="1"/>
      <c r="U28" s="1"/>
      <c r="V28" s="1"/>
      <c r="W28" s="1"/>
      <c r="X28" s="1"/>
      <c r="Y28" s="1"/>
      <c r="Z28" s="1"/>
      <c r="AA28" s="1"/>
      <c r="AB28" s="1" t="s">
        <v>1421</v>
      </c>
      <c r="AC28" s="1"/>
      <c r="AD28" s="1"/>
      <c r="AE28" s="1" t="s">
        <v>1339</v>
      </c>
      <c r="AF28" s="1"/>
      <c r="AG28" s="1"/>
      <c r="AH28" s="1" t="s">
        <v>1422</v>
      </c>
      <c r="AI28" s="1"/>
      <c r="AJ28" s="1" t="s">
        <v>23</v>
      </c>
      <c r="AK28" s="1" t="s">
        <v>516</v>
      </c>
      <c r="AL28" s="1" t="s">
        <v>567</v>
      </c>
      <c r="AM28" s="1" t="s">
        <v>1423</v>
      </c>
      <c r="AN28" s="1" t="s">
        <v>516</v>
      </c>
      <c r="AO28" s="1"/>
      <c r="AP28" s="2" t="s">
        <v>1424</v>
      </c>
      <c r="AQ28" s="2" t="s">
        <v>1154</v>
      </c>
      <c r="AR28" s="1" t="s">
        <v>286</v>
      </c>
      <c r="AS28" s="1" t="s">
        <v>1425</v>
      </c>
      <c r="AT28" s="1" t="s">
        <v>5</v>
      </c>
    </row>
    <row r="29" spans="1:46" hidden="1" x14ac:dyDescent="0.4">
      <c r="A29" s="1" t="s">
        <v>1741</v>
      </c>
      <c r="B29" s="10"/>
      <c r="C29" s="1" t="s">
        <v>0</v>
      </c>
      <c r="D29" s="1" t="s">
        <v>1158</v>
      </c>
      <c r="E29" s="1" t="s">
        <v>1159</v>
      </c>
      <c r="F29" s="1" t="s">
        <v>14</v>
      </c>
      <c r="G29" s="1" t="s">
        <v>1</v>
      </c>
      <c r="H29" s="1" t="s">
        <v>6</v>
      </c>
      <c r="I29" s="1" t="s">
        <v>2</v>
      </c>
      <c r="J29" s="1" t="s">
        <v>3</v>
      </c>
      <c r="K29" s="1" t="s">
        <v>1742</v>
      </c>
      <c r="L29" s="1" t="s">
        <v>7</v>
      </c>
      <c r="M29" s="1" t="s">
        <v>9</v>
      </c>
      <c r="N29" s="1" t="s">
        <v>1743</v>
      </c>
      <c r="O29" s="1" t="s">
        <v>1744</v>
      </c>
      <c r="P29" s="1"/>
      <c r="Q29" s="1"/>
      <c r="R29" s="1" t="s">
        <v>11</v>
      </c>
      <c r="S29" s="1"/>
      <c r="T29" s="1"/>
      <c r="U29" s="1"/>
      <c r="V29" s="1"/>
      <c r="W29" s="1" t="s">
        <v>1745</v>
      </c>
      <c r="X29" s="1"/>
      <c r="Y29" s="1"/>
      <c r="Z29" s="1"/>
      <c r="AA29" s="1"/>
      <c r="AB29" s="1" t="s">
        <v>1746</v>
      </c>
      <c r="AC29" s="1"/>
      <c r="AD29" s="1"/>
      <c r="AE29" s="1" t="s">
        <v>1747</v>
      </c>
      <c r="AF29" s="1"/>
      <c r="AG29" s="1"/>
      <c r="AH29" s="1" t="s">
        <v>1748</v>
      </c>
      <c r="AI29" s="1"/>
      <c r="AJ29" s="1" t="s">
        <v>1749</v>
      </c>
      <c r="AK29" s="1" t="s">
        <v>476</v>
      </c>
      <c r="AL29" s="1" t="s">
        <v>1750</v>
      </c>
      <c r="AM29" s="1" t="s">
        <v>1751</v>
      </c>
      <c r="AN29" s="1" t="s">
        <v>476</v>
      </c>
      <c r="AO29" s="1" t="s">
        <v>1752</v>
      </c>
      <c r="AP29" s="2" t="s">
        <v>1753</v>
      </c>
      <c r="AQ29" s="2" t="s">
        <v>1155</v>
      </c>
      <c r="AR29" s="1" t="s">
        <v>286</v>
      </c>
      <c r="AS29" s="1" t="s">
        <v>1754</v>
      </c>
      <c r="AT29" s="1" t="s">
        <v>5</v>
      </c>
    </row>
    <row r="30" spans="1:46" hidden="1" x14ac:dyDescent="0.4">
      <c r="A30" s="1" t="s">
        <v>1755</v>
      </c>
      <c r="B30" s="10"/>
      <c r="C30" s="1" t="s">
        <v>0</v>
      </c>
      <c r="D30" s="1" t="s">
        <v>1158</v>
      </c>
      <c r="E30" s="1" t="s">
        <v>1159</v>
      </c>
      <c r="F30" s="1" t="s">
        <v>14</v>
      </c>
      <c r="G30" s="1" t="s">
        <v>1</v>
      </c>
      <c r="H30" s="1" t="s">
        <v>6</v>
      </c>
      <c r="I30" s="1" t="s">
        <v>2</v>
      </c>
      <c r="J30" s="1" t="s">
        <v>3</v>
      </c>
      <c r="K30" s="1" t="s">
        <v>1756</v>
      </c>
      <c r="L30" s="1" t="s">
        <v>7</v>
      </c>
      <c r="M30" s="1" t="s">
        <v>9</v>
      </c>
      <c r="N30" s="1" t="s">
        <v>1757</v>
      </c>
      <c r="O30" s="1" t="s">
        <v>1744</v>
      </c>
      <c r="P30" s="1"/>
      <c r="Q30" s="1"/>
      <c r="R30" s="1" t="s">
        <v>11</v>
      </c>
      <c r="S30" s="1"/>
      <c r="T30" s="1"/>
      <c r="U30" s="1"/>
      <c r="V30" s="1"/>
      <c r="W30" s="1" t="s">
        <v>1758</v>
      </c>
      <c r="X30" s="1"/>
      <c r="Y30" s="1"/>
      <c r="Z30" s="1"/>
      <c r="AA30" s="1"/>
      <c r="AB30" s="1" t="s">
        <v>1759</v>
      </c>
      <c r="AC30" s="1"/>
      <c r="AD30" s="1"/>
      <c r="AE30" s="1" t="s">
        <v>1760</v>
      </c>
      <c r="AF30" s="1"/>
      <c r="AG30" s="1"/>
      <c r="AH30" s="1" t="s">
        <v>1761</v>
      </c>
      <c r="AI30" s="1"/>
      <c r="AJ30" s="1" t="s">
        <v>1749</v>
      </c>
      <c r="AK30" s="1" t="s">
        <v>476</v>
      </c>
      <c r="AL30" s="1" t="s">
        <v>1750</v>
      </c>
      <c r="AM30" s="1" t="s">
        <v>1762</v>
      </c>
      <c r="AN30" s="1" t="s">
        <v>476</v>
      </c>
      <c r="AO30" s="1" t="s">
        <v>1763</v>
      </c>
      <c r="AP30" s="2" t="s">
        <v>1764</v>
      </c>
      <c r="AQ30" s="2" t="s">
        <v>1155</v>
      </c>
      <c r="AR30" s="1" t="s">
        <v>286</v>
      </c>
      <c r="AS30" s="1" t="s">
        <v>1754</v>
      </c>
      <c r="AT30" s="1" t="s">
        <v>5</v>
      </c>
    </row>
    <row r="31" spans="1:46" hidden="1" x14ac:dyDescent="0.4">
      <c r="A31" s="1" t="s">
        <v>1399</v>
      </c>
      <c r="B31" s="10"/>
      <c r="C31" s="1" t="s">
        <v>0</v>
      </c>
      <c r="D31" s="1" t="s">
        <v>1158</v>
      </c>
      <c r="E31" s="1" t="s">
        <v>1159</v>
      </c>
      <c r="F31" s="1" t="s">
        <v>14</v>
      </c>
      <c r="G31" s="1" t="s">
        <v>1</v>
      </c>
      <c r="H31" s="1" t="s">
        <v>6</v>
      </c>
      <c r="I31" s="1" t="s">
        <v>2</v>
      </c>
      <c r="J31" s="1" t="s">
        <v>3</v>
      </c>
      <c r="K31" s="1" t="s">
        <v>1400</v>
      </c>
      <c r="L31" s="1" t="s">
        <v>7</v>
      </c>
      <c r="M31" s="1" t="s">
        <v>9</v>
      </c>
      <c r="N31" s="1" t="s">
        <v>1401</v>
      </c>
      <c r="O31" s="1" t="s">
        <v>1402</v>
      </c>
      <c r="P31" s="1"/>
      <c r="Q31" s="1"/>
      <c r="R31" s="1" t="s">
        <v>11</v>
      </c>
      <c r="S31" s="1"/>
      <c r="T31" s="1"/>
      <c r="U31" s="1"/>
      <c r="V31" s="1"/>
      <c r="W31" s="1" t="s">
        <v>1403</v>
      </c>
      <c r="X31" s="1"/>
      <c r="Y31" s="1"/>
      <c r="Z31" s="1"/>
      <c r="AA31" s="1"/>
      <c r="AB31" s="1" t="s">
        <v>1404</v>
      </c>
      <c r="AC31" s="1"/>
      <c r="AD31" s="1"/>
      <c r="AE31" s="1" t="s">
        <v>1405</v>
      </c>
      <c r="AF31" s="1"/>
      <c r="AG31" s="1"/>
      <c r="AH31" s="1" t="s">
        <v>1406</v>
      </c>
      <c r="AI31" s="1"/>
      <c r="AJ31" s="1" t="s">
        <v>158</v>
      </c>
      <c r="AK31" s="1" t="s">
        <v>504</v>
      </c>
      <c r="AL31" s="1" t="s">
        <v>159</v>
      </c>
      <c r="AM31" s="1" t="s">
        <v>257</v>
      </c>
      <c r="AN31" s="1" t="s">
        <v>504</v>
      </c>
      <c r="AO31" s="1" t="s">
        <v>258</v>
      </c>
      <c r="AP31" s="2" t="s">
        <v>1407</v>
      </c>
      <c r="AQ31" s="2" t="s">
        <v>1154</v>
      </c>
      <c r="AR31" s="1" t="s">
        <v>286</v>
      </c>
      <c r="AS31" s="1" t="s">
        <v>1408</v>
      </c>
      <c r="AT31" s="1" t="s">
        <v>5</v>
      </c>
    </row>
    <row r="32" spans="1:46" hidden="1" x14ac:dyDescent="0.4">
      <c r="A32" s="1" t="s">
        <v>2032</v>
      </c>
      <c r="B32" s="10"/>
      <c r="C32" s="1" t="s">
        <v>0</v>
      </c>
      <c r="D32" s="1" t="s">
        <v>1158</v>
      </c>
      <c r="E32" s="1" t="s">
        <v>1159</v>
      </c>
      <c r="F32" s="1" t="s">
        <v>14</v>
      </c>
      <c r="G32" s="1" t="s">
        <v>1</v>
      </c>
      <c r="H32" s="1" t="s">
        <v>6</v>
      </c>
      <c r="I32" s="1" t="s">
        <v>2</v>
      </c>
      <c r="J32" s="1" t="s">
        <v>3</v>
      </c>
      <c r="K32" s="1" t="s">
        <v>2033</v>
      </c>
      <c r="L32" s="1" t="s">
        <v>4</v>
      </c>
      <c r="M32" s="1" t="s">
        <v>9</v>
      </c>
      <c r="N32" s="1" t="s">
        <v>2034</v>
      </c>
      <c r="O32" s="1" t="s">
        <v>1402</v>
      </c>
      <c r="P32" s="1"/>
      <c r="Q32" s="1"/>
      <c r="R32" s="1" t="s">
        <v>11</v>
      </c>
      <c r="S32" s="1"/>
      <c r="T32" s="1"/>
      <c r="U32" s="1"/>
      <c r="V32" s="1"/>
      <c r="W32" s="1" t="s">
        <v>2035</v>
      </c>
      <c r="X32" s="1"/>
      <c r="Y32" s="1"/>
      <c r="Z32" s="1"/>
      <c r="AA32" s="1"/>
      <c r="AB32" s="1" t="s">
        <v>2036</v>
      </c>
      <c r="AC32" s="1"/>
      <c r="AD32" s="1"/>
      <c r="AE32" s="1" t="s">
        <v>2037</v>
      </c>
      <c r="AF32" s="1"/>
      <c r="AG32" s="1"/>
      <c r="AH32" s="1" t="s">
        <v>2038</v>
      </c>
      <c r="AI32" s="1"/>
      <c r="AJ32" s="1" t="s">
        <v>1934</v>
      </c>
      <c r="AK32" s="1" t="s">
        <v>502</v>
      </c>
      <c r="AL32" s="1" t="s">
        <v>1935</v>
      </c>
      <c r="AM32" s="1" t="s">
        <v>1936</v>
      </c>
      <c r="AN32" s="1" t="s">
        <v>502</v>
      </c>
      <c r="AO32" s="1" t="s">
        <v>1937</v>
      </c>
      <c r="AP32" s="2" t="s">
        <v>2039</v>
      </c>
      <c r="AQ32" s="2" t="s">
        <v>1155</v>
      </c>
      <c r="AR32" s="1" t="s">
        <v>286</v>
      </c>
      <c r="AS32" s="1" t="s">
        <v>1068</v>
      </c>
      <c r="AT32" s="1" t="s">
        <v>5</v>
      </c>
    </row>
    <row r="33" spans="1:46" hidden="1" x14ac:dyDescent="0.4">
      <c r="A33" s="1" t="s">
        <v>1997</v>
      </c>
      <c r="B33" s="10"/>
      <c r="C33" s="1" t="s">
        <v>0</v>
      </c>
      <c r="D33" s="1" t="s">
        <v>1158</v>
      </c>
      <c r="E33" s="1" t="s">
        <v>1159</v>
      </c>
      <c r="F33" s="1" t="s">
        <v>14</v>
      </c>
      <c r="G33" s="1" t="s">
        <v>1</v>
      </c>
      <c r="H33" s="1" t="s">
        <v>6</v>
      </c>
      <c r="I33" s="1" t="s">
        <v>2</v>
      </c>
      <c r="J33" s="1" t="s">
        <v>3</v>
      </c>
      <c r="K33" s="1" t="s">
        <v>1998</v>
      </c>
      <c r="L33" s="1" t="s">
        <v>4</v>
      </c>
      <c r="M33" s="1" t="s">
        <v>9</v>
      </c>
      <c r="N33" s="1" t="s">
        <v>1999</v>
      </c>
      <c r="O33" s="1" t="s">
        <v>1221</v>
      </c>
      <c r="P33" s="1"/>
      <c r="Q33" s="1"/>
      <c r="R33" s="1" t="s">
        <v>11</v>
      </c>
      <c r="S33" s="1"/>
      <c r="T33" s="1"/>
      <c r="U33" s="1"/>
      <c r="V33" s="1"/>
      <c r="W33" s="1"/>
      <c r="X33" s="1"/>
      <c r="Y33" s="1"/>
      <c r="Z33" s="1"/>
      <c r="AA33" s="1"/>
      <c r="AB33" s="1" t="s">
        <v>2000</v>
      </c>
      <c r="AC33" s="1"/>
      <c r="AD33" s="1"/>
      <c r="AE33" s="1" t="s">
        <v>2001</v>
      </c>
      <c r="AF33" s="1"/>
      <c r="AG33" s="1"/>
      <c r="AH33" s="1" t="s">
        <v>2002</v>
      </c>
      <c r="AI33" s="1"/>
      <c r="AJ33" s="1" t="s">
        <v>1934</v>
      </c>
      <c r="AK33" s="1" t="s">
        <v>502</v>
      </c>
      <c r="AL33" s="1" t="s">
        <v>1935</v>
      </c>
      <c r="AM33" s="1" t="s">
        <v>2003</v>
      </c>
      <c r="AN33" s="1" t="s">
        <v>502</v>
      </c>
      <c r="AO33" s="1" t="s">
        <v>2004</v>
      </c>
      <c r="AP33" s="2" t="s">
        <v>2005</v>
      </c>
      <c r="AQ33" s="2" t="s">
        <v>1155</v>
      </c>
      <c r="AR33" s="1" t="s">
        <v>286</v>
      </c>
      <c r="AS33" s="1" t="s">
        <v>1068</v>
      </c>
      <c r="AT33" s="1" t="s">
        <v>5</v>
      </c>
    </row>
    <row r="34" spans="1:46" hidden="1" x14ac:dyDescent="0.4">
      <c r="A34" s="1" t="s">
        <v>1329</v>
      </c>
      <c r="B34" s="10"/>
      <c r="C34" s="1" t="s">
        <v>0</v>
      </c>
      <c r="D34" s="1" t="s">
        <v>1158</v>
      </c>
      <c r="E34" s="1" t="s">
        <v>1159</v>
      </c>
      <c r="F34" s="1" t="s">
        <v>14</v>
      </c>
      <c r="G34" s="1" t="s">
        <v>1</v>
      </c>
      <c r="H34" s="1" t="s">
        <v>6</v>
      </c>
      <c r="I34" s="1" t="s">
        <v>2</v>
      </c>
      <c r="J34" s="1" t="s">
        <v>3</v>
      </c>
      <c r="K34" s="1" t="s">
        <v>1330</v>
      </c>
      <c r="L34" s="1" t="s">
        <v>4</v>
      </c>
      <c r="M34" s="1" t="s">
        <v>9</v>
      </c>
      <c r="N34" s="1" t="s">
        <v>1331</v>
      </c>
      <c r="O34" s="1" t="s">
        <v>1221</v>
      </c>
      <c r="P34" s="1"/>
      <c r="Q34" s="1"/>
      <c r="R34" s="1" t="s">
        <v>11</v>
      </c>
      <c r="S34" s="1"/>
      <c r="T34" s="1"/>
      <c r="U34" s="1"/>
      <c r="V34" s="1"/>
      <c r="W34" s="1"/>
      <c r="X34" s="1"/>
      <c r="Y34" s="1"/>
      <c r="Z34" s="1"/>
      <c r="AA34" s="1"/>
      <c r="AB34" s="1" t="s">
        <v>1332</v>
      </c>
      <c r="AC34" s="1"/>
      <c r="AD34" s="1"/>
      <c r="AE34" s="1" t="s">
        <v>1325</v>
      </c>
      <c r="AF34" s="1"/>
      <c r="AG34" s="1"/>
      <c r="AH34" s="1" t="s">
        <v>1333</v>
      </c>
      <c r="AI34" s="1"/>
      <c r="AJ34" s="1" t="s">
        <v>1327</v>
      </c>
      <c r="AK34" s="1" t="s">
        <v>598</v>
      </c>
      <c r="AL34" s="1"/>
      <c r="AM34" s="1" t="s">
        <v>1277</v>
      </c>
      <c r="AN34" s="1" t="s">
        <v>598</v>
      </c>
      <c r="AO34" s="1" t="s">
        <v>1278</v>
      </c>
      <c r="AP34" s="2" t="s">
        <v>1334</v>
      </c>
      <c r="AQ34" s="2" t="s">
        <v>1154</v>
      </c>
      <c r="AR34" s="1" t="s">
        <v>286</v>
      </c>
      <c r="AS34" s="1"/>
      <c r="AT34" s="1" t="s">
        <v>5</v>
      </c>
    </row>
    <row r="35" spans="1:46" hidden="1" x14ac:dyDescent="0.4">
      <c r="A35" s="1" t="s">
        <v>2051</v>
      </c>
      <c r="B35" s="10"/>
      <c r="C35" s="1" t="s">
        <v>0</v>
      </c>
      <c r="D35" s="1" t="s">
        <v>1158</v>
      </c>
      <c r="E35" s="1" t="s">
        <v>1159</v>
      </c>
      <c r="F35" s="1" t="s">
        <v>14</v>
      </c>
      <c r="G35" s="1" t="s">
        <v>1</v>
      </c>
      <c r="H35" s="1" t="s">
        <v>6</v>
      </c>
      <c r="I35" s="1" t="s">
        <v>2</v>
      </c>
      <c r="J35" s="1" t="s">
        <v>3</v>
      </c>
      <c r="K35" s="1" t="s">
        <v>2052</v>
      </c>
      <c r="L35" s="1" t="s">
        <v>7</v>
      </c>
      <c r="M35" s="1" t="s">
        <v>9</v>
      </c>
      <c r="N35" s="1" t="s">
        <v>2053</v>
      </c>
      <c r="O35" s="1" t="s">
        <v>1162</v>
      </c>
      <c r="P35" s="1" t="s">
        <v>2054</v>
      </c>
      <c r="Q35" s="1" t="s">
        <v>12</v>
      </c>
      <c r="R35" s="1" t="s">
        <v>11</v>
      </c>
      <c r="S35" s="1"/>
      <c r="T35" s="1" t="s">
        <v>12</v>
      </c>
      <c r="U35" s="1" t="s">
        <v>11</v>
      </c>
      <c r="V35" s="1"/>
      <c r="W35" s="1" t="s">
        <v>2055</v>
      </c>
      <c r="X35" s="1"/>
      <c r="Y35" s="1"/>
      <c r="Z35" s="1"/>
      <c r="AA35" s="1"/>
      <c r="AB35" s="1" t="s">
        <v>2056</v>
      </c>
      <c r="AC35" s="1"/>
      <c r="AD35" s="1"/>
      <c r="AE35" s="1" t="s">
        <v>2057</v>
      </c>
      <c r="AF35" s="1"/>
      <c r="AG35" s="1"/>
      <c r="AH35" s="1" t="s">
        <v>2058</v>
      </c>
      <c r="AI35" s="1"/>
      <c r="AJ35" s="1" t="s">
        <v>2059</v>
      </c>
      <c r="AK35" s="1" t="s">
        <v>569</v>
      </c>
      <c r="AL35" s="1" t="s">
        <v>2060</v>
      </c>
      <c r="AM35" s="1" t="s">
        <v>2061</v>
      </c>
      <c r="AN35" s="1" t="s">
        <v>569</v>
      </c>
      <c r="AO35" s="1" t="s">
        <v>2062</v>
      </c>
      <c r="AP35" s="2" t="s">
        <v>2063</v>
      </c>
      <c r="AQ35" s="2" t="s">
        <v>1155</v>
      </c>
      <c r="AR35" s="1" t="s">
        <v>286</v>
      </c>
      <c r="AS35" s="1" t="s">
        <v>2064</v>
      </c>
      <c r="AT35" s="1" t="s">
        <v>5</v>
      </c>
    </row>
    <row r="36" spans="1:46" hidden="1" x14ac:dyDescent="0.4">
      <c r="A36" s="1" t="s">
        <v>1798</v>
      </c>
      <c r="B36" s="10"/>
      <c r="C36" s="1" t="s">
        <v>0</v>
      </c>
      <c r="D36" s="1" t="s">
        <v>1158</v>
      </c>
      <c r="E36" s="1" t="s">
        <v>1159</v>
      </c>
      <c r="F36" s="1" t="s">
        <v>14</v>
      </c>
      <c r="G36" s="1" t="s">
        <v>1</v>
      </c>
      <c r="H36" s="1" t="s">
        <v>6</v>
      </c>
      <c r="I36" s="1" t="s">
        <v>2</v>
      </c>
      <c r="J36" s="1" t="s">
        <v>3</v>
      </c>
      <c r="K36" s="1" t="s">
        <v>1799</v>
      </c>
      <c r="L36" s="1" t="s">
        <v>4</v>
      </c>
      <c r="M36" s="1" t="s">
        <v>9</v>
      </c>
      <c r="N36" s="1" t="s">
        <v>1800</v>
      </c>
      <c r="O36" s="1" t="s">
        <v>1162</v>
      </c>
      <c r="P36" s="1"/>
      <c r="Q36" s="1"/>
      <c r="R36" s="1" t="s">
        <v>11</v>
      </c>
      <c r="S36" s="1"/>
      <c r="T36" s="1"/>
      <c r="U36" s="1"/>
      <c r="V36" s="1"/>
      <c r="W36" s="1" t="s">
        <v>1801</v>
      </c>
      <c r="X36" s="1"/>
      <c r="Y36" s="1"/>
      <c r="Z36" s="1"/>
      <c r="AA36" s="1"/>
      <c r="AB36" s="1" t="s">
        <v>1802</v>
      </c>
      <c r="AC36" s="1"/>
      <c r="AD36" s="1"/>
      <c r="AE36" s="1" t="s">
        <v>1803</v>
      </c>
      <c r="AF36" s="1"/>
      <c r="AG36" s="1"/>
      <c r="AH36" s="1" t="s">
        <v>1804</v>
      </c>
      <c r="AI36" s="1"/>
      <c r="AJ36" s="1" t="s">
        <v>1805</v>
      </c>
      <c r="AK36" s="1" t="s">
        <v>1806</v>
      </c>
      <c r="AL36" s="1" t="s">
        <v>1807</v>
      </c>
      <c r="AM36" s="1" t="s">
        <v>1808</v>
      </c>
      <c r="AN36" s="1" t="s">
        <v>1809</v>
      </c>
      <c r="AO36" s="1" t="s">
        <v>1810</v>
      </c>
      <c r="AP36" s="2" t="s">
        <v>1811</v>
      </c>
      <c r="AQ36" s="2" t="s">
        <v>1155</v>
      </c>
      <c r="AR36" s="1" t="s">
        <v>286</v>
      </c>
      <c r="AS36" s="1" t="s">
        <v>970</v>
      </c>
      <c r="AT36" s="1" t="s">
        <v>5</v>
      </c>
    </row>
    <row r="37" spans="1:46" hidden="1" x14ac:dyDescent="0.4">
      <c r="A37" s="1" t="s">
        <v>1732</v>
      </c>
      <c r="B37" s="10"/>
      <c r="C37" s="1" t="s">
        <v>0</v>
      </c>
      <c r="D37" s="1" t="s">
        <v>1158</v>
      </c>
      <c r="E37" s="1" t="s">
        <v>1159</v>
      </c>
      <c r="F37" s="1" t="s">
        <v>14</v>
      </c>
      <c r="G37" s="1" t="s">
        <v>1</v>
      </c>
      <c r="H37" s="1" t="s">
        <v>6</v>
      </c>
      <c r="I37" s="1" t="s">
        <v>2</v>
      </c>
      <c r="J37" s="1" t="s">
        <v>3</v>
      </c>
      <c r="K37" s="1" t="s">
        <v>1733</v>
      </c>
      <c r="L37" s="1" t="s">
        <v>4</v>
      </c>
      <c r="M37" s="1" t="s">
        <v>9</v>
      </c>
      <c r="N37" s="1" t="s">
        <v>1666</v>
      </c>
      <c r="O37" s="1" t="s">
        <v>1162</v>
      </c>
      <c r="P37" s="1"/>
      <c r="Q37" s="1"/>
      <c r="R37" s="1" t="s">
        <v>11</v>
      </c>
      <c r="S37" s="1"/>
      <c r="T37" s="1"/>
      <c r="U37" s="1"/>
      <c r="V37" s="1"/>
      <c r="W37" s="1"/>
      <c r="X37" s="1"/>
      <c r="Y37" s="1"/>
      <c r="Z37" s="1"/>
      <c r="AA37" s="1"/>
      <c r="AB37" s="1" t="s">
        <v>1734</v>
      </c>
      <c r="AC37" s="1"/>
      <c r="AD37" s="1"/>
      <c r="AE37" s="1" t="s">
        <v>1735</v>
      </c>
      <c r="AF37" s="1"/>
      <c r="AG37" s="1"/>
      <c r="AH37" s="1" t="s">
        <v>1736</v>
      </c>
      <c r="AI37" s="1"/>
      <c r="AJ37" s="1" t="s">
        <v>23</v>
      </c>
      <c r="AK37" s="1" t="s">
        <v>516</v>
      </c>
      <c r="AL37" s="1" t="s">
        <v>567</v>
      </c>
      <c r="AM37" s="1" t="s">
        <v>1737</v>
      </c>
      <c r="AN37" s="1" t="s">
        <v>516</v>
      </c>
      <c r="AO37" s="1" t="s">
        <v>1738</v>
      </c>
      <c r="AP37" s="2" t="s">
        <v>1739</v>
      </c>
      <c r="AQ37" s="2" t="s">
        <v>1155</v>
      </c>
      <c r="AR37" s="1" t="s">
        <v>286</v>
      </c>
      <c r="AS37" s="1" t="s">
        <v>1740</v>
      </c>
      <c r="AT37" s="1" t="s">
        <v>5</v>
      </c>
    </row>
    <row r="38" spans="1:46" hidden="1" x14ac:dyDescent="0.4">
      <c r="A38" s="1" t="s">
        <v>1822</v>
      </c>
      <c r="B38" s="10"/>
      <c r="C38" s="1" t="s">
        <v>0</v>
      </c>
      <c r="D38" s="1" t="s">
        <v>1158</v>
      </c>
      <c r="E38" s="1" t="s">
        <v>1159</v>
      </c>
      <c r="F38" s="1" t="s">
        <v>14</v>
      </c>
      <c r="G38" s="1" t="s">
        <v>1</v>
      </c>
      <c r="H38" s="1" t="s">
        <v>6</v>
      </c>
      <c r="I38" s="1" t="s">
        <v>2</v>
      </c>
      <c r="J38" s="1" t="s">
        <v>3</v>
      </c>
      <c r="K38" s="1" t="s">
        <v>1823</v>
      </c>
      <c r="L38" s="1" t="s">
        <v>7</v>
      </c>
      <c r="M38" s="1" t="s">
        <v>9</v>
      </c>
      <c r="N38" s="1" t="s">
        <v>1824</v>
      </c>
      <c r="O38" s="1" t="s">
        <v>1825</v>
      </c>
      <c r="P38" s="1"/>
      <c r="Q38" s="1"/>
      <c r="R38" s="1" t="s">
        <v>11</v>
      </c>
      <c r="S38" s="1"/>
      <c r="T38" s="1"/>
      <c r="U38" s="1"/>
      <c r="V38" s="1"/>
      <c r="W38" s="1"/>
      <c r="X38" s="1"/>
      <c r="Y38" s="1"/>
      <c r="Z38" s="1"/>
      <c r="AA38" s="1"/>
      <c r="AB38" s="1" t="s">
        <v>1826</v>
      </c>
      <c r="AC38" s="1"/>
      <c r="AD38" s="1"/>
      <c r="AE38" s="1" t="s">
        <v>1735</v>
      </c>
      <c r="AF38" s="1"/>
      <c r="AG38" s="1"/>
      <c r="AH38" s="1" t="s">
        <v>1827</v>
      </c>
      <c r="AI38" s="1"/>
      <c r="AJ38" s="1" t="s">
        <v>1828</v>
      </c>
      <c r="AK38" s="1" t="s">
        <v>1829</v>
      </c>
      <c r="AL38" s="1"/>
      <c r="AM38" s="1" t="s">
        <v>1828</v>
      </c>
      <c r="AN38" s="1" t="s">
        <v>1829</v>
      </c>
      <c r="AO38" s="1"/>
      <c r="AP38" s="2" t="s">
        <v>1830</v>
      </c>
      <c r="AQ38" s="2" t="s">
        <v>1155</v>
      </c>
      <c r="AR38" s="1" t="s">
        <v>286</v>
      </c>
      <c r="AS38" s="1"/>
      <c r="AT38" s="1" t="s">
        <v>5</v>
      </c>
    </row>
    <row r="39" spans="1:46" hidden="1" x14ac:dyDescent="0.4">
      <c r="A39" s="1" t="s">
        <v>1893</v>
      </c>
      <c r="B39" s="10"/>
      <c r="C39" s="1" t="s">
        <v>0</v>
      </c>
      <c r="D39" s="1" t="s">
        <v>1158</v>
      </c>
      <c r="E39" s="1" t="s">
        <v>1159</v>
      </c>
      <c r="F39" s="1" t="s">
        <v>14</v>
      </c>
      <c r="G39" s="1" t="s">
        <v>1</v>
      </c>
      <c r="H39" s="1" t="s">
        <v>6</v>
      </c>
      <c r="I39" s="1" t="s">
        <v>2</v>
      </c>
      <c r="J39" s="1" t="s">
        <v>3</v>
      </c>
      <c r="K39" s="1" t="s">
        <v>1894</v>
      </c>
      <c r="L39" s="1" t="s">
        <v>4</v>
      </c>
      <c r="M39" s="1" t="s">
        <v>9</v>
      </c>
      <c r="N39" s="1" t="s">
        <v>1895</v>
      </c>
      <c r="O39" s="1" t="s">
        <v>1162</v>
      </c>
      <c r="P39" s="1"/>
      <c r="Q39" s="1"/>
      <c r="R39" s="1" t="s">
        <v>11</v>
      </c>
      <c r="S39" s="1"/>
      <c r="T39" s="1"/>
      <c r="U39" s="1"/>
      <c r="V39" s="1"/>
      <c r="W39" s="1" t="s">
        <v>1896</v>
      </c>
      <c r="X39" s="1"/>
      <c r="Y39" s="1"/>
      <c r="Z39" s="1"/>
      <c r="AA39" s="1"/>
      <c r="AB39" s="1" t="s">
        <v>1897</v>
      </c>
      <c r="AC39" s="1"/>
      <c r="AD39" s="1"/>
      <c r="AE39" s="1" t="s">
        <v>1898</v>
      </c>
      <c r="AF39" s="1"/>
      <c r="AG39" s="1"/>
      <c r="AH39" s="1" t="s">
        <v>1899</v>
      </c>
      <c r="AI39" s="1"/>
      <c r="AJ39" s="1" t="s">
        <v>1835</v>
      </c>
      <c r="AK39" s="1" t="s">
        <v>1836</v>
      </c>
      <c r="AL39" s="1" t="s">
        <v>1837</v>
      </c>
      <c r="AM39" s="1" t="s">
        <v>1900</v>
      </c>
      <c r="AN39" s="1" t="s">
        <v>1839</v>
      </c>
      <c r="AO39" s="1"/>
      <c r="AP39" s="2" t="s">
        <v>1901</v>
      </c>
      <c r="AQ39" s="2" t="s">
        <v>1155</v>
      </c>
      <c r="AR39" s="1" t="s">
        <v>286</v>
      </c>
      <c r="AS39" s="1" t="s">
        <v>1882</v>
      </c>
      <c r="AT39" s="1" t="s">
        <v>5</v>
      </c>
    </row>
    <row r="40" spans="1:46" hidden="1" x14ac:dyDescent="0.4">
      <c r="A40" s="1" t="s">
        <v>1663</v>
      </c>
      <c r="B40" s="10"/>
      <c r="C40" s="1" t="s">
        <v>1664</v>
      </c>
      <c r="D40" s="1" t="s">
        <v>1158</v>
      </c>
      <c r="E40" s="1" t="s">
        <v>1185</v>
      </c>
      <c r="F40" s="1" t="s">
        <v>14</v>
      </c>
      <c r="G40" s="1" t="s">
        <v>1</v>
      </c>
      <c r="H40" s="1" t="s">
        <v>6</v>
      </c>
      <c r="I40" s="1" t="s">
        <v>2</v>
      </c>
      <c r="J40" s="1" t="s">
        <v>3</v>
      </c>
      <c r="K40" s="1" t="s">
        <v>1665</v>
      </c>
      <c r="L40" s="1" t="s">
        <v>7</v>
      </c>
      <c r="M40" s="1" t="s">
        <v>9</v>
      </c>
      <c r="N40" s="1" t="s">
        <v>1666</v>
      </c>
      <c r="O40" s="1" t="s">
        <v>1162</v>
      </c>
      <c r="P40" s="1"/>
      <c r="Q40" s="1"/>
      <c r="R40" s="1" t="s">
        <v>11</v>
      </c>
      <c r="S40" s="1"/>
      <c r="T40" s="1"/>
      <c r="U40" s="1"/>
      <c r="V40" s="1"/>
      <c r="W40" s="1" t="s">
        <v>1667</v>
      </c>
      <c r="X40" s="1"/>
      <c r="Y40" s="1"/>
      <c r="Z40" s="1"/>
      <c r="AA40" s="1"/>
      <c r="AB40" s="1" t="s">
        <v>1668</v>
      </c>
      <c r="AC40" s="1"/>
      <c r="AD40" s="1"/>
      <c r="AE40" s="1" t="s">
        <v>1669</v>
      </c>
      <c r="AF40" s="1"/>
      <c r="AG40" s="1"/>
      <c r="AH40" s="1" t="s">
        <v>1670</v>
      </c>
      <c r="AI40" s="1"/>
      <c r="AJ40" s="1" t="s">
        <v>1671</v>
      </c>
      <c r="AK40" s="1" t="s">
        <v>1672</v>
      </c>
      <c r="AL40" s="1" t="s">
        <v>1673</v>
      </c>
      <c r="AM40" s="1" t="s">
        <v>1671</v>
      </c>
      <c r="AN40" s="1" t="s">
        <v>1672</v>
      </c>
      <c r="AO40" s="1" t="s">
        <v>1673</v>
      </c>
      <c r="AP40" s="2" t="s">
        <v>1674</v>
      </c>
      <c r="AQ40" s="2" t="s">
        <v>1155</v>
      </c>
      <c r="AR40" s="1" t="s">
        <v>286</v>
      </c>
      <c r="AS40" s="1"/>
      <c r="AT40" s="1" t="s">
        <v>5</v>
      </c>
    </row>
    <row r="41" spans="1:46" hidden="1" x14ac:dyDescent="0.4">
      <c r="A41" s="1" t="s">
        <v>1874</v>
      </c>
      <c r="B41" s="10"/>
      <c r="C41" s="1" t="s">
        <v>0</v>
      </c>
      <c r="D41" s="1" t="s">
        <v>1158</v>
      </c>
      <c r="E41" s="1" t="s">
        <v>1159</v>
      </c>
      <c r="F41" s="1" t="s">
        <v>14</v>
      </c>
      <c r="G41" s="1" t="s">
        <v>1</v>
      </c>
      <c r="H41" s="1" t="s">
        <v>6</v>
      </c>
      <c r="I41" s="1" t="s">
        <v>2</v>
      </c>
      <c r="J41" s="1" t="s">
        <v>3</v>
      </c>
      <c r="K41" s="1" t="s">
        <v>1875</v>
      </c>
      <c r="L41" s="1" t="s">
        <v>4</v>
      </c>
      <c r="M41" s="1" t="s">
        <v>9</v>
      </c>
      <c r="N41" s="1" t="s">
        <v>1876</v>
      </c>
      <c r="O41" s="1" t="s">
        <v>1162</v>
      </c>
      <c r="P41" s="1"/>
      <c r="Q41" s="1"/>
      <c r="R41" s="1" t="s">
        <v>11</v>
      </c>
      <c r="S41" s="1"/>
      <c r="T41" s="1"/>
      <c r="U41" s="1"/>
      <c r="V41" s="1"/>
      <c r="W41" s="1" t="s">
        <v>1877</v>
      </c>
      <c r="X41" s="1"/>
      <c r="Y41" s="1"/>
      <c r="Z41" s="1"/>
      <c r="AA41" s="1"/>
      <c r="AB41" s="1" t="s">
        <v>1878</v>
      </c>
      <c r="AC41" s="1"/>
      <c r="AD41" s="1"/>
      <c r="AE41" s="1" t="s">
        <v>1879</v>
      </c>
      <c r="AF41" s="1"/>
      <c r="AG41" s="1"/>
      <c r="AH41" s="1" t="s">
        <v>1880</v>
      </c>
      <c r="AI41" s="1"/>
      <c r="AJ41" s="1" t="s">
        <v>1805</v>
      </c>
      <c r="AK41" s="1" t="s">
        <v>1806</v>
      </c>
      <c r="AL41" s="1" t="s">
        <v>1807</v>
      </c>
      <c r="AM41" s="1" t="s">
        <v>1808</v>
      </c>
      <c r="AN41" s="1" t="s">
        <v>1809</v>
      </c>
      <c r="AO41" s="1" t="s">
        <v>1810</v>
      </c>
      <c r="AP41" s="2" t="s">
        <v>1881</v>
      </c>
      <c r="AQ41" s="2" t="s">
        <v>1155</v>
      </c>
      <c r="AR41" s="1" t="s">
        <v>286</v>
      </c>
      <c r="AS41" s="1" t="s">
        <v>1882</v>
      </c>
      <c r="AT41" s="1" t="s">
        <v>5</v>
      </c>
    </row>
    <row r="42" spans="1:46" hidden="1" x14ac:dyDescent="0.4">
      <c r="A42" s="1" t="s">
        <v>1357</v>
      </c>
      <c r="B42" s="10"/>
      <c r="C42" s="1" t="s">
        <v>0</v>
      </c>
      <c r="D42" s="1" t="s">
        <v>1158</v>
      </c>
      <c r="E42" s="1" t="s">
        <v>1159</v>
      </c>
      <c r="F42" s="1" t="s">
        <v>14</v>
      </c>
      <c r="G42" s="1" t="s">
        <v>1</v>
      </c>
      <c r="H42" s="1" t="s">
        <v>6</v>
      </c>
      <c r="I42" s="1" t="s">
        <v>2</v>
      </c>
      <c r="J42" s="1" t="s">
        <v>3</v>
      </c>
      <c r="K42" s="1" t="s">
        <v>1358</v>
      </c>
      <c r="L42" s="1" t="s">
        <v>7</v>
      </c>
      <c r="M42" s="1" t="s">
        <v>9</v>
      </c>
      <c r="N42" s="1" t="s">
        <v>1359</v>
      </c>
      <c r="O42" s="1" t="s">
        <v>1360</v>
      </c>
      <c r="P42" s="1"/>
      <c r="Q42" s="1"/>
      <c r="R42" s="1" t="s">
        <v>11</v>
      </c>
      <c r="S42" s="1"/>
      <c r="T42" s="1"/>
      <c r="U42" s="1"/>
      <c r="V42" s="1"/>
      <c r="W42" s="1" t="s">
        <v>1361</v>
      </c>
      <c r="X42" s="1"/>
      <c r="Y42" s="1"/>
      <c r="Z42" s="1"/>
      <c r="AA42" s="1"/>
      <c r="AB42" s="1" t="s">
        <v>1362</v>
      </c>
      <c r="AC42" s="1"/>
      <c r="AD42" s="1"/>
      <c r="AE42" s="1" t="s">
        <v>1363</v>
      </c>
      <c r="AF42" s="1"/>
      <c r="AG42" s="1"/>
      <c r="AH42" s="1" t="s">
        <v>1364</v>
      </c>
      <c r="AI42" s="1"/>
      <c r="AJ42" s="1" t="s">
        <v>55</v>
      </c>
      <c r="AK42" s="1" t="s">
        <v>476</v>
      </c>
      <c r="AL42" s="1"/>
      <c r="AM42" s="1" t="s">
        <v>1365</v>
      </c>
      <c r="AN42" s="1" t="s">
        <v>476</v>
      </c>
      <c r="AO42" s="1" t="s">
        <v>1366</v>
      </c>
      <c r="AP42" s="2" t="s">
        <v>1367</v>
      </c>
      <c r="AQ42" s="2" t="s">
        <v>1154</v>
      </c>
      <c r="AR42" s="1" t="s">
        <v>286</v>
      </c>
      <c r="AS42" s="1" t="s">
        <v>1368</v>
      </c>
      <c r="AT42" s="1" t="s">
        <v>5</v>
      </c>
    </row>
    <row r="43" spans="1:46" hidden="1" x14ac:dyDescent="0.4">
      <c r="A43" s="1" t="s">
        <v>1369</v>
      </c>
      <c r="B43" s="10"/>
      <c r="C43" s="1" t="s">
        <v>0</v>
      </c>
      <c r="D43" s="1" t="s">
        <v>1158</v>
      </c>
      <c r="E43" s="1" t="s">
        <v>1159</v>
      </c>
      <c r="F43" s="1" t="s">
        <v>14</v>
      </c>
      <c r="G43" s="1" t="s">
        <v>1</v>
      </c>
      <c r="H43" s="1" t="s">
        <v>6</v>
      </c>
      <c r="I43" s="1" t="s">
        <v>2</v>
      </c>
      <c r="J43" s="1" t="s">
        <v>3</v>
      </c>
      <c r="K43" s="1" t="s">
        <v>1370</v>
      </c>
      <c r="L43" s="1" t="s">
        <v>7</v>
      </c>
      <c r="M43" s="1" t="s">
        <v>9</v>
      </c>
      <c r="N43" s="1" t="s">
        <v>1371</v>
      </c>
      <c r="O43" s="1" t="s">
        <v>1360</v>
      </c>
      <c r="P43" s="1"/>
      <c r="Q43" s="1"/>
      <c r="R43" s="1" t="s">
        <v>11</v>
      </c>
      <c r="S43" s="1"/>
      <c r="T43" s="1"/>
      <c r="U43" s="1"/>
      <c r="V43" s="1"/>
      <c r="W43" s="1" t="s">
        <v>1372</v>
      </c>
      <c r="X43" s="1"/>
      <c r="Y43" s="1"/>
      <c r="Z43" s="1"/>
      <c r="AA43" s="1"/>
      <c r="AB43" s="1" t="s">
        <v>1373</v>
      </c>
      <c r="AC43" s="1"/>
      <c r="AD43" s="1"/>
      <c r="AE43" s="1" t="s">
        <v>1363</v>
      </c>
      <c r="AF43" s="1"/>
      <c r="AG43" s="1"/>
      <c r="AH43" s="1" t="s">
        <v>1374</v>
      </c>
      <c r="AI43" s="1"/>
      <c r="AJ43" s="1" t="s">
        <v>55</v>
      </c>
      <c r="AK43" s="1" t="s">
        <v>476</v>
      </c>
      <c r="AL43" s="1"/>
      <c r="AM43" s="1" t="s">
        <v>1365</v>
      </c>
      <c r="AN43" s="1" t="s">
        <v>476</v>
      </c>
      <c r="AO43" s="1" t="s">
        <v>1366</v>
      </c>
      <c r="AP43" s="2" t="s">
        <v>1375</v>
      </c>
      <c r="AQ43" s="2" t="s">
        <v>1154</v>
      </c>
      <c r="AR43" s="1" t="s">
        <v>286</v>
      </c>
      <c r="AS43" s="1" t="s">
        <v>1368</v>
      </c>
      <c r="AT43" s="1" t="s">
        <v>5</v>
      </c>
    </row>
    <row r="44" spans="1:46" hidden="1" x14ac:dyDescent="0.4">
      <c r="A44" s="1" t="s">
        <v>1629</v>
      </c>
      <c r="B44" s="10"/>
      <c r="C44" s="1" t="s">
        <v>0</v>
      </c>
      <c r="D44" s="1" t="s">
        <v>1158</v>
      </c>
      <c r="E44" s="1" t="s">
        <v>1159</v>
      </c>
      <c r="F44" s="1" t="s">
        <v>14</v>
      </c>
      <c r="G44" s="1" t="s">
        <v>1</v>
      </c>
      <c r="H44" s="1" t="s">
        <v>6</v>
      </c>
      <c r="I44" s="1" t="s">
        <v>2</v>
      </c>
      <c r="J44" s="1" t="s">
        <v>3</v>
      </c>
      <c r="K44" s="1" t="s">
        <v>1630</v>
      </c>
      <c r="L44" s="1" t="s">
        <v>7</v>
      </c>
      <c r="M44" s="1" t="s">
        <v>9</v>
      </c>
      <c r="N44" s="1" t="s">
        <v>1631</v>
      </c>
      <c r="O44" s="1" t="s">
        <v>1632</v>
      </c>
      <c r="P44" s="1"/>
      <c r="Q44" s="1"/>
      <c r="R44" s="1" t="s">
        <v>11</v>
      </c>
      <c r="S44" s="1"/>
      <c r="T44" s="1"/>
      <c r="U44" s="1"/>
      <c r="V44" s="1"/>
      <c r="W44" s="1" t="s">
        <v>1631</v>
      </c>
      <c r="X44" s="1"/>
      <c r="Y44" s="1"/>
      <c r="Z44" s="1"/>
      <c r="AA44" s="1"/>
      <c r="AB44" s="1" t="s">
        <v>1633</v>
      </c>
      <c r="AC44" s="1"/>
      <c r="AD44" s="1"/>
      <c r="AE44" s="1" t="s">
        <v>1634</v>
      </c>
      <c r="AF44" s="1"/>
      <c r="AG44" s="1"/>
      <c r="AH44" s="1" t="s">
        <v>1635</v>
      </c>
      <c r="AI44" s="1"/>
      <c r="AJ44" s="1" t="s">
        <v>1513</v>
      </c>
      <c r="AK44" s="1" t="s">
        <v>1514</v>
      </c>
      <c r="AL44" s="1" t="s">
        <v>1515</v>
      </c>
      <c r="AM44" s="1" t="s">
        <v>1636</v>
      </c>
      <c r="AN44" s="1" t="s">
        <v>1514</v>
      </c>
      <c r="AO44" s="1" t="s">
        <v>1637</v>
      </c>
      <c r="AP44" s="2" t="s">
        <v>1638</v>
      </c>
      <c r="AQ44" s="2" t="s">
        <v>1154</v>
      </c>
      <c r="AR44" s="1" t="s">
        <v>286</v>
      </c>
      <c r="AS44" s="1" t="s">
        <v>1639</v>
      </c>
      <c r="AT44" s="1" t="s">
        <v>5</v>
      </c>
    </row>
    <row r="45" spans="1:46" hidden="1" x14ac:dyDescent="0.4">
      <c r="A45" s="1" t="s">
        <v>1975</v>
      </c>
      <c r="B45" s="10"/>
      <c r="C45" s="1" t="s">
        <v>0</v>
      </c>
      <c r="D45" s="1" t="s">
        <v>1158</v>
      </c>
      <c r="E45" s="1" t="s">
        <v>1159</v>
      </c>
      <c r="F45" s="1" t="s">
        <v>14</v>
      </c>
      <c r="G45" s="1" t="s">
        <v>1</v>
      </c>
      <c r="H45" s="1" t="s">
        <v>6</v>
      </c>
      <c r="I45" s="1" t="s">
        <v>2</v>
      </c>
      <c r="J45" s="1" t="s">
        <v>3</v>
      </c>
      <c r="K45" s="1" t="s">
        <v>1976</v>
      </c>
      <c r="L45" s="1" t="s">
        <v>4</v>
      </c>
      <c r="M45" s="1" t="s">
        <v>9</v>
      </c>
      <c r="N45" s="1" t="s">
        <v>1977</v>
      </c>
      <c r="O45" s="1" t="s">
        <v>1978</v>
      </c>
      <c r="P45" s="1"/>
      <c r="Q45" s="1"/>
      <c r="R45" s="1" t="s">
        <v>11</v>
      </c>
      <c r="S45" s="1"/>
      <c r="T45" s="1"/>
      <c r="U45" s="1"/>
      <c r="V45" s="1"/>
      <c r="W45" s="1" t="s">
        <v>1979</v>
      </c>
      <c r="X45" s="1"/>
      <c r="Y45" s="1"/>
      <c r="Z45" s="1"/>
      <c r="AA45" s="1"/>
      <c r="AB45" s="1" t="s">
        <v>1980</v>
      </c>
      <c r="AC45" s="1"/>
      <c r="AD45" s="1"/>
      <c r="AE45" s="1" t="s">
        <v>1981</v>
      </c>
      <c r="AF45" s="1"/>
      <c r="AG45" s="1"/>
      <c r="AH45" s="1" t="s">
        <v>1982</v>
      </c>
      <c r="AI45" s="1"/>
      <c r="AJ45" s="1" t="s">
        <v>1983</v>
      </c>
      <c r="AK45" s="1" t="s">
        <v>514</v>
      </c>
      <c r="AL45" s="1" t="s">
        <v>1984</v>
      </c>
      <c r="AM45" s="1" t="s">
        <v>1985</v>
      </c>
      <c r="AN45" s="1" t="s">
        <v>514</v>
      </c>
      <c r="AO45" s="1" t="s">
        <v>1986</v>
      </c>
      <c r="AP45" s="2" t="s">
        <v>1987</v>
      </c>
      <c r="AQ45" s="2" t="s">
        <v>1155</v>
      </c>
      <c r="AR45" s="1" t="s">
        <v>286</v>
      </c>
      <c r="AS45" s="1" t="s">
        <v>1988</v>
      </c>
      <c r="AT45" s="1" t="s">
        <v>5</v>
      </c>
    </row>
    <row r="46" spans="1:46" hidden="1" x14ac:dyDescent="0.4">
      <c r="A46" s="1" t="s">
        <v>1989</v>
      </c>
      <c r="B46" s="10"/>
      <c r="C46" s="1" t="s">
        <v>0</v>
      </c>
      <c r="D46" s="1" t="s">
        <v>1158</v>
      </c>
      <c r="E46" s="1" t="s">
        <v>1159</v>
      </c>
      <c r="F46" s="1" t="s">
        <v>14</v>
      </c>
      <c r="G46" s="1" t="s">
        <v>1</v>
      </c>
      <c r="H46" s="1" t="s">
        <v>6</v>
      </c>
      <c r="I46" s="1" t="s">
        <v>2</v>
      </c>
      <c r="J46" s="1" t="s">
        <v>3</v>
      </c>
      <c r="K46" s="1" t="s">
        <v>1990</v>
      </c>
      <c r="L46" s="1" t="s">
        <v>4</v>
      </c>
      <c r="M46" s="1" t="s">
        <v>9</v>
      </c>
      <c r="N46" s="1" t="s">
        <v>1991</v>
      </c>
      <c r="O46" s="1" t="s">
        <v>1978</v>
      </c>
      <c r="P46" s="1"/>
      <c r="Q46" s="1"/>
      <c r="R46" s="1" t="s">
        <v>11</v>
      </c>
      <c r="S46" s="1"/>
      <c r="T46" s="1"/>
      <c r="U46" s="1"/>
      <c r="V46" s="1"/>
      <c r="W46" s="1" t="s">
        <v>1992</v>
      </c>
      <c r="X46" s="1"/>
      <c r="Y46" s="1"/>
      <c r="Z46" s="1"/>
      <c r="AA46" s="1"/>
      <c r="AB46" s="1" t="s">
        <v>1993</v>
      </c>
      <c r="AC46" s="1"/>
      <c r="AD46" s="1"/>
      <c r="AE46" s="1" t="s">
        <v>1994</v>
      </c>
      <c r="AF46" s="1"/>
      <c r="AG46" s="1"/>
      <c r="AH46" s="1" t="s">
        <v>1995</v>
      </c>
      <c r="AI46" s="1"/>
      <c r="AJ46" s="1" t="s">
        <v>1983</v>
      </c>
      <c r="AK46" s="1" t="s">
        <v>514</v>
      </c>
      <c r="AL46" s="1" t="s">
        <v>1984</v>
      </c>
      <c r="AM46" s="1" t="s">
        <v>1985</v>
      </c>
      <c r="AN46" s="1" t="s">
        <v>514</v>
      </c>
      <c r="AO46" s="1" t="s">
        <v>1986</v>
      </c>
      <c r="AP46" s="2" t="s">
        <v>1996</v>
      </c>
      <c r="AQ46" s="2" t="s">
        <v>1155</v>
      </c>
      <c r="AR46" s="1" t="s">
        <v>286</v>
      </c>
      <c r="AS46" s="1" t="s">
        <v>1988</v>
      </c>
      <c r="AT46" s="1" t="s">
        <v>5</v>
      </c>
    </row>
    <row r="47" spans="1:46" hidden="1" x14ac:dyDescent="0.4">
      <c r="A47" s="1" t="s">
        <v>2006</v>
      </c>
      <c r="B47" s="10"/>
      <c r="C47" s="1" t="s">
        <v>0</v>
      </c>
      <c r="D47" s="1" t="s">
        <v>1158</v>
      </c>
      <c r="E47" s="1" t="s">
        <v>1159</v>
      </c>
      <c r="F47" s="1" t="s">
        <v>14</v>
      </c>
      <c r="G47" s="1" t="s">
        <v>1</v>
      </c>
      <c r="H47" s="1" t="s">
        <v>6</v>
      </c>
      <c r="I47" s="1" t="s">
        <v>2</v>
      </c>
      <c r="J47" s="1" t="s">
        <v>3</v>
      </c>
      <c r="K47" s="1" t="s">
        <v>2007</v>
      </c>
      <c r="L47" s="1" t="s">
        <v>7</v>
      </c>
      <c r="M47" s="1" t="s">
        <v>9</v>
      </c>
      <c r="N47" s="1" t="s">
        <v>2008</v>
      </c>
      <c r="O47" s="1" t="s">
        <v>2009</v>
      </c>
      <c r="P47" s="1"/>
      <c r="Q47" s="1"/>
      <c r="R47" s="1" t="s">
        <v>11</v>
      </c>
      <c r="S47" s="1"/>
      <c r="T47" s="1"/>
      <c r="U47" s="1"/>
      <c r="V47" s="1"/>
      <c r="W47" s="1"/>
      <c r="X47" s="1"/>
      <c r="Y47" s="1"/>
      <c r="Z47" s="1"/>
      <c r="AA47" s="1"/>
      <c r="AB47" s="1" t="s">
        <v>2010</v>
      </c>
      <c r="AC47" s="1"/>
      <c r="AD47" s="1"/>
      <c r="AE47" s="1" t="s">
        <v>2011</v>
      </c>
      <c r="AF47" s="1"/>
      <c r="AG47" s="1"/>
      <c r="AH47" s="1" t="s">
        <v>2012</v>
      </c>
      <c r="AI47" s="1"/>
      <c r="AJ47" s="1" t="s">
        <v>49</v>
      </c>
      <c r="AK47" s="1" t="s">
        <v>520</v>
      </c>
      <c r="AL47" s="1" t="s">
        <v>108</v>
      </c>
      <c r="AM47" s="1" t="s">
        <v>1960</v>
      </c>
      <c r="AN47" s="1" t="s">
        <v>520</v>
      </c>
      <c r="AO47" s="1" t="s">
        <v>2013</v>
      </c>
      <c r="AP47" s="2" t="s">
        <v>2014</v>
      </c>
      <c r="AQ47" s="2" t="s">
        <v>1155</v>
      </c>
      <c r="AR47" s="1" t="s">
        <v>286</v>
      </c>
      <c r="AS47" s="1" t="s">
        <v>2015</v>
      </c>
      <c r="AT47" s="1" t="s">
        <v>5</v>
      </c>
    </row>
    <row r="48" spans="1:46" hidden="1" x14ac:dyDescent="0.4">
      <c r="A48" s="1" t="s">
        <v>2016</v>
      </c>
      <c r="B48" s="10"/>
      <c r="C48" s="1" t="s">
        <v>0</v>
      </c>
      <c r="D48" s="1" t="s">
        <v>1158</v>
      </c>
      <c r="E48" s="1" t="s">
        <v>1159</v>
      </c>
      <c r="F48" s="1" t="s">
        <v>14</v>
      </c>
      <c r="G48" s="1" t="s">
        <v>1</v>
      </c>
      <c r="H48" s="1" t="s">
        <v>6</v>
      </c>
      <c r="I48" s="1" t="s">
        <v>2</v>
      </c>
      <c r="J48" s="1" t="s">
        <v>3</v>
      </c>
      <c r="K48" s="1" t="s">
        <v>2017</v>
      </c>
      <c r="L48" s="1" t="s">
        <v>7</v>
      </c>
      <c r="M48" s="1" t="s">
        <v>9</v>
      </c>
      <c r="N48" s="1" t="s">
        <v>1895</v>
      </c>
      <c r="O48" s="1" t="s">
        <v>1162</v>
      </c>
      <c r="P48" s="1"/>
      <c r="Q48" s="1"/>
      <c r="R48" s="1" t="s">
        <v>11</v>
      </c>
      <c r="S48" s="1"/>
      <c r="T48" s="1"/>
      <c r="U48" s="1"/>
      <c r="V48" s="1"/>
      <c r="W48" s="1"/>
      <c r="X48" s="1"/>
      <c r="Y48" s="1"/>
      <c r="Z48" s="1"/>
      <c r="AA48" s="1"/>
      <c r="AB48" s="1" t="s">
        <v>2018</v>
      </c>
      <c r="AC48" s="1"/>
      <c r="AD48" s="1"/>
      <c r="AE48" s="1" t="s">
        <v>2019</v>
      </c>
      <c r="AF48" s="1"/>
      <c r="AG48" s="1"/>
      <c r="AH48" s="1" t="s">
        <v>2020</v>
      </c>
      <c r="AI48" s="1"/>
      <c r="AJ48" s="1" t="s">
        <v>1578</v>
      </c>
      <c r="AK48" s="1" t="s">
        <v>1579</v>
      </c>
      <c r="AL48" s="1" t="s">
        <v>1580</v>
      </c>
      <c r="AM48" s="1" t="s">
        <v>2021</v>
      </c>
      <c r="AN48" s="1" t="s">
        <v>1579</v>
      </c>
      <c r="AO48" s="1" t="s">
        <v>2022</v>
      </c>
      <c r="AP48" s="2" t="s">
        <v>2023</v>
      </c>
      <c r="AQ48" s="2" t="s">
        <v>1155</v>
      </c>
      <c r="AR48" s="1" t="s">
        <v>286</v>
      </c>
      <c r="AS48" s="1" t="s">
        <v>1068</v>
      </c>
      <c r="AT48" s="1" t="s">
        <v>5</v>
      </c>
    </row>
    <row r="49" spans="1:46" hidden="1" x14ac:dyDescent="0.4">
      <c r="A49" s="1" t="s">
        <v>1925</v>
      </c>
      <c r="B49" s="10"/>
      <c r="C49" s="1" t="s">
        <v>0</v>
      </c>
      <c r="D49" s="1" t="s">
        <v>1158</v>
      </c>
      <c r="E49" s="1" t="s">
        <v>1159</v>
      </c>
      <c r="F49" s="1" t="s">
        <v>14</v>
      </c>
      <c r="G49" s="1" t="s">
        <v>1</v>
      </c>
      <c r="H49" s="1" t="s">
        <v>6</v>
      </c>
      <c r="I49" s="1" t="s">
        <v>2</v>
      </c>
      <c r="J49" s="1" t="s">
        <v>3</v>
      </c>
      <c r="K49" s="1" t="s">
        <v>1926</v>
      </c>
      <c r="L49" s="1" t="s">
        <v>4</v>
      </c>
      <c r="M49" s="1" t="s">
        <v>9</v>
      </c>
      <c r="N49" s="1" t="s">
        <v>1927</v>
      </c>
      <c r="O49" s="1" t="s">
        <v>1928</v>
      </c>
      <c r="P49" s="1" t="s">
        <v>1929</v>
      </c>
      <c r="Q49" s="1" t="s">
        <v>12</v>
      </c>
      <c r="R49" s="1" t="s">
        <v>11</v>
      </c>
      <c r="S49" s="1"/>
      <c r="T49" s="1" t="s">
        <v>12</v>
      </c>
      <c r="U49" s="1" t="s">
        <v>11</v>
      </c>
      <c r="V49" s="1"/>
      <c r="W49" s="1" t="s">
        <v>1930</v>
      </c>
      <c r="X49" s="1"/>
      <c r="Y49" s="1"/>
      <c r="Z49" s="1"/>
      <c r="AA49" s="1"/>
      <c r="AB49" s="1" t="s">
        <v>1931</v>
      </c>
      <c r="AC49" s="1"/>
      <c r="AD49" s="1"/>
      <c r="AE49" s="1" t="s">
        <v>1932</v>
      </c>
      <c r="AF49" s="1"/>
      <c r="AG49" s="1"/>
      <c r="AH49" s="1" t="s">
        <v>1933</v>
      </c>
      <c r="AI49" s="1"/>
      <c r="AJ49" s="1" t="s">
        <v>1934</v>
      </c>
      <c r="AK49" s="1" t="s">
        <v>502</v>
      </c>
      <c r="AL49" s="1" t="s">
        <v>1935</v>
      </c>
      <c r="AM49" s="1" t="s">
        <v>1936</v>
      </c>
      <c r="AN49" s="1" t="s">
        <v>502</v>
      </c>
      <c r="AO49" s="1" t="s">
        <v>1937</v>
      </c>
      <c r="AP49" s="2" t="s">
        <v>1938</v>
      </c>
      <c r="AQ49" s="2" t="s">
        <v>1155</v>
      </c>
      <c r="AR49" s="1" t="s">
        <v>286</v>
      </c>
      <c r="AS49" s="1" t="s">
        <v>1055</v>
      </c>
      <c r="AT49" s="1" t="s">
        <v>5</v>
      </c>
    </row>
    <row r="50" spans="1:46" hidden="1" x14ac:dyDescent="0.4">
      <c r="A50" s="1" t="s">
        <v>2040</v>
      </c>
      <c r="B50" s="10"/>
      <c r="C50" s="1" t="s">
        <v>0</v>
      </c>
      <c r="D50" s="1" t="s">
        <v>1158</v>
      </c>
      <c r="E50" s="1" t="s">
        <v>1159</v>
      </c>
      <c r="F50" s="1" t="s">
        <v>14</v>
      </c>
      <c r="G50" s="1" t="s">
        <v>1</v>
      </c>
      <c r="H50" s="1" t="s">
        <v>6</v>
      </c>
      <c r="I50" s="1" t="s">
        <v>2</v>
      </c>
      <c r="J50" s="1" t="s">
        <v>3</v>
      </c>
      <c r="K50" s="1" t="s">
        <v>2041</v>
      </c>
      <c r="L50" s="1" t="s">
        <v>7</v>
      </c>
      <c r="M50" s="1" t="s">
        <v>9</v>
      </c>
      <c r="N50" s="1" t="s">
        <v>2042</v>
      </c>
      <c r="O50" s="1" t="s">
        <v>2043</v>
      </c>
      <c r="P50" s="1"/>
      <c r="Q50" s="1" t="s">
        <v>12</v>
      </c>
      <c r="R50" s="1" t="s">
        <v>11</v>
      </c>
      <c r="S50" s="1"/>
      <c r="T50" s="1" t="s">
        <v>12</v>
      </c>
      <c r="U50" s="1" t="s">
        <v>11</v>
      </c>
      <c r="V50" s="1"/>
      <c r="W50" s="1" t="s">
        <v>2044</v>
      </c>
      <c r="X50" s="1"/>
      <c r="Y50" s="1"/>
      <c r="Z50" s="1"/>
      <c r="AA50" s="1"/>
      <c r="AB50" s="1" t="s">
        <v>2045</v>
      </c>
      <c r="AC50" s="1"/>
      <c r="AD50" s="1"/>
      <c r="AE50" s="1" t="s">
        <v>2046</v>
      </c>
      <c r="AF50" s="1"/>
      <c r="AG50" s="1"/>
      <c r="AH50" s="1" t="s">
        <v>2047</v>
      </c>
      <c r="AI50" s="1"/>
      <c r="AJ50" s="1" t="s">
        <v>2048</v>
      </c>
      <c r="AK50" s="1" t="s">
        <v>569</v>
      </c>
      <c r="AL50" s="1" t="s">
        <v>2049</v>
      </c>
      <c r="AM50" s="1" t="s">
        <v>277</v>
      </c>
      <c r="AN50" s="1" t="s">
        <v>569</v>
      </c>
      <c r="AO50" s="1" t="s">
        <v>278</v>
      </c>
      <c r="AP50" s="2" t="s">
        <v>2050</v>
      </c>
      <c r="AQ50" s="2" t="s">
        <v>1155</v>
      </c>
      <c r="AR50" s="1" t="s">
        <v>286</v>
      </c>
      <c r="AS50" s="1" t="s">
        <v>1076</v>
      </c>
      <c r="AT50" s="1" t="s">
        <v>5</v>
      </c>
    </row>
    <row r="51" spans="1:46" hidden="1" x14ac:dyDescent="0.4">
      <c r="A51" s="1" t="s">
        <v>1448</v>
      </c>
      <c r="B51" s="10"/>
      <c r="C51" s="1" t="s">
        <v>93</v>
      </c>
      <c r="D51" s="1" t="s">
        <v>1158</v>
      </c>
      <c r="E51" s="1" t="s">
        <v>1159</v>
      </c>
      <c r="F51" s="1" t="s">
        <v>14</v>
      </c>
      <c r="G51" s="1" t="s">
        <v>1</v>
      </c>
      <c r="H51" s="1" t="s">
        <v>6</v>
      </c>
      <c r="I51" s="1" t="s">
        <v>2</v>
      </c>
      <c r="J51" s="1" t="s">
        <v>3</v>
      </c>
      <c r="K51" s="1" t="s">
        <v>1449</v>
      </c>
      <c r="L51" s="1" t="s">
        <v>4</v>
      </c>
      <c r="M51" s="1" t="s">
        <v>9</v>
      </c>
      <c r="N51" s="1" t="s">
        <v>1450</v>
      </c>
      <c r="O51" s="1" t="s">
        <v>1175</v>
      </c>
      <c r="P51" s="1"/>
      <c r="Q51" s="1"/>
      <c r="R51" s="1" t="s">
        <v>11</v>
      </c>
      <c r="S51" s="1"/>
      <c r="T51" s="1"/>
      <c r="U51" s="1"/>
      <c r="V51" s="1"/>
      <c r="W51" s="1" t="s">
        <v>1451</v>
      </c>
      <c r="X51" s="1"/>
      <c r="Y51" s="1"/>
      <c r="Z51" s="1"/>
      <c r="AA51" s="1"/>
      <c r="AB51" s="1" t="s">
        <v>1452</v>
      </c>
      <c r="AC51" s="1"/>
      <c r="AD51" s="1"/>
      <c r="AE51" s="1" t="s">
        <v>1453</v>
      </c>
      <c r="AF51" s="1"/>
      <c r="AG51" s="1"/>
      <c r="AH51" s="1" t="s">
        <v>1454</v>
      </c>
      <c r="AI51" s="1"/>
      <c r="AJ51" s="1" t="s">
        <v>1455</v>
      </c>
      <c r="AK51" s="1" t="s">
        <v>1456</v>
      </c>
      <c r="AL51" s="1" t="s">
        <v>1457</v>
      </c>
      <c r="AM51" s="1" t="s">
        <v>1458</v>
      </c>
      <c r="AN51" s="1" t="s">
        <v>1456</v>
      </c>
      <c r="AO51" s="1" t="s">
        <v>1459</v>
      </c>
      <c r="AP51" s="2" t="s">
        <v>1460</v>
      </c>
      <c r="AQ51" s="2" t="s">
        <v>1154</v>
      </c>
      <c r="AR51" s="1" t="s">
        <v>286</v>
      </c>
      <c r="AS51" s="1" t="s">
        <v>1461</v>
      </c>
      <c r="AT51" s="1" t="s">
        <v>5</v>
      </c>
    </row>
    <row r="52" spans="1:46" hidden="1" x14ac:dyDescent="0.4">
      <c r="A52" s="1" t="s">
        <v>1376</v>
      </c>
      <c r="B52" s="10"/>
      <c r="C52" s="1" t="s">
        <v>0</v>
      </c>
      <c r="D52" s="1" t="s">
        <v>1158</v>
      </c>
      <c r="E52" s="1" t="s">
        <v>1159</v>
      </c>
      <c r="F52" s="1" t="s">
        <v>14</v>
      </c>
      <c r="G52" s="1" t="s">
        <v>1</v>
      </c>
      <c r="H52" s="1" t="s">
        <v>6</v>
      </c>
      <c r="I52" s="1" t="s">
        <v>2</v>
      </c>
      <c r="J52" s="1" t="s">
        <v>3</v>
      </c>
      <c r="K52" s="1" t="s">
        <v>1377</v>
      </c>
      <c r="L52" s="1" t="s">
        <v>4</v>
      </c>
      <c r="M52" s="1" t="s">
        <v>9</v>
      </c>
      <c r="N52" s="1" t="s">
        <v>1378</v>
      </c>
      <c r="O52" s="1" t="s">
        <v>1175</v>
      </c>
      <c r="P52" s="1"/>
      <c r="Q52" s="1"/>
      <c r="R52" s="1" t="s">
        <v>11</v>
      </c>
      <c r="S52" s="1"/>
      <c r="T52" s="1"/>
      <c r="U52" s="1"/>
      <c r="V52" s="1"/>
      <c r="W52" s="1"/>
      <c r="X52" s="1"/>
      <c r="Y52" s="1"/>
      <c r="Z52" s="1"/>
      <c r="AA52" s="1"/>
      <c r="AB52" s="1" t="s">
        <v>1379</v>
      </c>
      <c r="AC52" s="1"/>
      <c r="AD52" s="1"/>
      <c r="AE52" s="1" t="s">
        <v>1380</v>
      </c>
      <c r="AF52" s="1"/>
      <c r="AG52" s="1"/>
      <c r="AH52" s="1" t="s">
        <v>1381</v>
      </c>
      <c r="AI52" s="1"/>
      <c r="AJ52" s="1" t="s">
        <v>158</v>
      </c>
      <c r="AK52" s="1" t="s">
        <v>504</v>
      </c>
      <c r="AL52" s="1" t="s">
        <v>159</v>
      </c>
      <c r="AM52" s="1" t="s">
        <v>1382</v>
      </c>
      <c r="AN52" s="1" t="s">
        <v>504</v>
      </c>
      <c r="AO52" s="1" t="s">
        <v>1383</v>
      </c>
      <c r="AP52" s="2" t="s">
        <v>1384</v>
      </c>
      <c r="AQ52" s="2" t="s">
        <v>1154</v>
      </c>
      <c r="AR52" s="1" t="s">
        <v>286</v>
      </c>
      <c r="AS52" s="1" t="s">
        <v>1385</v>
      </c>
      <c r="AT52" s="1" t="s">
        <v>5</v>
      </c>
    </row>
    <row r="53" spans="1:46" hidden="1" x14ac:dyDescent="0.4">
      <c r="A53" s="1" t="s">
        <v>1701</v>
      </c>
      <c r="B53" s="10"/>
      <c r="C53" s="1" t="s">
        <v>0</v>
      </c>
      <c r="D53" s="1" t="s">
        <v>1158</v>
      </c>
      <c r="E53" s="1" t="s">
        <v>1159</v>
      </c>
      <c r="F53" s="1" t="s">
        <v>14</v>
      </c>
      <c r="G53" s="1" t="s">
        <v>1</v>
      </c>
      <c r="H53" s="1" t="s">
        <v>6</v>
      </c>
      <c r="I53" s="1" t="s">
        <v>2</v>
      </c>
      <c r="J53" s="1" t="s">
        <v>3</v>
      </c>
      <c r="K53" s="1" t="s">
        <v>1702</v>
      </c>
      <c r="L53" s="1" t="s">
        <v>4</v>
      </c>
      <c r="M53" s="1" t="s">
        <v>9</v>
      </c>
      <c r="N53" s="1" t="s">
        <v>1703</v>
      </c>
      <c r="O53" s="1" t="s">
        <v>1704</v>
      </c>
      <c r="P53" s="1"/>
      <c r="Q53" s="1"/>
      <c r="R53" s="1" t="s">
        <v>11</v>
      </c>
      <c r="S53" s="1"/>
      <c r="T53" s="1"/>
      <c r="U53" s="1"/>
      <c r="V53" s="1"/>
      <c r="W53" s="1"/>
      <c r="X53" s="1"/>
      <c r="Y53" s="1"/>
      <c r="Z53" s="1"/>
      <c r="AA53" s="1"/>
      <c r="AB53" s="1" t="s">
        <v>1705</v>
      </c>
      <c r="AC53" s="1"/>
      <c r="AD53" s="1"/>
      <c r="AE53" s="1" t="s">
        <v>1706</v>
      </c>
      <c r="AF53" s="1"/>
      <c r="AG53" s="1"/>
      <c r="AH53" s="1" t="s">
        <v>1707</v>
      </c>
      <c r="AI53" s="1"/>
      <c r="AJ53" s="1" t="s">
        <v>54</v>
      </c>
      <c r="AK53" s="1" t="s">
        <v>514</v>
      </c>
      <c r="AL53" s="1"/>
      <c r="AM53" s="1" t="s">
        <v>1708</v>
      </c>
      <c r="AN53" s="1" t="s">
        <v>514</v>
      </c>
      <c r="AO53" s="1" t="s">
        <v>1709</v>
      </c>
      <c r="AP53" s="2" t="s">
        <v>1710</v>
      </c>
      <c r="AQ53" s="2" t="s">
        <v>1155</v>
      </c>
      <c r="AR53" s="1" t="s">
        <v>286</v>
      </c>
      <c r="AS53" s="1" t="s">
        <v>1711</v>
      </c>
      <c r="AT53" s="1" t="s">
        <v>5</v>
      </c>
    </row>
    <row r="54" spans="1:46" hidden="1" x14ac:dyDescent="0.4">
      <c r="A54" s="1" t="s">
        <v>2065</v>
      </c>
      <c r="B54" s="10"/>
      <c r="C54" s="1" t="s">
        <v>0</v>
      </c>
      <c r="D54" s="1" t="s">
        <v>1158</v>
      </c>
      <c r="E54" s="1" t="s">
        <v>1159</v>
      </c>
      <c r="F54" s="1" t="s">
        <v>14</v>
      </c>
      <c r="G54" s="1" t="s">
        <v>1</v>
      </c>
      <c r="H54" s="1" t="s">
        <v>6</v>
      </c>
      <c r="I54" s="1" t="s">
        <v>2</v>
      </c>
      <c r="J54" s="1" t="s">
        <v>3</v>
      </c>
      <c r="K54" s="1" t="s">
        <v>2066</v>
      </c>
      <c r="L54" s="1" t="s">
        <v>4</v>
      </c>
      <c r="M54" s="1" t="s">
        <v>9</v>
      </c>
      <c r="N54" s="1" t="s">
        <v>2067</v>
      </c>
      <c r="O54" s="1" t="s">
        <v>1865</v>
      </c>
      <c r="P54" s="1"/>
      <c r="Q54" s="1" t="s">
        <v>12</v>
      </c>
      <c r="R54" s="1" t="s">
        <v>11</v>
      </c>
      <c r="S54" s="1"/>
      <c r="T54" s="1" t="s">
        <v>12</v>
      </c>
      <c r="U54" s="1" t="s">
        <v>11</v>
      </c>
      <c r="V54" s="1"/>
      <c r="W54" s="1"/>
      <c r="X54" s="1"/>
      <c r="Y54" s="1"/>
      <c r="Z54" s="1"/>
      <c r="AA54" s="1"/>
      <c r="AB54" s="1" t="s">
        <v>2068</v>
      </c>
      <c r="AC54" s="1"/>
      <c r="AD54" s="1"/>
      <c r="AE54" s="1" t="s">
        <v>2069</v>
      </c>
      <c r="AF54" s="1"/>
      <c r="AG54" s="1"/>
      <c r="AH54" s="1" t="s">
        <v>2070</v>
      </c>
      <c r="AI54" s="1"/>
      <c r="AJ54" s="1" t="s">
        <v>2071</v>
      </c>
      <c r="AK54" s="1" t="s">
        <v>1829</v>
      </c>
      <c r="AL54" s="1" t="s">
        <v>2072</v>
      </c>
      <c r="AM54" s="1" t="s">
        <v>2071</v>
      </c>
      <c r="AN54" s="1" t="s">
        <v>1829</v>
      </c>
      <c r="AO54" s="1" t="s">
        <v>2072</v>
      </c>
      <c r="AP54" s="2" t="s">
        <v>2073</v>
      </c>
      <c r="AQ54" s="2" t="s">
        <v>1155</v>
      </c>
      <c r="AR54" s="1" t="s">
        <v>286</v>
      </c>
      <c r="AS54" s="1" t="s">
        <v>2074</v>
      </c>
      <c r="AT54" s="1" t="s">
        <v>5</v>
      </c>
    </row>
    <row r="55" spans="1:46" hidden="1" x14ac:dyDescent="0.4">
      <c r="A55" s="1" t="s">
        <v>1964</v>
      </c>
      <c r="B55" s="10"/>
      <c r="C55" s="1" t="s">
        <v>0</v>
      </c>
      <c r="D55" s="1" t="s">
        <v>1158</v>
      </c>
      <c r="E55" s="1" t="s">
        <v>1159</v>
      </c>
      <c r="F55" s="1" t="s">
        <v>14</v>
      </c>
      <c r="G55" s="1" t="s">
        <v>1</v>
      </c>
      <c r="H55" s="1" t="s">
        <v>6</v>
      </c>
      <c r="I55" s="1" t="s">
        <v>2</v>
      </c>
      <c r="J55" s="1" t="s">
        <v>3</v>
      </c>
      <c r="K55" s="1" t="s">
        <v>1965</v>
      </c>
      <c r="L55" s="1" t="s">
        <v>4</v>
      </c>
      <c r="M55" s="1" t="s">
        <v>9</v>
      </c>
      <c r="N55" s="1" t="s">
        <v>1966</v>
      </c>
      <c r="O55" s="1" t="s">
        <v>1162</v>
      </c>
      <c r="P55" s="1" t="s">
        <v>1896</v>
      </c>
      <c r="Q55" s="1"/>
      <c r="R55" s="1" t="s">
        <v>11</v>
      </c>
      <c r="S55" s="1"/>
      <c r="T55" s="1"/>
      <c r="U55" s="1"/>
      <c r="V55" s="1"/>
      <c r="W55" s="1" t="s">
        <v>1967</v>
      </c>
      <c r="X55" s="1"/>
      <c r="Y55" s="1"/>
      <c r="Z55" s="1"/>
      <c r="AA55" s="1"/>
      <c r="AB55" s="1" t="s">
        <v>1968</v>
      </c>
      <c r="AC55" s="1"/>
      <c r="AD55" s="1"/>
      <c r="AE55" s="1" t="s">
        <v>1969</v>
      </c>
      <c r="AF55" s="1"/>
      <c r="AG55" s="1"/>
      <c r="AH55" s="1" t="s">
        <v>1970</v>
      </c>
      <c r="AI55" s="1"/>
      <c r="AJ55" s="1" t="s">
        <v>1934</v>
      </c>
      <c r="AK55" s="1" t="s">
        <v>502</v>
      </c>
      <c r="AL55" s="1" t="s">
        <v>1935</v>
      </c>
      <c r="AM55" s="1" t="s">
        <v>1971</v>
      </c>
      <c r="AN55" s="1" t="s">
        <v>502</v>
      </c>
      <c r="AO55" s="1" t="s">
        <v>1972</v>
      </c>
      <c r="AP55" s="2" t="s">
        <v>1973</v>
      </c>
      <c r="AQ55" s="2" t="s">
        <v>1155</v>
      </c>
      <c r="AR55" s="1" t="s">
        <v>286</v>
      </c>
      <c r="AS55" s="1" t="s">
        <v>1974</v>
      </c>
      <c r="AT55" s="1" t="s">
        <v>5</v>
      </c>
    </row>
    <row r="56" spans="1:46" hidden="1" x14ac:dyDescent="0.4">
      <c r="A56" s="1" t="s">
        <v>1572</v>
      </c>
      <c r="B56" s="10"/>
      <c r="C56" s="1" t="s">
        <v>0</v>
      </c>
      <c r="D56" s="1" t="s">
        <v>1158</v>
      </c>
      <c r="E56" s="1" t="s">
        <v>1159</v>
      </c>
      <c r="F56" s="1" t="s">
        <v>14</v>
      </c>
      <c r="G56" s="1" t="s">
        <v>1</v>
      </c>
      <c r="H56" s="1" t="s">
        <v>6</v>
      </c>
      <c r="I56" s="1" t="s">
        <v>2</v>
      </c>
      <c r="J56" s="1" t="s">
        <v>3</v>
      </c>
      <c r="K56" s="1" t="s">
        <v>1573</v>
      </c>
      <c r="L56" s="1" t="s">
        <v>4</v>
      </c>
      <c r="M56" s="1" t="s">
        <v>9</v>
      </c>
      <c r="N56" s="1" t="s">
        <v>1574</v>
      </c>
      <c r="O56" s="1" t="s">
        <v>1221</v>
      </c>
      <c r="P56" s="1"/>
      <c r="Q56" s="1"/>
      <c r="R56" s="1" t="s">
        <v>11</v>
      </c>
      <c r="S56" s="1"/>
      <c r="T56" s="1"/>
      <c r="U56" s="1"/>
      <c r="V56" s="1"/>
      <c r="W56" s="1" t="s">
        <v>1575</v>
      </c>
      <c r="X56" s="1"/>
      <c r="Y56" s="1"/>
      <c r="Z56" s="1"/>
      <c r="AA56" s="1"/>
      <c r="AB56" s="1" t="s">
        <v>1576</v>
      </c>
      <c r="AC56" s="1"/>
      <c r="AD56" s="1"/>
      <c r="AE56" s="1" t="s">
        <v>1339</v>
      </c>
      <c r="AF56" s="1"/>
      <c r="AG56" s="1"/>
      <c r="AH56" s="1" t="s">
        <v>1577</v>
      </c>
      <c r="AI56" s="1"/>
      <c r="AJ56" s="1" t="s">
        <v>1578</v>
      </c>
      <c r="AK56" s="1" t="s">
        <v>1579</v>
      </c>
      <c r="AL56" s="1" t="s">
        <v>1580</v>
      </c>
      <c r="AM56" s="1" t="s">
        <v>1581</v>
      </c>
      <c r="AN56" s="1" t="s">
        <v>1579</v>
      </c>
      <c r="AO56" s="1" t="s">
        <v>1582</v>
      </c>
      <c r="AP56" s="2" t="s">
        <v>1583</v>
      </c>
      <c r="AQ56" s="2" t="s">
        <v>1154</v>
      </c>
      <c r="AR56" s="1" t="s">
        <v>286</v>
      </c>
      <c r="AS56" s="1" t="s">
        <v>1584</v>
      </c>
      <c r="AT56" s="1" t="s">
        <v>5</v>
      </c>
    </row>
    <row r="57" spans="1:46" hidden="1" x14ac:dyDescent="0.4">
      <c r="A57" s="1" t="s">
        <v>1909</v>
      </c>
      <c r="B57" s="10"/>
      <c r="C57" s="1" t="s">
        <v>0</v>
      </c>
      <c r="D57" s="1" t="s">
        <v>1158</v>
      </c>
      <c r="E57" s="1" t="s">
        <v>1159</v>
      </c>
      <c r="F57" s="1" t="s">
        <v>14</v>
      </c>
      <c r="G57" s="1" t="s">
        <v>1</v>
      </c>
      <c r="H57" s="1" t="s">
        <v>6</v>
      </c>
      <c r="I57" s="1" t="s">
        <v>2</v>
      </c>
      <c r="J57" s="1" t="s">
        <v>3</v>
      </c>
      <c r="K57" s="1" t="s">
        <v>1910</v>
      </c>
      <c r="L57" s="1" t="s">
        <v>4</v>
      </c>
      <c r="M57" s="1" t="s">
        <v>9</v>
      </c>
      <c r="N57" s="1" t="s">
        <v>1911</v>
      </c>
      <c r="O57" s="1" t="s">
        <v>1162</v>
      </c>
      <c r="P57" s="1"/>
      <c r="Q57" s="1"/>
      <c r="R57" s="1" t="s">
        <v>11</v>
      </c>
      <c r="S57" s="1"/>
      <c r="T57" s="1"/>
      <c r="U57" s="1"/>
      <c r="V57" s="1"/>
      <c r="W57" s="1" t="s">
        <v>1896</v>
      </c>
      <c r="X57" s="1"/>
      <c r="Y57" s="1"/>
      <c r="Z57" s="1"/>
      <c r="AA57" s="1"/>
      <c r="AB57" s="1" t="s">
        <v>1912</v>
      </c>
      <c r="AC57" s="1"/>
      <c r="AD57" s="1"/>
      <c r="AE57" s="1" t="s">
        <v>1913</v>
      </c>
      <c r="AF57" s="1"/>
      <c r="AG57" s="1"/>
      <c r="AH57" s="1" t="s">
        <v>1914</v>
      </c>
      <c r="AI57" s="1"/>
      <c r="AJ57" s="1" t="s">
        <v>1835</v>
      </c>
      <c r="AK57" s="1" t="s">
        <v>1836</v>
      </c>
      <c r="AL57" s="1" t="s">
        <v>1837</v>
      </c>
      <c r="AM57" s="1" t="s">
        <v>1900</v>
      </c>
      <c r="AN57" s="1" t="s">
        <v>1839</v>
      </c>
      <c r="AO57" s="1"/>
      <c r="AP57" s="2" t="s">
        <v>1915</v>
      </c>
      <c r="AQ57" s="2" t="s">
        <v>1155</v>
      </c>
      <c r="AR57" s="1" t="s">
        <v>286</v>
      </c>
      <c r="AS57" s="1" t="s">
        <v>1882</v>
      </c>
      <c r="AT57" s="1" t="s">
        <v>5</v>
      </c>
    </row>
    <row r="58" spans="1:46" hidden="1" x14ac:dyDescent="0.4">
      <c r="A58" s="1" t="s">
        <v>1902</v>
      </c>
      <c r="B58" s="10"/>
      <c r="C58" s="1" t="s">
        <v>0</v>
      </c>
      <c r="D58" s="1" t="s">
        <v>1158</v>
      </c>
      <c r="E58" s="1" t="s">
        <v>1159</v>
      </c>
      <c r="F58" s="1" t="s">
        <v>14</v>
      </c>
      <c r="G58" s="1" t="s">
        <v>1</v>
      </c>
      <c r="H58" s="1" t="s">
        <v>6</v>
      </c>
      <c r="I58" s="1" t="s">
        <v>2</v>
      </c>
      <c r="J58" s="1" t="s">
        <v>3</v>
      </c>
      <c r="K58" s="1" t="s">
        <v>1903</v>
      </c>
      <c r="L58" s="1" t="s">
        <v>4</v>
      </c>
      <c r="M58" s="1" t="s">
        <v>9</v>
      </c>
      <c r="N58" s="1" t="s">
        <v>1904</v>
      </c>
      <c r="O58" s="1" t="s">
        <v>1162</v>
      </c>
      <c r="P58" s="1"/>
      <c r="Q58" s="1"/>
      <c r="R58" s="1" t="s">
        <v>11</v>
      </c>
      <c r="S58" s="1"/>
      <c r="T58" s="1"/>
      <c r="U58" s="1"/>
      <c r="V58" s="1"/>
      <c r="W58" s="1" t="s">
        <v>1896</v>
      </c>
      <c r="X58" s="1"/>
      <c r="Y58" s="1"/>
      <c r="Z58" s="1"/>
      <c r="AA58" s="1"/>
      <c r="AB58" s="1" t="s">
        <v>1905</v>
      </c>
      <c r="AC58" s="1"/>
      <c r="AD58" s="1"/>
      <c r="AE58" s="1" t="s">
        <v>1906</v>
      </c>
      <c r="AF58" s="1"/>
      <c r="AG58" s="1"/>
      <c r="AH58" s="1" t="s">
        <v>1907</v>
      </c>
      <c r="AI58" s="1"/>
      <c r="AJ58" s="1" t="s">
        <v>1835</v>
      </c>
      <c r="AK58" s="1" t="s">
        <v>1836</v>
      </c>
      <c r="AL58" s="1" t="s">
        <v>1837</v>
      </c>
      <c r="AM58" s="1" t="s">
        <v>1900</v>
      </c>
      <c r="AN58" s="1" t="s">
        <v>1839</v>
      </c>
      <c r="AO58" s="1"/>
      <c r="AP58" s="2" t="s">
        <v>1908</v>
      </c>
      <c r="AQ58" s="2" t="s">
        <v>1155</v>
      </c>
      <c r="AR58" s="1" t="s">
        <v>286</v>
      </c>
      <c r="AS58" s="1" t="s">
        <v>1882</v>
      </c>
      <c r="AT58" s="1" t="s">
        <v>5</v>
      </c>
    </row>
    <row r="59" spans="1:46" hidden="1" x14ac:dyDescent="0.4">
      <c r="A59" s="1" t="s">
        <v>1335</v>
      </c>
      <c r="B59" s="10"/>
      <c r="C59" s="1" t="s">
        <v>0</v>
      </c>
      <c r="D59" s="1" t="s">
        <v>1158</v>
      </c>
      <c r="E59" s="1" t="s">
        <v>1159</v>
      </c>
      <c r="F59" s="1" t="s">
        <v>14</v>
      </c>
      <c r="G59" s="1" t="s">
        <v>1</v>
      </c>
      <c r="H59" s="1" t="s">
        <v>6</v>
      </c>
      <c r="I59" s="1" t="s">
        <v>2</v>
      </c>
      <c r="J59" s="1" t="s">
        <v>3</v>
      </c>
      <c r="K59" s="1" t="s">
        <v>1336</v>
      </c>
      <c r="L59" s="1" t="s">
        <v>7</v>
      </c>
      <c r="M59" s="1" t="s">
        <v>9</v>
      </c>
      <c r="N59" s="1" t="s">
        <v>1337</v>
      </c>
      <c r="O59" s="1" t="s">
        <v>1221</v>
      </c>
      <c r="P59" s="1"/>
      <c r="Q59" s="1"/>
      <c r="R59" s="1" t="s">
        <v>11</v>
      </c>
      <c r="S59" s="1"/>
      <c r="T59" s="1"/>
      <c r="U59" s="1"/>
      <c r="V59" s="1"/>
      <c r="W59" s="1"/>
      <c r="X59" s="1"/>
      <c r="Y59" s="1"/>
      <c r="Z59" s="1"/>
      <c r="AA59" s="1"/>
      <c r="AB59" s="1" t="s">
        <v>1338</v>
      </c>
      <c r="AC59" s="1"/>
      <c r="AD59" s="1"/>
      <c r="AE59" s="1" t="s">
        <v>1339</v>
      </c>
      <c r="AF59" s="1"/>
      <c r="AG59" s="1"/>
      <c r="AH59" s="1" t="s">
        <v>1340</v>
      </c>
      <c r="AI59" s="1"/>
      <c r="AJ59" s="1" t="s">
        <v>1327</v>
      </c>
      <c r="AK59" s="1" t="s">
        <v>598</v>
      </c>
      <c r="AL59" s="1"/>
      <c r="AM59" s="1" t="s">
        <v>1277</v>
      </c>
      <c r="AN59" s="1" t="s">
        <v>598</v>
      </c>
      <c r="AO59" s="1" t="s">
        <v>1278</v>
      </c>
      <c r="AP59" s="2" t="s">
        <v>1341</v>
      </c>
      <c r="AQ59" s="2" t="s">
        <v>1154</v>
      </c>
      <c r="AR59" s="1" t="s">
        <v>286</v>
      </c>
      <c r="AS59" s="1" t="s">
        <v>1342</v>
      </c>
      <c r="AT59" s="1" t="s">
        <v>5</v>
      </c>
    </row>
    <row r="60" spans="1:46" hidden="1" x14ac:dyDescent="0.4">
      <c r="A60" s="1" t="s">
        <v>1343</v>
      </c>
      <c r="B60" s="10"/>
      <c r="C60" s="1" t="s">
        <v>0</v>
      </c>
      <c r="D60" s="1" t="s">
        <v>1158</v>
      </c>
      <c r="E60" s="1" t="s">
        <v>1159</v>
      </c>
      <c r="F60" s="1" t="s">
        <v>14</v>
      </c>
      <c r="G60" s="1" t="s">
        <v>1</v>
      </c>
      <c r="H60" s="1" t="s">
        <v>6</v>
      </c>
      <c r="I60" s="1" t="s">
        <v>2</v>
      </c>
      <c r="J60" s="1" t="s">
        <v>3</v>
      </c>
      <c r="K60" s="1" t="s">
        <v>1344</v>
      </c>
      <c r="L60" s="1" t="s">
        <v>7</v>
      </c>
      <c r="M60" s="1" t="s">
        <v>9</v>
      </c>
      <c r="N60" s="1" t="s">
        <v>1345</v>
      </c>
      <c r="O60" s="1" t="s">
        <v>1221</v>
      </c>
      <c r="P60" s="1"/>
      <c r="Q60" s="1"/>
      <c r="R60" s="1" t="s">
        <v>11</v>
      </c>
      <c r="S60" s="1"/>
      <c r="T60" s="1"/>
      <c r="U60" s="1"/>
      <c r="V60" s="1"/>
      <c r="W60" s="1"/>
      <c r="X60" s="1"/>
      <c r="Y60" s="1"/>
      <c r="Z60" s="1"/>
      <c r="AA60" s="1"/>
      <c r="AB60" s="1" t="s">
        <v>1346</v>
      </c>
      <c r="AC60" s="1"/>
      <c r="AD60" s="1"/>
      <c r="AE60" s="1" t="s">
        <v>1347</v>
      </c>
      <c r="AF60" s="1"/>
      <c r="AG60" s="1"/>
      <c r="AH60" s="1" t="s">
        <v>1348</v>
      </c>
      <c r="AI60" s="1"/>
      <c r="AJ60" s="1" t="s">
        <v>1327</v>
      </c>
      <c r="AK60" s="1" t="s">
        <v>598</v>
      </c>
      <c r="AL60" s="1"/>
      <c r="AM60" s="1" t="s">
        <v>1277</v>
      </c>
      <c r="AN60" s="1" t="s">
        <v>598</v>
      </c>
      <c r="AO60" s="1" t="s">
        <v>1278</v>
      </c>
      <c r="AP60" s="2" t="s">
        <v>1349</v>
      </c>
      <c r="AQ60" s="2" t="s">
        <v>1154</v>
      </c>
      <c r="AR60" s="1" t="s">
        <v>286</v>
      </c>
      <c r="AS60" s="1" t="s">
        <v>1350</v>
      </c>
      <c r="AT60" s="1" t="s">
        <v>5</v>
      </c>
    </row>
    <row r="61" spans="1:46" hidden="1" x14ac:dyDescent="0.4">
      <c r="A61" s="1" t="s">
        <v>1351</v>
      </c>
      <c r="B61" s="10"/>
      <c r="C61" s="1" t="s">
        <v>0</v>
      </c>
      <c r="D61" s="1" t="s">
        <v>1158</v>
      </c>
      <c r="E61" s="1" t="s">
        <v>1159</v>
      </c>
      <c r="F61" s="1" t="s">
        <v>14</v>
      </c>
      <c r="G61" s="1" t="s">
        <v>1</v>
      </c>
      <c r="H61" s="1" t="s">
        <v>6</v>
      </c>
      <c r="I61" s="1" t="s">
        <v>2</v>
      </c>
      <c r="J61" s="1" t="s">
        <v>3</v>
      </c>
      <c r="K61" s="1" t="s">
        <v>1352</v>
      </c>
      <c r="L61" s="1" t="s">
        <v>7</v>
      </c>
      <c r="M61" s="1" t="s">
        <v>9</v>
      </c>
      <c r="N61" s="1" t="s">
        <v>1353</v>
      </c>
      <c r="O61" s="1" t="s">
        <v>1221</v>
      </c>
      <c r="P61" s="1"/>
      <c r="Q61" s="1"/>
      <c r="R61" s="1" t="s">
        <v>11</v>
      </c>
      <c r="S61" s="1"/>
      <c r="T61" s="1"/>
      <c r="U61" s="1"/>
      <c r="V61" s="1"/>
      <c r="W61" s="1"/>
      <c r="X61" s="1"/>
      <c r="Y61" s="1"/>
      <c r="Z61" s="1"/>
      <c r="AA61" s="1"/>
      <c r="AB61" s="1" t="s">
        <v>1354</v>
      </c>
      <c r="AC61" s="1"/>
      <c r="AD61" s="1"/>
      <c r="AE61" s="1" t="s">
        <v>1339</v>
      </c>
      <c r="AF61" s="1"/>
      <c r="AG61" s="1"/>
      <c r="AH61" s="1" t="s">
        <v>1355</v>
      </c>
      <c r="AI61" s="1"/>
      <c r="AJ61" s="1" t="s">
        <v>1327</v>
      </c>
      <c r="AK61" s="1" t="s">
        <v>598</v>
      </c>
      <c r="AL61" s="1"/>
      <c r="AM61" s="1" t="s">
        <v>1277</v>
      </c>
      <c r="AN61" s="1" t="s">
        <v>598</v>
      </c>
      <c r="AO61" s="1" t="s">
        <v>1278</v>
      </c>
      <c r="AP61" s="2" t="s">
        <v>1356</v>
      </c>
      <c r="AQ61" s="2" t="s">
        <v>1154</v>
      </c>
      <c r="AR61" s="1" t="s">
        <v>286</v>
      </c>
      <c r="AS61" s="1" t="s">
        <v>1350</v>
      </c>
      <c r="AT61" s="1" t="s">
        <v>5</v>
      </c>
    </row>
    <row r="62" spans="1:46" hidden="1" x14ac:dyDescent="0.4">
      <c r="A62" s="1" t="s">
        <v>1520</v>
      </c>
      <c r="B62" s="10"/>
      <c r="C62" s="1" t="s">
        <v>0</v>
      </c>
      <c r="D62" s="1" t="s">
        <v>1158</v>
      </c>
      <c r="E62" s="1" t="s">
        <v>1159</v>
      </c>
      <c r="F62" s="1" t="s">
        <v>14</v>
      </c>
      <c r="G62" s="1" t="s">
        <v>1</v>
      </c>
      <c r="H62" s="1" t="s">
        <v>6</v>
      </c>
      <c r="I62" s="1" t="s">
        <v>2</v>
      </c>
      <c r="J62" s="1" t="s">
        <v>3</v>
      </c>
      <c r="K62" s="1" t="s">
        <v>1521</v>
      </c>
      <c r="L62" s="1" t="s">
        <v>7</v>
      </c>
      <c r="M62" s="1" t="s">
        <v>9</v>
      </c>
      <c r="N62" s="1" t="s">
        <v>1522</v>
      </c>
      <c r="O62" s="1" t="s">
        <v>1523</v>
      </c>
      <c r="P62" s="1"/>
      <c r="Q62" s="1"/>
      <c r="R62" s="1" t="s">
        <v>11</v>
      </c>
      <c r="S62" s="1"/>
      <c r="T62" s="1"/>
      <c r="U62" s="1"/>
      <c r="V62" s="1"/>
      <c r="W62" s="1" t="s">
        <v>1524</v>
      </c>
      <c r="X62" s="1"/>
      <c r="Y62" s="1"/>
      <c r="Z62" s="1"/>
      <c r="AA62" s="1"/>
      <c r="AB62" s="1" t="s">
        <v>1525</v>
      </c>
      <c r="AC62" s="1"/>
      <c r="AD62" s="1"/>
      <c r="AE62" s="1" t="s">
        <v>1526</v>
      </c>
      <c r="AF62" s="1"/>
      <c r="AG62" s="1"/>
      <c r="AH62" s="1" t="s">
        <v>1527</v>
      </c>
      <c r="AI62" s="1"/>
      <c r="AJ62" s="1" t="s">
        <v>1528</v>
      </c>
      <c r="AK62" s="1" t="s">
        <v>279</v>
      </c>
      <c r="AL62" s="1" t="s">
        <v>1529</v>
      </c>
      <c r="AM62" s="1" t="s">
        <v>1530</v>
      </c>
      <c r="AN62" s="1" t="s">
        <v>279</v>
      </c>
      <c r="AO62" s="1" t="s">
        <v>1531</v>
      </c>
      <c r="AP62" s="2" t="s">
        <v>1532</v>
      </c>
      <c r="AQ62" s="2" t="s">
        <v>1154</v>
      </c>
      <c r="AR62" s="1" t="s">
        <v>286</v>
      </c>
      <c r="AS62" s="1" t="s">
        <v>1533</v>
      </c>
      <c r="AT62" s="1" t="s">
        <v>5</v>
      </c>
    </row>
    <row r="63" spans="1:46" hidden="1" x14ac:dyDescent="0.4">
      <c r="A63" s="1" t="s">
        <v>1812</v>
      </c>
      <c r="B63" s="10"/>
      <c r="C63" s="1" t="s">
        <v>0</v>
      </c>
      <c r="D63" s="1" t="s">
        <v>1158</v>
      </c>
      <c r="E63" s="1" t="s">
        <v>1159</v>
      </c>
      <c r="F63" s="1" t="s">
        <v>14</v>
      </c>
      <c r="G63" s="1" t="s">
        <v>1</v>
      </c>
      <c r="H63" s="1" t="s">
        <v>6</v>
      </c>
      <c r="I63" s="1" t="s">
        <v>2</v>
      </c>
      <c r="J63" s="1" t="s">
        <v>3</v>
      </c>
      <c r="K63" s="1" t="s">
        <v>1813</v>
      </c>
      <c r="L63" s="1" t="s">
        <v>7</v>
      </c>
      <c r="M63" s="1" t="s">
        <v>9</v>
      </c>
      <c r="N63" s="1" t="s">
        <v>1814</v>
      </c>
      <c r="O63" s="1" t="s">
        <v>1815</v>
      </c>
      <c r="P63" s="1"/>
      <c r="Q63" s="1"/>
      <c r="R63" s="1" t="s">
        <v>11</v>
      </c>
      <c r="S63" s="1"/>
      <c r="T63" s="1"/>
      <c r="U63" s="1"/>
      <c r="V63" s="1"/>
      <c r="W63" s="1"/>
      <c r="X63" s="1"/>
      <c r="Y63" s="1"/>
      <c r="Z63" s="1"/>
      <c r="AA63" s="1"/>
      <c r="AB63" s="1" t="s">
        <v>1816</v>
      </c>
      <c r="AC63" s="1"/>
      <c r="AD63" s="1"/>
      <c r="AE63" s="1"/>
      <c r="AF63" s="1"/>
      <c r="AG63" s="1"/>
      <c r="AH63" s="1" t="s">
        <v>1817</v>
      </c>
      <c r="AI63" s="1"/>
      <c r="AJ63" s="1" t="s">
        <v>23</v>
      </c>
      <c r="AK63" s="1" t="s">
        <v>516</v>
      </c>
      <c r="AL63" s="1" t="s">
        <v>567</v>
      </c>
      <c r="AM63" s="1" t="s">
        <v>1818</v>
      </c>
      <c r="AN63" s="1" t="s">
        <v>516</v>
      </c>
      <c r="AO63" s="1" t="s">
        <v>1819</v>
      </c>
      <c r="AP63" s="2" t="s">
        <v>1820</v>
      </c>
      <c r="AQ63" s="2" t="s">
        <v>1155</v>
      </c>
      <c r="AR63" s="1" t="s">
        <v>286</v>
      </c>
      <c r="AS63" s="1" t="s">
        <v>1821</v>
      </c>
      <c r="AT63" s="1" t="s">
        <v>5</v>
      </c>
    </row>
    <row r="64" spans="1:46" hidden="1" x14ac:dyDescent="0.4">
      <c r="A64" s="1" t="s">
        <v>1564</v>
      </c>
      <c r="B64" s="10"/>
      <c r="C64" s="1" t="s">
        <v>0</v>
      </c>
      <c r="D64" s="1" t="s">
        <v>1158</v>
      </c>
      <c r="E64" s="1" t="s">
        <v>1159</v>
      </c>
      <c r="F64" s="1" t="s">
        <v>14</v>
      </c>
      <c r="G64" s="1" t="s">
        <v>1</v>
      </c>
      <c r="H64" s="1" t="s">
        <v>6</v>
      </c>
      <c r="I64" s="1" t="s">
        <v>2</v>
      </c>
      <c r="J64" s="1" t="s">
        <v>3</v>
      </c>
      <c r="K64" s="1" t="s">
        <v>1565</v>
      </c>
      <c r="L64" s="1" t="s">
        <v>7</v>
      </c>
      <c r="M64" s="1" t="s">
        <v>9</v>
      </c>
      <c r="N64" s="1" t="s">
        <v>1566</v>
      </c>
      <c r="O64" s="1" t="s">
        <v>1567</v>
      </c>
      <c r="P64" s="1"/>
      <c r="Q64" s="1"/>
      <c r="R64" s="1" t="s">
        <v>11</v>
      </c>
      <c r="S64" s="1"/>
      <c r="T64" s="1"/>
      <c r="U64" s="1"/>
      <c r="V64" s="1"/>
      <c r="W64" s="1"/>
      <c r="X64" s="1"/>
      <c r="Y64" s="1"/>
      <c r="Z64" s="1"/>
      <c r="AA64" s="1"/>
      <c r="AB64" s="1" t="s">
        <v>1568</v>
      </c>
      <c r="AC64" s="1"/>
      <c r="AD64" s="1"/>
      <c r="AE64" s="1" t="s">
        <v>1569</v>
      </c>
      <c r="AF64" s="1"/>
      <c r="AG64" s="1"/>
      <c r="AH64" s="1" t="s">
        <v>1570</v>
      </c>
      <c r="AI64" s="1"/>
      <c r="AJ64" s="1" t="s">
        <v>158</v>
      </c>
      <c r="AK64" s="1" t="s">
        <v>504</v>
      </c>
      <c r="AL64" s="1" t="s">
        <v>159</v>
      </c>
      <c r="AM64" s="1" t="s">
        <v>1382</v>
      </c>
      <c r="AN64" s="1" t="s">
        <v>504</v>
      </c>
      <c r="AO64" s="1" t="s">
        <v>1383</v>
      </c>
      <c r="AP64" s="2" t="s">
        <v>1571</v>
      </c>
      <c r="AQ64" s="2" t="s">
        <v>1154</v>
      </c>
      <c r="AR64" s="1" t="s">
        <v>286</v>
      </c>
      <c r="AS64" s="1"/>
      <c r="AT64" s="1" t="s">
        <v>5</v>
      </c>
    </row>
    <row r="65" spans="1:46" hidden="1" x14ac:dyDescent="0.4">
      <c r="A65" s="1" t="s">
        <v>1916</v>
      </c>
      <c r="B65" s="10"/>
      <c r="C65" s="1" t="s">
        <v>0</v>
      </c>
      <c r="D65" s="1" t="s">
        <v>1158</v>
      </c>
      <c r="E65" s="1" t="s">
        <v>1159</v>
      </c>
      <c r="F65" s="1" t="s">
        <v>14</v>
      </c>
      <c r="G65" s="1" t="s">
        <v>1</v>
      </c>
      <c r="H65" s="1" t="s">
        <v>6</v>
      </c>
      <c r="I65" s="1" t="s">
        <v>2</v>
      </c>
      <c r="J65" s="1" t="s">
        <v>3</v>
      </c>
      <c r="K65" s="1" t="s">
        <v>1917</v>
      </c>
      <c r="L65" s="1" t="s">
        <v>4</v>
      </c>
      <c r="M65" s="1" t="s">
        <v>9</v>
      </c>
      <c r="N65" s="1" t="s">
        <v>1918</v>
      </c>
      <c r="O65" s="1" t="s">
        <v>1919</v>
      </c>
      <c r="P65" s="1"/>
      <c r="Q65" s="1"/>
      <c r="R65" s="1" t="s">
        <v>11</v>
      </c>
      <c r="S65" s="1"/>
      <c r="T65" s="1"/>
      <c r="U65" s="1"/>
      <c r="V65" s="1"/>
      <c r="W65" s="1" t="s">
        <v>1920</v>
      </c>
      <c r="X65" s="1"/>
      <c r="Y65" s="1"/>
      <c r="Z65" s="1"/>
      <c r="AA65" s="1"/>
      <c r="AB65" s="1" t="s">
        <v>1921</v>
      </c>
      <c r="AC65" s="1"/>
      <c r="AD65" s="1"/>
      <c r="AE65" s="1" t="s">
        <v>1922</v>
      </c>
      <c r="AF65" s="1"/>
      <c r="AG65" s="1"/>
      <c r="AH65" s="1" t="s">
        <v>1923</v>
      </c>
      <c r="AI65" s="1"/>
      <c r="AJ65" s="1" t="s">
        <v>1528</v>
      </c>
      <c r="AK65" s="1" t="s">
        <v>279</v>
      </c>
      <c r="AL65" s="1" t="s">
        <v>1529</v>
      </c>
      <c r="AM65" s="1" t="s">
        <v>170</v>
      </c>
      <c r="AN65" s="1" t="s">
        <v>279</v>
      </c>
      <c r="AO65" s="1" t="s">
        <v>267</v>
      </c>
      <c r="AP65" s="2" t="s">
        <v>1924</v>
      </c>
      <c r="AQ65" s="2" t="s">
        <v>1155</v>
      </c>
      <c r="AR65" s="1" t="s">
        <v>286</v>
      </c>
      <c r="AS65" s="1"/>
      <c r="AT65" s="1" t="s">
        <v>5</v>
      </c>
    </row>
    <row r="66" spans="1:46" hidden="1" x14ac:dyDescent="0.4">
      <c r="A66" s="1" t="s">
        <v>1157</v>
      </c>
      <c r="B66" s="10"/>
      <c r="C66" s="1" t="s">
        <v>0</v>
      </c>
      <c r="D66" s="1" t="s">
        <v>1158</v>
      </c>
      <c r="E66" s="1" t="s">
        <v>1159</v>
      </c>
      <c r="F66" s="1" t="s">
        <v>14</v>
      </c>
      <c r="G66" s="1" t="s">
        <v>1</v>
      </c>
      <c r="H66" s="1" t="s">
        <v>6</v>
      </c>
      <c r="I66" s="1" t="s">
        <v>2</v>
      </c>
      <c r="J66" s="1" t="s">
        <v>3</v>
      </c>
      <c r="K66" s="1" t="s">
        <v>1160</v>
      </c>
      <c r="L66" s="1" t="s">
        <v>7</v>
      </c>
      <c r="M66" s="1" t="s">
        <v>9</v>
      </c>
      <c r="N66" s="1" t="s">
        <v>1161</v>
      </c>
      <c r="O66" s="1" t="s">
        <v>1162</v>
      </c>
      <c r="P66" s="1"/>
      <c r="Q66" s="1"/>
      <c r="R66" s="1"/>
      <c r="S66" s="1"/>
      <c r="T66" s="1"/>
      <c r="U66" s="1"/>
      <c r="V66" s="1"/>
      <c r="W66" s="1" t="s">
        <v>1163</v>
      </c>
      <c r="X66" s="1"/>
      <c r="Y66" s="1"/>
      <c r="Z66" s="1"/>
      <c r="AA66" s="1"/>
      <c r="AB66" s="1" t="s">
        <v>1164</v>
      </c>
      <c r="AC66" s="1"/>
      <c r="AD66" s="1"/>
      <c r="AE66" s="1" t="s">
        <v>1165</v>
      </c>
      <c r="AF66" s="1"/>
      <c r="AG66" s="1"/>
      <c r="AH66" s="1" t="s">
        <v>1166</v>
      </c>
      <c r="AI66" s="1"/>
      <c r="AJ66" s="1" t="s">
        <v>1167</v>
      </c>
      <c r="AK66" s="1" t="s">
        <v>1168</v>
      </c>
      <c r="AL66" s="1"/>
      <c r="AM66" s="1" t="s">
        <v>1169</v>
      </c>
      <c r="AN66" s="1" t="s">
        <v>1168</v>
      </c>
      <c r="AO66" s="1" t="s">
        <v>1170</v>
      </c>
      <c r="AP66" s="2" t="s">
        <v>1171</v>
      </c>
      <c r="AQ66" s="2" t="s">
        <v>1155</v>
      </c>
      <c r="AR66" s="1"/>
      <c r="AS66" s="1"/>
      <c r="AT66" s="1" t="s">
        <v>10</v>
      </c>
    </row>
    <row r="67" spans="1:46" hidden="1" x14ac:dyDescent="0.4">
      <c r="A67" s="1" t="s">
        <v>1312</v>
      </c>
      <c r="B67" s="10"/>
      <c r="C67" s="1" t="s">
        <v>0</v>
      </c>
      <c r="D67" s="1" t="s">
        <v>1158</v>
      </c>
      <c r="E67" s="1" t="s">
        <v>1159</v>
      </c>
      <c r="F67" s="1" t="s">
        <v>14</v>
      </c>
      <c r="G67" s="1" t="s">
        <v>1</v>
      </c>
      <c r="H67" s="1" t="s">
        <v>6</v>
      </c>
      <c r="I67" s="1" t="s">
        <v>2</v>
      </c>
      <c r="J67" s="1" t="s">
        <v>3</v>
      </c>
      <c r="K67" s="1" t="s">
        <v>1313</v>
      </c>
      <c r="L67" s="1" t="s">
        <v>7</v>
      </c>
      <c r="M67" s="1" t="s">
        <v>9</v>
      </c>
      <c r="N67" s="1" t="s">
        <v>1314</v>
      </c>
      <c r="O67" s="1" t="s">
        <v>1315</v>
      </c>
      <c r="P67" s="1"/>
      <c r="Q67" s="1"/>
      <c r="R67" s="1" t="s">
        <v>11</v>
      </c>
      <c r="S67" s="1"/>
      <c r="T67" s="1"/>
      <c r="U67" s="1"/>
      <c r="V67" s="1"/>
      <c r="W67" s="1" t="s">
        <v>1316</v>
      </c>
      <c r="X67" s="1"/>
      <c r="Y67" s="1"/>
      <c r="Z67" s="1"/>
      <c r="AA67" s="1"/>
      <c r="AB67" s="1" t="s">
        <v>1317</v>
      </c>
      <c r="AC67" s="1"/>
      <c r="AD67" s="1"/>
      <c r="AE67" s="1"/>
      <c r="AF67" s="1"/>
      <c r="AG67" s="1"/>
      <c r="AH67" s="1" t="s">
        <v>1318</v>
      </c>
      <c r="AI67" s="1"/>
      <c r="AJ67" s="1" t="s">
        <v>211</v>
      </c>
      <c r="AK67" s="1" t="s">
        <v>511</v>
      </c>
      <c r="AL67" s="1" t="s">
        <v>212</v>
      </c>
      <c r="AM67" s="1" t="s">
        <v>1319</v>
      </c>
      <c r="AN67" s="1" t="s">
        <v>511</v>
      </c>
      <c r="AO67" s="1"/>
      <c r="AP67" s="2" t="s">
        <v>1320</v>
      </c>
      <c r="AQ67" s="2" t="s">
        <v>1154</v>
      </c>
      <c r="AR67" s="1" t="s">
        <v>286</v>
      </c>
      <c r="AS67" s="1"/>
      <c r="AT67" s="1" t="s">
        <v>5</v>
      </c>
    </row>
    <row r="68" spans="1:46" hidden="1" x14ac:dyDescent="0.4">
      <c r="A68" s="1" t="s">
        <v>1386</v>
      </c>
      <c r="B68" s="10"/>
      <c r="C68" s="1" t="s">
        <v>0</v>
      </c>
      <c r="D68" s="1" t="s">
        <v>1158</v>
      </c>
      <c r="E68" s="1" t="s">
        <v>1159</v>
      </c>
      <c r="F68" s="1" t="s">
        <v>14</v>
      </c>
      <c r="G68" s="1" t="s">
        <v>1</v>
      </c>
      <c r="H68" s="1" t="s">
        <v>6</v>
      </c>
      <c r="I68" s="1" t="s">
        <v>2</v>
      </c>
      <c r="J68" s="1" t="s">
        <v>3</v>
      </c>
      <c r="K68" s="1" t="s">
        <v>1387</v>
      </c>
      <c r="L68" s="1" t="s">
        <v>4</v>
      </c>
      <c r="M68" s="1" t="s">
        <v>9</v>
      </c>
      <c r="N68" s="1" t="s">
        <v>1388</v>
      </c>
      <c r="O68" s="1" t="s">
        <v>1389</v>
      </c>
      <c r="P68" s="1"/>
      <c r="Q68" s="1"/>
      <c r="R68" s="1" t="s">
        <v>11</v>
      </c>
      <c r="S68" s="1"/>
      <c r="T68" s="1"/>
      <c r="U68" s="1"/>
      <c r="V68" s="1"/>
      <c r="W68" s="1"/>
      <c r="X68" s="1"/>
      <c r="Y68" s="1"/>
      <c r="Z68" s="1"/>
      <c r="AA68" s="1"/>
      <c r="AB68" s="1" t="s">
        <v>1390</v>
      </c>
      <c r="AC68" s="1"/>
      <c r="AD68" s="1"/>
      <c r="AE68" s="1" t="s">
        <v>1391</v>
      </c>
      <c r="AF68" s="1"/>
      <c r="AG68" s="1"/>
      <c r="AH68" s="1" t="s">
        <v>1392</v>
      </c>
      <c r="AI68" s="1"/>
      <c r="AJ68" s="1" t="s">
        <v>1393</v>
      </c>
      <c r="AK68" s="1" t="s">
        <v>1394</v>
      </c>
      <c r="AL68" s="1"/>
      <c r="AM68" s="1" t="s">
        <v>1395</v>
      </c>
      <c r="AN68" s="1" t="s">
        <v>1394</v>
      </c>
      <c r="AO68" s="1" t="s">
        <v>1396</v>
      </c>
      <c r="AP68" s="2" t="s">
        <v>1397</v>
      </c>
      <c r="AQ68" s="2" t="s">
        <v>1154</v>
      </c>
      <c r="AR68" s="1" t="s">
        <v>286</v>
      </c>
      <c r="AS68" s="1" t="s">
        <v>1398</v>
      </c>
      <c r="AT68" s="1" t="s">
        <v>5</v>
      </c>
    </row>
    <row r="69" spans="1:46" hidden="1" x14ac:dyDescent="0.4">
      <c r="A69" s="1" t="s">
        <v>1249</v>
      </c>
      <c r="B69" s="10"/>
      <c r="C69" s="1" t="s">
        <v>0</v>
      </c>
      <c r="D69" s="1" t="s">
        <v>1158</v>
      </c>
      <c r="E69" s="1" t="s">
        <v>1159</v>
      </c>
      <c r="F69" s="1" t="s">
        <v>14</v>
      </c>
      <c r="G69" s="1" t="s">
        <v>1</v>
      </c>
      <c r="H69" s="1" t="s">
        <v>6</v>
      </c>
      <c r="I69" s="1" t="s">
        <v>2</v>
      </c>
      <c r="J69" s="1" t="s">
        <v>3</v>
      </c>
      <c r="K69" s="1" t="s">
        <v>1250</v>
      </c>
      <c r="L69" s="1" t="s">
        <v>4</v>
      </c>
      <c r="M69" s="1" t="s">
        <v>9</v>
      </c>
      <c r="N69" s="1" t="s">
        <v>1251</v>
      </c>
      <c r="O69" s="1" t="s">
        <v>1252</v>
      </c>
      <c r="P69" s="1"/>
      <c r="Q69" s="1"/>
      <c r="R69" s="1" t="s">
        <v>11</v>
      </c>
      <c r="S69" s="1"/>
      <c r="T69" s="1"/>
      <c r="U69" s="1"/>
      <c r="V69" s="1"/>
      <c r="W69" s="1" t="s">
        <v>1253</v>
      </c>
      <c r="X69" s="1"/>
      <c r="Y69" s="1"/>
      <c r="Z69" s="1"/>
      <c r="AA69" s="1"/>
      <c r="AB69" s="1" t="s">
        <v>1254</v>
      </c>
      <c r="AC69" s="1"/>
      <c r="AD69" s="1"/>
      <c r="AE69" s="1" t="s">
        <v>1255</v>
      </c>
      <c r="AF69" s="1"/>
      <c r="AG69" s="1"/>
      <c r="AH69" s="1" t="s">
        <v>1256</v>
      </c>
      <c r="AI69" s="1"/>
      <c r="AJ69" s="1" t="s">
        <v>74</v>
      </c>
      <c r="AK69" s="1" t="s">
        <v>1257</v>
      </c>
      <c r="AL69" s="1"/>
      <c r="AM69" s="1" t="s">
        <v>1258</v>
      </c>
      <c r="AN69" s="1" t="s">
        <v>1257</v>
      </c>
      <c r="AO69" s="1" t="s">
        <v>1259</v>
      </c>
      <c r="AP69" s="2" t="s">
        <v>1260</v>
      </c>
      <c r="AQ69" s="2" t="s">
        <v>1155</v>
      </c>
      <c r="AR69" s="1"/>
      <c r="AS69" s="1"/>
      <c r="AT69" s="1" t="s">
        <v>5</v>
      </c>
    </row>
    <row r="70" spans="1:46" hidden="1" x14ac:dyDescent="0.4">
      <c r="A70" s="1" t="s">
        <v>1831</v>
      </c>
      <c r="B70" s="10"/>
      <c r="C70" s="1" t="s">
        <v>0</v>
      </c>
      <c r="D70" s="1" t="s">
        <v>1158</v>
      </c>
      <c r="E70" s="1" t="s">
        <v>1159</v>
      </c>
      <c r="F70" s="1" t="s">
        <v>14</v>
      </c>
      <c r="G70" s="1" t="s">
        <v>1</v>
      </c>
      <c r="H70" s="1" t="s">
        <v>6</v>
      </c>
      <c r="I70" s="1" t="s">
        <v>2</v>
      </c>
      <c r="J70" s="1" t="s">
        <v>3</v>
      </c>
      <c r="K70" s="1" t="s">
        <v>1832</v>
      </c>
      <c r="L70" s="1" t="s">
        <v>4</v>
      </c>
      <c r="M70" s="1" t="s">
        <v>9</v>
      </c>
      <c r="N70" s="1" t="s">
        <v>1161</v>
      </c>
      <c r="O70" s="1" t="s">
        <v>1162</v>
      </c>
      <c r="P70" s="1"/>
      <c r="Q70" s="1"/>
      <c r="R70" s="1" t="s">
        <v>11</v>
      </c>
      <c r="S70" s="1"/>
      <c r="T70" s="1"/>
      <c r="U70" s="1"/>
      <c r="V70" s="1"/>
      <c r="W70" s="1"/>
      <c r="X70" s="1"/>
      <c r="Y70" s="1"/>
      <c r="Z70" s="1"/>
      <c r="AA70" s="1"/>
      <c r="AB70" s="1" t="s">
        <v>1833</v>
      </c>
      <c r="AC70" s="1"/>
      <c r="AD70" s="1"/>
      <c r="AE70" s="1" t="s">
        <v>1735</v>
      </c>
      <c r="AF70" s="1"/>
      <c r="AG70" s="1"/>
      <c r="AH70" s="1" t="s">
        <v>1834</v>
      </c>
      <c r="AI70" s="1"/>
      <c r="AJ70" s="1" t="s">
        <v>1835</v>
      </c>
      <c r="AK70" s="1" t="s">
        <v>1836</v>
      </c>
      <c r="AL70" s="1" t="s">
        <v>1837</v>
      </c>
      <c r="AM70" s="1" t="s">
        <v>1838</v>
      </c>
      <c r="AN70" s="1" t="s">
        <v>1839</v>
      </c>
      <c r="AO70" s="1" t="s">
        <v>1840</v>
      </c>
      <c r="AP70" s="2" t="s">
        <v>1841</v>
      </c>
      <c r="AQ70" s="2" t="s">
        <v>1155</v>
      </c>
      <c r="AR70" s="1" t="s">
        <v>286</v>
      </c>
      <c r="AS70" s="1"/>
      <c r="AT70" s="1" t="s">
        <v>5</v>
      </c>
    </row>
    <row r="71" spans="1:46" hidden="1" x14ac:dyDescent="0.4">
      <c r="A71" s="1" t="s">
        <v>2024</v>
      </c>
      <c r="B71" s="10"/>
      <c r="C71" s="1" t="s">
        <v>0</v>
      </c>
      <c r="D71" s="1" t="s">
        <v>1158</v>
      </c>
      <c r="E71" s="1" t="s">
        <v>1159</v>
      </c>
      <c r="F71" s="1" t="s">
        <v>14</v>
      </c>
      <c r="G71" s="1" t="s">
        <v>1</v>
      </c>
      <c r="H71" s="1" t="s">
        <v>6</v>
      </c>
      <c r="I71" s="1" t="s">
        <v>2</v>
      </c>
      <c r="J71" s="1" t="s">
        <v>3</v>
      </c>
      <c r="K71" s="1" t="s">
        <v>2025</v>
      </c>
      <c r="L71" s="1" t="s">
        <v>4</v>
      </c>
      <c r="M71" s="1" t="s">
        <v>9</v>
      </c>
      <c r="N71" s="1" t="s">
        <v>2026</v>
      </c>
      <c r="O71" s="1" t="s">
        <v>1221</v>
      </c>
      <c r="P71" s="1"/>
      <c r="Q71" s="1"/>
      <c r="R71" s="1" t="s">
        <v>11</v>
      </c>
      <c r="S71" s="1"/>
      <c r="T71" s="1"/>
      <c r="U71" s="1"/>
      <c r="V71" s="1"/>
      <c r="W71" s="1"/>
      <c r="X71" s="1"/>
      <c r="Y71" s="1"/>
      <c r="Z71" s="1"/>
      <c r="AA71" s="1"/>
      <c r="AB71" s="1" t="s">
        <v>2027</v>
      </c>
      <c r="AC71" s="1"/>
      <c r="AD71" s="1"/>
      <c r="AE71" s="1"/>
      <c r="AF71" s="1"/>
      <c r="AG71" s="1"/>
      <c r="AH71" s="1" t="s">
        <v>2028</v>
      </c>
      <c r="AI71" s="1"/>
      <c r="AJ71" s="1" t="s">
        <v>228</v>
      </c>
      <c r="AK71" s="1" t="s">
        <v>281</v>
      </c>
      <c r="AL71" s="1" t="s">
        <v>229</v>
      </c>
      <c r="AM71" s="1" t="s">
        <v>2029</v>
      </c>
      <c r="AN71" s="1" t="s">
        <v>281</v>
      </c>
      <c r="AO71" s="1" t="s">
        <v>2030</v>
      </c>
      <c r="AP71" s="2" t="s">
        <v>2031</v>
      </c>
      <c r="AQ71" s="2" t="s">
        <v>1155</v>
      </c>
      <c r="AR71" s="1" t="s">
        <v>286</v>
      </c>
      <c r="AS71" s="1" t="s">
        <v>1068</v>
      </c>
      <c r="AT71" s="1" t="s">
        <v>5</v>
      </c>
    </row>
    <row r="72" spans="1:46" hidden="1" x14ac:dyDescent="0.4">
      <c r="A72" s="1" t="s">
        <v>1197</v>
      </c>
      <c r="B72" s="10"/>
      <c r="C72" s="1" t="s">
        <v>0</v>
      </c>
      <c r="D72" s="1" t="s">
        <v>1158</v>
      </c>
      <c r="E72" s="1" t="s">
        <v>1159</v>
      </c>
      <c r="F72" s="1" t="s">
        <v>14</v>
      </c>
      <c r="G72" s="1" t="s">
        <v>1</v>
      </c>
      <c r="H72" s="1" t="s">
        <v>6</v>
      </c>
      <c r="I72" s="1" t="s">
        <v>2</v>
      </c>
      <c r="J72" s="1" t="s">
        <v>3</v>
      </c>
      <c r="K72" s="1" t="s">
        <v>1198</v>
      </c>
      <c r="L72" s="1" t="s">
        <v>4</v>
      </c>
      <c r="M72" s="1" t="s">
        <v>9</v>
      </c>
      <c r="N72" s="1" t="s">
        <v>1199</v>
      </c>
      <c r="O72" s="1" t="s">
        <v>1200</v>
      </c>
      <c r="P72" s="1"/>
      <c r="Q72" s="1"/>
      <c r="R72" s="1" t="s">
        <v>11</v>
      </c>
      <c r="S72" s="1"/>
      <c r="T72" s="1"/>
      <c r="U72" s="1"/>
      <c r="V72" s="1"/>
      <c r="W72" s="1" t="s">
        <v>1201</v>
      </c>
      <c r="X72" s="1"/>
      <c r="Y72" s="1"/>
      <c r="Z72" s="1"/>
      <c r="AA72" s="1"/>
      <c r="AB72" s="1" t="s">
        <v>1202</v>
      </c>
      <c r="AC72" s="1"/>
      <c r="AD72" s="1"/>
      <c r="AE72" s="1" t="s">
        <v>1203</v>
      </c>
      <c r="AF72" s="1"/>
      <c r="AG72" s="1"/>
      <c r="AH72" s="1" t="s">
        <v>1204</v>
      </c>
      <c r="AI72" s="1"/>
      <c r="AJ72" s="1" t="s">
        <v>1205</v>
      </c>
      <c r="AK72" s="1" t="s">
        <v>97</v>
      </c>
      <c r="AL72" s="1"/>
      <c r="AM72" s="1" t="s">
        <v>1206</v>
      </c>
      <c r="AN72" s="1" t="s">
        <v>97</v>
      </c>
      <c r="AO72" s="1"/>
      <c r="AP72" s="2" t="s">
        <v>1207</v>
      </c>
      <c r="AQ72" s="2" t="s">
        <v>1154</v>
      </c>
      <c r="AR72" s="1"/>
      <c r="AS72" s="1"/>
      <c r="AT72" s="1" t="s">
        <v>10</v>
      </c>
    </row>
    <row r="73" spans="1:46" hidden="1" x14ac:dyDescent="0.4">
      <c r="A73" s="1" t="s">
        <v>1791</v>
      </c>
      <c r="B73" s="10"/>
      <c r="C73" s="1" t="s">
        <v>93</v>
      </c>
      <c r="D73" s="1" t="s">
        <v>1158</v>
      </c>
      <c r="E73" s="1" t="s">
        <v>1159</v>
      </c>
      <c r="F73" s="1" t="s">
        <v>14</v>
      </c>
      <c r="G73" s="1" t="s">
        <v>1</v>
      </c>
      <c r="H73" s="1" t="s">
        <v>6</v>
      </c>
      <c r="I73" s="1" t="s">
        <v>2</v>
      </c>
      <c r="J73" s="1" t="s">
        <v>3</v>
      </c>
      <c r="K73" s="1" t="s">
        <v>1792</v>
      </c>
      <c r="L73" s="1" t="s">
        <v>7</v>
      </c>
      <c r="M73" s="1" t="s">
        <v>9</v>
      </c>
      <c r="N73" s="1" t="s">
        <v>1793</v>
      </c>
      <c r="O73" s="1" t="s">
        <v>1782</v>
      </c>
      <c r="P73" s="1"/>
      <c r="Q73" s="1"/>
      <c r="R73" s="1" t="s">
        <v>11</v>
      </c>
      <c r="S73" s="1"/>
      <c r="T73" s="1"/>
      <c r="U73" s="1"/>
      <c r="V73" s="1"/>
      <c r="W73" s="1"/>
      <c r="X73" s="1"/>
      <c r="Y73" s="1"/>
      <c r="Z73" s="1"/>
      <c r="AA73" s="1"/>
      <c r="AB73" s="1" t="s">
        <v>1794</v>
      </c>
      <c r="AC73" s="1"/>
      <c r="AD73" s="1"/>
      <c r="AE73" s="1" t="s">
        <v>1784</v>
      </c>
      <c r="AF73" s="1"/>
      <c r="AG73" s="1"/>
      <c r="AH73" s="1" t="s">
        <v>1795</v>
      </c>
      <c r="AI73" s="1"/>
      <c r="AJ73" s="1" t="s">
        <v>1786</v>
      </c>
      <c r="AK73" s="1" t="s">
        <v>1787</v>
      </c>
      <c r="AL73" s="1" t="s">
        <v>1788</v>
      </c>
      <c r="AM73" s="1" t="s">
        <v>1786</v>
      </c>
      <c r="AN73" s="1" t="s">
        <v>1787</v>
      </c>
      <c r="AO73" s="1" t="s">
        <v>1788</v>
      </c>
      <c r="AP73" s="2" t="s">
        <v>1796</v>
      </c>
      <c r="AQ73" s="2" t="s">
        <v>1155</v>
      </c>
      <c r="AR73" s="1" t="s">
        <v>286</v>
      </c>
      <c r="AS73" s="1" t="s">
        <v>1797</v>
      </c>
      <c r="AT73" s="1" t="s">
        <v>5</v>
      </c>
    </row>
    <row r="74" spans="1:46" hidden="1" x14ac:dyDescent="0.4">
      <c r="A74" s="1" t="s">
        <v>1779</v>
      </c>
      <c r="B74" s="10"/>
      <c r="C74" s="1" t="s">
        <v>93</v>
      </c>
      <c r="D74" s="1" t="s">
        <v>1158</v>
      </c>
      <c r="E74" s="1" t="s">
        <v>1159</v>
      </c>
      <c r="F74" s="1" t="s">
        <v>14</v>
      </c>
      <c r="G74" s="1" t="s">
        <v>1</v>
      </c>
      <c r="H74" s="1" t="s">
        <v>6</v>
      </c>
      <c r="I74" s="1" t="s">
        <v>2</v>
      </c>
      <c r="J74" s="1" t="s">
        <v>3</v>
      </c>
      <c r="K74" s="1" t="s">
        <v>1780</v>
      </c>
      <c r="L74" s="1" t="s">
        <v>7</v>
      </c>
      <c r="M74" s="1" t="s">
        <v>9</v>
      </c>
      <c r="N74" s="1" t="s">
        <v>1781</v>
      </c>
      <c r="O74" s="1" t="s">
        <v>1782</v>
      </c>
      <c r="P74" s="1"/>
      <c r="Q74" s="1"/>
      <c r="R74" s="1" t="s">
        <v>11</v>
      </c>
      <c r="S74" s="1"/>
      <c r="T74" s="1"/>
      <c r="U74" s="1"/>
      <c r="V74" s="1"/>
      <c r="W74" s="1"/>
      <c r="X74" s="1"/>
      <c r="Y74" s="1"/>
      <c r="Z74" s="1"/>
      <c r="AA74" s="1"/>
      <c r="AB74" s="1" t="s">
        <v>1783</v>
      </c>
      <c r="AC74" s="1"/>
      <c r="AD74" s="1"/>
      <c r="AE74" s="1" t="s">
        <v>1784</v>
      </c>
      <c r="AF74" s="1"/>
      <c r="AG74" s="1"/>
      <c r="AH74" s="1" t="s">
        <v>1785</v>
      </c>
      <c r="AI74" s="1"/>
      <c r="AJ74" s="1" t="s">
        <v>1786</v>
      </c>
      <c r="AK74" s="1" t="s">
        <v>1787</v>
      </c>
      <c r="AL74" s="1" t="s">
        <v>1788</v>
      </c>
      <c r="AM74" s="1" t="s">
        <v>1786</v>
      </c>
      <c r="AN74" s="1" t="s">
        <v>1787</v>
      </c>
      <c r="AO74" s="1" t="s">
        <v>1788</v>
      </c>
      <c r="AP74" s="2" t="s">
        <v>1789</v>
      </c>
      <c r="AQ74" s="2" t="s">
        <v>1155</v>
      </c>
      <c r="AR74" s="1" t="s">
        <v>286</v>
      </c>
      <c r="AS74" s="1" t="s">
        <v>1790</v>
      </c>
      <c r="AT74" s="1" t="s">
        <v>5</v>
      </c>
    </row>
    <row r="75" spans="1:46" hidden="1" x14ac:dyDescent="0.4">
      <c r="A75" s="1" t="s">
        <v>1604</v>
      </c>
      <c r="B75" s="10"/>
      <c r="C75" s="1" t="s">
        <v>0</v>
      </c>
      <c r="D75" s="1" t="s">
        <v>1158</v>
      </c>
      <c r="E75" s="1" t="s">
        <v>1159</v>
      </c>
      <c r="F75" s="1" t="s">
        <v>14</v>
      </c>
      <c r="G75" s="1" t="s">
        <v>1</v>
      </c>
      <c r="H75" s="1" t="s">
        <v>6</v>
      </c>
      <c r="I75" s="1" t="s">
        <v>2</v>
      </c>
      <c r="J75" s="1" t="s">
        <v>3</v>
      </c>
      <c r="K75" s="1" t="s">
        <v>1605</v>
      </c>
      <c r="L75" s="1" t="s">
        <v>4</v>
      </c>
      <c r="M75" s="1" t="s">
        <v>9</v>
      </c>
      <c r="N75" s="1" t="s">
        <v>1606</v>
      </c>
      <c r="O75" s="1" t="s">
        <v>1607</v>
      </c>
      <c r="P75" s="1"/>
      <c r="Q75" s="1"/>
      <c r="R75" s="1" t="s">
        <v>11</v>
      </c>
      <c r="S75" s="1"/>
      <c r="T75" s="1"/>
      <c r="U75" s="1"/>
      <c r="V75" s="1"/>
      <c r="W75" s="1" t="s">
        <v>1608</v>
      </c>
      <c r="X75" s="1"/>
      <c r="Y75" s="1"/>
      <c r="Z75" s="1"/>
      <c r="AA75" s="1"/>
      <c r="AB75" s="1" t="s">
        <v>1609</v>
      </c>
      <c r="AC75" s="1"/>
      <c r="AD75" s="1"/>
      <c r="AE75" s="1"/>
      <c r="AF75" s="1"/>
      <c r="AG75" s="1"/>
      <c r="AH75" s="1" t="s">
        <v>1610</v>
      </c>
      <c r="AI75" s="1"/>
      <c r="AJ75" s="1" t="s">
        <v>1611</v>
      </c>
      <c r="AK75" s="1" t="s">
        <v>1394</v>
      </c>
      <c r="AL75" s="1"/>
      <c r="AM75" s="1" t="s">
        <v>1612</v>
      </c>
      <c r="AN75" s="1" t="s">
        <v>1613</v>
      </c>
      <c r="AO75" s="1" t="s">
        <v>1614</v>
      </c>
      <c r="AP75" s="2" t="s">
        <v>1615</v>
      </c>
      <c r="AQ75" s="2" t="s">
        <v>1154</v>
      </c>
      <c r="AR75" s="1" t="s">
        <v>286</v>
      </c>
      <c r="AS75" s="1"/>
      <c r="AT75" s="1" t="s">
        <v>5</v>
      </c>
    </row>
    <row r="76" spans="1:46" hidden="1" x14ac:dyDescent="0.4">
      <c r="A76" s="1" t="s">
        <v>1172</v>
      </c>
      <c r="B76" s="10"/>
      <c r="C76" s="1" t="s">
        <v>0</v>
      </c>
      <c r="D76" s="1" t="s">
        <v>1158</v>
      </c>
      <c r="E76" s="1" t="s">
        <v>1159</v>
      </c>
      <c r="F76" s="1" t="s">
        <v>14</v>
      </c>
      <c r="G76" s="1" t="s">
        <v>1</v>
      </c>
      <c r="H76" s="1" t="s">
        <v>6</v>
      </c>
      <c r="I76" s="1" t="s">
        <v>2</v>
      </c>
      <c r="J76" s="1" t="s">
        <v>3</v>
      </c>
      <c r="K76" s="1" t="s">
        <v>1173</v>
      </c>
      <c r="L76" s="1" t="s">
        <v>4</v>
      </c>
      <c r="M76" s="1" t="s">
        <v>9</v>
      </c>
      <c r="N76" s="1" t="s">
        <v>1174</v>
      </c>
      <c r="O76" s="1" t="s">
        <v>1175</v>
      </c>
      <c r="P76" s="1"/>
      <c r="Q76" s="1"/>
      <c r="R76" s="1" t="s">
        <v>11</v>
      </c>
      <c r="S76" s="1"/>
      <c r="T76" s="1"/>
      <c r="U76" s="1"/>
      <c r="V76" s="1"/>
      <c r="W76" s="1" t="s">
        <v>1176</v>
      </c>
      <c r="X76" s="1"/>
      <c r="Y76" s="1"/>
      <c r="Z76" s="1"/>
      <c r="AA76" s="1"/>
      <c r="AB76" s="1" t="s">
        <v>1177</v>
      </c>
      <c r="AC76" s="1"/>
      <c r="AD76" s="1"/>
      <c r="AE76" s="1" t="s">
        <v>1178</v>
      </c>
      <c r="AF76" s="1"/>
      <c r="AG76" s="1"/>
      <c r="AH76" s="1" t="s">
        <v>1179</v>
      </c>
      <c r="AI76" s="1"/>
      <c r="AJ76" s="1" t="s">
        <v>1180</v>
      </c>
      <c r="AK76" s="1" t="s">
        <v>1181</v>
      </c>
      <c r="AL76" s="1" t="s">
        <v>1182</v>
      </c>
      <c r="AM76" s="1" t="s">
        <v>1180</v>
      </c>
      <c r="AN76" s="1" t="s">
        <v>1181</v>
      </c>
      <c r="AO76" s="1" t="s">
        <v>1182</v>
      </c>
      <c r="AP76" s="2" t="s">
        <v>1183</v>
      </c>
      <c r="AQ76" s="2" t="s">
        <v>1154</v>
      </c>
      <c r="AR76" s="1"/>
      <c r="AS76" s="1"/>
      <c r="AT76" s="1" t="s">
        <v>5</v>
      </c>
    </row>
    <row r="77" spans="1:46" hidden="1" x14ac:dyDescent="0.4">
      <c r="A77" s="1" t="s">
        <v>1321</v>
      </c>
      <c r="B77" s="10"/>
      <c r="C77" s="1" t="s">
        <v>0</v>
      </c>
      <c r="D77" s="1" t="s">
        <v>1158</v>
      </c>
      <c r="E77" s="1" t="s">
        <v>1159</v>
      </c>
      <c r="F77" s="1" t="s">
        <v>14</v>
      </c>
      <c r="G77" s="1" t="s">
        <v>1</v>
      </c>
      <c r="H77" s="1" t="s">
        <v>6</v>
      </c>
      <c r="I77" s="1" t="s">
        <v>2</v>
      </c>
      <c r="J77" s="1" t="s">
        <v>3</v>
      </c>
      <c r="K77" s="1" t="s">
        <v>1322</v>
      </c>
      <c r="L77" s="1" t="s">
        <v>4</v>
      </c>
      <c r="M77" s="1" t="s">
        <v>9</v>
      </c>
      <c r="N77" s="1" t="s">
        <v>1323</v>
      </c>
      <c r="O77" s="1" t="s">
        <v>1221</v>
      </c>
      <c r="P77" s="1"/>
      <c r="Q77" s="1"/>
      <c r="R77" s="1" t="s">
        <v>11</v>
      </c>
      <c r="S77" s="1"/>
      <c r="T77" s="1"/>
      <c r="U77" s="1"/>
      <c r="V77" s="1"/>
      <c r="W77" s="1"/>
      <c r="X77" s="1"/>
      <c r="Y77" s="1"/>
      <c r="Z77" s="1"/>
      <c r="AA77" s="1"/>
      <c r="AB77" s="1" t="s">
        <v>1324</v>
      </c>
      <c r="AC77" s="1"/>
      <c r="AD77" s="1"/>
      <c r="AE77" s="1" t="s">
        <v>1325</v>
      </c>
      <c r="AF77" s="1"/>
      <c r="AG77" s="1"/>
      <c r="AH77" s="1" t="s">
        <v>1326</v>
      </c>
      <c r="AI77" s="1"/>
      <c r="AJ77" s="1" t="s">
        <v>1327</v>
      </c>
      <c r="AK77" s="1" t="s">
        <v>598</v>
      </c>
      <c r="AL77" s="1"/>
      <c r="AM77" s="1" t="s">
        <v>1277</v>
      </c>
      <c r="AN77" s="1" t="s">
        <v>598</v>
      </c>
      <c r="AO77" s="1" t="s">
        <v>1278</v>
      </c>
      <c r="AP77" s="2" t="s">
        <v>1328</v>
      </c>
      <c r="AQ77" s="2" t="s">
        <v>1154</v>
      </c>
      <c r="AR77" s="1" t="s">
        <v>286</v>
      </c>
      <c r="AS77" s="1"/>
      <c r="AT77" s="1" t="s">
        <v>5</v>
      </c>
    </row>
    <row r="78" spans="1:46" hidden="1" x14ac:dyDescent="0.4">
      <c r="A78" s="1" t="s">
        <v>1534</v>
      </c>
      <c r="B78" s="10"/>
      <c r="C78" s="1" t="s">
        <v>0</v>
      </c>
      <c r="D78" s="1" t="s">
        <v>1158</v>
      </c>
      <c r="E78" s="1" t="s">
        <v>1159</v>
      </c>
      <c r="F78" s="1" t="s">
        <v>14</v>
      </c>
      <c r="G78" s="1" t="s">
        <v>1</v>
      </c>
      <c r="H78" s="1" t="s">
        <v>6</v>
      </c>
      <c r="I78" s="1" t="s">
        <v>2</v>
      </c>
      <c r="J78" s="1" t="s">
        <v>3</v>
      </c>
      <c r="K78" s="1" t="s">
        <v>1535</v>
      </c>
      <c r="L78" s="1" t="s">
        <v>7</v>
      </c>
      <c r="M78" s="1" t="s">
        <v>9</v>
      </c>
      <c r="N78" s="1" t="s">
        <v>1536</v>
      </c>
      <c r="O78" s="1" t="s">
        <v>1523</v>
      </c>
      <c r="P78" s="1"/>
      <c r="Q78" s="1" t="s">
        <v>12</v>
      </c>
      <c r="R78" s="1" t="s">
        <v>11</v>
      </c>
      <c r="S78" s="1"/>
      <c r="T78" s="1" t="s">
        <v>12</v>
      </c>
      <c r="U78" s="1" t="s">
        <v>11</v>
      </c>
      <c r="V78" s="1"/>
      <c r="W78" s="1" t="s">
        <v>1537</v>
      </c>
      <c r="X78" s="1"/>
      <c r="Y78" s="1"/>
      <c r="Z78" s="1"/>
      <c r="AA78" s="1"/>
      <c r="AB78" s="1" t="s">
        <v>1538</v>
      </c>
      <c r="AC78" s="1"/>
      <c r="AD78" s="1"/>
      <c r="AE78" s="1" t="s">
        <v>1526</v>
      </c>
      <c r="AF78" s="1"/>
      <c r="AG78" s="1"/>
      <c r="AH78" s="1" t="s">
        <v>1539</v>
      </c>
      <c r="AI78" s="1"/>
      <c r="AJ78" s="1" t="s">
        <v>1528</v>
      </c>
      <c r="AK78" s="1" t="s">
        <v>279</v>
      </c>
      <c r="AL78" s="1" t="s">
        <v>1529</v>
      </c>
      <c r="AM78" s="1" t="s">
        <v>1530</v>
      </c>
      <c r="AN78" s="1" t="s">
        <v>279</v>
      </c>
      <c r="AO78" s="1" t="s">
        <v>1531</v>
      </c>
      <c r="AP78" s="2" t="s">
        <v>1540</v>
      </c>
      <c r="AQ78" s="2" t="s">
        <v>1155</v>
      </c>
      <c r="AR78" s="1" t="s">
        <v>286</v>
      </c>
      <c r="AS78" s="1" t="s">
        <v>1541</v>
      </c>
      <c r="AT78" s="1" t="s">
        <v>5</v>
      </c>
    </row>
    <row r="79" spans="1:46" hidden="1" x14ac:dyDescent="0.4">
      <c r="A79" s="1" t="s">
        <v>1553</v>
      </c>
      <c r="B79" s="10"/>
      <c r="C79" s="1" t="s">
        <v>0</v>
      </c>
      <c r="D79" s="1" t="s">
        <v>1158</v>
      </c>
      <c r="E79" s="1" t="s">
        <v>1159</v>
      </c>
      <c r="F79" s="1" t="s">
        <v>14</v>
      </c>
      <c r="G79" s="1" t="s">
        <v>1</v>
      </c>
      <c r="H79" s="1" t="s">
        <v>6</v>
      </c>
      <c r="I79" s="1" t="s">
        <v>2</v>
      </c>
      <c r="J79" s="1" t="s">
        <v>3</v>
      </c>
      <c r="K79" s="1" t="s">
        <v>1554</v>
      </c>
      <c r="L79" s="1" t="s">
        <v>4</v>
      </c>
      <c r="M79" s="1" t="s">
        <v>9</v>
      </c>
      <c r="N79" s="1" t="s">
        <v>1555</v>
      </c>
      <c r="O79" s="1" t="s">
        <v>1221</v>
      </c>
      <c r="P79" s="1"/>
      <c r="Q79" s="1"/>
      <c r="R79" s="1" t="s">
        <v>11</v>
      </c>
      <c r="S79" s="1"/>
      <c r="T79" s="1"/>
      <c r="U79" s="1"/>
      <c r="V79" s="1"/>
      <c r="W79" s="1" t="s">
        <v>1556</v>
      </c>
      <c r="X79" s="1"/>
      <c r="Y79" s="1"/>
      <c r="Z79" s="1"/>
      <c r="AA79" s="1"/>
      <c r="AB79" s="1" t="s">
        <v>1557</v>
      </c>
      <c r="AC79" s="1"/>
      <c r="AD79" s="1"/>
      <c r="AE79" s="1" t="s">
        <v>1558</v>
      </c>
      <c r="AF79" s="1"/>
      <c r="AG79" s="1"/>
      <c r="AH79" s="1" t="s">
        <v>1559</v>
      </c>
      <c r="AI79" s="1"/>
      <c r="AJ79" s="1" t="s">
        <v>1560</v>
      </c>
      <c r="AK79" s="1" t="s">
        <v>1561</v>
      </c>
      <c r="AL79" s="1" t="s">
        <v>1562</v>
      </c>
      <c r="AM79" s="1" t="s">
        <v>1560</v>
      </c>
      <c r="AN79" s="1" t="s">
        <v>1561</v>
      </c>
      <c r="AO79" s="1" t="s">
        <v>1562</v>
      </c>
      <c r="AP79" s="2" t="s">
        <v>1563</v>
      </c>
      <c r="AQ79" s="2" t="s">
        <v>1154</v>
      </c>
      <c r="AR79" s="1" t="s">
        <v>286</v>
      </c>
      <c r="AS79" s="1"/>
      <c r="AT79" s="1" t="s">
        <v>5</v>
      </c>
    </row>
    <row r="80" spans="1:46" hidden="1" x14ac:dyDescent="0.4">
      <c r="A80" s="1" t="s">
        <v>1469</v>
      </c>
      <c r="B80" s="10"/>
      <c r="C80" s="1" t="s">
        <v>0</v>
      </c>
      <c r="D80" s="1" t="s">
        <v>1158</v>
      </c>
      <c r="E80" s="1" t="s">
        <v>1159</v>
      </c>
      <c r="F80" s="1" t="s">
        <v>14</v>
      </c>
      <c r="G80" s="1" t="s">
        <v>1</v>
      </c>
      <c r="H80" s="1" t="s">
        <v>6</v>
      </c>
      <c r="I80" s="1" t="s">
        <v>2</v>
      </c>
      <c r="J80" s="1" t="s">
        <v>3</v>
      </c>
      <c r="K80" s="1" t="s">
        <v>1470</v>
      </c>
      <c r="L80" s="1" t="s">
        <v>4</v>
      </c>
      <c r="M80" s="1" t="s">
        <v>9</v>
      </c>
      <c r="N80" s="1" t="s">
        <v>1471</v>
      </c>
      <c r="O80" s="1" t="s">
        <v>1221</v>
      </c>
      <c r="P80" s="1"/>
      <c r="Q80" s="1"/>
      <c r="R80" s="1" t="s">
        <v>11</v>
      </c>
      <c r="S80" s="1"/>
      <c r="T80" s="1"/>
      <c r="U80" s="1"/>
      <c r="V80" s="1"/>
      <c r="W80" s="1" t="s">
        <v>1472</v>
      </c>
      <c r="X80" s="1"/>
      <c r="Y80" s="1"/>
      <c r="Z80" s="1"/>
      <c r="AA80" s="1"/>
      <c r="AB80" s="1" t="s">
        <v>1473</v>
      </c>
      <c r="AC80" s="1"/>
      <c r="AD80" s="1"/>
      <c r="AE80" s="1" t="s">
        <v>1474</v>
      </c>
      <c r="AF80" s="1"/>
      <c r="AG80" s="1"/>
      <c r="AH80" s="1" t="s">
        <v>1475</v>
      </c>
      <c r="AI80" s="1"/>
      <c r="AJ80" s="1" t="s">
        <v>1277</v>
      </c>
      <c r="AK80" s="1" t="s">
        <v>598</v>
      </c>
      <c r="AL80" s="1" t="s">
        <v>1278</v>
      </c>
      <c r="AM80" s="1" t="s">
        <v>1476</v>
      </c>
      <c r="AN80" s="1" t="s">
        <v>598</v>
      </c>
      <c r="AO80" s="1" t="s">
        <v>1477</v>
      </c>
      <c r="AP80" s="2" t="s">
        <v>1478</v>
      </c>
      <c r="AQ80" s="2" t="s">
        <v>1154</v>
      </c>
      <c r="AR80" s="1" t="s">
        <v>286</v>
      </c>
      <c r="AS80" s="1" t="s">
        <v>1479</v>
      </c>
      <c r="AT80" s="1" t="s">
        <v>5</v>
      </c>
    </row>
    <row r="81" spans="1:46" hidden="1" x14ac:dyDescent="0.4">
      <c r="A81" s="1" t="s">
        <v>1842</v>
      </c>
      <c r="B81" s="10"/>
      <c r="C81" s="1" t="s">
        <v>0</v>
      </c>
      <c r="D81" s="1" t="s">
        <v>1158</v>
      </c>
      <c r="E81" s="1" t="s">
        <v>1159</v>
      </c>
      <c r="F81" s="1" t="s">
        <v>14</v>
      </c>
      <c r="G81" s="1" t="s">
        <v>1</v>
      </c>
      <c r="H81" s="1" t="s">
        <v>6</v>
      </c>
      <c r="I81" s="1" t="s">
        <v>2</v>
      </c>
      <c r="J81" s="1" t="s">
        <v>3</v>
      </c>
      <c r="K81" s="1" t="s">
        <v>1843</v>
      </c>
      <c r="L81" s="1" t="s">
        <v>4</v>
      </c>
      <c r="M81" s="1" t="s">
        <v>9</v>
      </c>
      <c r="N81" s="1" t="s">
        <v>1844</v>
      </c>
      <c r="O81" s="1" t="s">
        <v>1845</v>
      </c>
      <c r="P81" s="1"/>
      <c r="Q81" s="1"/>
      <c r="R81" s="1" t="s">
        <v>11</v>
      </c>
      <c r="S81" s="1"/>
      <c r="T81" s="1"/>
      <c r="U81" s="1"/>
      <c r="V81" s="1"/>
      <c r="W81" s="1" t="s">
        <v>1846</v>
      </c>
      <c r="X81" s="1"/>
      <c r="Y81" s="1"/>
      <c r="Z81" s="1"/>
      <c r="AA81" s="1"/>
      <c r="AB81" s="1" t="s">
        <v>1847</v>
      </c>
      <c r="AC81" s="1"/>
      <c r="AD81" s="1"/>
      <c r="AE81" s="1" t="s">
        <v>1848</v>
      </c>
      <c r="AF81" s="1"/>
      <c r="AG81" s="1"/>
      <c r="AH81" s="1" t="s">
        <v>1849</v>
      </c>
      <c r="AI81" s="1"/>
      <c r="AJ81" s="1" t="s">
        <v>202</v>
      </c>
      <c r="AK81" s="1" t="s">
        <v>518</v>
      </c>
      <c r="AL81" s="1" t="s">
        <v>203</v>
      </c>
      <c r="AM81" s="1" t="s">
        <v>610</v>
      </c>
      <c r="AN81" s="1" t="s">
        <v>518</v>
      </c>
      <c r="AO81" s="1" t="s">
        <v>611</v>
      </c>
      <c r="AP81" s="2" t="s">
        <v>1850</v>
      </c>
      <c r="AQ81" s="2" t="s">
        <v>1155</v>
      </c>
      <c r="AR81" s="1" t="s">
        <v>286</v>
      </c>
      <c r="AS81" s="1" t="s">
        <v>1851</v>
      </c>
      <c r="AT81" s="1" t="s">
        <v>5</v>
      </c>
    </row>
    <row r="82" spans="1:46" hidden="1" x14ac:dyDescent="0.4">
      <c r="A82" s="1" t="s">
        <v>1765</v>
      </c>
      <c r="B82" s="10"/>
      <c r="C82" s="1" t="s">
        <v>0</v>
      </c>
      <c r="D82" s="1" t="s">
        <v>1158</v>
      </c>
      <c r="E82" s="1" t="s">
        <v>1159</v>
      </c>
      <c r="F82" s="1" t="s">
        <v>14</v>
      </c>
      <c r="G82" s="1" t="s">
        <v>1</v>
      </c>
      <c r="H82" s="1" t="s">
        <v>6</v>
      </c>
      <c r="I82" s="1" t="s">
        <v>2</v>
      </c>
      <c r="J82" s="1" t="s">
        <v>3</v>
      </c>
      <c r="K82" s="1" t="s">
        <v>1766</v>
      </c>
      <c r="L82" s="1" t="s">
        <v>7</v>
      </c>
      <c r="M82" s="1" t="s">
        <v>9</v>
      </c>
      <c r="N82" s="1" t="s">
        <v>1767</v>
      </c>
      <c r="O82" s="1" t="s">
        <v>1162</v>
      </c>
      <c r="P82" s="1"/>
      <c r="Q82" s="1"/>
      <c r="R82" s="1" t="s">
        <v>11</v>
      </c>
      <c r="S82" s="1"/>
      <c r="T82" s="1"/>
      <c r="U82" s="1"/>
      <c r="V82" s="1"/>
      <c r="W82" s="1" t="s">
        <v>1768</v>
      </c>
      <c r="X82" s="1"/>
      <c r="Y82" s="1"/>
      <c r="Z82" s="1"/>
      <c r="AA82" s="1"/>
      <c r="AB82" s="1" t="s">
        <v>1769</v>
      </c>
      <c r="AC82" s="1"/>
      <c r="AD82" s="1"/>
      <c r="AE82" s="1" t="s">
        <v>1770</v>
      </c>
      <c r="AF82" s="1"/>
      <c r="AG82" s="1"/>
      <c r="AH82" s="1" t="s">
        <v>1771</v>
      </c>
      <c r="AI82" s="1"/>
      <c r="AJ82" s="1" t="s">
        <v>1772</v>
      </c>
      <c r="AK82" s="1" t="s">
        <v>1773</v>
      </c>
      <c r="AL82" s="1" t="s">
        <v>1774</v>
      </c>
      <c r="AM82" s="1" t="s">
        <v>1775</v>
      </c>
      <c r="AN82" s="1" t="s">
        <v>280</v>
      </c>
      <c r="AO82" s="1" t="s">
        <v>1776</v>
      </c>
      <c r="AP82" s="2" t="s">
        <v>1777</v>
      </c>
      <c r="AQ82" s="2" t="s">
        <v>1155</v>
      </c>
      <c r="AR82" s="1" t="s">
        <v>286</v>
      </c>
      <c r="AS82" s="1" t="s">
        <v>1778</v>
      </c>
      <c r="AT82" s="1" t="s">
        <v>5</v>
      </c>
    </row>
    <row r="83" spans="1:46" hidden="1" x14ac:dyDescent="0.4">
      <c r="A83" s="1" t="s">
        <v>1480</v>
      </c>
      <c r="B83" s="10"/>
      <c r="C83" s="1" t="s">
        <v>93</v>
      </c>
      <c r="D83" s="1" t="s">
        <v>1158</v>
      </c>
      <c r="E83" s="1" t="s">
        <v>1159</v>
      </c>
      <c r="F83" s="1" t="s">
        <v>14</v>
      </c>
      <c r="G83" s="1" t="s">
        <v>1</v>
      </c>
      <c r="H83" s="1" t="s">
        <v>6</v>
      </c>
      <c r="I83" s="1" t="s">
        <v>2</v>
      </c>
      <c r="J83" s="1" t="s">
        <v>3</v>
      </c>
      <c r="K83" s="1" t="s">
        <v>1481</v>
      </c>
      <c r="L83" s="1" t="s">
        <v>4</v>
      </c>
      <c r="M83" s="1" t="s">
        <v>9</v>
      </c>
      <c r="N83" s="1" t="s">
        <v>1482</v>
      </c>
      <c r="O83" s="1" t="s">
        <v>1175</v>
      </c>
      <c r="P83" s="1"/>
      <c r="Q83" s="1"/>
      <c r="R83" s="1" t="s">
        <v>11</v>
      </c>
      <c r="S83" s="1"/>
      <c r="T83" s="1"/>
      <c r="U83" s="1"/>
      <c r="V83" s="1"/>
      <c r="W83" s="1"/>
      <c r="X83" s="1"/>
      <c r="Y83" s="1"/>
      <c r="Z83" s="1"/>
      <c r="AA83" s="1"/>
      <c r="AB83" s="1" t="s">
        <v>1483</v>
      </c>
      <c r="AC83" s="1"/>
      <c r="AD83" s="1"/>
      <c r="AE83" s="1" t="s">
        <v>1484</v>
      </c>
      <c r="AF83" s="1"/>
      <c r="AG83" s="1"/>
      <c r="AH83" s="1" t="s">
        <v>1485</v>
      </c>
      <c r="AI83" s="1"/>
      <c r="AJ83" s="1" t="s">
        <v>1458</v>
      </c>
      <c r="AK83" s="1" t="s">
        <v>1456</v>
      </c>
      <c r="AL83" s="1" t="s">
        <v>1459</v>
      </c>
      <c r="AM83" s="1" t="s">
        <v>1455</v>
      </c>
      <c r="AN83" s="1" t="s">
        <v>1456</v>
      </c>
      <c r="AO83" s="1" t="s">
        <v>1457</v>
      </c>
      <c r="AP83" s="2" t="s">
        <v>1486</v>
      </c>
      <c r="AQ83" s="2" t="s">
        <v>1154</v>
      </c>
      <c r="AR83" s="1" t="s">
        <v>286</v>
      </c>
      <c r="AS83" s="1" t="s">
        <v>1487</v>
      </c>
      <c r="AT83" s="1" t="s">
        <v>5</v>
      </c>
    </row>
    <row r="84" spans="1:46" hidden="1" x14ac:dyDescent="0.4">
      <c r="A84" s="1" t="s">
        <v>1462</v>
      </c>
      <c r="B84" s="10"/>
      <c r="C84" s="1" t="s">
        <v>0</v>
      </c>
      <c r="D84" s="1" t="s">
        <v>1158</v>
      </c>
      <c r="E84" s="1" t="s">
        <v>1159</v>
      </c>
      <c r="F84" s="1" t="s">
        <v>14</v>
      </c>
      <c r="G84" s="1" t="s">
        <v>1</v>
      </c>
      <c r="H84" s="1" t="s">
        <v>6</v>
      </c>
      <c r="I84" s="1" t="s">
        <v>2</v>
      </c>
      <c r="J84" s="1" t="s">
        <v>3</v>
      </c>
      <c r="K84" s="1" t="s">
        <v>1463</v>
      </c>
      <c r="L84" s="1" t="s">
        <v>7</v>
      </c>
      <c r="M84" s="1" t="s">
        <v>9</v>
      </c>
      <c r="N84" s="1" t="s">
        <v>1464</v>
      </c>
      <c r="O84" s="1" t="s">
        <v>1162</v>
      </c>
      <c r="P84" s="1"/>
      <c r="Q84" s="1"/>
      <c r="R84" s="1" t="s">
        <v>11</v>
      </c>
      <c r="S84" s="1"/>
      <c r="T84" s="1"/>
      <c r="U84" s="1"/>
      <c r="V84" s="1"/>
      <c r="W84" s="1"/>
      <c r="X84" s="1"/>
      <c r="Y84" s="1"/>
      <c r="Z84" s="1"/>
      <c r="AA84" s="1"/>
      <c r="AB84" s="1" t="s">
        <v>1465</v>
      </c>
      <c r="AC84" s="1"/>
      <c r="AD84" s="1"/>
      <c r="AE84" s="1"/>
      <c r="AF84" s="1"/>
      <c r="AG84" s="1"/>
      <c r="AH84" s="1" t="s">
        <v>1466</v>
      </c>
      <c r="AI84" s="1"/>
      <c r="AJ84" s="1" t="s">
        <v>1277</v>
      </c>
      <c r="AK84" s="1" t="s">
        <v>598</v>
      </c>
      <c r="AL84" s="1" t="s">
        <v>1278</v>
      </c>
      <c r="AM84" s="1" t="s">
        <v>1279</v>
      </c>
      <c r="AN84" s="1" t="s">
        <v>598</v>
      </c>
      <c r="AO84" s="1" t="s">
        <v>1280</v>
      </c>
      <c r="AP84" s="2" t="s">
        <v>1467</v>
      </c>
      <c r="AQ84" s="2" t="s">
        <v>1154</v>
      </c>
      <c r="AR84" s="1" t="s">
        <v>286</v>
      </c>
      <c r="AS84" s="1" t="s">
        <v>1468</v>
      </c>
      <c r="AT84" s="1" t="s">
        <v>5</v>
      </c>
    </row>
    <row r="85" spans="1:46" hidden="1" x14ac:dyDescent="0.4">
      <c r="A85" s="9" t="s">
        <v>1184</v>
      </c>
      <c r="B85" s="10">
        <v>0</v>
      </c>
      <c r="C85" s="1" t="s">
        <v>0</v>
      </c>
      <c r="D85" s="1" t="s">
        <v>1158</v>
      </c>
      <c r="E85" s="1" t="s">
        <v>1185</v>
      </c>
      <c r="F85" s="1" t="s">
        <v>14</v>
      </c>
      <c r="G85" s="1" t="s">
        <v>1</v>
      </c>
      <c r="H85" s="1" t="s">
        <v>6</v>
      </c>
      <c r="I85" s="1" t="s">
        <v>2</v>
      </c>
      <c r="J85" s="1" t="s">
        <v>3</v>
      </c>
      <c r="K85" s="1" t="s">
        <v>1186</v>
      </c>
      <c r="L85" s="1" t="s">
        <v>4</v>
      </c>
      <c r="M85" s="1" t="s">
        <v>9</v>
      </c>
      <c r="N85" s="1" t="s">
        <v>1187</v>
      </c>
      <c r="O85" s="1" t="s">
        <v>1188</v>
      </c>
      <c r="P85" s="1"/>
      <c r="Q85" s="1"/>
      <c r="R85" s="1" t="s">
        <v>11</v>
      </c>
      <c r="S85" s="1"/>
      <c r="T85" s="1"/>
      <c r="U85" s="1"/>
      <c r="V85" s="1"/>
      <c r="W85" s="1" t="s">
        <v>1189</v>
      </c>
      <c r="X85" s="1"/>
      <c r="Y85" s="1"/>
      <c r="Z85" s="1"/>
      <c r="AA85" s="1"/>
      <c r="AB85" s="1"/>
      <c r="AC85" s="1"/>
      <c r="AD85" s="1"/>
      <c r="AE85" s="7" t="s">
        <v>1190</v>
      </c>
      <c r="AF85" s="1"/>
      <c r="AG85" s="1"/>
      <c r="AH85" s="1" t="s">
        <v>1191</v>
      </c>
      <c r="AI85" s="1" t="s">
        <v>1192</v>
      </c>
      <c r="AJ85" s="1" t="s">
        <v>58</v>
      </c>
      <c r="AK85" s="1" t="s">
        <v>1193</v>
      </c>
      <c r="AL85" s="1"/>
      <c r="AM85" s="1" t="s">
        <v>1194</v>
      </c>
      <c r="AN85" s="1" t="s">
        <v>1193</v>
      </c>
      <c r="AO85" s="1" t="s">
        <v>1195</v>
      </c>
      <c r="AP85" s="2" t="s">
        <v>1196</v>
      </c>
      <c r="AQ85" s="2" t="s">
        <v>1154</v>
      </c>
      <c r="AR85" s="1"/>
      <c r="AS85" s="1"/>
      <c r="AT85" s="1" t="s">
        <v>5</v>
      </c>
    </row>
    <row r="86" spans="1:46" hidden="1" x14ac:dyDescent="0.4">
      <c r="A86" s="9" t="s">
        <v>1208</v>
      </c>
      <c r="B86" s="10">
        <v>0</v>
      </c>
      <c r="C86" s="1" t="s">
        <v>0</v>
      </c>
      <c r="D86" s="1" t="s">
        <v>1158</v>
      </c>
      <c r="E86" s="1" t="s">
        <v>1159</v>
      </c>
      <c r="F86" s="1" t="s">
        <v>14</v>
      </c>
      <c r="G86" s="1" t="s">
        <v>1</v>
      </c>
      <c r="H86" s="1" t="s">
        <v>6</v>
      </c>
      <c r="I86" s="1" t="s">
        <v>2</v>
      </c>
      <c r="J86" s="1" t="s">
        <v>3</v>
      </c>
      <c r="K86" s="1" t="s">
        <v>1209</v>
      </c>
      <c r="L86" s="1" t="s">
        <v>4</v>
      </c>
      <c r="M86" s="1" t="s">
        <v>9</v>
      </c>
      <c r="N86" s="1" t="s">
        <v>1210</v>
      </c>
      <c r="O86" s="1" t="s">
        <v>1211</v>
      </c>
      <c r="P86" s="1"/>
      <c r="Q86" s="1"/>
      <c r="R86" s="1" t="s">
        <v>11</v>
      </c>
      <c r="S86" s="1"/>
      <c r="T86" s="1"/>
      <c r="U86" s="1"/>
      <c r="V86" s="1"/>
      <c r="W86" s="1"/>
      <c r="X86" s="1"/>
      <c r="Y86" s="1"/>
      <c r="Z86" s="1"/>
      <c r="AA86" s="1"/>
      <c r="AB86" s="1"/>
      <c r="AC86" s="1"/>
      <c r="AD86" s="1"/>
      <c r="AE86" s="8" t="s">
        <v>1212</v>
      </c>
      <c r="AF86" s="1"/>
      <c r="AG86" s="1"/>
      <c r="AH86" s="1" t="s">
        <v>1213</v>
      </c>
      <c r="AI86" s="1"/>
      <c r="AJ86" s="1" t="s">
        <v>1214</v>
      </c>
      <c r="AK86" s="1" t="s">
        <v>1215</v>
      </c>
      <c r="AL86" s="1"/>
      <c r="AM86" s="1" t="s">
        <v>1216</v>
      </c>
      <c r="AN86" s="1" t="s">
        <v>1215</v>
      </c>
      <c r="AO86" s="1"/>
      <c r="AP86" s="2" t="s">
        <v>1217</v>
      </c>
      <c r="AQ86" s="2" t="s">
        <v>1155</v>
      </c>
      <c r="AR86" s="1"/>
      <c r="AS86" s="1"/>
      <c r="AT86" s="1" t="s">
        <v>10</v>
      </c>
    </row>
    <row r="87" spans="1:46" hidden="1" x14ac:dyDescent="0.4">
      <c r="A87" s="9" t="s">
        <v>1218</v>
      </c>
      <c r="B87" s="10">
        <v>0</v>
      </c>
      <c r="C87" s="1" t="s">
        <v>0</v>
      </c>
      <c r="D87" s="1" t="s">
        <v>1158</v>
      </c>
      <c r="E87" s="1" t="s">
        <v>1159</v>
      </c>
      <c r="F87" s="1" t="s">
        <v>14</v>
      </c>
      <c r="G87" s="1" t="s">
        <v>1</v>
      </c>
      <c r="H87" s="1" t="s">
        <v>6</v>
      </c>
      <c r="I87" s="1" t="s">
        <v>2</v>
      </c>
      <c r="J87" s="1" t="s">
        <v>3</v>
      </c>
      <c r="K87" s="1" t="s">
        <v>1219</v>
      </c>
      <c r="L87" s="1" t="s">
        <v>4</v>
      </c>
      <c r="M87" s="1" t="s">
        <v>9</v>
      </c>
      <c r="N87" s="1" t="s">
        <v>1220</v>
      </c>
      <c r="O87" s="1" t="s">
        <v>1221</v>
      </c>
      <c r="P87" s="1"/>
      <c r="Q87" s="1"/>
      <c r="R87" s="1" t="s">
        <v>11</v>
      </c>
      <c r="S87" s="1"/>
      <c r="T87" s="1"/>
      <c r="U87" s="1"/>
      <c r="V87" s="1"/>
      <c r="W87" s="1" t="s">
        <v>1222</v>
      </c>
      <c r="X87" s="1"/>
      <c r="Y87" s="1"/>
      <c r="Z87" s="1"/>
      <c r="AA87" s="1"/>
      <c r="AB87" s="1"/>
      <c r="AC87" s="1"/>
      <c r="AD87" s="1"/>
      <c r="AE87" s="8" t="s">
        <v>1223</v>
      </c>
      <c r="AF87" s="1"/>
      <c r="AG87" s="1"/>
      <c r="AH87" s="1" t="s">
        <v>1224</v>
      </c>
      <c r="AI87" s="1"/>
      <c r="AJ87" s="1" t="s">
        <v>1225</v>
      </c>
      <c r="AK87" s="1" t="s">
        <v>1226</v>
      </c>
      <c r="AL87" s="1" t="s">
        <v>1227</v>
      </c>
      <c r="AM87" s="1" t="s">
        <v>1228</v>
      </c>
      <c r="AN87" s="1" t="s">
        <v>1226</v>
      </c>
      <c r="AO87" s="1"/>
      <c r="AP87" s="2" t="s">
        <v>1229</v>
      </c>
      <c r="AQ87" s="2" t="s">
        <v>1155</v>
      </c>
      <c r="AR87" s="1"/>
      <c r="AS87" s="1"/>
      <c r="AT87" s="1" t="s">
        <v>10</v>
      </c>
    </row>
    <row r="88" spans="1:46" hidden="1" x14ac:dyDescent="0.4">
      <c r="A88" s="9" t="s">
        <v>1230</v>
      </c>
      <c r="B88" s="10">
        <v>0</v>
      </c>
      <c r="C88" s="1" t="s">
        <v>0</v>
      </c>
      <c r="D88" s="1" t="s">
        <v>1158</v>
      </c>
      <c r="E88" s="1" t="s">
        <v>1185</v>
      </c>
      <c r="F88" s="1" t="s">
        <v>14</v>
      </c>
      <c r="G88" s="1" t="s">
        <v>1</v>
      </c>
      <c r="H88" s="1" t="s">
        <v>6</v>
      </c>
      <c r="I88" s="1" t="s">
        <v>2</v>
      </c>
      <c r="J88" s="1" t="s">
        <v>3</v>
      </c>
      <c r="K88" s="1" t="s">
        <v>1231</v>
      </c>
      <c r="L88" s="1" t="s">
        <v>4</v>
      </c>
      <c r="M88" s="1" t="s">
        <v>9</v>
      </c>
      <c r="N88" s="1" t="s">
        <v>1232</v>
      </c>
      <c r="O88" s="1" t="s">
        <v>1188</v>
      </c>
      <c r="P88" s="1"/>
      <c r="Q88" s="1"/>
      <c r="R88" s="1" t="s">
        <v>11</v>
      </c>
      <c r="S88" s="1"/>
      <c r="T88" s="1"/>
      <c r="U88" s="1"/>
      <c r="V88" s="1"/>
      <c r="W88" s="1" t="s">
        <v>1189</v>
      </c>
      <c r="X88" s="1"/>
      <c r="Y88" s="1"/>
      <c r="Z88" s="1"/>
      <c r="AA88" s="1"/>
      <c r="AB88" s="1"/>
      <c r="AC88" s="1"/>
      <c r="AD88" s="1"/>
      <c r="AE88" s="8" t="s">
        <v>1233</v>
      </c>
      <c r="AF88" s="1"/>
      <c r="AG88" s="1"/>
      <c r="AH88" s="1" t="s">
        <v>1234</v>
      </c>
      <c r="AI88" s="1"/>
      <c r="AJ88" s="1" t="s">
        <v>1235</v>
      </c>
      <c r="AK88" s="1" t="s">
        <v>1236</v>
      </c>
      <c r="AL88" s="1"/>
      <c r="AM88" s="1" t="s">
        <v>1194</v>
      </c>
      <c r="AN88" s="1" t="s">
        <v>1237</v>
      </c>
      <c r="AO88" s="1" t="s">
        <v>1195</v>
      </c>
      <c r="AP88" s="2" t="s">
        <v>1238</v>
      </c>
      <c r="AQ88" s="2" t="s">
        <v>1154</v>
      </c>
      <c r="AR88" s="1"/>
      <c r="AS88" s="1"/>
      <c r="AT88" s="1" t="s">
        <v>5</v>
      </c>
    </row>
    <row r="89" spans="1:46" hidden="1" x14ac:dyDescent="0.4">
      <c r="A89" s="9" t="s">
        <v>1498</v>
      </c>
      <c r="B89" s="10">
        <v>0</v>
      </c>
      <c r="C89" s="1" t="s">
        <v>0</v>
      </c>
      <c r="D89" s="1" t="s">
        <v>1158</v>
      </c>
      <c r="E89" s="1" t="s">
        <v>1159</v>
      </c>
      <c r="F89" s="1" t="s">
        <v>14</v>
      </c>
      <c r="G89" s="1" t="s">
        <v>1</v>
      </c>
      <c r="H89" s="1" t="s">
        <v>6</v>
      </c>
      <c r="I89" s="1" t="s">
        <v>2</v>
      </c>
      <c r="J89" s="1" t="s">
        <v>3</v>
      </c>
      <c r="K89" s="1" t="s">
        <v>1499</v>
      </c>
      <c r="L89" s="1" t="s">
        <v>7</v>
      </c>
      <c r="M89" s="1" t="s">
        <v>9</v>
      </c>
      <c r="N89" s="1" t="s">
        <v>1500</v>
      </c>
      <c r="O89" s="1" t="s">
        <v>1252</v>
      </c>
      <c r="P89" s="1"/>
      <c r="Q89" s="1"/>
      <c r="R89" s="1" t="s">
        <v>11</v>
      </c>
      <c r="S89" s="1"/>
      <c r="T89" s="1"/>
      <c r="U89" s="1"/>
      <c r="V89" s="1"/>
      <c r="W89" s="1" t="s">
        <v>1501</v>
      </c>
      <c r="X89" s="1"/>
      <c r="Y89" s="1"/>
      <c r="Z89" s="1"/>
      <c r="AA89" s="1"/>
      <c r="AB89" s="1"/>
      <c r="AC89" s="1"/>
      <c r="AD89" s="1"/>
      <c r="AE89" s="8" t="s">
        <v>1502</v>
      </c>
      <c r="AF89" s="1"/>
      <c r="AG89" s="1"/>
      <c r="AH89" s="1" t="s">
        <v>1503</v>
      </c>
      <c r="AI89" s="1"/>
      <c r="AJ89" s="1" t="s">
        <v>51</v>
      </c>
      <c r="AK89" s="1" t="s">
        <v>518</v>
      </c>
      <c r="AL89" s="1" t="s">
        <v>136</v>
      </c>
      <c r="AM89" s="1" t="s">
        <v>1504</v>
      </c>
      <c r="AN89" s="1" t="s">
        <v>518</v>
      </c>
      <c r="AO89" s="1" t="s">
        <v>1505</v>
      </c>
      <c r="AP89" s="2" t="s">
        <v>1506</v>
      </c>
      <c r="AQ89" s="2" t="s">
        <v>1154</v>
      </c>
      <c r="AR89" s="1" t="s">
        <v>286</v>
      </c>
      <c r="AS89" s="1" t="s">
        <v>1507</v>
      </c>
      <c r="AT89" s="1" t="s">
        <v>5</v>
      </c>
    </row>
    <row r="90" spans="1:46" hidden="1" x14ac:dyDescent="0.4">
      <c r="A90" s="9" t="s">
        <v>1508</v>
      </c>
      <c r="B90" s="10">
        <v>0</v>
      </c>
      <c r="C90" s="1" t="s">
        <v>0</v>
      </c>
      <c r="D90" s="1" t="s">
        <v>1158</v>
      </c>
      <c r="E90" s="1" t="s">
        <v>1159</v>
      </c>
      <c r="F90" s="1" t="s">
        <v>14</v>
      </c>
      <c r="G90" s="1" t="s">
        <v>1</v>
      </c>
      <c r="H90" s="1" t="s">
        <v>6</v>
      </c>
      <c r="I90" s="1" t="s">
        <v>2</v>
      </c>
      <c r="J90" s="1" t="s">
        <v>3</v>
      </c>
      <c r="K90" s="1" t="s">
        <v>1509</v>
      </c>
      <c r="L90" s="1" t="s">
        <v>4</v>
      </c>
      <c r="M90" s="1" t="s">
        <v>9</v>
      </c>
      <c r="N90" s="1" t="s">
        <v>1510</v>
      </c>
      <c r="O90" s="1" t="s">
        <v>1252</v>
      </c>
      <c r="P90" s="1"/>
      <c r="Q90" s="1"/>
      <c r="R90" s="1" t="s">
        <v>11</v>
      </c>
      <c r="S90" s="1"/>
      <c r="T90" s="1"/>
      <c r="U90" s="1"/>
      <c r="V90" s="1"/>
      <c r="W90" s="1"/>
      <c r="X90" s="1"/>
      <c r="Y90" s="1"/>
      <c r="Z90" s="1"/>
      <c r="AA90" s="1"/>
      <c r="AB90" s="1"/>
      <c r="AC90" s="1"/>
      <c r="AD90" s="1"/>
      <c r="AE90" s="8" t="s">
        <v>1511</v>
      </c>
      <c r="AF90" s="1"/>
      <c r="AG90" s="1"/>
      <c r="AH90" s="1" t="s">
        <v>1512</v>
      </c>
      <c r="AI90" s="1"/>
      <c r="AJ90" s="1" t="s">
        <v>1513</v>
      </c>
      <c r="AK90" s="1" t="s">
        <v>1514</v>
      </c>
      <c r="AL90" s="1" t="s">
        <v>1515</v>
      </c>
      <c r="AM90" s="1" t="s">
        <v>1516</v>
      </c>
      <c r="AN90" s="1" t="s">
        <v>1514</v>
      </c>
      <c r="AO90" s="1" t="s">
        <v>1517</v>
      </c>
      <c r="AP90" s="2" t="s">
        <v>1518</v>
      </c>
      <c r="AQ90" s="2" t="s">
        <v>1154</v>
      </c>
      <c r="AR90" s="1" t="s">
        <v>286</v>
      </c>
      <c r="AS90" s="1" t="s">
        <v>1519</v>
      </c>
      <c r="AT90" s="1" t="s">
        <v>5</v>
      </c>
    </row>
    <row r="91" spans="1:46" hidden="1" x14ac:dyDescent="0.4">
      <c r="A91" s="9" t="s">
        <v>1542</v>
      </c>
      <c r="B91" s="10">
        <v>0</v>
      </c>
      <c r="C91" s="1" t="s">
        <v>0</v>
      </c>
      <c r="D91" s="1" t="s">
        <v>1158</v>
      </c>
      <c r="E91" s="1" t="s">
        <v>1159</v>
      </c>
      <c r="F91" s="1" t="s">
        <v>14</v>
      </c>
      <c r="G91" s="1" t="s">
        <v>1</v>
      </c>
      <c r="H91" s="1" t="s">
        <v>6</v>
      </c>
      <c r="I91" s="1" t="s">
        <v>2</v>
      </c>
      <c r="J91" s="1" t="s">
        <v>3</v>
      </c>
      <c r="K91" s="1" t="s">
        <v>1543</v>
      </c>
      <c r="L91" s="1" t="s">
        <v>4</v>
      </c>
      <c r="M91" s="1" t="s">
        <v>9</v>
      </c>
      <c r="N91" s="1" t="s">
        <v>1544</v>
      </c>
      <c r="O91" s="1" t="s">
        <v>1545</v>
      </c>
      <c r="P91" s="1"/>
      <c r="Q91" s="1"/>
      <c r="R91" s="1" t="s">
        <v>11</v>
      </c>
      <c r="S91" s="1"/>
      <c r="T91" s="1"/>
      <c r="U91" s="1"/>
      <c r="V91" s="1"/>
      <c r="W91" s="1" t="s">
        <v>1546</v>
      </c>
      <c r="X91" s="1"/>
      <c r="Y91" s="1"/>
      <c r="Z91" s="1"/>
      <c r="AA91" s="1"/>
      <c r="AB91" s="1"/>
      <c r="AC91" s="1"/>
      <c r="AD91" s="1"/>
      <c r="AE91" s="8" t="s">
        <v>1547</v>
      </c>
      <c r="AF91" s="1"/>
      <c r="AG91" s="1"/>
      <c r="AH91" s="1" t="s">
        <v>1548</v>
      </c>
      <c r="AI91" s="1"/>
      <c r="AJ91" s="1" t="s">
        <v>1549</v>
      </c>
      <c r="AK91" s="1" t="s">
        <v>281</v>
      </c>
      <c r="AL91" s="1" t="s">
        <v>1550</v>
      </c>
      <c r="AM91" s="1" t="s">
        <v>1549</v>
      </c>
      <c r="AN91" s="1" t="s">
        <v>281</v>
      </c>
      <c r="AO91" s="1" t="s">
        <v>1550</v>
      </c>
      <c r="AP91" s="2" t="s">
        <v>1551</v>
      </c>
      <c r="AQ91" s="2" t="s">
        <v>1154</v>
      </c>
      <c r="AR91" s="1" t="s">
        <v>286</v>
      </c>
      <c r="AS91" s="1" t="s">
        <v>1552</v>
      </c>
      <c r="AT91" s="1" t="s">
        <v>5</v>
      </c>
    </row>
    <row r="92" spans="1:46" hidden="1" x14ac:dyDescent="0.4">
      <c r="A92" s="9" t="s">
        <v>1883</v>
      </c>
      <c r="B92" s="10">
        <v>0</v>
      </c>
      <c r="C92" s="1" t="s">
        <v>0</v>
      </c>
      <c r="D92" s="1" t="s">
        <v>1158</v>
      </c>
      <c r="E92" s="1" t="s">
        <v>1159</v>
      </c>
      <c r="F92" s="1" t="s">
        <v>14</v>
      </c>
      <c r="G92" s="1" t="s">
        <v>1</v>
      </c>
      <c r="H92" s="1" t="s">
        <v>6</v>
      </c>
      <c r="I92" s="1" t="s">
        <v>2</v>
      </c>
      <c r="J92" s="1" t="s">
        <v>3</v>
      </c>
      <c r="K92" s="1" t="s">
        <v>1884</v>
      </c>
      <c r="L92" s="1" t="s">
        <v>4</v>
      </c>
      <c r="M92" s="1" t="s">
        <v>9</v>
      </c>
      <c r="N92" s="1" t="s">
        <v>1885</v>
      </c>
      <c r="O92" s="1" t="s">
        <v>1221</v>
      </c>
      <c r="P92" s="1"/>
      <c r="Q92" s="1"/>
      <c r="R92" s="1" t="s">
        <v>11</v>
      </c>
      <c r="S92" s="1"/>
      <c r="T92" s="1"/>
      <c r="U92" s="1"/>
      <c r="V92" s="1"/>
      <c r="W92" s="1" t="s">
        <v>1886</v>
      </c>
      <c r="X92" s="1"/>
      <c r="Y92" s="1"/>
      <c r="Z92" s="1"/>
      <c r="AA92" s="1"/>
      <c r="AB92" s="1"/>
      <c r="AC92" s="1"/>
      <c r="AD92" s="1"/>
      <c r="AE92" s="8" t="s">
        <v>1887</v>
      </c>
      <c r="AF92" s="1"/>
      <c r="AG92" s="1"/>
      <c r="AH92" s="1" t="s">
        <v>1888</v>
      </c>
      <c r="AI92" s="1" t="s">
        <v>1889</v>
      </c>
      <c r="AJ92" s="1" t="s">
        <v>1431</v>
      </c>
      <c r="AK92" s="1" t="s">
        <v>515</v>
      </c>
      <c r="AL92" s="1" t="s">
        <v>1432</v>
      </c>
      <c r="AM92" s="1" t="s">
        <v>1890</v>
      </c>
      <c r="AN92" s="1" t="s">
        <v>515</v>
      </c>
      <c r="AO92" s="1" t="s">
        <v>1891</v>
      </c>
      <c r="AP92" s="2" t="s">
        <v>1892</v>
      </c>
      <c r="AQ92" s="2" t="s">
        <v>1155</v>
      </c>
      <c r="AR92" s="1" t="s">
        <v>286</v>
      </c>
      <c r="AS92" s="1" t="s">
        <v>1882</v>
      </c>
      <c r="AT92" s="1" t="s">
        <v>5</v>
      </c>
    </row>
    <row r="93" spans="1:46" hidden="1" x14ac:dyDescent="0.4">
      <c r="A93" s="9" t="s">
        <v>1956</v>
      </c>
      <c r="B93" s="10">
        <v>0</v>
      </c>
      <c r="C93" s="1" t="s">
        <v>0</v>
      </c>
      <c r="D93" s="1" t="s">
        <v>1158</v>
      </c>
      <c r="E93" s="1" t="s">
        <v>1159</v>
      </c>
      <c r="F93" s="1" t="s">
        <v>14</v>
      </c>
      <c r="G93" s="1" t="s">
        <v>1</v>
      </c>
      <c r="H93" s="1" t="s">
        <v>6</v>
      </c>
      <c r="I93" s="1" t="s">
        <v>2</v>
      </c>
      <c r="J93" s="1" t="s">
        <v>3</v>
      </c>
      <c r="K93" s="1" t="s">
        <v>1957</v>
      </c>
      <c r="L93" s="1" t="s">
        <v>7</v>
      </c>
      <c r="M93" s="1" t="s">
        <v>9</v>
      </c>
      <c r="N93" s="1" t="s">
        <v>1958</v>
      </c>
      <c r="O93" s="1" t="s">
        <v>1221</v>
      </c>
      <c r="P93" s="1"/>
      <c r="Q93" s="1"/>
      <c r="R93" s="1" t="s">
        <v>11</v>
      </c>
      <c r="S93" s="1"/>
      <c r="T93" s="1"/>
      <c r="U93" s="1"/>
      <c r="V93" s="1"/>
      <c r="W93" s="1"/>
      <c r="X93" s="1"/>
      <c r="Y93" s="1"/>
      <c r="Z93" s="1"/>
      <c r="AA93" s="1"/>
      <c r="AB93" s="1"/>
      <c r="AC93" s="1"/>
      <c r="AD93" s="1"/>
      <c r="AE93" s="8" t="s">
        <v>1621</v>
      </c>
      <c r="AF93" s="1"/>
      <c r="AG93" s="1"/>
      <c r="AH93" s="1" t="s">
        <v>1959</v>
      </c>
      <c r="AI93" s="1"/>
      <c r="AJ93" s="1" t="s">
        <v>1431</v>
      </c>
      <c r="AK93" s="1" t="s">
        <v>515</v>
      </c>
      <c r="AL93" s="1" t="s">
        <v>1432</v>
      </c>
      <c r="AM93" s="1" t="s">
        <v>1960</v>
      </c>
      <c r="AN93" s="1" t="s">
        <v>515</v>
      </c>
      <c r="AO93" s="1" t="s">
        <v>1961</v>
      </c>
      <c r="AP93" s="2" t="s">
        <v>1962</v>
      </c>
      <c r="AQ93" s="2" t="s">
        <v>1155</v>
      </c>
      <c r="AR93" s="1" t="s">
        <v>286</v>
      </c>
      <c r="AS93" s="1" t="s">
        <v>1963</v>
      </c>
      <c r="AT93" s="1" t="s">
        <v>5</v>
      </c>
    </row>
  </sheetData>
  <autoFilter ref="A1:AT93" xr:uid="{5FC28090-3D66-4D3C-BEB8-C029018803C1}">
    <filterColumn colId="1">
      <customFilters>
        <customFilter operator="notEqual" val=" "/>
      </customFilters>
    </filterColumn>
    <filterColumn colId="27">
      <filters>
        <filter val="[메이커도면] 원료시험실 Conveyor Motor_DHHM8-9175-43_20240319080822371.pdf"/>
        <filter val="003_20240404165529457.pdf"/>
        <filter val="13. RPH_0.75KW_4P_50_1 (효성중공업)_20250929103559629.pdf"/>
        <filter val="15. RPH_1.5KW_4P_60_1 (효성중공업)_20250929103706073.pdf"/>
        <filter val="220928_APL 1ERT, 1DSRT, 2DSRT -AGM 3set(1.5kW)_P-건설(브레이크)_20240110103813827.pdf"/>
        <filter val="220928_APL EDS, DDS-AGM-04,01 2set(3.7kW)_P-건설(브레이크)_20240109150839397.pdf"/>
        <filter val="220928_APL EDS-AGM-01 1set(5.5kW)_P-건설(브레이크)_20240110110841287.pdf"/>
        <filter val="220928_APL EDS-AGM-02,03 2set(7.5kW)_P-건설(브레이크)_20240110111348538.pdf"/>
        <filter val="220928_APL FLT-AGM-02,03 6set(2.2kW)_P-건설(브레이크)_20240110111127081.pdf"/>
        <filter val="221011_APL ESR-AM-01,02 2set(3.7KW)_P-건설(브레이크)_20240110110451185.pdf"/>
        <filter val="40HP6P15-BT2200_20250106142505558.pdf"/>
      </filters>
    </filterColumn>
  </autoFilter>
  <sortState xmlns:xlrd2="http://schemas.microsoft.com/office/spreadsheetml/2017/richdata2" ref="A2:AT93">
    <sortCondition ref="AB2:AB93"/>
  </sortState>
  <phoneticPr fontId="2" type="noConversion"/>
  <pageMargins left="0.7" right="0.7" top="0.75" bottom="0.75" header="0.3" footer="0.3"/>
  <drawing r:id="rId1"/>
  <legacyDrawing r:id="rId2"/>
  <controls>
    <mc:AlternateContent xmlns:mc="http://schemas.openxmlformats.org/markup-compatibility/2006">
      <mc:Choice Requires="x14">
        <control shapeId="3073" r:id="rId3" name="Control 1">
          <controlPr defaultSize="0" r:id="rId4">
            <anchor moveWithCells="1">
              <from>
                <xdr:col>27</xdr:col>
                <xdr:colOff>0</xdr:colOff>
                <xdr:row>6</xdr:row>
                <xdr:rowOff>0</xdr:rowOff>
              </from>
              <to>
                <xdr:col>27</xdr:col>
                <xdr:colOff>228600</xdr:colOff>
                <xdr:row>6</xdr:row>
                <xdr:rowOff>205740</xdr:rowOff>
              </to>
            </anchor>
          </controlPr>
        </control>
      </mc:Choice>
      <mc:Fallback>
        <control shapeId="3073" r:id="rId3" name="Control 1"/>
      </mc:Fallback>
    </mc:AlternateContent>
    <mc:AlternateContent xmlns:mc="http://schemas.openxmlformats.org/markup-compatibility/2006">
      <mc:Choice Requires="x14">
        <control shapeId="3074" r:id="rId5" name="Control 2">
          <controlPr defaultSize="0" r:id="rId4">
            <anchor moveWithCells="1">
              <from>
                <xdr:col>27</xdr:col>
                <xdr:colOff>0</xdr:colOff>
                <xdr:row>6</xdr:row>
                <xdr:rowOff>0</xdr:rowOff>
              </from>
              <to>
                <xdr:col>27</xdr:col>
                <xdr:colOff>228600</xdr:colOff>
                <xdr:row>6</xdr:row>
                <xdr:rowOff>205740</xdr:rowOff>
              </to>
            </anchor>
          </controlPr>
        </control>
      </mc:Choice>
      <mc:Fallback>
        <control shapeId="3074" r:id="rId5" name="Control 2"/>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EB43F-39A9-452A-BE2C-68AE76148D72}">
  <dimension ref="A1:CG27"/>
  <sheetViews>
    <sheetView topLeftCell="AL1" workbookViewId="0">
      <selection activeCell="BA6" sqref="BA6"/>
    </sheetView>
  </sheetViews>
  <sheetFormatPr defaultRowHeight="17.399999999999999" x14ac:dyDescent="0.4"/>
  <sheetData>
    <row r="1" spans="1:85" x14ac:dyDescent="0.4">
      <c r="A1" s="21" t="s">
        <v>14285</v>
      </c>
      <c r="B1" s="21" t="s">
        <v>1113</v>
      </c>
      <c r="C1" s="21" t="s">
        <v>1112</v>
      </c>
      <c r="D1" s="21" t="s">
        <v>14287</v>
      </c>
      <c r="E1" s="21" t="s">
        <v>1108</v>
      </c>
      <c r="F1" s="21" t="s">
        <v>14471</v>
      </c>
      <c r="G1" s="21" t="s">
        <v>14288</v>
      </c>
      <c r="H1" s="21" t="s">
        <v>14289</v>
      </c>
      <c r="I1" s="21" t="s">
        <v>1117</v>
      </c>
      <c r="J1" s="21" t="s">
        <v>14290</v>
      </c>
      <c r="K1" s="21" t="s">
        <v>14291</v>
      </c>
      <c r="L1" s="21" t="s">
        <v>14292</v>
      </c>
      <c r="M1" s="21" t="s">
        <v>14293</v>
      </c>
      <c r="N1" s="21" t="s">
        <v>14294</v>
      </c>
      <c r="O1" s="21" t="s">
        <v>14295</v>
      </c>
      <c r="P1" s="21" t="s">
        <v>14296</v>
      </c>
      <c r="Q1" s="21" t="s">
        <v>14297</v>
      </c>
      <c r="R1" s="21" t="s">
        <v>14298</v>
      </c>
      <c r="S1" s="21" t="s">
        <v>14299</v>
      </c>
      <c r="T1" s="21" t="s">
        <v>14300</v>
      </c>
      <c r="U1" s="21" t="s">
        <v>14301</v>
      </c>
      <c r="V1" s="21" t="s">
        <v>14302</v>
      </c>
      <c r="W1" s="21" t="s">
        <v>14303</v>
      </c>
      <c r="X1" s="21" t="s">
        <v>14304</v>
      </c>
      <c r="Y1" s="21" t="s">
        <v>14305</v>
      </c>
      <c r="Z1" s="21" t="s">
        <v>14306</v>
      </c>
      <c r="AA1" s="21" t="s">
        <v>14307</v>
      </c>
      <c r="AB1" s="21" t="s">
        <v>14308</v>
      </c>
      <c r="AC1" s="22" t="s">
        <v>14309</v>
      </c>
      <c r="AD1" s="21" t="s">
        <v>14310</v>
      </c>
      <c r="AE1" s="22" t="s">
        <v>14311</v>
      </c>
      <c r="AF1" s="21" t="s">
        <v>14312</v>
      </c>
      <c r="AG1" s="22" t="s">
        <v>14313</v>
      </c>
      <c r="AH1" s="21" t="s">
        <v>14314</v>
      </c>
      <c r="AI1" s="22" t="s">
        <v>14315</v>
      </c>
      <c r="AJ1" s="21" t="s">
        <v>14316</v>
      </c>
      <c r="AK1" s="22" t="s">
        <v>14317</v>
      </c>
      <c r="AL1" s="21" t="s">
        <v>14318</v>
      </c>
      <c r="AM1" s="22" t="s">
        <v>14319</v>
      </c>
      <c r="AN1" s="21" t="s">
        <v>14320</v>
      </c>
      <c r="AO1" s="21" t="s">
        <v>14321</v>
      </c>
      <c r="AP1" s="21" t="s">
        <v>14322</v>
      </c>
      <c r="AQ1" s="21" t="s">
        <v>14323</v>
      </c>
      <c r="AR1" s="21" t="s">
        <v>14324</v>
      </c>
      <c r="AS1" s="21" t="s">
        <v>14325</v>
      </c>
      <c r="AT1" s="21" t="s">
        <v>14326</v>
      </c>
      <c r="AU1" s="21" t="s">
        <v>14327</v>
      </c>
      <c r="AV1" s="21" t="s">
        <v>14328</v>
      </c>
      <c r="AW1" s="21" t="s">
        <v>14329</v>
      </c>
      <c r="AX1" s="21" t="s">
        <v>14330</v>
      </c>
      <c r="AY1" s="21" t="s">
        <v>14331</v>
      </c>
      <c r="AZ1" s="21" t="s">
        <v>14332</v>
      </c>
      <c r="BA1" s="21" t="s">
        <v>14333</v>
      </c>
      <c r="BB1" s="21" t="s">
        <v>14334</v>
      </c>
      <c r="BC1" s="21" t="s">
        <v>14335</v>
      </c>
      <c r="BD1" s="21" t="s">
        <v>14336</v>
      </c>
      <c r="BE1" s="21" t="s">
        <v>14337</v>
      </c>
      <c r="BF1" s="21" t="s">
        <v>14338</v>
      </c>
      <c r="BG1" s="21" t="s">
        <v>14339</v>
      </c>
      <c r="BH1" s="21" t="s">
        <v>14340</v>
      </c>
      <c r="BI1" s="21" t="s">
        <v>14341</v>
      </c>
      <c r="BJ1" s="21" t="s">
        <v>14342</v>
      </c>
      <c r="BK1" s="21" t="s">
        <v>14343</v>
      </c>
      <c r="BL1" s="21" t="s">
        <v>14344</v>
      </c>
      <c r="BM1" s="21" t="s">
        <v>14345</v>
      </c>
      <c r="BN1" s="21" t="s">
        <v>14346</v>
      </c>
      <c r="BO1" s="21" t="s">
        <v>14347</v>
      </c>
      <c r="BP1" s="21" t="s">
        <v>14348</v>
      </c>
      <c r="BQ1" s="21" t="s">
        <v>14349</v>
      </c>
      <c r="BR1" s="21" t="s">
        <v>14350</v>
      </c>
      <c r="BS1" s="21" t="s">
        <v>14351</v>
      </c>
      <c r="BT1" s="21" t="s">
        <v>14352</v>
      </c>
      <c r="BU1" s="21" t="s">
        <v>14353</v>
      </c>
      <c r="BV1" s="21" t="s">
        <v>14354</v>
      </c>
      <c r="BW1" s="21" t="s">
        <v>14355</v>
      </c>
      <c r="BX1" s="21" t="s">
        <v>14356</v>
      </c>
      <c r="BY1" s="21" t="s">
        <v>14357</v>
      </c>
      <c r="BZ1" s="21" t="s">
        <v>14358</v>
      </c>
      <c r="CA1" s="21" t="s">
        <v>14359</v>
      </c>
      <c r="CB1" s="21" t="s">
        <v>14360</v>
      </c>
      <c r="CC1" s="21" t="s">
        <v>14361</v>
      </c>
      <c r="CD1" s="21" t="s">
        <v>14362</v>
      </c>
      <c r="CE1" s="21" t="s">
        <v>14363</v>
      </c>
      <c r="CF1" s="21" t="s">
        <v>14364</v>
      </c>
      <c r="CG1" s="21" t="s">
        <v>14364</v>
      </c>
    </row>
    <row r="2" spans="1:85" x14ac:dyDescent="0.4">
      <c r="A2" s="23" t="s">
        <v>1296</v>
      </c>
      <c r="B2" s="23" t="s">
        <v>6</v>
      </c>
      <c r="C2" s="23" t="s">
        <v>1</v>
      </c>
      <c r="D2" s="23" t="s">
        <v>1158</v>
      </c>
      <c r="E2" s="23" t="s">
        <v>0</v>
      </c>
      <c r="F2" s="23" t="s">
        <v>1296</v>
      </c>
      <c r="G2" s="23" t="s">
        <v>1297</v>
      </c>
      <c r="H2" s="23" t="s">
        <v>14392</v>
      </c>
      <c r="I2" s="23" t="s">
        <v>7</v>
      </c>
      <c r="J2" s="23"/>
      <c r="K2" s="23" t="s">
        <v>1277</v>
      </c>
      <c r="L2" s="23"/>
      <c r="M2" s="23"/>
      <c r="N2" s="23"/>
      <c r="O2" s="23"/>
      <c r="P2" s="23"/>
      <c r="Q2" s="23" t="s">
        <v>13845</v>
      </c>
      <c r="R2" s="23"/>
      <c r="S2" s="23" t="s">
        <v>14366</v>
      </c>
      <c r="T2" s="23" t="s">
        <v>11</v>
      </c>
      <c r="U2" s="23" t="s">
        <v>14367</v>
      </c>
      <c r="V2" s="23"/>
      <c r="W2" s="23" t="s">
        <v>14368</v>
      </c>
      <c r="X2" s="23"/>
      <c r="Y2" s="23" t="s">
        <v>14369</v>
      </c>
      <c r="Z2" s="23" t="s">
        <v>14370</v>
      </c>
      <c r="AA2" s="23" t="s">
        <v>1119</v>
      </c>
      <c r="AB2" s="23" t="s">
        <v>1298</v>
      </c>
      <c r="AC2" s="23" t="s">
        <v>14383</v>
      </c>
      <c r="AD2" s="23" t="s">
        <v>1162</v>
      </c>
      <c r="AE2" s="23" t="s">
        <v>1121</v>
      </c>
      <c r="AF2" s="23" t="s">
        <v>1299</v>
      </c>
      <c r="AG2" s="23" t="s">
        <v>1122</v>
      </c>
      <c r="AH2" s="23"/>
      <c r="AI2" s="23" t="s">
        <v>14384</v>
      </c>
      <c r="AJ2" s="23" t="s">
        <v>11</v>
      </c>
      <c r="AK2" s="23" t="s">
        <v>1124</v>
      </c>
      <c r="AL2" s="23"/>
      <c r="AM2" s="23" t="s">
        <v>1125</v>
      </c>
      <c r="AN2" s="23"/>
      <c r="AO2" s="23" t="s">
        <v>14385</v>
      </c>
      <c r="AP2" s="23"/>
      <c r="AQ2" s="23" t="s">
        <v>1127</v>
      </c>
      <c r="AR2" s="23"/>
      <c r="AS2" s="23" t="s">
        <v>14472</v>
      </c>
      <c r="AT2" s="23"/>
      <c r="AU2" s="23" t="s">
        <v>14473</v>
      </c>
      <c r="AV2" s="23"/>
      <c r="AW2" s="23" t="s">
        <v>14474</v>
      </c>
      <c r="AX2" s="23"/>
      <c r="AY2" s="23" t="s">
        <v>14475</v>
      </c>
      <c r="AZ2" s="23" t="s">
        <v>14476</v>
      </c>
      <c r="BA2" s="23" t="s">
        <v>14477</v>
      </c>
      <c r="BB2" s="23" t="s">
        <v>1293</v>
      </c>
      <c r="BC2" s="23" t="s">
        <v>14478</v>
      </c>
      <c r="BD2" s="23" t="s">
        <v>14479</v>
      </c>
      <c r="BE2" s="23" t="s">
        <v>14480</v>
      </c>
      <c r="BF2" s="23" t="s">
        <v>14481</v>
      </c>
      <c r="BG2" s="23" t="s">
        <v>14482</v>
      </c>
      <c r="BH2" s="23" t="s">
        <v>14483</v>
      </c>
      <c r="BI2" s="23" t="s">
        <v>14484</v>
      </c>
      <c r="BJ2" s="23" t="s">
        <v>14485</v>
      </c>
      <c r="BK2" s="23" t="s">
        <v>14486</v>
      </c>
      <c r="BL2" s="23" t="s">
        <v>14487</v>
      </c>
      <c r="BM2" s="23" t="s">
        <v>14488</v>
      </c>
      <c r="BN2" s="23" t="s">
        <v>14489</v>
      </c>
      <c r="BO2" s="23" t="s">
        <v>14490</v>
      </c>
      <c r="BP2" s="23" t="s">
        <v>14491</v>
      </c>
      <c r="BQ2" s="23" t="s">
        <v>14492</v>
      </c>
      <c r="BR2" s="23" t="s">
        <v>14425</v>
      </c>
      <c r="BS2" s="23" t="s">
        <v>14493</v>
      </c>
      <c r="BT2" s="23" t="s">
        <v>14494</v>
      </c>
      <c r="BU2" s="23" t="s">
        <v>14495</v>
      </c>
      <c r="BV2" s="23"/>
      <c r="BW2" s="23" t="s">
        <v>14496</v>
      </c>
      <c r="BX2" s="23" t="s">
        <v>10021</v>
      </c>
      <c r="BY2" s="23" t="s">
        <v>14497</v>
      </c>
      <c r="BZ2" s="23" t="s">
        <v>14498</v>
      </c>
      <c r="CA2" s="23" t="s">
        <v>1128</v>
      </c>
      <c r="CB2" s="23"/>
      <c r="CC2" s="23" t="s">
        <v>14499</v>
      </c>
      <c r="CD2" s="23"/>
      <c r="CE2" s="23"/>
      <c r="CF2" s="23"/>
      <c r="CG2" s="23"/>
    </row>
    <row r="3" spans="1:85" x14ac:dyDescent="0.4">
      <c r="A3" s="23" t="s">
        <v>1289</v>
      </c>
      <c r="B3" s="23" t="s">
        <v>6</v>
      </c>
      <c r="C3" s="23" t="s">
        <v>1</v>
      </c>
      <c r="D3" s="23" t="s">
        <v>1158</v>
      </c>
      <c r="E3" s="23" t="s">
        <v>0</v>
      </c>
      <c r="F3" s="23" t="s">
        <v>1289</v>
      </c>
      <c r="G3" s="23" t="s">
        <v>1290</v>
      </c>
      <c r="H3" s="23" t="s">
        <v>14392</v>
      </c>
      <c r="I3" s="23" t="s">
        <v>7</v>
      </c>
      <c r="J3" s="23"/>
      <c r="K3" s="23" t="s">
        <v>1277</v>
      </c>
      <c r="L3" s="23"/>
      <c r="M3" s="23"/>
      <c r="N3" s="23"/>
      <c r="O3" s="23"/>
      <c r="P3" s="23"/>
      <c r="Q3" s="23" t="s">
        <v>13845</v>
      </c>
      <c r="R3" s="23"/>
      <c r="S3" s="23" t="s">
        <v>14366</v>
      </c>
      <c r="T3" s="23" t="s">
        <v>11</v>
      </c>
      <c r="U3" s="23" t="s">
        <v>14367</v>
      </c>
      <c r="V3" s="23"/>
      <c r="W3" s="23" t="s">
        <v>14368</v>
      </c>
      <c r="X3" s="23"/>
      <c r="Y3" s="23" t="s">
        <v>14369</v>
      </c>
      <c r="Z3" s="23" t="s">
        <v>14370</v>
      </c>
      <c r="AA3" s="23" t="s">
        <v>1119</v>
      </c>
      <c r="AB3" s="23" t="s">
        <v>1291</v>
      </c>
      <c r="AC3" s="23" t="s">
        <v>14383</v>
      </c>
      <c r="AD3" s="23" t="s">
        <v>1162</v>
      </c>
      <c r="AE3" s="23" t="s">
        <v>1121</v>
      </c>
      <c r="AF3" s="23" t="s">
        <v>1292</v>
      </c>
      <c r="AG3" s="23" t="s">
        <v>1122</v>
      </c>
      <c r="AH3" s="23"/>
      <c r="AI3" s="23" t="s">
        <v>14384</v>
      </c>
      <c r="AJ3" s="23" t="s">
        <v>11</v>
      </c>
      <c r="AK3" s="23" t="s">
        <v>1124</v>
      </c>
      <c r="AL3" s="23"/>
      <c r="AM3" s="23" t="s">
        <v>1125</v>
      </c>
      <c r="AN3" s="23"/>
      <c r="AO3" s="23" t="s">
        <v>14385</v>
      </c>
      <c r="AP3" s="23"/>
      <c r="AQ3" s="23" t="s">
        <v>1127</v>
      </c>
      <c r="AR3" s="23"/>
      <c r="AS3" s="23" t="s">
        <v>14472</v>
      </c>
      <c r="AT3" s="23"/>
      <c r="AU3" s="23" t="s">
        <v>14473</v>
      </c>
      <c r="AV3" s="23"/>
      <c r="AW3" s="23" t="s">
        <v>14474</v>
      </c>
      <c r="AX3" s="23"/>
      <c r="AY3" s="23" t="s">
        <v>14475</v>
      </c>
      <c r="AZ3" s="23" t="s">
        <v>14476</v>
      </c>
      <c r="BA3" s="23" t="s">
        <v>14477</v>
      </c>
      <c r="BB3" s="23" t="s">
        <v>14416</v>
      </c>
      <c r="BC3" s="23" t="s">
        <v>14478</v>
      </c>
      <c r="BD3" s="23" t="s">
        <v>14479</v>
      </c>
      <c r="BE3" s="23" t="s">
        <v>14480</v>
      </c>
      <c r="BF3" s="23" t="s">
        <v>14500</v>
      </c>
      <c r="BG3" s="23" t="s">
        <v>14482</v>
      </c>
      <c r="BH3" s="23" t="s">
        <v>14483</v>
      </c>
      <c r="BI3" s="23" t="s">
        <v>14484</v>
      </c>
      <c r="BJ3" s="23" t="s">
        <v>14485</v>
      </c>
      <c r="BK3" s="23" t="s">
        <v>14486</v>
      </c>
      <c r="BL3" s="23" t="s">
        <v>14501</v>
      </c>
      <c r="BM3" s="23" t="s">
        <v>14488</v>
      </c>
      <c r="BN3" s="23" t="s">
        <v>14502</v>
      </c>
      <c r="BO3" s="23" t="s">
        <v>14490</v>
      </c>
      <c r="BP3" s="23" t="s">
        <v>14491</v>
      </c>
      <c r="BQ3" s="23" t="s">
        <v>14492</v>
      </c>
      <c r="BR3" s="23" t="s">
        <v>14425</v>
      </c>
      <c r="BS3" s="23" t="s">
        <v>14493</v>
      </c>
      <c r="BT3" s="23" t="s">
        <v>14494</v>
      </c>
      <c r="BU3" s="23" t="s">
        <v>14495</v>
      </c>
      <c r="BV3" s="23"/>
      <c r="BW3" s="23" t="s">
        <v>14496</v>
      </c>
      <c r="BX3" s="23" t="s">
        <v>10021</v>
      </c>
      <c r="BY3" s="23" t="s">
        <v>14497</v>
      </c>
      <c r="BZ3" s="23" t="s">
        <v>10021</v>
      </c>
      <c r="CA3" s="23" t="s">
        <v>1128</v>
      </c>
      <c r="CB3" s="23" t="s">
        <v>1293</v>
      </c>
      <c r="CC3" s="23" t="s">
        <v>14499</v>
      </c>
      <c r="CD3" s="23"/>
      <c r="CE3" s="23"/>
      <c r="CF3" s="23"/>
      <c r="CG3" s="23"/>
    </row>
    <row r="4" spans="1:85" x14ac:dyDescent="0.4">
      <c r="A4" s="23" t="s">
        <v>1283</v>
      </c>
      <c r="B4" s="23" t="s">
        <v>6</v>
      </c>
      <c r="C4" s="23" t="s">
        <v>1</v>
      </c>
      <c r="D4" s="23" t="s">
        <v>1158</v>
      </c>
      <c r="E4" s="23" t="s">
        <v>0</v>
      </c>
      <c r="F4" s="23" t="s">
        <v>1283</v>
      </c>
      <c r="G4" s="23" t="s">
        <v>1284</v>
      </c>
      <c r="H4" s="23" t="s">
        <v>14392</v>
      </c>
      <c r="I4" s="23" t="s">
        <v>7</v>
      </c>
      <c r="J4" s="23"/>
      <c r="K4" s="23" t="s">
        <v>1277</v>
      </c>
      <c r="L4" s="23"/>
      <c r="M4" s="23"/>
      <c r="N4" s="23"/>
      <c r="O4" s="23"/>
      <c r="P4" s="23"/>
      <c r="Q4" s="23" t="s">
        <v>13845</v>
      </c>
      <c r="R4" s="23"/>
      <c r="S4" s="23" t="s">
        <v>14366</v>
      </c>
      <c r="T4" s="23" t="s">
        <v>11</v>
      </c>
      <c r="U4" s="23" t="s">
        <v>14367</v>
      </c>
      <c r="V4" s="23"/>
      <c r="W4" s="23" t="s">
        <v>14368</v>
      </c>
      <c r="X4" s="23"/>
      <c r="Y4" s="23" t="s">
        <v>14369</v>
      </c>
      <c r="Z4" s="23" t="s">
        <v>14370</v>
      </c>
      <c r="AA4" s="23" t="s">
        <v>1119</v>
      </c>
      <c r="AB4" s="23" t="s">
        <v>1285</v>
      </c>
      <c r="AC4" s="23" t="s">
        <v>14383</v>
      </c>
      <c r="AD4" s="23" t="s">
        <v>1162</v>
      </c>
      <c r="AE4" s="23" t="s">
        <v>1121</v>
      </c>
      <c r="AF4" s="23" t="s">
        <v>1286</v>
      </c>
      <c r="AG4" s="23" t="s">
        <v>1122</v>
      </c>
      <c r="AH4" s="23"/>
      <c r="AI4" s="23" t="s">
        <v>14384</v>
      </c>
      <c r="AJ4" s="23" t="s">
        <v>11</v>
      </c>
      <c r="AK4" s="23" t="s">
        <v>1124</v>
      </c>
      <c r="AL4" s="23"/>
      <c r="AM4" s="23" t="s">
        <v>1125</v>
      </c>
      <c r="AN4" s="23"/>
      <c r="AO4" s="23" t="s">
        <v>14385</v>
      </c>
      <c r="AP4" s="23"/>
      <c r="AQ4" s="23" t="s">
        <v>1127</v>
      </c>
      <c r="AR4" s="23"/>
      <c r="AS4" s="23" t="s">
        <v>14472</v>
      </c>
      <c r="AT4" s="23"/>
      <c r="AU4" s="23" t="s">
        <v>14473</v>
      </c>
      <c r="AV4" s="23"/>
      <c r="AW4" s="23" t="s">
        <v>14474</v>
      </c>
      <c r="AX4" s="23"/>
      <c r="AY4" s="23" t="s">
        <v>14475</v>
      </c>
      <c r="AZ4" s="23" t="s">
        <v>14476</v>
      </c>
      <c r="BA4" s="23" t="s">
        <v>14477</v>
      </c>
      <c r="BB4" s="23" t="s">
        <v>14416</v>
      </c>
      <c r="BC4" s="23" t="s">
        <v>14478</v>
      </c>
      <c r="BD4" s="23" t="s">
        <v>14479</v>
      </c>
      <c r="BE4" s="23" t="s">
        <v>14480</v>
      </c>
      <c r="BF4" s="23" t="s">
        <v>14503</v>
      </c>
      <c r="BG4" s="23" t="s">
        <v>14482</v>
      </c>
      <c r="BH4" s="23" t="s">
        <v>14483</v>
      </c>
      <c r="BI4" s="23" t="s">
        <v>14484</v>
      </c>
      <c r="BJ4" s="23" t="s">
        <v>14485</v>
      </c>
      <c r="BK4" s="23" t="s">
        <v>14486</v>
      </c>
      <c r="BL4" s="23" t="s">
        <v>14504</v>
      </c>
      <c r="BM4" s="23" t="s">
        <v>14488</v>
      </c>
      <c r="BN4" s="23" t="s">
        <v>14505</v>
      </c>
      <c r="BO4" s="23" t="s">
        <v>14490</v>
      </c>
      <c r="BP4" s="23" t="s">
        <v>14506</v>
      </c>
      <c r="BQ4" s="23" t="s">
        <v>14492</v>
      </c>
      <c r="BR4" s="23" t="s">
        <v>14396</v>
      </c>
      <c r="BS4" s="23" t="s">
        <v>14493</v>
      </c>
      <c r="BT4" s="23" t="s">
        <v>14507</v>
      </c>
      <c r="BU4" s="23" t="s">
        <v>14495</v>
      </c>
      <c r="BV4" s="23"/>
      <c r="BW4" s="23" t="s">
        <v>14496</v>
      </c>
      <c r="BX4" s="23" t="s">
        <v>10021</v>
      </c>
      <c r="BY4" s="23" t="s">
        <v>14497</v>
      </c>
      <c r="BZ4" s="23"/>
      <c r="CA4" s="23" t="s">
        <v>1128</v>
      </c>
      <c r="CB4" s="23"/>
      <c r="CC4" s="23" t="s">
        <v>14499</v>
      </c>
      <c r="CD4" s="23"/>
      <c r="CE4" s="23"/>
      <c r="CF4" s="23"/>
      <c r="CG4" s="23"/>
    </row>
    <row r="5" spans="1:85" x14ac:dyDescent="0.4">
      <c r="A5" s="23" t="s">
        <v>1272</v>
      </c>
      <c r="B5" s="23" t="s">
        <v>6</v>
      </c>
      <c r="C5" s="23" t="s">
        <v>1</v>
      </c>
      <c r="D5" s="23" t="s">
        <v>1158</v>
      </c>
      <c r="E5" s="23" t="s">
        <v>0</v>
      </c>
      <c r="F5" s="23" t="s">
        <v>1272</v>
      </c>
      <c r="G5" s="23" t="s">
        <v>1273</v>
      </c>
      <c r="H5" s="23" t="s">
        <v>14392</v>
      </c>
      <c r="I5" s="23" t="s">
        <v>7</v>
      </c>
      <c r="J5" s="23"/>
      <c r="K5" s="23" t="s">
        <v>1277</v>
      </c>
      <c r="L5" s="23"/>
      <c r="M5" s="23"/>
      <c r="N5" s="23"/>
      <c r="O5" s="23"/>
      <c r="P5" s="23"/>
      <c r="Q5" s="23" t="s">
        <v>13845</v>
      </c>
      <c r="R5" s="23"/>
      <c r="S5" s="23" t="s">
        <v>14366</v>
      </c>
      <c r="T5" s="23" t="s">
        <v>11</v>
      </c>
      <c r="U5" s="23" t="s">
        <v>14367</v>
      </c>
      <c r="V5" s="23"/>
      <c r="W5" s="23" t="s">
        <v>14368</v>
      </c>
      <c r="X5" s="23"/>
      <c r="Y5" s="23" t="s">
        <v>14369</v>
      </c>
      <c r="Z5" s="23" t="s">
        <v>14370</v>
      </c>
      <c r="AA5" s="23" t="s">
        <v>1119</v>
      </c>
      <c r="AB5" s="23" t="s">
        <v>1274</v>
      </c>
      <c r="AC5" s="23" t="s">
        <v>14383</v>
      </c>
      <c r="AD5" s="23" t="s">
        <v>1162</v>
      </c>
      <c r="AE5" s="23" t="s">
        <v>1121</v>
      </c>
      <c r="AF5" s="23" t="s">
        <v>1275</v>
      </c>
      <c r="AG5" s="23" t="s">
        <v>1122</v>
      </c>
      <c r="AH5" s="23"/>
      <c r="AI5" s="23" t="s">
        <v>14384</v>
      </c>
      <c r="AJ5" s="23" t="s">
        <v>11</v>
      </c>
      <c r="AK5" s="23" t="s">
        <v>1124</v>
      </c>
      <c r="AL5" s="23"/>
      <c r="AM5" s="23" t="s">
        <v>1125</v>
      </c>
      <c r="AN5" s="23"/>
      <c r="AO5" s="23" t="s">
        <v>14385</v>
      </c>
      <c r="AP5" s="23"/>
      <c r="AQ5" s="23" t="s">
        <v>1127</v>
      </c>
      <c r="AR5" s="23"/>
      <c r="AS5" s="23" t="s">
        <v>14472</v>
      </c>
      <c r="AT5" s="23"/>
      <c r="AU5" s="23" t="s">
        <v>14473</v>
      </c>
      <c r="AV5" s="23"/>
      <c r="AW5" s="23" t="s">
        <v>14474</v>
      </c>
      <c r="AX5" s="23"/>
      <c r="AY5" s="23" t="s">
        <v>14475</v>
      </c>
      <c r="AZ5" s="23" t="s">
        <v>14476</v>
      </c>
      <c r="BA5" s="23" t="s">
        <v>14477</v>
      </c>
      <c r="BB5" s="23" t="s">
        <v>14416</v>
      </c>
      <c r="BC5" s="23" t="s">
        <v>14478</v>
      </c>
      <c r="BD5" s="23" t="s">
        <v>14479</v>
      </c>
      <c r="BE5" s="23" t="s">
        <v>14480</v>
      </c>
      <c r="BF5" s="23" t="s">
        <v>14508</v>
      </c>
      <c r="BG5" s="23" t="s">
        <v>14482</v>
      </c>
      <c r="BH5" s="23" t="s">
        <v>14483</v>
      </c>
      <c r="BI5" s="23" t="s">
        <v>14484</v>
      </c>
      <c r="BJ5" s="23" t="s">
        <v>14485</v>
      </c>
      <c r="BK5" s="23" t="s">
        <v>14486</v>
      </c>
      <c r="BL5" s="23" t="s">
        <v>14509</v>
      </c>
      <c r="BM5" s="23" t="s">
        <v>14488</v>
      </c>
      <c r="BN5" s="23" t="s">
        <v>14510</v>
      </c>
      <c r="BO5" s="23" t="s">
        <v>14490</v>
      </c>
      <c r="BP5" s="23" t="s">
        <v>14491</v>
      </c>
      <c r="BQ5" s="23" t="s">
        <v>14492</v>
      </c>
      <c r="BR5" s="23" t="s">
        <v>14425</v>
      </c>
      <c r="BS5" s="23" t="s">
        <v>14493</v>
      </c>
      <c r="BT5" s="23" t="s">
        <v>14494</v>
      </c>
      <c r="BU5" s="23" t="s">
        <v>14495</v>
      </c>
      <c r="BV5" s="23"/>
      <c r="BW5" s="23" t="s">
        <v>14496</v>
      </c>
      <c r="BX5" s="23" t="s">
        <v>10021</v>
      </c>
      <c r="BY5" s="23" t="s">
        <v>14497</v>
      </c>
      <c r="BZ5" s="23"/>
      <c r="CA5" s="23" t="s">
        <v>1128</v>
      </c>
      <c r="CB5" s="23"/>
      <c r="CC5" s="23" t="s">
        <v>14499</v>
      </c>
      <c r="CD5" s="23"/>
      <c r="CE5" s="23"/>
      <c r="CF5" s="23"/>
      <c r="CG5" s="23"/>
    </row>
    <row r="6" spans="1:85" x14ac:dyDescent="0.4">
      <c r="A6" s="23" t="s">
        <v>1306</v>
      </c>
      <c r="B6" s="23" t="s">
        <v>6</v>
      </c>
      <c r="C6" s="23" t="s">
        <v>1</v>
      </c>
      <c r="D6" s="23" t="s">
        <v>1158</v>
      </c>
      <c r="E6" s="23" t="s">
        <v>0</v>
      </c>
      <c r="F6" s="23" t="s">
        <v>1306</v>
      </c>
      <c r="G6" s="23" t="s">
        <v>1307</v>
      </c>
      <c r="H6" s="23" t="s">
        <v>14392</v>
      </c>
      <c r="I6" s="23" t="s">
        <v>7</v>
      </c>
      <c r="J6" s="23"/>
      <c r="K6" s="23" t="s">
        <v>1277</v>
      </c>
      <c r="L6" s="23"/>
      <c r="M6" s="23"/>
      <c r="N6" s="23"/>
      <c r="O6" s="23"/>
      <c r="P6" s="23"/>
      <c r="Q6" s="23" t="s">
        <v>13845</v>
      </c>
      <c r="R6" s="23"/>
      <c r="S6" s="23" t="s">
        <v>14366</v>
      </c>
      <c r="T6" s="23" t="s">
        <v>11</v>
      </c>
      <c r="U6" s="23" t="s">
        <v>14367</v>
      </c>
      <c r="V6" s="23"/>
      <c r="W6" s="23" t="s">
        <v>14368</v>
      </c>
      <c r="X6" s="23"/>
      <c r="Y6" s="23" t="s">
        <v>14369</v>
      </c>
      <c r="Z6" s="23" t="s">
        <v>14370</v>
      </c>
      <c r="AA6" s="23" t="s">
        <v>1119</v>
      </c>
      <c r="AB6" s="23" t="s">
        <v>1308</v>
      </c>
      <c r="AC6" s="23" t="s">
        <v>14383</v>
      </c>
      <c r="AD6" s="23" t="s">
        <v>1162</v>
      </c>
      <c r="AE6" s="23" t="s">
        <v>1121</v>
      </c>
      <c r="AF6" s="23" t="s">
        <v>1309</v>
      </c>
      <c r="AG6" s="23" t="s">
        <v>1122</v>
      </c>
      <c r="AH6" s="23"/>
      <c r="AI6" s="23" t="s">
        <v>14384</v>
      </c>
      <c r="AJ6" s="23" t="s">
        <v>11</v>
      </c>
      <c r="AK6" s="23" t="s">
        <v>1124</v>
      </c>
      <c r="AL6" s="23"/>
      <c r="AM6" s="23" t="s">
        <v>1125</v>
      </c>
      <c r="AN6" s="23"/>
      <c r="AO6" s="23" t="s">
        <v>14385</v>
      </c>
      <c r="AP6" s="23"/>
      <c r="AQ6" s="23" t="s">
        <v>1127</v>
      </c>
      <c r="AR6" s="23"/>
      <c r="AS6" s="23" t="s">
        <v>14472</v>
      </c>
      <c r="AT6" s="23"/>
      <c r="AU6" s="23" t="s">
        <v>14473</v>
      </c>
      <c r="AV6" s="23"/>
      <c r="AW6" s="23" t="s">
        <v>14474</v>
      </c>
      <c r="AX6" s="23"/>
      <c r="AY6" s="23" t="s">
        <v>14475</v>
      </c>
      <c r="AZ6" s="23" t="s">
        <v>14476</v>
      </c>
      <c r="BA6" s="23" t="s">
        <v>14477</v>
      </c>
      <c r="BB6" s="23" t="s">
        <v>14416</v>
      </c>
      <c r="BC6" s="23" t="s">
        <v>14478</v>
      </c>
      <c r="BD6" s="23" t="s">
        <v>14479</v>
      </c>
      <c r="BE6" s="23" t="s">
        <v>14480</v>
      </c>
      <c r="BF6" s="23" t="s">
        <v>14511</v>
      </c>
      <c r="BG6" s="23" t="s">
        <v>14482</v>
      </c>
      <c r="BH6" s="23" t="s">
        <v>14483</v>
      </c>
      <c r="BI6" s="23" t="s">
        <v>14484</v>
      </c>
      <c r="BJ6" s="23" t="s">
        <v>14485</v>
      </c>
      <c r="BK6" s="23" t="s">
        <v>14486</v>
      </c>
      <c r="BL6" s="23" t="s">
        <v>14512</v>
      </c>
      <c r="BM6" s="23" t="s">
        <v>14488</v>
      </c>
      <c r="BN6" s="23" t="s">
        <v>14513</v>
      </c>
      <c r="BO6" s="23" t="s">
        <v>14490</v>
      </c>
      <c r="BP6" s="23" t="s">
        <v>14514</v>
      </c>
      <c r="BQ6" s="23" t="s">
        <v>14492</v>
      </c>
      <c r="BR6" s="23" t="s">
        <v>14515</v>
      </c>
      <c r="BS6" s="23" t="s">
        <v>14493</v>
      </c>
      <c r="BT6" s="23" t="s">
        <v>14516</v>
      </c>
      <c r="BU6" s="23" t="s">
        <v>14495</v>
      </c>
      <c r="BV6" s="23"/>
      <c r="BW6" s="23" t="s">
        <v>14496</v>
      </c>
      <c r="BX6" s="23" t="s">
        <v>10021</v>
      </c>
      <c r="BY6" s="23" t="s">
        <v>14497</v>
      </c>
      <c r="BZ6" s="23"/>
      <c r="CA6" s="23" t="s">
        <v>1128</v>
      </c>
      <c r="CB6" s="23"/>
      <c r="CC6" s="23" t="s">
        <v>14499</v>
      </c>
      <c r="CD6" s="23"/>
      <c r="CE6" s="23"/>
      <c r="CF6" s="23"/>
      <c r="CG6" s="23"/>
    </row>
    <row r="7" spans="1:85" x14ac:dyDescent="0.4">
      <c r="A7" s="23" t="s">
        <v>1302</v>
      </c>
      <c r="B7" s="23" t="s">
        <v>6</v>
      </c>
      <c r="C7" s="23" t="s">
        <v>1</v>
      </c>
      <c r="D7" s="23" t="s">
        <v>1158</v>
      </c>
      <c r="E7" s="23" t="s">
        <v>0</v>
      </c>
      <c r="F7" s="23" t="s">
        <v>1302</v>
      </c>
      <c r="G7" s="23" t="s">
        <v>1303</v>
      </c>
      <c r="H7" s="23" t="s">
        <v>14392</v>
      </c>
      <c r="I7" s="23" t="s">
        <v>7</v>
      </c>
      <c r="J7" s="23"/>
      <c r="K7" s="23" t="s">
        <v>1277</v>
      </c>
      <c r="L7" s="23"/>
      <c r="M7" s="23"/>
      <c r="N7" s="23"/>
      <c r="O7" s="23"/>
      <c r="P7" s="23"/>
      <c r="Q7" s="23" t="s">
        <v>13845</v>
      </c>
      <c r="R7" s="23"/>
      <c r="S7" s="23" t="s">
        <v>14366</v>
      </c>
      <c r="T7" s="23" t="s">
        <v>11</v>
      </c>
      <c r="U7" s="23" t="s">
        <v>14367</v>
      </c>
      <c r="V7" s="23"/>
      <c r="W7" s="23" t="s">
        <v>14368</v>
      </c>
      <c r="X7" s="23"/>
      <c r="Y7" s="23" t="s">
        <v>14369</v>
      </c>
      <c r="Z7" s="23" t="s">
        <v>14370</v>
      </c>
      <c r="AA7" s="23" t="s">
        <v>1119</v>
      </c>
      <c r="AB7" s="23" t="s">
        <v>1298</v>
      </c>
      <c r="AC7" s="23" t="s">
        <v>14383</v>
      </c>
      <c r="AD7" s="23" t="s">
        <v>1162</v>
      </c>
      <c r="AE7" s="23" t="s">
        <v>1121</v>
      </c>
      <c r="AF7" s="23" t="s">
        <v>1299</v>
      </c>
      <c r="AG7" s="23" t="s">
        <v>1122</v>
      </c>
      <c r="AH7" s="23"/>
      <c r="AI7" s="23" t="s">
        <v>14384</v>
      </c>
      <c r="AJ7" s="23" t="s">
        <v>11</v>
      </c>
      <c r="AK7" s="23" t="s">
        <v>1124</v>
      </c>
      <c r="AL7" s="23"/>
      <c r="AM7" s="23" t="s">
        <v>1125</v>
      </c>
      <c r="AN7" s="23"/>
      <c r="AO7" s="23" t="s">
        <v>14385</v>
      </c>
      <c r="AP7" s="23"/>
      <c r="AQ7" s="23" t="s">
        <v>1127</v>
      </c>
      <c r="AR7" s="23"/>
      <c r="AS7" s="23" t="s">
        <v>14472</v>
      </c>
      <c r="AT7" s="23"/>
      <c r="AU7" s="23" t="s">
        <v>14473</v>
      </c>
      <c r="AV7" s="23"/>
      <c r="AW7" s="23" t="s">
        <v>14474</v>
      </c>
      <c r="AX7" s="23"/>
      <c r="AY7" s="23" t="s">
        <v>14475</v>
      </c>
      <c r="AZ7" s="23" t="s">
        <v>14476</v>
      </c>
      <c r="BA7" s="23" t="s">
        <v>14477</v>
      </c>
      <c r="BB7" s="23" t="s">
        <v>14416</v>
      </c>
      <c r="BC7" s="23" t="s">
        <v>14478</v>
      </c>
      <c r="BD7" s="23" t="s">
        <v>14479</v>
      </c>
      <c r="BE7" s="23" t="s">
        <v>14480</v>
      </c>
      <c r="BF7" s="23" t="s">
        <v>14481</v>
      </c>
      <c r="BG7" s="23" t="s">
        <v>14482</v>
      </c>
      <c r="BH7" s="23" t="s">
        <v>14483</v>
      </c>
      <c r="BI7" s="23" t="s">
        <v>14484</v>
      </c>
      <c r="BJ7" s="23" t="s">
        <v>14485</v>
      </c>
      <c r="BK7" s="23" t="s">
        <v>14486</v>
      </c>
      <c r="BL7" s="23" t="s">
        <v>14487</v>
      </c>
      <c r="BM7" s="23" t="s">
        <v>14488</v>
      </c>
      <c r="BN7" s="23" t="s">
        <v>14517</v>
      </c>
      <c r="BO7" s="23" t="s">
        <v>14490</v>
      </c>
      <c r="BP7" s="23" t="s">
        <v>14491</v>
      </c>
      <c r="BQ7" s="23" t="s">
        <v>14492</v>
      </c>
      <c r="BR7" s="23" t="s">
        <v>14425</v>
      </c>
      <c r="BS7" s="23" t="s">
        <v>14493</v>
      </c>
      <c r="BT7" s="23" t="s">
        <v>14494</v>
      </c>
      <c r="BU7" s="23" t="s">
        <v>14495</v>
      </c>
      <c r="BV7" s="23"/>
      <c r="BW7" s="23" t="s">
        <v>14496</v>
      </c>
      <c r="BX7" s="23" t="s">
        <v>10021</v>
      </c>
      <c r="BY7" s="23" t="s">
        <v>14497</v>
      </c>
      <c r="BZ7" s="23" t="s">
        <v>10021</v>
      </c>
      <c r="CA7" s="23" t="s">
        <v>1128</v>
      </c>
      <c r="CB7" s="23"/>
      <c r="CC7" s="23" t="s">
        <v>14499</v>
      </c>
      <c r="CD7" s="23"/>
      <c r="CE7" s="23"/>
      <c r="CF7" s="23"/>
      <c r="CG7" s="23"/>
    </row>
    <row r="8" spans="1:85" x14ac:dyDescent="0.4">
      <c r="A8" s="23" t="s">
        <v>1230</v>
      </c>
      <c r="B8" s="23" t="s">
        <v>6</v>
      </c>
      <c r="C8" s="23" t="s">
        <v>1</v>
      </c>
      <c r="D8" s="23" t="s">
        <v>1158</v>
      </c>
      <c r="E8" s="23" t="s">
        <v>0</v>
      </c>
      <c r="F8" s="23" t="s">
        <v>1230</v>
      </c>
      <c r="G8" s="23" t="s">
        <v>1231</v>
      </c>
      <c r="H8" s="23" t="s">
        <v>14479</v>
      </c>
      <c r="I8" s="23" t="s">
        <v>4</v>
      </c>
      <c r="J8" s="23"/>
      <c r="K8" s="23" t="s">
        <v>158</v>
      </c>
      <c r="L8" s="23"/>
      <c r="M8" s="23"/>
      <c r="N8" s="23" t="s">
        <v>1233</v>
      </c>
      <c r="O8" s="23"/>
      <c r="P8" s="23"/>
      <c r="Q8" s="23" t="s">
        <v>13845</v>
      </c>
      <c r="R8" s="23"/>
      <c r="S8" s="23" t="s">
        <v>14366</v>
      </c>
      <c r="T8" s="23" t="s">
        <v>11</v>
      </c>
      <c r="U8" s="23" t="s">
        <v>14367</v>
      </c>
      <c r="V8" s="23"/>
      <c r="W8" s="23" t="s">
        <v>14368</v>
      </c>
      <c r="X8" s="23"/>
      <c r="Y8" s="23" t="s">
        <v>14369</v>
      </c>
      <c r="Z8" s="23" t="s">
        <v>14370</v>
      </c>
      <c r="AA8" s="23" t="s">
        <v>1119</v>
      </c>
      <c r="AB8" s="23" t="s">
        <v>1232</v>
      </c>
      <c r="AC8" s="23" t="s">
        <v>14383</v>
      </c>
      <c r="AD8" s="23" t="s">
        <v>1188</v>
      </c>
      <c r="AE8" s="23" t="s">
        <v>1121</v>
      </c>
      <c r="AF8" s="23"/>
      <c r="AG8" s="23" t="s">
        <v>1122</v>
      </c>
      <c r="AH8" s="23"/>
      <c r="AI8" s="23" t="s">
        <v>14384</v>
      </c>
      <c r="AJ8" s="23" t="s">
        <v>11</v>
      </c>
      <c r="AK8" s="23" t="s">
        <v>1124</v>
      </c>
      <c r="AL8" s="23"/>
      <c r="AM8" s="23" t="s">
        <v>1125</v>
      </c>
      <c r="AN8" s="23"/>
      <c r="AO8" s="23" t="s">
        <v>14385</v>
      </c>
      <c r="AP8" s="23"/>
      <c r="AQ8" s="23" t="s">
        <v>1127</v>
      </c>
      <c r="AR8" s="23"/>
      <c r="AS8" s="23" t="s">
        <v>14472</v>
      </c>
      <c r="AT8" s="23"/>
      <c r="AU8" s="23" t="s">
        <v>14473</v>
      </c>
      <c r="AV8" s="23"/>
      <c r="AW8" s="23" t="s">
        <v>14474</v>
      </c>
      <c r="AX8" s="23"/>
      <c r="AY8" s="23" t="s">
        <v>14475</v>
      </c>
      <c r="AZ8" s="23" t="s">
        <v>14518</v>
      </c>
      <c r="BA8" s="23" t="s">
        <v>14477</v>
      </c>
      <c r="BB8" s="23" t="s">
        <v>1293</v>
      </c>
      <c r="BC8" s="23" t="s">
        <v>14478</v>
      </c>
      <c r="BD8" s="23" t="s">
        <v>14479</v>
      </c>
      <c r="BE8" s="23" t="s">
        <v>14480</v>
      </c>
      <c r="BF8" s="23" t="s">
        <v>14508</v>
      </c>
      <c r="BG8" s="23" t="s">
        <v>14482</v>
      </c>
      <c r="BH8" s="23" t="s">
        <v>14437</v>
      </c>
      <c r="BI8" s="23" t="s">
        <v>14484</v>
      </c>
      <c r="BJ8" s="23" t="s">
        <v>14485</v>
      </c>
      <c r="BK8" s="23" t="s">
        <v>14486</v>
      </c>
      <c r="BL8" s="23" t="s">
        <v>14519</v>
      </c>
      <c r="BM8" s="23" t="s">
        <v>14488</v>
      </c>
      <c r="BN8" s="23" t="s">
        <v>14520</v>
      </c>
      <c r="BO8" s="23" t="s">
        <v>14490</v>
      </c>
      <c r="BP8" s="23" t="s">
        <v>14423</v>
      </c>
      <c r="BQ8" s="23" t="s">
        <v>14492</v>
      </c>
      <c r="BR8" s="23" t="s">
        <v>14389</v>
      </c>
      <c r="BS8" s="23" t="s">
        <v>14493</v>
      </c>
      <c r="BT8" s="23" t="s">
        <v>14521</v>
      </c>
      <c r="BU8" s="23" t="s">
        <v>14495</v>
      </c>
      <c r="BV8" s="23"/>
      <c r="BW8" s="23" t="s">
        <v>14496</v>
      </c>
      <c r="BX8" s="23" t="s">
        <v>14522</v>
      </c>
      <c r="BY8" s="23" t="s">
        <v>14497</v>
      </c>
      <c r="BZ8" s="23" t="s">
        <v>14498</v>
      </c>
      <c r="CA8" s="23" t="s">
        <v>1128</v>
      </c>
      <c r="CB8" s="23" t="s">
        <v>1189</v>
      </c>
      <c r="CC8" s="23" t="s">
        <v>14499</v>
      </c>
      <c r="CD8" s="23"/>
      <c r="CE8" s="23"/>
      <c r="CF8" s="23"/>
      <c r="CG8" s="23"/>
    </row>
    <row r="9" spans="1:85" x14ac:dyDescent="0.4">
      <c r="A9" s="23" t="s">
        <v>1184</v>
      </c>
      <c r="B9" s="23" t="s">
        <v>6</v>
      </c>
      <c r="C9" s="23" t="s">
        <v>1</v>
      </c>
      <c r="D9" s="23" t="s">
        <v>1158</v>
      </c>
      <c r="E9" s="23" t="s">
        <v>0</v>
      </c>
      <c r="F9" s="23" t="s">
        <v>1184</v>
      </c>
      <c r="G9" s="23" t="s">
        <v>1186</v>
      </c>
      <c r="H9" s="23" t="s">
        <v>14479</v>
      </c>
      <c r="I9" s="23" t="s">
        <v>4</v>
      </c>
      <c r="J9" s="23"/>
      <c r="K9" s="23" t="s">
        <v>158</v>
      </c>
      <c r="L9" s="23"/>
      <c r="M9" s="23"/>
      <c r="N9" s="23" t="s">
        <v>1190</v>
      </c>
      <c r="O9" s="23"/>
      <c r="P9" s="23"/>
      <c r="Q9" s="23" t="s">
        <v>13845</v>
      </c>
      <c r="R9" s="23"/>
      <c r="S9" s="23" t="s">
        <v>14366</v>
      </c>
      <c r="T9" s="23" t="s">
        <v>11</v>
      </c>
      <c r="U9" s="23" t="s">
        <v>14367</v>
      </c>
      <c r="V9" s="23" t="s">
        <v>11</v>
      </c>
      <c r="W9" s="23" t="s">
        <v>14368</v>
      </c>
      <c r="X9" s="23"/>
      <c r="Y9" s="23" t="s">
        <v>14369</v>
      </c>
      <c r="Z9" s="23" t="s">
        <v>14370</v>
      </c>
      <c r="AA9" s="23" t="s">
        <v>1119</v>
      </c>
      <c r="AB9" s="23" t="s">
        <v>1187</v>
      </c>
      <c r="AC9" s="23" t="s">
        <v>14383</v>
      </c>
      <c r="AD9" s="23" t="s">
        <v>1188</v>
      </c>
      <c r="AE9" s="23" t="s">
        <v>1121</v>
      </c>
      <c r="AF9" s="23"/>
      <c r="AG9" s="23" t="s">
        <v>1122</v>
      </c>
      <c r="AH9" s="23"/>
      <c r="AI9" s="23" t="s">
        <v>14384</v>
      </c>
      <c r="AJ9" s="23" t="s">
        <v>11</v>
      </c>
      <c r="AK9" s="23" t="s">
        <v>1124</v>
      </c>
      <c r="AL9" s="23"/>
      <c r="AM9" s="23" t="s">
        <v>1125</v>
      </c>
      <c r="AN9" s="23"/>
      <c r="AO9" s="23" t="s">
        <v>14385</v>
      </c>
      <c r="AP9" s="23"/>
      <c r="AQ9" s="23" t="s">
        <v>1127</v>
      </c>
      <c r="AR9" s="23"/>
      <c r="AS9" s="23" t="s">
        <v>14472</v>
      </c>
      <c r="AT9" s="23"/>
      <c r="AU9" s="23" t="s">
        <v>14473</v>
      </c>
      <c r="AV9" s="23"/>
      <c r="AW9" s="23" t="s">
        <v>14474</v>
      </c>
      <c r="AX9" s="23"/>
      <c r="AY9" s="23" t="s">
        <v>14475</v>
      </c>
      <c r="AZ9" s="23" t="s">
        <v>14518</v>
      </c>
      <c r="BA9" s="23" t="s">
        <v>14477</v>
      </c>
      <c r="BB9" s="23" t="s">
        <v>14523</v>
      </c>
      <c r="BC9" s="23" t="s">
        <v>14478</v>
      </c>
      <c r="BD9" s="23" t="s">
        <v>14479</v>
      </c>
      <c r="BE9" s="23" t="s">
        <v>14480</v>
      </c>
      <c r="BF9" s="23" t="s">
        <v>14481</v>
      </c>
      <c r="BG9" s="23" t="s">
        <v>14482</v>
      </c>
      <c r="BH9" s="23" t="s">
        <v>14437</v>
      </c>
      <c r="BI9" s="23" t="s">
        <v>14484</v>
      </c>
      <c r="BJ9" s="23" t="s">
        <v>14485</v>
      </c>
      <c r="BK9" s="23" t="s">
        <v>14486</v>
      </c>
      <c r="BL9" s="23" t="s">
        <v>14519</v>
      </c>
      <c r="BM9" s="23" t="s">
        <v>14488</v>
      </c>
      <c r="BN9" s="23" t="s">
        <v>14524</v>
      </c>
      <c r="BO9" s="23" t="s">
        <v>14490</v>
      </c>
      <c r="BP9" s="23" t="s">
        <v>14399</v>
      </c>
      <c r="BQ9" s="23" t="s">
        <v>14492</v>
      </c>
      <c r="BR9" s="23" t="s">
        <v>14396</v>
      </c>
      <c r="BS9" s="23" t="s">
        <v>14493</v>
      </c>
      <c r="BT9" s="23" t="s">
        <v>14525</v>
      </c>
      <c r="BU9" s="23" t="s">
        <v>14495</v>
      </c>
      <c r="BV9" s="23"/>
      <c r="BW9" s="23" t="s">
        <v>14496</v>
      </c>
      <c r="BX9" s="23" t="s">
        <v>14522</v>
      </c>
      <c r="BY9" s="23" t="s">
        <v>14497</v>
      </c>
      <c r="BZ9" s="23" t="s">
        <v>14498</v>
      </c>
      <c r="CA9" s="23" t="s">
        <v>1128</v>
      </c>
      <c r="CB9" s="23" t="s">
        <v>1189</v>
      </c>
      <c r="CC9" s="23" t="s">
        <v>14499</v>
      </c>
      <c r="CD9" s="23"/>
      <c r="CE9" s="23"/>
      <c r="CF9" s="23"/>
      <c r="CG9" s="23"/>
    </row>
    <row r="10" spans="1:85" x14ac:dyDescent="0.4">
      <c r="A10" s="23" t="s">
        <v>1409</v>
      </c>
      <c r="B10" s="23" t="s">
        <v>6</v>
      </c>
      <c r="C10" s="23" t="s">
        <v>1</v>
      </c>
      <c r="D10" s="23" t="s">
        <v>1158</v>
      </c>
      <c r="E10" s="23" t="s">
        <v>0</v>
      </c>
      <c r="F10" s="23" t="s">
        <v>1409</v>
      </c>
      <c r="G10" s="23" t="s">
        <v>1410</v>
      </c>
      <c r="H10" s="23" t="s">
        <v>14365</v>
      </c>
      <c r="I10" s="23" t="s">
        <v>4</v>
      </c>
      <c r="J10" s="23" t="s">
        <v>2</v>
      </c>
      <c r="K10" s="23" t="s">
        <v>595</v>
      </c>
      <c r="L10" s="23"/>
      <c r="M10" s="23"/>
      <c r="N10" s="23"/>
      <c r="O10" s="23"/>
      <c r="P10" s="23"/>
      <c r="Q10" s="23" t="s">
        <v>13845</v>
      </c>
      <c r="R10" s="23"/>
      <c r="S10" s="23" t="s">
        <v>14366</v>
      </c>
      <c r="T10" s="23" t="s">
        <v>11</v>
      </c>
      <c r="U10" s="23" t="s">
        <v>14367</v>
      </c>
      <c r="V10" s="23"/>
      <c r="W10" s="23" t="s">
        <v>14368</v>
      </c>
      <c r="X10" s="23"/>
      <c r="Y10" s="23" t="s">
        <v>14369</v>
      </c>
      <c r="Z10" s="23" t="s">
        <v>14370</v>
      </c>
      <c r="AA10" s="23" t="s">
        <v>1119</v>
      </c>
      <c r="AB10" s="23" t="s">
        <v>1411</v>
      </c>
      <c r="AC10" s="23" t="s">
        <v>14383</v>
      </c>
      <c r="AD10" s="23" t="s">
        <v>1412</v>
      </c>
      <c r="AE10" s="23" t="s">
        <v>1121</v>
      </c>
      <c r="AF10" s="23"/>
      <c r="AG10" s="23" t="s">
        <v>1122</v>
      </c>
      <c r="AH10" s="23"/>
      <c r="AI10" s="23" t="s">
        <v>14384</v>
      </c>
      <c r="AJ10" s="23" t="s">
        <v>11</v>
      </c>
      <c r="AK10" s="23" t="s">
        <v>1124</v>
      </c>
      <c r="AL10" s="23"/>
      <c r="AM10" s="23" t="s">
        <v>1125</v>
      </c>
      <c r="AN10" s="23"/>
      <c r="AO10" s="23" t="s">
        <v>14385</v>
      </c>
      <c r="AP10" s="23"/>
      <c r="AQ10" s="23" t="s">
        <v>1127</v>
      </c>
      <c r="AR10" s="23"/>
      <c r="AS10" s="23" t="s">
        <v>14472</v>
      </c>
      <c r="AT10" s="23"/>
      <c r="AU10" s="23" t="s">
        <v>14473</v>
      </c>
      <c r="AV10" s="23"/>
      <c r="AW10" s="23" t="s">
        <v>14474</v>
      </c>
      <c r="AX10" s="23"/>
      <c r="AY10" s="23" t="s">
        <v>14475</v>
      </c>
      <c r="AZ10" s="23" t="s">
        <v>14476</v>
      </c>
      <c r="BA10" s="23" t="s">
        <v>14477</v>
      </c>
      <c r="BB10" s="23"/>
      <c r="BC10" s="23" t="s">
        <v>14478</v>
      </c>
      <c r="BD10" s="23" t="s">
        <v>14479</v>
      </c>
      <c r="BE10" s="23" t="s">
        <v>14480</v>
      </c>
      <c r="BF10" s="23" t="s">
        <v>14500</v>
      </c>
      <c r="BG10" s="23" t="s">
        <v>14482</v>
      </c>
      <c r="BH10" s="23" t="s">
        <v>14483</v>
      </c>
      <c r="BI10" s="23" t="s">
        <v>14484</v>
      </c>
      <c r="BJ10" s="23" t="s">
        <v>14485</v>
      </c>
      <c r="BK10" s="23" t="s">
        <v>14486</v>
      </c>
      <c r="BL10" s="23" t="s">
        <v>14526</v>
      </c>
      <c r="BM10" s="23" t="s">
        <v>14488</v>
      </c>
      <c r="BN10" s="23" t="s">
        <v>14527</v>
      </c>
      <c r="BO10" s="23" t="s">
        <v>14490</v>
      </c>
      <c r="BP10" s="23" t="s">
        <v>3278</v>
      </c>
      <c r="BQ10" s="23" t="s">
        <v>14492</v>
      </c>
      <c r="BR10" s="23" t="s">
        <v>14425</v>
      </c>
      <c r="BS10" s="23" t="s">
        <v>14493</v>
      </c>
      <c r="BT10" s="23" t="s">
        <v>14528</v>
      </c>
      <c r="BU10" s="23" t="s">
        <v>14495</v>
      </c>
      <c r="BV10" s="23"/>
      <c r="BW10" s="23" t="s">
        <v>14496</v>
      </c>
      <c r="BX10" s="23" t="s">
        <v>14529</v>
      </c>
      <c r="BY10" s="23" t="s">
        <v>14497</v>
      </c>
      <c r="BZ10" s="23" t="s">
        <v>10021</v>
      </c>
      <c r="CA10" s="23" t="s">
        <v>1128</v>
      </c>
      <c r="CB10" s="23" t="s">
        <v>1413</v>
      </c>
      <c r="CC10" s="23" t="s">
        <v>14499</v>
      </c>
      <c r="CD10" s="23"/>
      <c r="CE10" s="23"/>
      <c r="CF10" s="23"/>
      <c r="CG10" s="23"/>
    </row>
    <row r="11" spans="1:85" x14ac:dyDescent="0.4">
      <c r="A11" s="23" t="s">
        <v>1426</v>
      </c>
      <c r="B11" s="23" t="s">
        <v>6</v>
      </c>
      <c r="C11" s="23" t="s">
        <v>1</v>
      </c>
      <c r="D11" s="23" t="s">
        <v>1158</v>
      </c>
      <c r="E11" s="23" t="s">
        <v>0</v>
      </c>
      <c r="F11" s="23" t="s">
        <v>1426</v>
      </c>
      <c r="G11" s="23" t="s">
        <v>1427</v>
      </c>
      <c r="H11" s="23" t="s">
        <v>14365</v>
      </c>
      <c r="I11" s="23" t="s">
        <v>4</v>
      </c>
      <c r="J11" s="23" t="s">
        <v>2</v>
      </c>
      <c r="K11" s="23" t="s">
        <v>1431</v>
      </c>
      <c r="L11" s="23"/>
      <c r="M11" s="23"/>
      <c r="N11" s="23"/>
      <c r="O11" s="23"/>
      <c r="P11" s="23"/>
      <c r="Q11" s="23" t="s">
        <v>13845</v>
      </c>
      <c r="R11" s="23"/>
      <c r="S11" s="23" t="s">
        <v>14366</v>
      </c>
      <c r="T11" s="23" t="s">
        <v>11</v>
      </c>
      <c r="U11" s="23" t="s">
        <v>14367</v>
      </c>
      <c r="V11" s="23"/>
      <c r="W11" s="23" t="s">
        <v>14368</v>
      </c>
      <c r="X11" s="23"/>
      <c r="Y11" s="23" t="s">
        <v>14369</v>
      </c>
      <c r="Z11" s="23" t="s">
        <v>14370</v>
      </c>
      <c r="AA11" s="23" t="s">
        <v>1119</v>
      </c>
      <c r="AB11" s="23" t="s">
        <v>1428</v>
      </c>
      <c r="AC11" s="23" t="s">
        <v>14383</v>
      </c>
      <c r="AD11" s="23" t="s">
        <v>1221</v>
      </c>
      <c r="AE11" s="23" t="s">
        <v>1121</v>
      </c>
      <c r="AF11" s="23"/>
      <c r="AG11" s="23" t="s">
        <v>1122</v>
      </c>
      <c r="AH11" s="23"/>
      <c r="AI11" s="23" t="s">
        <v>14384</v>
      </c>
      <c r="AJ11" s="23" t="s">
        <v>11</v>
      </c>
      <c r="AK11" s="23" t="s">
        <v>1124</v>
      </c>
      <c r="AL11" s="23"/>
      <c r="AM11" s="23" t="s">
        <v>1125</v>
      </c>
      <c r="AN11" s="23"/>
      <c r="AO11" s="23" t="s">
        <v>14385</v>
      </c>
      <c r="AP11" s="23"/>
      <c r="AQ11" s="23" t="s">
        <v>1127</v>
      </c>
      <c r="AR11" s="23"/>
      <c r="AS11" s="23" t="s">
        <v>14472</v>
      </c>
      <c r="AT11" s="23"/>
      <c r="AU11" s="23" t="s">
        <v>14473</v>
      </c>
      <c r="AV11" s="23"/>
      <c r="AW11" s="23" t="s">
        <v>14474</v>
      </c>
      <c r="AX11" s="23"/>
      <c r="AY11" s="23" t="s">
        <v>14475</v>
      </c>
      <c r="AZ11" s="23"/>
      <c r="BA11" s="23" t="s">
        <v>14477</v>
      </c>
      <c r="BB11" s="23" t="s">
        <v>14530</v>
      </c>
      <c r="BC11" s="23" t="s">
        <v>14478</v>
      </c>
      <c r="BD11" s="23" t="s">
        <v>14479</v>
      </c>
      <c r="BE11" s="23" t="s">
        <v>14480</v>
      </c>
      <c r="BF11" s="23" t="s">
        <v>14503</v>
      </c>
      <c r="BG11" s="23" t="s">
        <v>14482</v>
      </c>
      <c r="BH11" s="23" t="s">
        <v>14483</v>
      </c>
      <c r="BI11" s="23" t="s">
        <v>14484</v>
      </c>
      <c r="BJ11" s="23" t="s">
        <v>14485</v>
      </c>
      <c r="BK11" s="23" t="s">
        <v>14486</v>
      </c>
      <c r="BL11" s="23" t="s">
        <v>14504</v>
      </c>
      <c r="BM11" s="23" t="s">
        <v>14488</v>
      </c>
      <c r="BN11" s="23" t="s">
        <v>14531</v>
      </c>
      <c r="BO11" s="23" t="s">
        <v>14490</v>
      </c>
      <c r="BP11" s="23" t="s">
        <v>14532</v>
      </c>
      <c r="BQ11" s="23" t="s">
        <v>14492</v>
      </c>
      <c r="BR11" s="23" t="s">
        <v>14485</v>
      </c>
      <c r="BS11" s="23" t="s">
        <v>14493</v>
      </c>
      <c r="BT11" s="23" t="s">
        <v>14533</v>
      </c>
      <c r="BU11" s="23" t="s">
        <v>14495</v>
      </c>
      <c r="BV11" s="23"/>
      <c r="BW11" s="23" t="s">
        <v>14496</v>
      </c>
      <c r="BX11" s="23" t="s">
        <v>14522</v>
      </c>
      <c r="BY11" s="23" t="s">
        <v>14497</v>
      </c>
      <c r="BZ11" s="23" t="s">
        <v>14498</v>
      </c>
      <c r="CA11" s="23" t="s">
        <v>1128</v>
      </c>
      <c r="CB11" s="23"/>
      <c r="CC11" s="23" t="s">
        <v>14499</v>
      </c>
      <c r="CD11" s="23"/>
      <c r="CE11" s="23"/>
      <c r="CF11" s="23"/>
      <c r="CG11" s="23"/>
    </row>
    <row r="12" spans="1:85" x14ac:dyDescent="0.4">
      <c r="A12" s="23" t="s">
        <v>1437</v>
      </c>
      <c r="B12" s="23" t="s">
        <v>6</v>
      </c>
      <c r="C12" s="23" t="s">
        <v>1</v>
      </c>
      <c r="D12" s="23" t="s">
        <v>1158</v>
      </c>
      <c r="E12" s="23" t="s">
        <v>0</v>
      </c>
      <c r="F12" s="23" t="s">
        <v>1437</v>
      </c>
      <c r="G12" s="23" t="s">
        <v>1438</v>
      </c>
      <c r="H12" s="23" t="s">
        <v>14365</v>
      </c>
      <c r="I12" s="23" t="s">
        <v>4</v>
      </c>
      <c r="J12" s="23" t="s">
        <v>2</v>
      </c>
      <c r="K12" s="23" t="s">
        <v>1443</v>
      </c>
      <c r="L12" s="23"/>
      <c r="M12" s="23"/>
      <c r="N12" s="23" t="s">
        <v>1441</v>
      </c>
      <c r="O12" s="23"/>
      <c r="P12" s="23"/>
      <c r="Q12" s="23" t="s">
        <v>13845</v>
      </c>
      <c r="R12" s="23"/>
      <c r="S12" s="23" t="s">
        <v>14366</v>
      </c>
      <c r="T12" s="23" t="s">
        <v>11</v>
      </c>
      <c r="U12" s="23" t="s">
        <v>14367</v>
      </c>
      <c r="V12" s="23"/>
      <c r="W12" s="23" t="s">
        <v>14368</v>
      </c>
      <c r="X12" s="23"/>
      <c r="Y12" s="23" t="s">
        <v>14369</v>
      </c>
      <c r="Z12" s="23" t="s">
        <v>14370</v>
      </c>
      <c r="AA12" s="23" t="s">
        <v>1119</v>
      </c>
      <c r="AB12" s="23" t="s">
        <v>1439</v>
      </c>
      <c r="AC12" s="23" t="s">
        <v>14383</v>
      </c>
      <c r="AD12" s="23" t="s">
        <v>1221</v>
      </c>
      <c r="AE12" s="23" t="s">
        <v>1121</v>
      </c>
      <c r="AF12" s="23"/>
      <c r="AG12" s="23" t="s">
        <v>1122</v>
      </c>
      <c r="AH12" s="23"/>
      <c r="AI12" s="23" t="s">
        <v>14384</v>
      </c>
      <c r="AJ12" s="23" t="s">
        <v>11</v>
      </c>
      <c r="AK12" s="23" t="s">
        <v>1124</v>
      </c>
      <c r="AL12" s="23"/>
      <c r="AM12" s="23" t="s">
        <v>1125</v>
      </c>
      <c r="AN12" s="23"/>
      <c r="AO12" s="23" t="s">
        <v>14385</v>
      </c>
      <c r="AP12" s="23"/>
      <c r="AQ12" s="23" t="s">
        <v>1127</v>
      </c>
      <c r="AR12" s="23"/>
      <c r="AS12" s="23" t="s">
        <v>14472</v>
      </c>
      <c r="AT12" s="23"/>
      <c r="AU12" s="23" t="s">
        <v>14473</v>
      </c>
      <c r="AV12" s="23"/>
      <c r="AW12" s="23" t="s">
        <v>14474</v>
      </c>
      <c r="AX12" s="23"/>
      <c r="AY12" s="23" t="s">
        <v>14475</v>
      </c>
      <c r="AZ12" s="23" t="s">
        <v>14534</v>
      </c>
      <c r="BA12" s="23" t="s">
        <v>14477</v>
      </c>
      <c r="BB12" s="23" t="s">
        <v>14530</v>
      </c>
      <c r="BC12" s="23" t="s">
        <v>14478</v>
      </c>
      <c r="BD12" s="23" t="s">
        <v>14479</v>
      </c>
      <c r="BE12" s="23" t="s">
        <v>14480</v>
      </c>
      <c r="BF12" s="23" t="s">
        <v>14503</v>
      </c>
      <c r="BG12" s="23" t="s">
        <v>14482</v>
      </c>
      <c r="BH12" s="23" t="s">
        <v>14535</v>
      </c>
      <c r="BI12" s="23" t="s">
        <v>14484</v>
      </c>
      <c r="BJ12" s="23" t="s">
        <v>14485</v>
      </c>
      <c r="BK12" s="23" t="s">
        <v>14486</v>
      </c>
      <c r="BL12" s="23" t="s">
        <v>14536</v>
      </c>
      <c r="BM12" s="23" t="s">
        <v>14488</v>
      </c>
      <c r="BN12" s="23" t="s">
        <v>14537</v>
      </c>
      <c r="BO12" s="23" t="s">
        <v>14490</v>
      </c>
      <c r="BP12" s="23" t="s">
        <v>14429</v>
      </c>
      <c r="BQ12" s="23" t="s">
        <v>14492</v>
      </c>
      <c r="BR12" s="23" t="s">
        <v>14398</v>
      </c>
      <c r="BS12" s="23" t="s">
        <v>14493</v>
      </c>
      <c r="BT12" s="23" t="s">
        <v>14538</v>
      </c>
      <c r="BU12" s="23" t="s">
        <v>14495</v>
      </c>
      <c r="BV12" s="23"/>
      <c r="BW12" s="23" t="s">
        <v>14496</v>
      </c>
      <c r="BX12" s="23" t="s">
        <v>14529</v>
      </c>
      <c r="BY12" s="23" t="s">
        <v>14497</v>
      </c>
      <c r="BZ12" s="23" t="s">
        <v>14498</v>
      </c>
      <c r="CA12" s="23" t="s">
        <v>1128</v>
      </c>
      <c r="CB12" s="23"/>
      <c r="CC12" s="23" t="s">
        <v>14499</v>
      </c>
      <c r="CD12" s="23"/>
      <c r="CE12" s="23"/>
      <c r="CF12" s="23"/>
      <c r="CG12" s="23"/>
    </row>
    <row r="13" spans="1:85" x14ac:dyDescent="0.4">
      <c r="A13" s="23" t="s">
        <v>1488</v>
      </c>
      <c r="B13" s="23" t="s">
        <v>6</v>
      </c>
      <c r="C13" s="23" t="s">
        <v>1</v>
      </c>
      <c r="D13" s="23" t="s">
        <v>1158</v>
      </c>
      <c r="E13" s="23" t="s">
        <v>0</v>
      </c>
      <c r="F13" s="23" t="s">
        <v>1488</v>
      </c>
      <c r="G13" s="23" t="s">
        <v>1489</v>
      </c>
      <c r="H13" s="23" t="s">
        <v>14365</v>
      </c>
      <c r="I13" s="23" t="s">
        <v>4</v>
      </c>
      <c r="J13" s="23" t="s">
        <v>2</v>
      </c>
      <c r="K13" s="23" t="s">
        <v>158</v>
      </c>
      <c r="L13" s="23"/>
      <c r="M13" s="23"/>
      <c r="N13" s="23" t="s">
        <v>1492</v>
      </c>
      <c r="O13" s="23"/>
      <c r="P13" s="23"/>
      <c r="Q13" s="23" t="s">
        <v>13845</v>
      </c>
      <c r="R13" s="23"/>
      <c r="S13" s="23" t="s">
        <v>14366</v>
      </c>
      <c r="T13" s="23" t="s">
        <v>11</v>
      </c>
      <c r="U13" s="23" t="s">
        <v>14367</v>
      </c>
      <c r="V13" s="23"/>
      <c r="W13" s="23" t="s">
        <v>14368</v>
      </c>
      <c r="X13" s="23"/>
      <c r="Y13" s="23" t="s">
        <v>14369</v>
      </c>
      <c r="Z13" s="23" t="s">
        <v>14370</v>
      </c>
      <c r="AA13" s="23" t="s">
        <v>1119</v>
      </c>
      <c r="AB13" s="23" t="s">
        <v>1490</v>
      </c>
      <c r="AC13" s="23" t="s">
        <v>14383</v>
      </c>
      <c r="AD13" s="23" t="s">
        <v>1188</v>
      </c>
      <c r="AE13" s="23" t="s">
        <v>1121</v>
      </c>
      <c r="AF13" s="23"/>
      <c r="AG13" s="23" t="s">
        <v>1122</v>
      </c>
      <c r="AH13" s="23"/>
      <c r="AI13" s="23" t="s">
        <v>14384</v>
      </c>
      <c r="AJ13" s="23" t="s">
        <v>11</v>
      </c>
      <c r="AK13" s="23" t="s">
        <v>1124</v>
      </c>
      <c r="AL13" s="23"/>
      <c r="AM13" s="23" t="s">
        <v>1125</v>
      </c>
      <c r="AN13" s="23"/>
      <c r="AO13" s="23" t="s">
        <v>14385</v>
      </c>
      <c r="AP13" s="23"/>
      <c r="AQ13" s="23" t="s">
        <v>1127</v>
      </c>
      <c r="AR13" s="23"/>
      <c r="AS13" s="23" t="s">
        <v>14472</v>
      </c>
      <c r="AT13" s="23"/>
      <c r="AU13" s="23" t="s">
        <v>14473</v>
      </c>
      <c r="AV13" s="23"/>
      <c r="AW13" s="23" t="s">
        <v>14474</v>
      </c>
      <c r="AX13" s="23"/>
      <c r="AY13" s="23" t="s">
        <v>14475</v>
      </c>
      <c r="AZ13" s="23" t="s">
        <v>14476</v>
      </c>
      <c r="BA13" s="23" t="s">
        <v>14477</v>
      </c>
      <c r="BB13" s="23" t="s">
        <v>1293</v>
      </c>
      <c r="BC13" s="23" t="s">
        <v>14478</v>
      </c>
      <c r="BD13" s="23" t="s">
        <v>14479</v>
      </c>
      <c r="BE13" s="23" t="s">
        <v>14480</v>
      </c>
      <c r="BF13" s="23" t="s">
        <v>14398</v>
      </c>
      <c r="BG13" s="23" t="s">
        <v>14482</v>
      </c>
      <c r="BH13" s="23" t="s">
        <v>14539</v>
      </c>
      <c r="BI13" s="23" t="s">
        <v>14484</v>
      </c>
      <c r="BJ13" s="23" t="s">
        <v>14485</v>
      </c>
      <c r="BK13" s="23" t="s">
        <v>14486</v>
      </c>
      <c r="BL13" s="23" t="s">
        <v>14526</v>
      </c>
      <c r="BM13" s="23" t="s">
        <v>14488</v>
      </c>
      <c r="BN13" s="23" t="s">
        <v>14540</v>
      </c>
      <c r="BO13" s="23" t="s">
        <v>14490</v>
      </c>
      <c r="BP13" s="23" t="s">
        <v>14541</v>
      </c>
      <c r="BQ13" s="23" t="s">
        <v>14492</v>
      </c>
      <c r="BR13" s="23" t="s">
        <v>14459</v>
      </c>
      <c r="BS13" s="23" t="s">
        <v>14493</v>
      </c>
      <c r="BT13" s="23" t="s">
        <v>14542</v>
      </c>
      <c r="BU13" s="23" t="s">
        <v>14495</v>
      </c>
      <c r="BV13" s="23"/>
      <c r="BW13" s="23" t="s">
        <v>14496</v>
      </c>
      <c r="BX13" s="23" t="s">
        <v>14522</v>
      </c>
      <c r="BY13" s="23" t="s">
        <v>14497</v>
      </c>
      <c r="BZ13" s="23" t="s">
        <v>14498</v>
      </c>
      <c r="CA13" s="23" t="s">
        <v>1128</v>
      </c>
      <c r="CB13" s="23" t="s">
        <v>1491</v>
      </c>
      <c r="CC13" s="23" t="s">
        <v>14499</v>
      </c>
      <c r="CD13" s="23"/>
      <c r="CE13" s="23"/>
      <c r="CF13" s="23"/>
      <c r="CG13" s="23"/>
    </row>
    <row r="14" spans="1:85" x14ac:dyDescent="0.4">
      <c r="A14" s="23" t="s">
        <v>1498</v>
      </c>
      <c r="B14" s="23" t="s">
        <v>6</v>
      </c>
      <c r="C14" s="23" t="s">
        <v>1</v>
      </c>
      <c r="D14" s="23" t="s">
        <v>1158</v>
      </c>
      <c r="E14" s="23" t="s">
        <v>0</v>
      </c>
      <c r="F14" s="23" t="s">
        <v>1498</v>
      </c>
      <c r="G14" s="23" t="s">
        <v>1499</v>
      </c>
      <c r="H14" s="23" t="s">
        <v>14392</v>
      </c>
      <c r="I14" s="23" t="s">
        <v>7</v>
      </c>
      <c r="J14" s="23"/>
      <c r="K14" s="23" t="s">
        <v>51</v>
      </c>
      <c r="L14" s="23"/>
      <c r="M14" s="23"/>
      <c r="N14" s="23" t="s">
        <v>1502</v>
      </c>
      <c r="O14" s="23"/>
      <c r="P14" s="23"/>
      <c r="Q14" s="23" t="s">
        <v>13845</v>
      </c>
      <c r="R14" s="23"/>
      <c r="S14" s="23" t="s">
        <v>14366</v>
      </c>
      <c r="T14" s="23" t="s">
        <v>11</v>
      </c>
      <c r="U14" s="23" t="s">
        <v>14367</v>
      </c>
      <c r="V14" s="23"/>
      <c r="W14" s="23" t="s">
        <v>14368</v>
      </c>
      <c r="X14" s="23"/>
      <c r="Y14" s="23" t="s">
        <v>14369</v>
      </c>
      <c r="Z14" s="23" t="s">
        <v>14370</v>
      </c>
      <c r="AA14" s="23" t="s">
        <v>1119</v>
      </c>
      <c r="AB14" s="23" t="s">
        <v>1500</v>
      </c>
      <c r="AC14" s="23" t="s">
        <v>14383</v>
      </c>
      <c r="AD14" s="23" t="s">
        <v>1252</v>
      </c>
      <c r="AE14" s="23" t="s">
        <v>1121</v>
      </c>
      <c r="AF14" s="23"/>
      <c r="AG14" s="23" t="s">
        <v>1122</v>
      </c>
      <c r="AH14" s="23"/>
      <c r="AI14" s="23" t="s">
        <v>14384</v>
      </c>
      <c r="AJ14" s="23" t="s">
        <v>11</v>
      </c>
      <c r="AK14" s="23" t="s">
        <v>1124</v>
      </c>
      <c r="AL14" s="23"/>
      <c r="AM14" s="23" t="s">
        <v>1125</v>
      </c>
      <c r="AN14" s="23"/>
      <c r="AO14" s="23" t="s">
        <v>14385</v>
      </c>
      <c r="AP14" s="23"/>
      <c r="AQ14" s="23" t="s">
        <v>1127</v>
      </c>
      <c r="AR14" s="23"/>
      <c r="AS14" s="23" t="s">
        <v>14472</v>
      </c>
      <c r="AT14" s="23"/>
      <c r="AU14" s="23" t="s">
        <v>14473</v>
      </c>
      <c r="AV14" s="23"/>
      <c r="AW14" s="23" t="s">
        <v>14474</v>
      </c>
      <c r="AX14" s="23"/>
      <c r="AY14" s="23" t="s">
        <v>14475</v>
      </c>
      <c r="AZ14" s="23"/>
      <c r="BA14" s="23" t="s">
        <v>14477</v>
      </c>
      <c r="BB14" s="23"/>
      <c r="BC14" s="23" t="s">
        <v>14478</v>
      </c>
      <c r="BD14" s="23" t="s">
        <v>14479</v>
      </c>
      <c r="BE14" s="23" t="s">
        <v>14480</v>
      </c>
      <c r="BF14" s="23" t="s">
        <v>14511</v>
      </c>
      <c r="BG14" s="23" t="s">
        <v>14482</v>
      </c>
      <c r="BH14" s="23" t="s">
        <v>14483</v>
      </c>
      <c r="BI14" s="23" t="s">
        <v>14484</v>
      </c>
      <c r="BJ14" s="23" t="s">
        <v>14485</v>
      </c>
      <c r="BK14" s="23" t="s">
        <v>14486</v>
      </c>
      <c r="BL14" s="23" t="s">
        <v>14469</v>
      </c>
      <c r="BM14" s="23" t="s">
        <v>14488</v>
      </c>
      <c r="BN14" s="23" t="s">
        <v>14543</v>
      </c>
      <c r="BO14" s="23" t="s">
        <v>14490</v>
      </c>
      <c r="BP14" s="23" t="s">
        <v>13326</v>
      </c>
      <c r="BQ14" s="23" t="s">
        <v>14492</v>
      </c>
      <c r="BR14" s="23" t="s">
        <v>14387</v>
      </c>
      <c r="BS14" s="23" t="s">
        <v>14493</v>
      </c>
      <c r="BT14" s="23" t="s">
        <v>14544</v>
      </c>
      <c r="BU14" s="23" t="s">
        <v>14495</v>
      </c>
      <c r="BV14" s="23"/>
      <c r="BW14" s="23" t="s">
        <v>14496</v>
      </c>
      <c r="BX14" s="23" t="s">
        <v>14529</v>
      </c>
      <c r="BY14" s="23" t="s">
        <v>14497</v>
      </c>
      <c r="BZ14" s="23" t="s">
        <v>14498</v>
      </c>
      <c r="CA14" s="23" t="s">
        <v>1128</v>
      </c>
      <c r="CB14" s="23" t="s">
        <v>1501</v>
      </c>
      <c r="CC14" s="23" t="s">
        <v>14499</v>
      </c>
      <c r="CD14" s="23"/>
      <c r="CE14" s="23"/>
      <c r="CF14" s="23"/>
      <c r="CG14" s="23"/>
    </row>
    <row r="15" spans="1:85" x14ac:dyDescent="0.4">
      <c r="A15" s="23" t="s">
        <v>1508</v>
      </c>
      <c r="B15" s="23" t="s">
        <v>6</v>
      </c>
      <c r="C15" s="23" t="s">
        <v>1</v>
      </c>
      <c r="D15" s="23" t="s">
        <v>1158</v>
      </c>
      <c r="E15" s="23" t="s">
        <v>0</v>
      </c>
      <c r="F15" s="23" t="s">
        <v>1508</v>
      </c>
      <c r="G15" s="23" t="s">
        <v>1509</v>
      </c>
      <c r="H15" s="23" t="s">
        <v>14365</v>
      </c>
      <c r="I15" s="23" t="s">
        <v>4</v>
      </c>
      <c r="J15" s="23" t="s">
        <v>14545</v>
      </c>
      <c r="K15" s="23" t="s">
        <v>1513</v>
      </c>
      <c r="L15" s="23"/>
      <c r="M15" s="23"/>
      <c r="N15" s="23" t="s">
        <v>1511</v>
      </c>
      <c r="O15" s="23"/>
      <c r="P15" s="23"/>
      <c r="Q15" s="23" t="s">
        <v>13845</v>
      </c>
      <c r="R15" s="23"/>
      <c r="S15" s="23" t="s">
        <v>14366</v>
      </c>
      <c r="T15" s="23" t="s">
        <v>11</v>
      </c>
      <c r="U15" s="23" t="s">
        <v>14367</v>
      </c>
      <c r="V15" s="23"/>
      <c r="W15" s="23" t="s">
        <v>14368</v>
      </c>
      <c r="X15" s="23"/>
      <c r="Y15" s="23" t="s">
        <v>14369</v>
      </c>
      <c r="Z15" s="23" t="s">
        <v>14370</v>
      </c>
      <c r="AA15" s="23" t="s">
        <v>1119</v>
      </c>
      <c r="AB15" s="23" t="s">
        <v>1510</v>
      </c>
      <c r="AC15" s="23" t="s">
        <v>14383</v>
      </c>
      <c r="AD15" s="23" t="s">
        <v>1252</v>
      </c>
      <c r="AE15" s="23" t="s">
        <v>1121</v>
      </c>
      <c r="AF15" s="23"/>
      <c r="AG15" s="23" t="s">
        <v>1122</v>
      </c>
      <c r="AH15" s="23"/>
      <c r="AI15" s="23" t="s">
        <v>14384</v>
      </c>
      <c r="AJ15" s="23" t="s">
        <v>11</v>
      </c>
      <c r="AK15" s="23" t="s">
        <v>1124</v>
      </c>
      <c r="AL15" s="23"/>
      <c r="AM15" s="23" t="s">
        <v>1125</v>
      </c>
      <c r="AN15" s="23"/>
      <c r="AO15" s="23" t="s">
        <v>14385</v>
      </c>
      <c r="AP15" s="23"/>
      <c r="AQ15" s="23" t="s">
        <v>1127</v>
      </c>
      <c r="AR15" s="23"/>
      <c r="AS15" s="23" t="s">
        <v>14472</v>
      </c>
      <c r="AT15" s="23"/>
      <c r="AU15" s="23" t="s">
        <v>14473</v>
      </c>
      <c r="AV15" s="23"/>
      <c r="AW15" s="23" t="s">
        <v>14474</v>
      </c>
      <c r="AX15" s="23"/>
      <c r="AY15" s="23" t="s">
        <v>14475</v>
      </c>
      <c r="AZ15" s="23" t="s">
        <v>14546</v>
      </c>
      <c r="BA15" s="23" t="s">
        <v>14477</v>
      </c>
      <c r="BB15" s="23" t="s">
        <v>14547</v>
      </c>
      <c r="BC15" s="23" t="s">
        <v>14478</v>
      </c>
      <c r="BD15" s="23" t="s">
        <v>14479</v>
      </c>
      <c r="BE15" s="23" t="s">
        <v>14480</v>
      </c>
      <c r="BF15" s="23" t="s">
        <v>14548</v>
      </c>
      <c r="BG15" s="23" t="s">
        <v>14482</v>
      </c>
      <c r="BH15" s="23" t="s">
        <v>14483</v>
      </c>
      <c r="BI15" s="23" t="s">
        <v>14484</v>
      </c>
      <c r="BJ15" s="23" t="s">
        <v>14485</v>
      </c>
      <c r="BK15" s="23" t="s">
        <v>14486</v>
      </c>
      <c r="BL15" s="23" t="s">
        <v>14549</v>
      </c>
      <c r="BM15" s="23" t="s">
        <v>14488</v>
      </c>
      <c r="BN15" s="23" t="s">
        <v>14517</v>
      </c>
      <c r="BO15" s="23" t="s">
        <v>14490</v>
      </c>
      <c r="BP15" s="23" t="s">
        <v>14550</v>
      </c>
      <c r="BQ15" s="23" t="s">
        <v>14492</v>
      </c>
      <c r="BR15" s="23" t="s">
        <v>14452</v>
      </c>
      <c r="BS15" s="23" t="s">
        <v>14493</v>
      </c>
      <c r="BT15" s="23" t="s">
        <v>14551</v>
      </c>
      <c r="BU15" s="23" t="s">
        <v>14495</v>
      </c>
      <c r="BV15" s="23"/>
      <c r="BW15" s="23" t="s">
        <v>14496</v>
      </c>
      <c r="BX15" s="23" t="s">
        <v>14529</v>
      </c>
      <c r="BY15" s="23" t="s">
        <v>14497</v>
      </c>
      <c r="BZ15" s="23" t="s">
        <v>14552</v>
      </c>
      <c r="CA15" s="23" t="s">
        <v>1128</v>
      </c>
      <c r="CB15" s="23"/>
      <c r="CC15" s="23" t="s">
        <v>14499</v>
      </c>
      <c r="CD15" s="23"/>
      <c r="CE15" s="23"/>
      <c r="CF15" s="23"/>
      <c r="CG15" s="23"/>
    </row>
    <row r="16" spans="1:85" x14ac:dyDescent="0.4">
      <c r="A16" s="23" t="s">
        <v>1542</v>
      </c>
      <c r="B16" s="23" t="s">
        <v>6</v>
      </c>
      <c r="C16" s="23" t="s">
        <v>1</v>
      </c>
      <c r="D16" s="23" t="s">
        <v>1158</v>
      </c>
      <c r="E16" s="23" t="s">
        <v>0</v>
      </c>
      <c r="F16" s="23" t="s">
        <v>1542</v>
      </c>
      <c r="G16" s="23" t="s">
        <v>1543</v>
      </c>
      <c r="H16" s="23" t="s">
        <v>14365</v>
      </c>
      <c r="I16" s="23" t="s">
        <v>4</v>
      </c>
      <c r="J16" s="23" t="s">
        <v>2</v>
      </c>
      <c r="K16" s="23" t="s">
        <v>1549</v>
      </c>
      <c r="L16" s="23"/>
      <c r="M16" s="23"/>
      <c r="N16" s="23" t="s">
        <v>1547</v>
      </c>
      <c r="O16" s="23"/>
      <c r="P16" s="23"/>
      <c r="Q16" s="23" t="s">
        <v>13845</v>
      </c>
      <c r="R16" s="23"/>
      <c r="S16" s="23" t="s">
        <v>14366</v>
      </c>
      <c r="T16" s="23" t="s">
        <v>11</v>
      </c>
      <c r="U16" s="23" t="s">
        <v>14367</v>
      </c>
      <c r="V16" s="23"/>
      <c r="W16" s="23" t="s">
        <v>14368</v>
      </c>
      <c r="X16" s="23"/>
      <c r="Y16" s="23" t="s">
        <v>14369</v>
      </c>
      <c r="Z16" s="23" t="s">
        <v>14370</v>
      </c>
      <c r="AA16" s="23" t="s">
        <v>1119</v>
      </c>
      <c r="AB16" s="23" t="s">
        <v>1544</v>
      </c>
      <c r="AC16" s="23" t="s">
        <v>14383</v>
      </c>
      <c r="AD16" s="23" t="s">
        <v>1545</v>
      </c>
      <c r="AE16" s="23" t="s">
        <v>1121</v>
      </c>
      <c r="AF16" s="23"/>
      <c r="AG16" s="23" t="s">
        <v>1122</v>
      </c>
      <c r="AH16" s="23"/>
      <c r="AI16" s="23" t="s">
        <v>14384</v>
      </c>
      <c r="AJ16" s="23" t="s">
        <v>11</v>
      </c>
      <c r="AK16" s="23" t="s">
        <v>1124</v>
      </c>
      <c r="AL16" s="23"/>
      <c r="AM16" s="23" t="s">
        <v>1125</v>
      </c>
      <c r="AN16" s="23"/>
      <c r="AO16" s="23" t="s">
        <v>14385</v>
      </c>
      <c r="AP16" s="23"/>
      <c r="AQ16" s="23" t="s">
        <v>1127</v>
      </c>
      <c r="AR16" s="23"/>
      <c r="AS16" s="23" t="s">
        <v>14472</v>
      </c>
      <c r="AT16" s="23"/>
      <c r="AU16" s="23" t="s">
        <v>14473</v>
      </c>
      <c r="AV16" s="23"/>
      <c r="AW16" s="23" t="s">
        <v>14474</v>
      </c>
      <c r="AX16" s="23"/>
      <c r="AY16" s="23" t="s">
        <v>14475</v>
      </c>
      <c r="AZ16" s="23" t="s">
        <v>14553</v>
      </c>
      <c r="BA16" s="23" t="s">
        <v>14477</v>
      </c>
      <c r="BB16" s="23" t="s">
        <v>14523</v>
      </c>
      <c r="BC16" s="23" t="s">
        <v>14478</v>
      </c>
      <c r="BD16" s="23" t="s">
        <v>14479</v>
      </c>
      <c r="BE16" s="23" t="s">
        <v>14480</v>
      </c>
      <c r="BF16" s="23" t="s">
        <v>14508</v>
      </c>
      <c r="BG16" s="23" t="s">
        <v>14482</v>
      </c>
      <c r="BH16" s="23" t="s">
        <v>14483</v>
      </c>
      <c r="BI16" s="23" t="s">
        <v>14484</v>
      </c>
      <c r="BJ16" s="23" t="s">
        <v>14485</v>
      </c>
      <c r="BK16" s="23" t="s">
        <v>14486</v>
      </c>
      <c r="BL16" s="23" t="s">
        <v>14512</v>
      </c>
      <c r="BM16" s="23" t="s">
        <v>14488</v>
      </c>
      <c r="BN16" s="23" t="s">
        <v>14505</v>
      </c>
      <c r="BO16" s="23" t="s">
        <v>14490</v>
      </c>
      <c r="BP16" s="23" t="s">
        <v>14554</v>
      </c>
      <c r="BQ16" s="23" t="s">
        <v>14492</v>
      </c>
      <c r="BR16" s="23" t="s">
        <v>14555</v>
      </c>
      <c r="BS16" s="23" t="s">
        <v>14493</v>
      </c>
      <c r="BT16" s="23" t="s">
        <v>14556</v>
      </c>
      <c r="BU16" s="23" t="s">
        <v>14495</v>
      </c>
      <c r="BV16" s="23"/>
      <c r="BW16" s="23" t="s">
        <v>14496</v>
      </c>
      <c r="BX16" s="23" t="s">
        <v>10021</v>
      </c>
      <c r="BY16" s="23" t="s">
        <v>14497</v>
      </c>
      <c r="BZ16" s="23" t="s">
        <v>10021</v>
      </c>
      <c r="CA16" s="23" t="s">
        <v>1128</v>
      </c>
      <c r="CB16" s="23" t="s">
        <v>1546</v>
      </c>
      <c r="CC16" s="23" t="s">
        <v>14499</v>
      </c>
      <c r="CD16" s="23"/>
      <c r="CE16" s="23"/>
      <c r="CF16" s="23"/>
      <c r="CG16" s="23"/>
    </row>
    <row r="17" spans="1:85" x14ac:dyDescent="0.4">
      <c r="A17" s="23" t="s">
        <v>1616</v>
      </c>
      <c r="B17" s="23" t="s">
        <v>6</v>
      </c>
      <c r="C17" s="23" t="s">
        <v>1</v>
      </c>
      <c r="D17" s="23" t="s">
        <v>1158</v>
      </c>
      <c r="E17" s="23" t="s">
        <v>0</v>
      </c>
      <c r="F17" s="23" t="s">
        <v>1616</v>
      </c>
      <c r="G17" s="23" t="s">
        <v>1617</v>
      </c>
      <c r="H17" s="23" t="s">
        <v>14365</v>
      </c>
      <c r="I17" s="23" t="s">
        <v>4</v>
      </c>
      <c r="J17" s="23" t="s">
        <v>2</v>
      </c>
      <c r="K17" s="23" t="s">
        <v>1623</v>
      </c>
      <c r="L17" s="23"/>
      <c r="M17" s="23"/>
      <c r="N17" s="23" t="s">
        <v>1621</v>
      </c>
      <c r="O17" s="23"/>
      <c r="P17" s="23"/>
      <c r="Q17" s="23" t="s">
        <v>13845</v>
      </c>
      <c r="R17" s="23"/>
      <c r="S17" s="23" t="s">
        <v>14366</v>
      </c>
      <c r="T17" s="23" t="s">
        <v>11</v>
      </c>
      <c r="U17" s="23" t="s">
        <v>14367</v>
      </c>
      <c r="V17" s="23"/>
      <c r="W17" s="23" t="s">
        <v>14368</v>
      </c>
      <c r="X17" s="23"/>
      <c r="Y17" s="23" t="s">
        <v>14369</v>
      </c>
      <c r="Z17" s="23" t="s">
        <v>14370</v>
      </c>
      <c r="AA17" s="23" t="s">
        <v>1119</v>
      </c>
      <c r="AB17" s="23" t="s">
        <v>1618</v>
      </c>
      <c r="AC17" s="23" t="s">
        <v>14383</v>
      </c>
      <c r="AD17" s="23" t="s">
        <v>1221</v>
      </c>
      <c r="AE17" s="23" t="s">
        <v>1121</v>
      </c>
      <c r="AF17" s="23"/>
      <c r="AG17" s="23" t="s">
        <v>1122</v>
      </c>
      <c r="AH17" s="23"/>
      <c r="AI17" s="23" t="s">
        <v>14384</v>
      </c>
      <c r="AJ17" s="23" t="s">
        <v>11</v>
      </c>
      <c r="AK17" s="23" t="s">
        <v>1124</v>
      </c>
      <c r="AL17" s="23"/>
      <c r="AM17" s="23" t="s">
        <v>1125</v>
      </c>
      <c r="AN17" s="23"/>
      <c r="AO17" s="23" t="s">
        <v>14385</v>
      </c>
      <c r="AP17" s="23"/>
      <c r="AQ17" s="23" t="s">
        <v>1127</v>
      </c>
      <c r="AR17" s="23"/>
      <c r="AS17" s="23" t="s">
        <v>14472</v>
      </c>
      <c r="AT17" s="23"/>
      <c r="AU17" s="23" t="s">
        <v>14473</v>
      </c>
      <c r="AV17" s="23"/>
      <c r="AW17" s="23" t="s">
        <v>14474</v>
      </c>
      <c r="AX17" s="23"/>
      <c r="AY17" s="23" t="s">
        <v>14475</v>
      </c>
      <c r="AZ17" s="23" t="s">
        <v>14476</v>
      </c>
      <c r="BA17" s="23" t="s">
        <v>14477</v>
      </c>
      <c r="BB17" s="23" t="s">
        <v>14530</v>
      </c>
      <c r="BC17" s="23" t="s">
        <v>14478</v>
      </c>
      <c r="BD17" s="23" t="s">
        <v>14479</v>
      </c>
      <c r="BE17" s="23" t="s">
        <v>14480</v>
      </c>
      <c r="BF17" s="23" t="s">
        <v>14557</v>
      </c>
      <c r="BG17" s="23" t="s">
        <v>14482</v>
      </c>
      <c r="BH17" s="23" t="s">
        <v>14483</v>
      </c>
      <c r="BI17" s="23" t="s">
        <v>14484</v>
      </c>
      <c r="BJ17" s="23" t="s">
        <v>14485</v>
      </c>
      <c r="BK17" s="23" t="s">
        <v>14486</v>
      </c>
      <c r="BL17" s="23" t="s">
        <v>14558</v>
      </c>
      <c r="BM17" s="23" t="s">
        <v>14488</v>
      </c>
      <c r="BN17" s="23" t="s">
        <v>14559</v>
      </c>
      <c r="BO17" s="23" t="s">
        <v>14490</v>
      </c>
      <c r="BP17" s="23" t="s">
        <v>14449</v>
      </c>
      <c r="BQ17" s="23" t="s">
        <v>14492</v>
      </c>
      <c r="BR17" s="23" t="s">
        <v>14378</v>
      </c>
      <c r="BS17" s="23" t="s">
        <v>14493</v>
      </c>
      <c r="BT17" s="23" t="s">
        <v>14560</v>
      </c>
      <c r="BU17" s="23" t="s">
        <v>14495</v>
      </c>
      <c r="BV17" s="23"/>
      <c r="BW17" s="23" t="s">
        <v>14496</v>
      </c>
      <c r="BX17" s="23" t="s">
        <v>14522</v>
      </c>
      <c r="BY17" s="23" t="s">
        <v>14497</v>
      </c>
      <c r="BZ17" s="23" t="s">
        <v>14498</v>
      </c>
      <c r="CA17" s="23" t="s">
        <v>1128</v>
      </c>
      <c r="CB17" s="23" t="s">
        <v>1619</v>
      </c>
      <c r="CC17" s="23" t="s">
        <v>14499</v>
      </c>
      <c r="CD17" s="23"/>
      <c r="CE17" s="23"/>
      <c r="CF17" s="23"/>
      <c r="CG17" s="23"/>
    </row>
    <row r="18" spans="1:85" x14ac:dyDescent="0.4">
      <c r="A18" s="23" t="s">
        <v>1640</v>
      </c>
      <c r="B18" s="23" t="s">
        <v>6</v>
      </c>
      <c r="C18" s="23" t="s">
        <v>1</v>
      </c>
      <c r="D18" s="23" t="s">
        <v>1158</v>
      </c>
      <c r="E18" s="23" t="s">
        <v>0</v>
      </c>
      <c r="F18" s="23" t="s">
        <v>1640</v>
      </c>
      <c r="G18" s="23" t="s">
        <v>1641</v>
      </c>
      <c r="H18" s="23" t="s">
        <v>14365</v>
      </c>
      <c r="I18" s="23" t="s">
        <v>4</v>
      </c>
      <c r="J18" s="23" t="s">
        <v>2</v>
      </c>
      <c r="K18" s="23" t="s">
        <v>1647</v>
      </c>
      <c r="L18" s="23"/>
      <c r="M18" s="23"/>
      <c r="N18" s="23" t="s">
        <v>1645</v>
      </c>
      <c r="O18" s="23"/>
      <c r="P18" s="23"/>
      <c r="Q18" s="23" t="s">
        <v>13845</v>
      </c>
      <c r="R18" s="23"/>
      <c r="S18" s="23" t="s">
        <v>14366</v>
      </c>
      <c r="T18" s="23" t="s">
        <v>11</v>
      </c>
      <c r="U18" s="23" t="s">
        <v>14367</v>
      </c>
      <c r="V18" s="23"/>
      <c r="W18" s="23" t="s">
        <v>14368</v>
      </c>
      <c r="X18" s="23"/>
      <c r="Y18" s="23" t="s">
        <v>14369</v>
      </c>
      <c r="Z18" s="23" t="s">
        <v>14370</v>
      </c>
      <c r="AA18" s="23" t="s">
        <v>1119</v>
      </c>
      <c r="AB18" s="23" t="s">
        <v>1642</v>
      </c>
      <c r="AC18" s="23" t="s">
        <v>14383</v>
      </c>
      <c r="AD18" s="23" t="s">
        <v>1643</v>
      </c>
      <c r="AE18" s="23" t="s">
        <v>1121</v>
      </c>
      <c r="AF18" s="23"/>
      <c r="AG18" s="23" t="s">
        <v>1122</v>
      </c>
      <c r="AH18" s="23"/>
      <c r="AI18" s="23" t="s">
        <v>14384</v>
      </c>
      <c r="AJ18" s="23" t="s">
        <v>11</v>
      </c>
      <c r="AK18" s="23" t="s">
        <v>1124</v>
      </c>
      <c r="AL18" s="23"/>
      <c r="AM18" s="23" t="s">
        <v>1125</v>
      </c>
      <c r="AN18" s="23"/>
      <c r="AO18" s="23" t="s">
        <v>14385</v>
      </c>
      <c r="AP18" s="23"/>
      <c r="AQ18" s="23" t="s">
        <v>1127</v>
      </c>
      <c r="AR18" s="23"/>
      <c r="AS18" s="23" t="s">
        <v>14472</v>
      </c>
      <c r="AT18" s="23"/>
      <c r="AU18" s="23" t="s">
        <v>14473</v>
      </c>
      <c r="AV18" s="23"/>
      <c r="AW18" s="23" t="s">
        <v>14474</v>
      </c>
      <c r="AX18" s="23"/>
      <c r="AY18" s="23" t="s">
        <v>14475</v>
      </c>
      <c r="AZ18" s="23" t="s">
        <v>14476</v>
      </c>
      <c r="BA18" s="23" t="s">
        <v>14477</v>
      </c>
      <c r="BB18" s="23" t="s">
        <v>1293</v>
      </c>
      <c r="BC18" s="23" t="s">
        <v>14478</v>
      </c>
      <c r="BD18" s="23" t="s">
        <v>14561</v>
      </c>
      <c r="BE18" s="23" t="s">
        <v>14480</v>
      </c>
      <c r="BF18" s="23" t="s">
        <v>14398</v>
      </c>
      <c r="BG18" s="23" t="s">
        <v>14482</v>
      </c>
      <c r="BH18" s="23" t="s">
        <v>14483</v>
      </c>
      <c r="BI18" s="23" t="s">
        <v>14484</v>
      </c>
      <c r="BJ18" s="23" t="s">
        <v>14485</v>
      </c>
      <c r="BK18" s="23" t="s">
        <v>14486</v>
      </c>
      <c r="BL18" s="23" t="s">
        <v>14562</v>
      </c>
      <c r="BM18" s="23" t="s">
        <v>14488</v>
      </c>
      <c r="BN18" s="23" t="s">
        <v>14513</v>
      </c>
      <c r="BO18" s="23" t="s">
        <v>14490</v>
      </c>
      <c r="BP18" s="23" t="s">
        <v>14423</v>
      </c>
      <c r="BQ18" s="23" t="s">
        <v>14492</v>
      </c>
      <c r="BR18" s="23" t="s">
        <v>14459</v>
      </c>
      <c r="BS18" s="23" t="s">
        <v>14493</v>
      </c>
      <c r="BT18" s="23" t="s">
        <v>14563</v>
      </c>
      <c r="BU18" s="23" t="s">
        <v>14495</v>
      </c>
      <c r="BV18" s="23"/>
      <c r="BW18" s="23" t="s">
        <v>14496</v>
      </c>
      <c r="BX18" s="23" t="s">
        <v>14529</v>
      </c>
      <c r="BY18" s="23" t="s">
        <v>14497</v>
      </c>
      <c r="BZ18" s="23" t="s">
        <v>14498</v>
      </c>
      <c r="CA18" s="23" t="s">
        <v>1128</v>
      </c>
      <c r="CB18" s="23"/>
      <c r="CC18" s="23" t="s">
        <v>14499</v>
      </c>
      <c r="CD18" s="23"/>
      <c r="CE18" s="23"/>
      <c r="CF18" s="23"/>
      <c r="CG18" s="23"/>
    </row>
    <row r="19" spans="1:85" x14ac:dyDescent="0.4">
      <c r="A19" s="23" t="s">
        <v>1208</v>
      </c>
      <c r="B19" s="23" t="s">
        <v>6</v>
      </c>
      <c r="C19" s="23" t="s">
        <v>1</v>
      </c>
      <c r="D19" s="23" t="s">
        <v>1158</v>
      </c>
      <c r="E19" s="23" t="s">
        <v>0</v>
      </c>
      <c r="F19" s="23" t="s">
        <v>1208</v>
      </c>
      <c r="G19" s="23" t="s">
        <v>1209</v>
      </c>
      <c r="H19" s="23" t="s">
        <v>14392</v>
      </c>
      <c r="I19" s="23" t="s">
        <v>4</v>
      </c>
      <c r="J19" s="23"/>
      <c r="K19" s="23" t="s">
        <v>14564</v>
      </c>
      <c r="L19" s="23"/>
      <c r="M19" s="23"/>
      <c r="N19" s="23" t="s">
        <v>1212</v>
      </c>
      <c r="O19" s="23"/>
      <c r="P19" s="23"/>
      <c r="Q19" s="23" t="s">
        <v>13845</v>
      </c>
      <c r="R19" s="23"/>
      <c r="S19" s="23" t="s">
        <v>14366</v>
      </c>
      <c r="T19" s="23" t="s">
        <v>11</v>
      </c>
      <c r="U19" s="23" t="s">
        <v>14367</v>
      </c>
      <c r="V19" s="23"/>
      <c r="W19" s="23" t="s">
        <v>14368</v>
      </c>
      <c r="X19" s="23"/>
      <c r="Y19" s="23" t="s">
        <v>14369</v>
      </c>
      <c r="Z19" s="23" t="s">
        <v>14370</v>
      </c>
      <c r="AA19" s="23" t="s">
        <v>1119</v>
      </c>
      <c r="AB19" s="23" t="s">
        <v>1210</v>
      </c>
      <c r="AC19" s="23" t="s">
        <v>14383</v>
      </c>
      <c r="AD19" s="23" t="s">
        <v>1211</v>
      </c>
      <c r="AE19" s="23" t="s">
        <v>1121</v>
      </c>
      <c r="AF19" s="23"/>
      <c r="AG19" s="23" t="s">
        <v>1122</v>
      </c>
      <c r="AH19" s="23"/>
      <c r="AI19" s="23" t="s">
        <v>14384</v>
      </c>
      <c r="AJ19" s="23" t="s">
        <v>11</v>
      </c>
      <c r="AK19" s="23" t="s">
        <v>1124</v>
      </c>
      <c r="AL19" s="23"/>
      <c r="AM19" s="23" t="s">
        <v>1125</v>
      </c>
      <c r="AN19" s="23"/>
      <c r="AO19" s="23" t="s">
        <v>14385</v>
      </c>
      <c r="AP19" s="23"/>
      <c r="AQ19" s="23" t="s">
        <v>1127</v>
      </c>
      <c r="AR19" s="23"/>
      <c r="AS19" s="23" t="s">
        <v>14472</v>
      </c>
      <c r="AT19" s="23"/>
      <c r="AU19" s="23" t="s">
        <v>14473</v>
      </c>
      <c r="AV19" s="23"/>
      <c r="AW19" s="23" t="s">
        <v>14474</v>
      </c>
      <c r="AX19" s="23"/>
      <c r="AY19" s="23" t="s">
        <v>14475</v>
      </c>
      <c r="AZ19" s="23" t="s">
        <v>11</v>
      </c>
      <c r="BA19" s="23" t="s">
        <v>14477</v>
      </c>
      <c r="BB19" s="23" t="s">
        <v>11</v>
      </c>
      <c r="BC19" s="23" t="s">
        <v>14478</v>
      </c>
      <c r="BD19" s="23" t="s">
        <v>14479</v>
      </c>
      <c r="BE19" s="23" t="s">
        <v>14480</v>
      </c>
      <c r="BF19" s="23" t="s">
        <v>14481</v>
      </c>
      <c r="BG19" s="23" t="s">
        <v>14482</v>
      </c>
      <c r="BH19" s="23" t="s">
        <v>14483</v>
      </c>
      <c r="BI19" s="23" t="s">
        <v>14484</v>
      </c>
      <c r="BJ19" s="23" t="s">
        <v>14485</v>
      </c>
      <c r="BK19" s="23" t="s">
        <v>14486</v>
      </c>
      <c r="BL19" s="23" t="s">
        <v>14512</v>
      </c>
      <c r="BM19" s="23" t="s">
        <v>14488</v>
      </c>
      <c r="BN19" s="23" t="s">
        <v>14565</v>
      </c>
      <c r="BO19" s="23" t="s">
        <v>14490</v>
      </c>
      <c r="BP19" s="23" t="s">
        <v>13326</v>
      </c>
      <c r="BQ19" s="23" t="s">
        <v>14492</v>
      </c>
      <c r="BR19" s="23" t="s">
        <v>13326</v>
      </c>
      <c r="BS19" s="23" t="s">
        <v>14493</v>
      </c>
      <c r="BT19" s="23" t="s">
        <v>12</v>
      </c>
      <c r="BU19" s="23" t="s">
        <v>14495</v>
      </c>
      <c r="BV19" s="23"/>
      <c r="BW19" s="23" t="s">
        <v>14496</v>
      </c>
      <c r="BX19" s="23" t="s">
        <v>14529</v>
      </c>
      <c r="BY19" s="23" t="s">
        <v>14497</v>
      </c>
      <c r="BZ19" s="23" t="s">
        <v>11</v>
      </c>
      <c r="CA19" s="23" t="s">
        <v>1128</v>
      </c>
      <c r="CB19" s="23"/>
      <c r="CC19" s="23" t="s">
        <v>14499</v>
      </c>
      <c r="CD19" s="23"/>
      <c r="CE19" s="23"/>
      <c r="CF19" s="23"/>
      <c r="CG19" s="23"/>
    </row>
    <row r="20" spans="1:85" x14ac:dyDescent="0.4">
      <c r="A20" s="23" t="s">
        <v>1218</v>
      </c>
      <c r="B20" s="23" t="s">
        <v>6</v>
      </c>
      <c r="C20" s="23" t="s">
        <v>1</v>
      </c>
      <c r="D20" s="23" t="s">
        <v>1158</v>
      </c>
      <c r="E20" s="23" t="s">
        <v>0</v>
      </c>
      <c r="F20" s="23" t="s">
        <v>1218</v>
      </c>
      <c r="G20" s="23" t="s">
        <v>1219</v>
      </c>
      <c r="H20" s="23" t="s">
        <v>14392</v>
      </c>
      <c r="I20" s="23" t="s">
        <v>4</v>
      </c>
      <c r="J20" s="23"/>
      <c r="K20" s="23" t="s">
        <v>595</v>
      </c>
      <c r="L20" s="23"/>
      <c r="M20" s="23"/>
      <c r="N20" s="23" t="s">
        <v>1223</v>
      </c>
      <c r="O20" s="23"/>
      <c r="P20" s="23"/>
      <c r="Q20" s="23" t="s">
        <v>13845</v>
      </c>
      <c r="R20" s="23"/>
      <c r="S20" s="23" t="s">
        <v>14366</v>
      </c>
      <c r="T20" s="23" t="s">
        <v>11</v>
      </c>
      <c r="U20" s="23" t="s">
        <v>14367</v>
      </c>
      <c r="V20" s="23"/>
      <c r="W20" s="23" t="s">
        <v>14368</v>
      </c>
      <c r="X20" s="23"/>
      <c r="Y20" s="23" t="s">
        <v>14369</v>
      </c>
      <c r="Z20" s="23" t="s">
        <v>14370</v>
      </c>
      <c r="AA20" s="23" t="s">
        <v>1119</v>
      </c>
      <c r="AB20" s="23" t="s">
        <v>1220</v>
      </c>
      <c r="AC20" s="23" t="s">
        <v>14383</v>
      </c>
      <c r="AD20" s="23" t="s">
        <v>1221</v>
      </c>
      <c r="AE20" s="23" t="s">
        <v>1121</v>
      </c>
      <c r="AF20" s="23"/>
      <c r="AG20" s="23" t="s">
        <v>1122</v>
      </c>
      <c r="AH20" s="23"/>
      <c r="AI20" s="23" t="s">
        <v>14384</v>
      </c>
      <c r="AJ20" s="23" t="s">
        <v>11</v>
      </c>
      <c r="AK20" s="23" t="s">
        <v>1124</v>
      </c>
      <c r="AL20" s="23"/>
      <c r="AM20" s="23" t="s">
        <v>1125</v>
      </c>
      <c r="AN20" s="23"/>
      <c r="AO20" s="23" t="s">
        <v>14385</v>
      </c>
      <c r="AP20" s="23"/>
      <c r="AQ20" s="23" t="s">
        <v>1127</v>
      </c>
      <c r="AR20" s="23"/>
      <c r="AS20" s="23" t="s">
        <v>14472</v>
      </c>
      <c r="AT20" s="23"/>
      <c r="AU20" s="23" t="s">
        <v>14473</v>
      </c>
      <c r="AV20" s="23"/>
      <c r="AW20" s="23" t="s">
        <v>14474</v>
      </c>
      <c r="AX20" s="23"/>
      <c r="AY20" s="23" t="s">
        <v>14475</v>
      </c>
      <c r="AZ20" s="23" t="s">
        <v>14476</v>
      </c>
      <c r="BA20" s="23" t="s">
        <v>14477</v>
      </c>
      <c r="BB20" s="23" t="s">
        <v>14530</v>
      </c>
      <c r="BC20" s="23" t="s">
        <v>14478</v>
      </c>
      <c r="BD20" s="23" t="s">
        <v>13326</v>
      </c>
      <c r="BE20" s="23" t="s">
        <v>14480</v>
      </c>
      <c r="BF20" s="23" t="s">
        <v>14479</v>
      </c>
      <c r="BG20" s="23" t="s">
        <v>14482</v>
      </c>
      <c r="BH20" s="23" t="s">
        <v>14483</v>
      </c>
      <c r="BI20" s="23" t="s">
        <v>14484</v>
      </c>
      <c r="BJ20" s="23" t="s">
        <v>14485</v>
      </c>
      <c r="BK20" s="23" t="s">
        <v>14486</v>
      </c>
      <c r="BL20" s="23" t="s">
        <v>14566</v>
      </c>
      <c r="BM20" s="23" t="s">
        <v>14488</v>
      </c>
      <c r="BN20" s="23" t="s">
        <v>12</v>
      </c>
      <c r="BO20" s="23" t="s">
        <v>14490</v>
      </c>
      <c r="BP20" s="23" t="s">
        <v>13326</v>
      </c>
      <c r="BQ20" s="23" t="s">
        <v>14492</v>
      </c>
      <c r="BR20" s="23" t="s">
        <v>13326</v>
      </c>
      <c r="BS20" s="23" t="s">
        <v>14493</v>
      </c>
      <c r="BT20" s="23" t="s">
        <v>12</v>
      </c>
      <c r="BU20" s="23" t="s">
        <v>14495</v>
      </c>
      <c r="BV20" s="23"/>
      <c r="BW20" s="23" t="s">
        <v>14496</v>
      </c>
      <c r="BX20" s="23" t="s">
        <v>10021</v>
      </c>
      <c r="BY20" s="23" t="s">
        <v>14497</v>
      </c>
      <c r="BZ20" s="23" t="s">
        <v>11</v>
      </c>
      <c r="CA20" s="23" t="s">
        <v>1128</v>
      </c>
      <c r="CB20" s="23" t="s">
        <v>1222</v>
      </c>
      <c r="CC20" s="23" t="s">
        <v>14499</v>
      </c>
      <c r="CD20" s="23"/>
      <c r="CE20" s="23"/>
      <c r="CF20" s="23"/>
      <c r="CG20" s="23"/>
    </row>
    <row r="21" spans="1:85" x14ac:dyDescent="0.4">
      <c r="A21" s="23" t="s">
        <v>1261</v>
      </c>
      <c r="B21" s="23" t="s">
        <v>6</v>
      </c>
      <c r="C21" s="23" t="s">
        <v>1</v>
      </c>
      <c r="D21" s="23" t="s">
        <v>1158</v>
      </c>
      <c r="E21" s="23" t="s">
        <v>0</v>
      </c>
      <c r="F21" s="23" t="s">
        <v>1261</v>
      </c>
      <c r="G21" s="23" t="s">
        <v>1262</v>
      </c>
      <c r="H21" s="23" t="s">
        <v>14415</v>
      </c>
      <c r="I21" s="23" t="s">
        <v>7</v>
      </c>
      <c r="J21" s="23"/>
      <c r="K21" s="23" t="s">
        <v>1431</v>
      </c>
      <c r="L21" s="23"/>
      <c r="M21" s="23"/>
      <c r="N21" s="23" t="s">
        <v>1265</v>
      </c>
      <c r="O21" s="23"/>
      <c r="P21" s="23"/>
      <c r="Q21" s="23" t="s">
        <v>13845</v>
      </c>
      <c r="R21" s="23"/>
      <c r="S21" s="23" t="s">
        <v>14366</v>
      </c>
      <c r="T21" s="23" t="s">
        <v>11</v>
      </c>
      <c r="U21" s="23" t="s">
        <v>14367</v>
      </c>
      <c r="V21" s="23" t="s">
        <v>11</v>
      </c>
      <c r="W21" s="23" t="s">
        <v>14368</v>
      </c>
      <c r="X21" s="23"/>
      <c r="Y21" s="23" t="s">
        <v>14369</v>
      </c>
      <c r="Z21" s="23" t="s">
        <v>14370</v>
      </c>
      <c r="AA21" s="23" t="s">
        <v>1119</v>
      </c>
      <c r="AB21" s="23" t="s">
        <v>1263</v>
      </c>
      <c r="AC21" s="23" t="s">
        <v>14383</v>
      </c>
      <c r="AD21" s="23" t="s">
        <v>1221</v>
      </c>
      <c r="AE21" s="23" t="s">
        <v>1121</v>
      </c>
      <c r="AF21" s="23"/>
      <c r="AG21" s="23" t="s">
        <v>1122</v>
      </c>
      <c r="AH21" s="23"/>
      <c r="AI21" s="23" t="s">
        <v>14384</v>
      </c>
      <c r="AJ21" s="23" t="s">
        <v>11</v>
      </c>
      <c r="AK21" s="23" t="s">
        <v>1124</v>
      </c>
      <c r="AL21" s="23"/>
      <c r="AM21" s="23" t="s">
        <v>1125</v>
      </c>
      <c r="AN21" s="23"/>
      <c r="AO21" s="23" t="s">
        <v>14385</v>
      </c>
      <c r="AP21" s="23"/>
      <c r="AQ21" s="23" t="s">
        <v>1127</v>
      </c>
      <c r="AR21" s="23"/>
      <c r="AS21" s="23" t="s">
        <v>14472</v>
      </c>
      <c r="AT21" s="23"/>
      <c r="AU21" s="23" t="s">
        <v>14473</v>
      </c>
      <c r="AV21" s="23"/>
      <c r="AW21" s="23" t="s">
        <v>14474</v>
      </c>
      <c r="AX21" s="23"/>
      <c r="AY21" s="23" t="s">
        <v>14475</v>
      </c>
      <c r="AZ21" s="23" t="s">
        <v>14476</v>
      </c>
      <c r="BA21" s="23" t="s">
        <v>14477</v>
      </c>
      <c r="BB21" s="23" t="s">
        <v>14530</v>
      </c>
      <c r="BC21" s="23" t="s">
        <v>14478</v>
      </c>
      <c r="BD21" s="23" t="s">
        <v>14479</v>
      </c>
      <c r="BE21" s="23" t="s">
        <v>14480</v>
      </c>
      <c r="BF21" s="23" t="s">
        <v>14503</v>
      </c>
      <c r="BG21" s="23" t="s">
        <v>14482</v>
      </c>
      <c r="BH21" s="23" t="s">
        <v>14483</v>
      </c>
      <c r="BI21" s="23" t="s">
        <v>14484</v>
      </c>
      <c r="BJ21" s="23" t="s">
        <v>14485</v>
      </c>
      <c r="BK21" s="23" t="s">
        <v>14486</v>
      </c>
      <c r="BL21" s="23" t="s">
        <v>14504</v>
      </c>
      <c r="BM21" s="23" t="s">
        <v>14488</v>
      </c>
      <c r="BN21" s="23" t="s">
        <v>14567</v>
      </c>
      <c r="BO21" s="23" t="s">
        <v>14490</v>
      </c>
      <c r="BP21" s="23" t="s">
        <v>14459</v>
      </c>
      <c r="BQ21" s="23" t="s">
        <v>14492</v>
      </c>
      <c r="BR21" s="23" t="s">
        <v>14390</v>
      </c>
      <c r="BS21" s="23" t="s">
        <v>14493</v>
      </c>
      <c r="BT21" s="23" t="s">
        <v>14568</v>
      </c>
      <c r="BU21" s="23" t="s">
        <v>14495</v>
      </c>
      <c r="BV21" s="23"/>
      <c r="BW21" s="23" t="s">
        <v>14496</v>
      </c>
      <c r="BX21" s="23" t="s">
        <v>14522</v>
      </c>
      <c r="BY21" s="23" t="s">
        <v>14497</v>
      </c>
      <c r="BZ21" s="23" t="s">
        <v>14498</v>
      </c>
      <c r="CA21" s="23" t="s">
        <v>1128</v>
      </c>
      <c r="CB21" s="23" t="s">
        <v>1264</v>
      </c>
      <c r="CC21" s="23" t="s">
        <v>14499</v>
      </c>
      <c r="CD21" s="23"/>
      <c r="CE21" s="23"/>
      <c r="CF21" s="23"/>
      <c r="CG21" s="23"/>
    </row>
    <row r="22" spans="1:85" x14ac:dyDescent="0.4">
      <c r="A22" s="23" t="s">
        <v>1862</v>
      </c>
      <c r="B22" s="23" t="s">
        <v>6</v>
      </c>
      <c r="C22" s="23" t="s">
        <v>1</v>
      </c>
      <c r="D22" s="23" t="s">
        <v>1158</v>
      </c>
      <c r="E22" s="23" t="s">
        <v>0</v>
      </c>
      <c r="F22" s="23" t="s">
        <v>1862</v>
      </c>
      <c r="G22" s="23" t="s">
        <v>1863</v>
      </c>
      <c r="H22" s="23" t="s">
        <v>14365</v>
      </c>
      <c r="I22" s="23" t="s">
        <v>4</v>
      </c>
      <c r="J22" s="23" t="s">
        <v>2</v>
      </c>
      <c r="K22" s="23" t="s">
        <v>23</v>
      </c>
      <c r="L22" s="23"/>
      <c r="M22" s="23"/>
      <c r="N22" s="23" t="s">
        <v>1868</v>
      </c>
      <c r="O22" s="23"/>
      <c r="P22" s="23"/>
      <c r="Q22" s="23" t="s">
        <v>13845</v>
      </c>
      <c r="R22" s="23"/>
      <c r="S22" s="23" t="s">
        <v>14366</v>
      </c>
      <c r="T22" s="23" t="s">
        <v>11</v>
      </c>
      <c r="U22" s="23" t="s">
        <v>14367</v>
      </c>
      <c r="V22" s="23"/>
      <c r="W22" s="23" t="s">
        <v>14368</v>
      </c>
      <c r="X22" s="23"/>
      <c r="Y22" s="23" t="s">
        <v>14369</v>
      </c>
      <c r="Z22" s="23" t="s">
        <v>14370</v>
      </c>
      <c r="AA22" s="23" t="s">
        <v>1119</v>
      </c>
      <c r="AB22" s="23" t="s">
        <v>1864</v>
      </c>
      <c r="AC22" s="23" t="s">
        <v>14383</v>
      </c>
      <c r="AD22" s="23" t="s">
        <v>1865</v>
      </c>
      <c r="AE22" s="23" t="s">
        <v>1121</v>
      </c>
      <c r="AF22" s="23" t="s">
        <v>1866</v>
      </c>
      <c r="AG22" s="23" t="s">
        <v>1122</v>
      </c>
      <c r="AH22" s="23"/>
      <c r="AI22" s="23" t="s">
        <v>14384</v>
      </c>
      <c r="AJ22" s="23" t="s">
        <v>11</v>
      </c>
      <c r="AK22" s="23" t="s">
        <v>1124</v>
      </c>
      <c r="AL22" s="23"/>
      <c r="AM22" s="23" t="s">
        <v>1125</v>
      </c>
      <c r="AN22" s="23"/>
      <c r="AO22" s="23" t="s">
        <v>14385</v>
      </c>
      <c r="AP22" s="23"/>
      <c r="AQ22" s="23" t="s">
        <v>1127</v>
      </c>
      <c r="AR22" s="23"/>
      <c r="AS22" s="23" t="s">
        <v>14472</v>
      </c>
      <c r="AT22" s="23"/>
      <c r="AU22" s="23" t="s">
        <v>14473</v>
      </c>
      <c r="AV22" s="23"/>
      <c r="AW22" s="23" t="s">
        <v>14474</v>
      </c>
      <c r="AX22" s="23"/>
      <c r="AY22" s="23" t="s">
        <v>14475</v>
      </c>
      <c r="AZ22" s="23" t="s">
        <v>11</v>
      </c>
      <c r="BA22" s="23" t="s">
        <v>14477</v>
      </c>
      <c r="BB22" s="23" t="s">
        <v>11</v>
      </c>
      <c r="BC22" s="23" t="s">
        <v>14478</v>
      </c>
      <c r="BD22" s="23" t="s">
        <v>14479</v>
      </c>
      <c r="BE22" s="23" t="s">
        <v>14480</v>
      </c>
      <c r="BF22" s="23" t="s">
        <v>14569</v>
      </c>
      <c r="BG22" s="23" t="s">
        <v>14482</v>
      </c>
      <c r="BH22" s="23" t="s">
        <v>14437</v>
      </c>
      <c r="BI22" s="23" t="s">
        <v>14484</v>
      </c>
      <c r="BJ22" s="23" t="s">
        <v>14485</v>
      </c>
      <c r="BK22" s="23" t="s">
        <v>14486</v>
      </c>
      <c r="BL22" s="23" t="s">
        <v>14570</v>
      </c>
      <c r="BM22" s="23" t="s">
        <v>14488</v>
      </c>
      <c r="BN22" s="23" t="s">
        <v>14571</v>
      </c>
      <c r="BO22" s="23" t="s">
        <v>14490</v>
      </c>
      <c r="BP22" s="23" t="s">
        <v>14407</v>
      </c>
      <c r="BQ22" s="23" t="s">
        <v>14492</v>
      </c>
      <c r="BR22" s="23" t="s">
        <v>14572</v>
      </c>
      <c r="BS22" s="23" t="s">
        <v>14493</v>
      </c>
      <c r="BT22" s="23" t="s">
        <v>12</v>
      </c>
      <c r="BU22" s="23" t="s">
        <v>14495</v>
      </c>
      <c r="BV22" s="23"/>
      <c r="BW22" s="23" t="s">
        <v>14496</v>
      </c>
      <c r="BX22" s="23" t="s">
        <v>14522</v>
      </c>
      <c r="BY22" s="23" t="s">
        <v>14497</v>
      </c>
      <c r="BZ22" s="23" t="s">
        <v>11</v>
      </c>
      <c r="CA22" s="23" t="s">
        <v>1128</v>
      </c>
      <c r="CB22" s="23"/>
      <c r="CC22" s="23" t="s">
        <v>14499</v>
      </c>
      <c r="CD22" s="23"/>
      <c r="CE22" s="23"/>
      <c r="CF22" s="23"/>
      <c r="CG22" s="23"/>
    </row>
    <row r="23" spans="1:85" x14ac:dyDescent="0.4">
      <c r="A23" s="23" t="s">
        <v>1883</v>
      </c>
      <c r="B23" s="23" t="s">
        <v>6</v>
      </c>
      <c r="C23" s="23" t="s">
        <v>1</v>
      </c>
      <c r="D23" s="23" t="s">
        <v>1158</v>
      </c>
      <c r="E23" s="23" t="s">
        <v>0</v>
      </c>
      <c r="F23" s="23" t="s">
        <v>1883</v>
      </c>
      <c r="G23" s="23" t="s">
        <v>1884</v>
      </c>
      <c r="H23" s="23" t="s">
        <v>14365</v>
      </c>
      <c r="I23" s="23" t="s">
        <v>4</v>
      </c>
      <c r="J23" s="23" t="s">
        <v>2</v>
      </c>
      <c r="K23" s="23" t="s">
        <v>1431</v>
      </c>
      <c r="L23" s="23"/>
      <c r="M23" s="23"/>
      <c r="N23" s="23" t="s">
        <v>1887</v>
      </c>
      <c r="O23" s="23"/>
      <c r="P23" s="23"/>
      <c r="Q23" s="23" t="s">
        <v>13845</v>
      </c>
      <c r="R23" s="23"/>
      <c r="S23" s="23" t="s">
        <v>14366</v>
      </c>
      <c r="T23" s="23" t="s">
        <v>11</v>
      </c>
      <c r="U23" s="23" t="s">
        <v>14367</v>
      </c>
      <c r="V23" s="23"/>
      <c r="W23" s="23" t="s">
        <v>14368</v>
      </c>
      <c r="X23" s="23"/>
      <c r="Y23" s="23" t="s">
        <v>14369</v>
      </c>
      <c r="Z23" s="23" t="s">
        <v>14370</v>
      </c>
      <c r="AA23" s="23" t="s">
        <v>1119</v>
      </c>
      <c r="AB23" s="23" t="s">
        <v>1885</v>
      </c>
      <c r="AC23" s="23" t="s">
        <v>14383</v>
      </c>
      <c r="AD23" s="23" t="s">
        <v>1221</v>
      </c>
      <c r="AE23" s="23" t="s">
        <v>1121</v>
      </c>
      <c r="AF23" s="23"/>
      <c r="AG23" s="23" t="s">
        <v>1122</v>
      </c>
      <c r="AH23" s="23"/>
      <c r="AI23" s="23" t="s">
        <v>14384</v>
      </c>
      <c r="AJ23" s="23" t="s">
        <v>11</v>
      </c>
      <c r="AK23" s="23" t="s">
        <v>1124</v>
      </c>
      <c r="AL23" s="23"/>
      <c r="AM23" s="23" t="s">
        <v>1125</v>
      </c>
      <c r="AN23" s="23"/>
      <c r="AO23" s="23" t="s">
        <v>14385</v>
      </c>
      <c r="AP23" s="23"/>
      <c r="AQ23" s="23" t="s">
        <v>1127</v>
      </c>
      <c r="AR23" s="23"/>
      <c r="AS23" s="23" t="s">
        <v>14472</v>
      </c>
      <c r="AT23" s="23"/>
      <c r="AU23" s="23" t="s">
        <v>14473</v>
      </c>
      <c r="AV23" s="23"/>
      <c r="AW23" s="23" t="s">
        <v>14474</v>
      </c>
      <c r="AX23" s="23"/>
      <c r="AY23" s="23" t="s">
        <v>14475</v>
      </c>
      <c r="AZ23" s="23" t="s">
        <v>14573</v>
      </c>
      <c r="BA23" s="23" t="s">
        <v>14477</v>
      </c>
      <c r="BB23" s="23" t="s">
        <v>14574</v>
      </c>
      <c r="BC23" s="23" t="s">
        <v>14478</v>
      </c>
      <c r="BD23" s="23" t="s">
        <v>14479</v>
      </c>
      <c r="BE23" s="23" t="s">
        <v>14480</v>
      </c>
      <c r="BF23" s="23" t="s">
        <v>14503</v>
      </c>
      <c r="BG23" s="23" t="s">
        <v>14482</v>
      </c>
      <c r="BH23" s="23" t="s">
        <v>14483</v>
      </c>
      <c r="BI23" s="23" t="s">
        <v>14484</v>
      </c>
      <c r="BJ23" s="23" t="s">
        <v>14485</v>
      </c>
      <c r="BK23" s="23" t="s">
        <v>14486</v>
      </c>
      <c r="BL23" s="23" t="s">
        <v>14504</v>
      </c>
      <c r="BM23" s="23" t="s">
        <v>14488</v>
      </c>
      <c r="BN23" s="23" t="s">
        <v>14575</v>
      </c>
      <c r="BO23" s="23" t="s">
        <v>14490</v>
      </c>
      <c r="BP23" s="23" t="s">
        <v>14387</v>
      </c>
      <c r="BQ23" s="23" t="s">
        <v>14492</v>
      </c>
      <c r="BR23" s="23" t="s">
        <v>14390</v>
      </c>
      <c r="BS23" s="23" t="s">
        <v>14493</v>
      </c>
      <c r="BT23" s="23" t="s">
        <v>14576</v>
      </c>
      <c r="BU23" s="23" t="s">
        <v>14495</v>
      </c>
      <c r="BV23" s="23"/>
      <c r="BW23" s="23" t="s">
        <v>14496</v>
      </c>
      <c r="BX23" s="23" t="s">
        <v>10021</v>
      </c>
      <c r="BY23" s="23" t="s">
        <v>14497</v>
      </c>
      <c r="BZ23" s="23" t="s">
        <v>14498</v>
      </c>
      <c r="CA23" s="23" t="s">
        <v>1128</v>
      </c>
      <c r="CB23" s="23" t="s">
        <v>1886</v>
      </c>
      <c r="CC23" s="23" t="s">
        <v>14499</v>
      </c>
      <c r="CD23" s="23"/>
      <c r="CE23" s="23"/>
      <c r="CF23" s="23"/>
      <c r="CG23" s="23"/>
    </row>
    <row r="24" spans="1:85" x14ac:dyDescent="0.4">
      <c r="A24" s="23" t="s">
        <v>1956</v>
      </c>
      <c r="B24" s="23" t="s">
        <v>6</v>
      </c>
      <c r="C24" s="23" t="s">
        <v>1</v>
      </c>
      <c r="D24" s="23" t="s">
        <v>1158</v>
      </c>
      <c r="E24" s="23" t="s">
        <v>0</v>
      </c>
      <c r="F24" s="23" t="s">
        <v>1956</v>
      </c>
      <c r="G24" s="23" t="s">
        <v>1957</v>
      </c>
      <c r="H24" s="23" t="s">
        <v>14365</v>
      </c>
      <c r="I24" s="23" t="s">
        <v>7</v>
      </c>
      <c r="J24" s="23" t="s">
        <v>2</v>
      </c>
      <c r="K24" s="23" t="s">
        <v>1431</v>
      </c>
      <c r="L24" s="23"/>
      <c r="M24" s="23"/>
      <c r="N24" s="23" t="s">
        <v>1621</v>
      </c>
      <c r="O24" s="23"/>
      <c r="P24" s="23"/>
      <c r="Q24" s="23" t="s">
        <v>13845</v>
      </c>
      <c r="R24" s="23"/>
      <c r="S24" s="23" t="s">
        <v>14366</v>
      </c>
      <c r="T24" s="23" t="s">
        <v>11</v>
      </c>
      <c r="U24" s="23" t="s">
        <v>14367</v>
      </c>
      <c r="V24" s="23"/>
      <c r="W24" s="23" t="s">
        <v>14368</v>
      </c>
      <c r="X24" s="23"/>
      <c r="Y24" s="23" t="s">
        <v>14369</v>
      </c>
      <c r="Z24" s="23" t="s">
        <v>14370</v>
      </c>
      <c r="AA24" s="23" t="s">
        <v>1119</v>
      </c>
      <c r="AB24" s="23" t="s">
        <v>1958</v>
      </c>
      <c r="AC24" s="23" t="s">
        <v>14383</v>
      </c>
      <c r="AD24" s="23" t="s">
        <v>1221</v>
      </c>
      <c r="AE24" s="23" t="s">
        <v>1121</v>
      </c>
      <c r="AF24" s="23"/>
      <c r="AG24" s="23" t="s">
        <v>1122</v>
      </c>
      <c r="AH24" s="23"/>
      <c r="AI24" s="23" t="s">
        <v>14384</v>
      </c>
      <c r="AJ24" s="23" t="s">
        <v>11</v>
      </c>
      <c r="AK24" s="23" t="s">
        <v>1124</v>
      </c>
      <c r="AL24" s="23"/>
      <c r="AM24" s="23" t="s">
        <v>1125</v>
      </c>
      <c r="AN24" s="23"/>
      <c r="AO24" s="23" t="s">
        <v>14385</v>
      </c>
      <c r="AP24" s="23"/>
      <c r="AQ24" s="23" t="s">
        <v>1127</v>
      </c>
      <c r="AR24" s="23"/>
      <c r="AS24" s="23" t="s">
        <v>14472</v>
      </c>
      <c r="AT24" s="23"/>
      <c r="AU24" s="23" t="s">
        <v>14473</v>
      </c>
      <c r="AV24" s="23"/>
      <c r="AW24" s="23" t="s">
        <v>14474</v>
      </c>
      <c r="AX24" s="23"/>
      <c r="AY24" s="23" t="s">
        <v>14475</v>
      </c>
      <c r="AZ24" s="23" t="s">
        <v>14553</v>
      </c>
      <c r="BA24" s="23" t="s">
        <v>14477</v>
      </c>
      <c r="BB24" s="23" t="s">
        <v>1293</v>
      </c>
      <c r="BC24" s="23" t="s">
        <v>14478</v>
      </c>
      <c r="BD24" s="23" t="s">
        <v>14479</v>
      </c>
      <c r="BE24" s="23" t="s">
        <v>14480</v>
      </c>
      <c r="BF24" s="23" t="s">
        <v>14500</v>
      </c>
      <c r="BG24" s="23" t="s">
        <v>14482</v>
      </c>
      <c r="BH24" s="23" t="s">
        <v>14577</v>
      </c>
      <c r="BI24" s="23" t="s">
        <v>14484</v>
      </c>
      <c r="BJ24" s="23" t="s">
        <v>14485</v>
      </c>
      <c r="BK24" s="23" t="s">
        <v>14486</v>
      </c>
      <c r="BL24" s="23" t="s">
        <v>14578</v>
      </c>
      <c r="BM24" s="23" t="s">
        <v>14488</v>
      </c>
      <c r="BN24" s="23" t="s">
        <v>14579</v>
      </c>
      <c r="BO24" s="23" t="s">
        <v>14490</v>
      </c>
      <c r="BP24" s="23" t="s">
        <v>14580</v>
      </c>
      <c r="BQ24" s="23" t="s">
        <v>14492</v>
      </c>
      <c r="BR24" s="23" t="s">
        <v>14462</v>
      </c>
      <c r="BS24" s="23" t="s">
        <v>14493</v>
      </c>
      <c r="BT24" s="23" t="s">
        <v>12</v>
      </c>
      <c r="BU24" s="23" t="s">
        <v>14495</v>
      </c>
      <c r="BV24" s="23"/>
      <c r="BW24" s="23" t="s">
        <v>14496</v>
      </c>
      <c r="BX24" s="23" t="s">
        <v>10021</v>
      </c>
      <c r="BY24" s="23" t="s">
        <v>14497</v>
      </c>
      <c r="BZ24" s="23" t="s">
        <v>14498</v>
      </c>
      <c r="CA24" s="23" t="s">
        <v>1128</v>
      </c>
      <c r="CB24" s="23"/>
      <c r="CC24" s="23" t="s">
        <v>14499</v>
      </c>
      <c r="CD24" s="23"/>
      <c r="CE24" s="23"/>
      <c r="CF24" s="23"/>
      <c r="CG24" s="23"/>
    </row>
    <row r="25" spans="1:85" x14ac:dyDescent="0.4">
      <c r="A25" s="23" t="s">
        <v>1939</v>
      </c>
      <c r="B25" s="23" t="s">
        <v>6</v>
      </c>
      <c r="C25" s="23" t="s">
        <v>1</v>
      </c>
      <c r="D25" s="23" t="s">
        <v>1158</v>
      </c>
      <c r="E25" s="23" t="s">
        <v>0</v>
      </c>
      <c r="F25" s="23" t="s">
        <v>1939</v>
      </c>
      <c r="G25" s="23" t="s">
        <v>1940</v>
      </c>
      <c r="H25" s="23" t="s">
        <v>14365</v>
      </c>
      <c r="I25" s="23" t="s">
        <v>7</v>
      </c>
      <c r="J25" s="23" t="s">
        <v>2</v>
      </c>
      <c r="K25" s="23" t="s">
        <v>119</v>
      </c>
      <c r="L25" s="23"/>
      <c r="M25" s="23"/>
      <c r="N25" s="23" t="s">
        <v>1942</v>
      </c>
      <c r="O25" s="23"/>
      <c r="P25" s="23"/>
      <c r="Q25" s="23" t="s">
        <v>13845</v>
      </c>
      <c r="R25" s="23"/>
      <c r="S25" s="23" t="s">
        <v>14366</v>
      </c>
      <c r="T25" s="23" t="s">
        <v>11</v>
      </c>
      <c r="U25" s="23" t="s">
        <v>14367</v>
      </c>
      <c r="V25" s="23"/>
      <c r="W25" s="23" t="s">
        <v>14368</v>
      </c>
      <c r="X25" s="23"/>
      <c r="Y25" s="23" t="s">
        <v>14369</v>
      </c>
      <c r="Z25" s="23" t="s">
        <v>14370</v>
      </c>
      <c r="AA25" s="23" t="s">
        <v>1119</v>
      </c>
      <c r="AB25" s="23" t="s">
        <v>1941</v>
      </c>
      <c r="AC25" s="23" t="s">
        <v>14383</v>
      </c>
      <c r="AD25" s="23" t="s">
        <v>1162</v>
      </c>
      <c r="AE25" s="23" t="s">
        <v>1121</v>
      </c>
      <c r="AF25" s="23"/>
      <c r="AG25" s="23" t="s">
        <v>1122</v>
      </c>
      <c r="AH25" s="23"/>
      <c r="AI25" s="23" t="s">
        <v>14384</v>
      </c>
      <c r="AJ25" s="23" t="s">
        <v>11</v>
      </c>
      <c r="AK25" s="23" t="s">
        <v>1124</v>
      </c>
      <c r="AL25" s="23"/>
      <c r="AM25" s="23" t="s">
        <v>1125</v>
      </c>
      <c r="AN25" s="23"/>
      <c r="AO25" s="23" t="s">
        <v>14385</v>
      </c>
      <c r="AP25" s="23"/>
      <c r="AQ25" s="23" t="s">
        <v>1127</v>
      </c>
      <c r="AR25" s="23"/>
      <c r="AS25" s="23" t="s">
        <v>14472</v>
      </c>
      <c r="AT25" s="23"/>
      <c r="AU25" s="23" t="s">
        <v>14473</v>
      </c>
      <c r="AV25" s="23"/>
      <c r="AW25" s="23" t="s">
        <v>14474</v>
      </c>
      <c r="AX25" s="23"/>
      <c r="AY25" s="23" t="s">
        <v>14475</v>
      </c>
      <c r="AZ25" s="23" t="s">
        <v>14553</v>
      </c>
      <c r="BA25" s="23" t="s">
        <v>14477</v>
      </c>
      <c r="BB25" s="23" t="s">
        <v>14523</v>
      </c>
      <c r="BC25" s="23" t="s">
        <v>14478</v>
      </c>
      <c r="BD25" s="23" t="s">
        <v>14479</v>
      </c>
      <c r="BE25" s="23" t="s">
        <v>14480</v>
      </c>
      <c r="BF25" s="23" t="s">
        <v>14557</v>
      </c>
      <c r="BG25" s="23" t="s">
        <v>14482</v>
      </c>
      <c r="BH25" s="23" t="s">
        <v>14483</v>
      </c>
      <c r="BI25" s="23" t="s">
        <v>14484</v>
      </c>
      <c r="BJ25" s="23" t="s">
        <v>14485</v>
      </c>
      <c r="BK25" s="23" t="s">
        <v>14486</v>
      </c>
      <c r="BL25" s="23" t="s">
        <v>14581</v>
      </c>
      <c r="BM25" s="23" t="s">
        <v>14488</v>
      </c>
      <c r="BN25" s="23" t="s">
        <v>14582</v>
      </c>
      <c r="BO25" s="23" t="s">
        <v>14490</v>
      </c>
      <c r="BP25" s="23" t="s">
        <v>14583</v>
      </c>
      <c r="BQ25" s="23" t="s">
        <v>14492</v>
      </c>
      <c r="BR25" s="23" t="s">
        <v>14458</v>
      </c>
      <c r="BS25" s="23" t="s">
        <v>14493</v>
      </c>
      <c r="BT25" s="23" t="s">
        <v>14584</v>
      </c>
      <c r="BU25" s="23" t="s">
        <v>14495</v>
      </c>
      <c r="BV25" s="23"/>
      <c r="BW25" s="23" t="s">
        <v>14496</v>
      </c>
      <c r="BX25" s="23" t="s">
        <v>14529</v>
      </c>
      <c r="BY25" s="23" t="s">
        <v>14497</v>
      </c>
      <c r="BZ25" s="23" t="s">
        <v>14498</v>
      </c>
      <c r="CA25" s="23" t="s">
        <v>1128</v>
      </c>
      <c r="CB25" s="23"/>
      <c r="CC25" s="23" t="s">
        <v>14499</v>
      </c>
      <c r="CD25" s="23"/>
      <c r="CE25" s="23"/>
      <c r="CF25" s="23"/>
      <c r="CG25" s="23"/>
    </row>
    <row r="26" spans="1:85" x14ac:dyDescent="0.4">
      <c r="A26" s="23" t="s">
        <v>1945</v>
      </c>
      <c r="B26" s="23" t="s">
        <v>6</v>
      </c>
      <c r="C26" s="23" t="s">
        <v>1</v>
      </c>
      <c r="D26" s="23" t="s">
        <v>1158</v>
      </c>
      <c r="E26" s="23" t="s">
        <v>0</v>
      </c>
      <c r="F26" s="23" t="s">
        <v>1945</v>
      </c>
      <c r="G26" s="23" t="s">
        <v>1946</v>
      </c>
      <c r="H26" s="23" t="s">
        <v>14365</v>
      </c>
      <c r="I26" s="23" t="s">
        <v>7</v>
      </c>
      <c r="J26" s="23" t="s">
        <v>2</v>
      </c>
      <c r="K26" s="23" t="s">
        <v>119</v>
      </c>
      <c r="L26" s="23"/>
      <c r="M26" s="23"/>
      <c r="N26" s="23" t="s">
        <v>1949</v>
      </c>
      <c r="O26" s="23"/>
      <c r="P26" s="23"/>
      <c r="Q26" s="23" t="s">
        <v>13845</v>
      </c>
      <c r="R26" s="23"/>
      <c r="S26" s="23" t="s">
        <v>14366</v>
      </c>
      <c r="T26" s="23" t="s">
        <v>11</v>
      </c>
      <c r="U26" s="23" t="s">
        <v>14367</v>
      </c>
      <c r="V26" s="23"/>
      <c r="W26" s="23" t="s">
        <v>14368</v>
      </c>
      <c r="X26" s="23"/>
      <c r="Y26" s="23" t="s">
        <v>14369</v>
      </c>
      <c r="Z26" s="23" t="s">
        <v>14370</v>
      </c>
      <c r="AA26" s="23" t="s">
        <v>1119</v>
      </c>
      <c r="AB26" s="23" t="s">
        <v>1941</v>
      </c>
      <c r="AC26" s="23" t="s">
        <v>14383</v>
      </c>
      <c r="AD26" s="23" t="s">
        <v>1162</v>
      </c>
      <c r="AE26" s="23" t="s">
        <v>1121</v>
      </c>
      <c r="AF26" s="23" t="s">
        <v>1947</v>
      </c>
      <c r="AG26" s="23" t="s">
        <v>1122</v>
      </c>
      <c r="AH26" s="23"/>
      <c r="AI26" s="23" t="s">
        <v>14384</v>
      </c>
      <c r="AJ26" s="23" t="s">
        <v>11</v>
      </c>
      <c r="AK26" s="23" t="s">
        <v>1124</v>
      </c>
      <c r="AL26" s="23"/>
      <c r="AM26" s="23" t="s">
        <v>1125</v>
      </c>
      <c r="AN26" s="23"/>
      <c r="AO26" s="23" t="s">
        <v>14385</v>
      </c>
      <c r="AP26" s="23"/>
      <c r="AQ26" s="23" t="s">
        <v>1127</v>
      </c>
      <c r="AR26" s="23"/>
      <c r="AS26" s="23" t="s">
        <v>14472</v>
      </c>
      <c r="AT26" s="23"/>
      <c r="AU26" s="23" t="s">
        <v>14473</v>
      </c>
      <c r="AV26" s="23"/>
      <c r="AW26" s="23" t="s">
        <v>14474</v>
      </c>
      <c r="AX26" s="23"/>
      <c r="AY26" s="23" t="s">
        <v>14475</v>
      </c>
      <c r="AZ26" s="23" t="s">
        <v>14553</v>
      </c>
      <c r="BA26" s="23" t="s">
        <v>14477</v>
      </c>
      <c r="BB26" s="23" t="s">
        <v>14523</v>
      </c>
      <c r="BC26" s="23" t="s">
        <v>14478</v>
      </c>
      <c r="BD26" s="23" t="s">
        <v>14479</v>
      </c>
      <c r="BE26" s="23" t="s">
        <v>14480</v>
      </c>
      <c r="BF26" s="23" t="s">
        <v>14557</v>
      </c>
      <c r="BG26" s="23" t="s">
        <v>14482</v>
      </c>
      <c r="BH26" s="23" t="s">
        <v>14483</v>
      </c>
      <c r="BI26" s="23" t="s">
        <v>14484</v>
      </c>
      <c r="BJ26" s="23" t="s">
        <v>14485</v>
      </c>
      <c r="BK26" s="23" t="s">
        <v>14486</v>
      </c>
      <c r="BL26" s="23" t="s">
        <v>14581</v>
      </c>
      <c r="BM26" s="23" t="s">
        <v>14488</v>
      </c>
      <c r="BN26" s="23" t="s">
        <v>14387</v>
      </c>
      <c r="BO26" s="23" t="s">
        <v>14490</v>
      </c>
      <c r="BP26" s="23" t="s">
        <v>14583</v>
      </c>
      <c r="BQ26" s="23" t="s">
        <v>14492</v>
      </c>
      <c r="BR26" s="23" t="s">
        <v>14458</v>
      </c>
      <c r="BS26" s="23" t="s">
        <v>14493</v>
      </c>
      <c r="BT26" s="23" t="s">
        <v>14584</v>
      </c>
      <c r="BU26" s="23" t="s">
        <v>14495</v>
      </c>
      <c r="BV26" s="23"/>
      <c r="BW26" s="23" t="s">
        <v>14496</v>
      </c>
      <c r="BX26" s="23" t="s">
        <v>14529</v>
      </c>
      <c r="BY26" s="23" t="s">
        <v>14497</v>
      </c>
      <c r="BZ26" s="23" t="s">
        <v>14498</v>
      </c>
      <c r="CA26" s="23" t="s">
        <v>1128</v>
      </c>
      <c r="CB26" s="23"/>
      <c r="CC26" s="23" t="s">
        <v>14499</v>
      </c>
      <c r="CD26" s="23"/>
      <c r="CE26" s="23"/>
      <c r="CF26" s="23"/>
      <c r="CG26" s="23"/>
    </row>
    <row r="27" spans="1:85" x14ac:dyDescent="0.4">
      <c r="A27" s="23" t="s">
        <v>1952</v>
      </c>
      <c r="B27" s="23" t="s">
        <v>6</v>
      </c>
      <c r="C27" s="23" t="s">
        <v>1</v>
      </c>
      <c r="D27" s="23" t="s">
        <v>1158</v>
      </c>
      <c r="E27" s="23" t="s">
        <v>0</v>
      </c>
      <c r="F27" s="23" t="s">
        <v>1952</v>
      </c>
      <c r="G27" s="23" t="s">
        <v>1953</v>
      </c>
      <c r="H27" s="23" t="s">
        <v>14365</v>
      </c>
      <c r="I27" s="23" t="s">
        <v>7</v>
      </c>
      <c r="J27" s="23" t="s">
        <v>2</v>
      </c>
      <c r="K27" s="23" t="s">
        <v>119</v>
      </c>
      <c r="L27" s="23"/>
      <c r="M27" s="23"/>
      <c r="N27" s="23" t="s">
        <v>1942</v>
      </c>
      <c r="O27" s="23"/>
      <c r="P27" s="23"/>
      <c r="Q27" s="23" t="s">
        <v>13845</v>
      </c>
      <c r="R27" s="23"/>
      <c r="S27" s="23" t="s">
        <v>14366</v>
      </c>
      <c r="T27" s="23" t="s">
        <v>11</v>
      </c>
      <c r="U27" s="23" t="s">
        <v>14367</v>
      </c>
      <c r="V27" s="23"/>
      <c r="W27" s="23" t="s">
        <v>14368</v>
      </c>
      <c r="X27" s="23"/>
      <c r="Y27" s="23" t="s">
        <v>14369</v>
      </c>
      <c r="Z27" s="23" t="s">
        <v>14370</v>
      </c>
      <c r="AA27" s="23" t="s">
        <v>1119</v>
      </c>
      <c r="AB27" s="23" t="s">
        <v>1941</v>
      </c>
      <c r="AC27" s="23" t="s">
        <v>14383</v>
      </c>
      <c r="AD27" s="23" t="s">
        <v>1162</v>
      </c>
      <c r="AE27" s="23" t="s">
        <v>1121</v>
      </c>
      <c r="AF27" s="23" t="s">
        <v>1947</v>
      </c>
      <c r="AG27" s="23" t="s">
        <v>1122</v>
      </c>
      <c r="AH27" s="23"/>
      <c r="AI27" s="23" t="s">
        <v>14384</v>
      </c>
      <c r="AJ27" s="23" t="s">
        <v>11</v>
      </c>
      <c r="AK27" s="23" t="s">
        <v>1124</v>
      </c>
      <c r="AL27" s="23"/>
      <c r="AM27" s="23" t="s">
        <v>1125</v>
      </c>
      <c r="AN27" s="23"/>
      <c r="AO27" s="23" t="s">
        <v>14385</v>
      </c>
      <c r="AP27" s="23"/>
      <c r="AQ27" s="23" t="s">
        <v>1127</v>
      </c>
      <c r="AR27" s="23"/>
      <c r="AS27" s="23" t="s">
        <v>14472</v>
      </c>
      <c r="AT27" s="23"/>
      <c r="AU27" s="23" t="s">
        <v>14473</v>
      </c>
      <c r="AV27" s="23"/>
      <c r="AW27" s="23" t="s">
        <v>14474</v>
      </c>
      <c r="AX27" s="23"/>
      <c r="AY27" s="23" t="s">
        <v>14475</v>
      </c>
      <c r="AZ27" s="23" t="s">
        <v>14553</v>
      </c>
      <c r="BA27" s="23" t="s">
        <v>14477</v>
      </c>
      <c r="BB27" s="23" t="s">
        <v>14523</v>
      </c>
      <c r="BC27" s="23" t="s">
        <v>14478</v>
      </c>
      <c r="BD27" s="23" t="s">
        <v>14479</v>
      </c>
      <c r="BE27" s="23" t="s">
        <v>14480</v>
      </c>
      <c r="BF27" s="23" t="s">
        <v>14511</v>
      </c>
      <c r="BG27" s="23" t="s">
        <v>14482</v>
      </c>
      <c r="BH27" s="23" t="s">
        <v>14483</v>
      </c>
      <c r="BI27" s="23" t="s">
        <v>14484</v>
      </c>
      <c r="BJ27" s="23" t="s">
        <v>14485</v>
      </c>
      <c r="BK27" s="23" t="s">
        <v>14486</v>
      </c>
      <c r="BL27" s="23" t="s">
        <v>14585</v>
      </c>
      <c r="BM27" s="23" t="s">
        <v>14488</v>
      </c>
      <c r="BN27" s="23" t="s">
        <v>14485</v>
      </c>
      <c r="BO27" s="23" t="s">
        <v>14490</v>
      </c>
      <c r="BP27" s="23" t="s">
        <v>14586</v>
      </c>
      <c r="BQ27" s="23" t="s">
        <v>14492</v>
      </c>
      <c r="BR27" s="23" t="s">
        <v>14382</v>
      </c>
      <c r="BS27" s="23" t="s">
        <v>14493</v>
      </c>
      <c r="BT27" s="23" t="s">
        <v>14587</v>
      </c>
      <c r="BU27" s="23" t="s">
        <v>14495</v>
      </c>
      <c r="BV27" s="23"/>
      <c r="BW27" s="23" t="s">
        <v>14496</v>
      </c>
      <c r="BX27" s="23" t="s">
        <v>14529</v>
      </c>
      <c r="BY27" s="23" t="s">
        <v>14497</v>
      </c>
      <c r="BZ27" s="23" t="s">
        <v>11</v>
      </c>
      <c r="CA27" s="23" t="s">
        <v>1128</v>
      </c>
      <c r="CB27" s="23"/>
      <c r="CC27" s="23" t="s">
        <v>14499</v>
      </c>
      <c r="CD27" s="23"/>
      <c r="CE27" s="23"/>
      <c r="CF27" s="23"/>
      <c r="CG27" s="23"/>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47F1-4A94-426A-941C-5BC520767B69}">
  <sheetPr filterMode="1"/>
  <dimension ref="A1:AU1081"/>
  <sheetViews>
    <sheetView topLeftCell="A434" workbookViewId="0">
      <selection activeCell="AB1052" sqref="AB1052"/>
    </sheetView>
  </sheetViews>
  <sheetFormatPr defaultRowHeight="17.399999999999999" x14ac:dyDescent="0.4"/>
  <cols>
    <col min="1" max="1" width="14.09765625" customWidth="1"/>
    <col min="2" max="2" width="8.796875" style="12"/>
    <col min="4" max="4" width="19.09765625" customWidth="1"/>
    <col min="6" max="26" width="0" hidden="1" customWidth="1"/>
    <col min="28" max="28" width="52.19921875" customWidth="1"/>
    <col min="29" max="29" width="39.8984375" customWidth="1"/>
    <col min="31" max="31" width="25" customWidth="1"/>
  </cols>
  <sheetData>
    <row r="1" spans="1:47" ht="18" thickBot="1" x14ac:dyDescent="0.45">
      <c r="A1" s="3" t="s">
        <v>1107</v>
      </c>
      <c r="B1" s="3">
        <f>COUNTA(B2:B1048576)</f>
        <v>43</v>
      </c>
      <c r="C1" s="3" t="s">
        <v>1108</v>
      </c>
      <c r="D1" s="3" t="s">
        <v>1109</v>
      </c>
      <c r="E1" s="3" t="s">
        <v>1110</v>
      </c>
      <c r="F1" s="3" t="s">
        <v>1111</v>
      </c>
      <c r="G1" s="3" t="s">
        <v>1112</v>
      </c>
      <c r="H1" s="3" t="s">
        <v>1113</v>
      </c>
      <c r="I1" s="3" t="s">
        <v>1114</v>
      </c>
      <c r="J1" s="3" t="s">
        <v>1115</v>
      </c>
      <c r="K1" s="3" t="s">
        <v>1116</v>
      </c>
      <c r="L1" s="3" t="s">
        <v>1117</v>
      </c>
      <c r="M1" s="3" t="s">
        <v>1118</v>
      </c>
      <c r="N1" s="3" t="s">
        <v>1119</v>
      </c>
      <c r="O1" s="3" t="s">
        <v>1120</v>
      </c>
      <c r="P1" s="3" t="s">
        <v>1121</v>
      </c>
      <c r="Q1" s="3" t="s">
        <v>1122</v>
      </c>
      <c r="R1" s="3" t="s">
        <v>1123</v>
      </c>
      <c r="S1" s="3" t="s">
        <v>1124</v>
      </c>
      <c r="T1" s="3" t="s">
        <v>1125</v>
      </c>
      <c r="U1" s="3" t="s">
        <v>1126</v>
      </c>
      <c r="V1" s="3" t="s">
        <v>1127</v>
      </c>
      <c r="W1" s="3" t="s">
        <v>1128</v>
      </c>
      <c r="X1" s="3" t="s">
        <v>1129</v>
      </c>
      <c r="Y1" s="3" t="s">
        <v>1130</v>
      </c>
      <c r="Z1" s="3" t="s">
        <v>1131</v>
      </c>
      <c r="AA1" s="3" t="s">
        <v>1132</v>
      </c>
      <c r="AB1" s="5" t="s">
        <v>1133</v>
      </c>
      <c r="AC1" s="3" t="s">
        <v>1134</v>
      </c>
      <c r="AD1" s="3" t="s">
        <v>1135</v>
      </c>
      <c r="AE1" s="5" t="s">
        <v>1136</v>
      </c>
      <c r="AF1" s="3" t="s">
        <v>1137</v>
      </c>
      <c r="AG1" s="3" t="s">
        <v>1138</v>
      </c>
      <c r="AH1" s="3" t="s">
        <v>1139</v>
      </c>
      <c r="AI1" s="3" t="s">
        <v>1140</v>
      </c>
      <c r="AJ1" s="3" t="s">
        <v>1141</v>
      </c>
      <c r="AK1" s="3" t="s">
        <v>1142</v>
      </c>
      <c r="AL1" s="3" t="s">
        <v>1143</v>
      </c>
      <c r="AM1" s="3" t="s">
        <v>1144</v>
      </c>
      <c r="AN1" s="3" t="s">
        <v>1145</v>
      </c>
      <c r="AO1" s="3" t="s">
        <v>1146</v>
      </c>
      <c r="AP1" s="4" t="s">
        <v>1147</v>
      </c>
      <c r="AQ1" s="4" t="s">
        <v>1151</v>
      </c>
      <c r="AR1" s="3" t="s">
        <v>1148</v>
      </c>
      <c r="AS1" s="3" t="s">
        <v>1149</v>
      </c>
      <c r="AT1" s="3" t="s">
        <v>1150</v>
      </c>
      <c r="AU1" s="3"/>
    </row>
    <row r="2" spans="1:47" x14ac:dyDescent="0.4">
      <c r="A2" s="1" t="s">
        <v>11949</v>
      </c>
      <c r="B2" s="10">
        <v>0</v>
      </c>
      <c r="C2" s="1" t="s">
        <v>0</v>
      </c>
      <c r="D2" s="1" t="s">
        <v>2827</v>
      </c>
      <c r="E2" s="1" t="s">
        <v>2078</v>
      </c>
      <c r="F2" s="1" t="s">
        <v>14</v>
      </c>
      <c r="G2" s="1" t="s">
        <v>1</v>
      </c>
      <c r="H2" s="1" t="s">
        <v>6</v>
      </c>
      <c r="I2" s="1" t="s">
        <v>2</v>
      </c>
      <c r="J2" s="1" t="s">
        <v>3</v>
      </c>
      <c r="K2" s="1" t="s">
        <v>11950</v>
      </c>
      <c r="L2" s="1" t="s">
        <v>7</v>
      </c>
      <c r="M2" s="1"/>
      <c r="N2" s="1" t="s">
        <v>11951</v>
      </c>
      <c r="O2" s="1" t="s">
        <v>11915</v>
      </c>
      <c r="P2" s="1"/>
      <c r="Q2" s="1" t="s">
        <v>12</v>
      </c>
      <c r="R2" s="1" t="s">
        <v>11</v>
      </c>
      <c r="S2" s="1"/>
      <c r="T2" s="1" t="s">
        <v>12</v>
      </c>
      <c r="U2" s="1" t="s">
        <v>11</v>
      </c>
      <c r="V2" s="1"/>
      <c r="W2" s="1" t="s">
        <v>11952</v>
      </c>
      <c r="X2" s="1" t="s">
        <v>11917</v>
      </c>
      <c r="Y2" s="1"/>
      <c r="Z2" s="1"/>
      <c r="AA2" s="1"/>
      <c r="AB2" s="1" t="s">
        <v>11953</v>
      </c>
      <c r="AC2" s="1"/>
      <c r="AD2" s="1"/>
      <c r="AE2" s="1" t="s">
        <v>11919</v>
      </c>
      <c r="AF2" s="1"/>
      <c r="AG2" s="1"/>
      <c r="AH2" s="1" t="s">
        <v>11954</v>
      </c>
      <c r="AI2" s="1"/>
      <c r="AJ2" s="1" t="s">
        <v>11921</v>
      </c>
      <c r="AK2" s="1" t="s">
        <v>10696</v>
      </c>
      <c r="AL2" s="1" t="s">
        <v>11922</v>
      </c>
      <c r="AM2" s="1" t="s">
        <v>11923</v>
      </c>
      <c r="AN2" s="1" t="s">
        <v>10696</v>
      </c>
      <c r="AO2" s="1" t="s">
        <v>11924</v>
      </c>
      <c r="AP2" s="2" t="s">
        <v>11955</v>
      </c>
      <c r="AQ2" s="2" t="s">
        <v>1156</v>
      </c>
      <c r="AR2" s="1" t="s">
        <v>286</v>
      </c>
      <c r="AS2" s="1" t="s">
        <v>11956</v>
      </c>
      <c r="AT2" s="1" t="s">
        <v>5</v>
      </c>
    </row>
    <row r="3" spans="1:47" x14ac:dyDescent="0.4">
      <c r="A3" s="1" t="s">
        <v>11935</v>
      </c>
      <c r="B3" s="10">
        <v>0</v>
      </c>
      <c r="C3" s="1" t="s">
        <v>0</v>
      </c>
      <c r="D3" s="1" t="s">
        <v>2827</v>
      </c>
      <c r="E3" s="1" t="s">
        <v>2078</v>
      </c>
      <c r="F3" s="1" t="s">
        <v>14</v>
      </c>
      <c r="G3" s="1" t="s">
        <v>1</v>
      </c>
      <c r="H3" s="1" t="s">
        <v>6</v>
      </c>
      <c r="I3" s="1" t="s">
        <v>2</v>
      </c>
      <c r="J3" s="1" t="s">
        <v>3</v>
      </c>
      <c r="K3" s="1" t="s">
        <v>11936</v>
      </c>
      <c r="L3" s="1" t="s">
        <v>7</v>
      </c>
      <c r="M3" s="1"/>
      <c r="N3" s="1" t="s">
        <v>11937</v>
      </c>
      <c r="O3" s="1" t="s">
        <v>11915</v>
      </c>
      <c r="P3" s="1"/>
      <c r="Q3" s="1" t="s">
        <v>12</v>
      </c>
      <c r="R3" s="1" t="s">
        <v>11</v>
      </c>
      <c r="S3" s="1"/>
      <c r="T3" s="1" t="s">
        <v>12</v>
      </c>
      <c r="U3" s="1" t="s">
        <v>11</v>
      </c>
      <c r="V3" s="1"/>
      <c r="W3" s="1" t="s">
        <v>11938</v>
      </c>
      <c r="X3" s="1" t="s">
        <v>11917</v>
      </c>
      <c r="Y3" s="1"/>
      <c r="Z3" s="1"/>
      <c r="AA3" s="1"/>
      <c r="AB3" s="1" t="s">
        <v>11939</v>
      </c>
      <c r="AC3" s="1"/>
      <c r="AD3" s="1"/>
      <c r="AE3" s="1" t="s">
        <v>11919</v>
      </c>
      <c r="AF3" s="1"/>
      <c r="AG3" s="1"/>
      <c r="AH3" s="1" t="s">
        <v>11940</v>
      </c>
      <c r="AI3" s="1"/>
      <c r="AJ3" s="1" t="s">
        <v>11921</v>
      </c>
      <c r="AK3" s="1" t="s">
        <v>10696</v>
      </c>
      <c r="AL3" s="1" t="s">
        <v>11922</v>
      </c>
      <c r="AM3" s="1" t="s">
        <v>11923</v>
      </c>
      <c r="AN3" s="1" t="s">
        <v>10696</v>
      </c>
      <c r="AO3" s="1" t="s">
        <v>11924</v>
      </c>
      <c r="AP3" s="2" t="s">
        <v>11941</v>
      </c>
      <c r="AQ3" s="2" t="s">
        <v>1156</v>
      </c>
      <c r="AR3" s="1" t="s">
        <v>286</v>
      </c>
      <c r="AS3" s="1" t="s">
        <v>11873</v>
      </c>
      <c r="AT3" s="1" t="s">
        <v>5</v>
      </c>
    </row>
    <row r="4" spans="1:47" x14ac:dyDescent="0.4">
      <c r="A4" s="1" t="s">
        <v>5706</v>
      </c>
      <c r="B4" s="10">
        <v>0</v>
      </c>
      <c r="C4" s="1" t="s">
        <v>93</v>
      </c>
      <c r="D4" s="1" t="s">
        <v>2211</v>
      </c>
      <c r="E4" s="1" t="s">
        <v>2078</v>
      </c>
      <c r="F4" s="1" t="s">
        <v>14</v>
      </c>
      <c r="G4" s="1" t="s">
        <v>1</v>
      </c>
      <c r="H4" s="1" t="s">
        <v>6</v>
      </c>
      <c r="I4" s="1" t="s">
        <v>2</v>
      </c>
      <c r="J4" s="1" t="s">
        <v>3</v>
      </c>
      <c r="K4" s="1" t="s">
        <v>5707</v>
      </c>
      <c r="L4" s="1" t="s">
        <v>7</v>
      </c>
      <c r="M4" s="1"/>
      <c r="N4" s="1" t="s">
        <v>5708</v>
      </c>
      <c r="O4" s="1" t="s">
        <v>3055</v>
      </c>
      <c r="P4" s="1"/>
      <c r="Q4" s="1"/>
      <c r="R4" s="1" t="s">
        <v>11</v>
      </c>
      <c r="S4" s="1"/>
      <c r="T4" s="1"/>
      <c r="U4" s="1"/>
      <c r="V4" s="1"/>
      <c r="W4" s="1" t="s">
        <v>5709</v>
      </c>
      <c r="X4" s="1"/>
      <c r="Y4" s="1"/>
      <c r="Z4" s="1"/>
      <c r="AA4" s="1" t="s">
        <v>5710</v>
      </c>
      <c r="AB4" s="1" t="s">
        <v>5711</v>
      </c>
      <c r="AC4" s="1"/>
      <c r="AD4" s="1"/>
      <c r="AE4" s="1"/>
      <c r="AF4" s="1"/>
      <c r="AG4" s="1"/>
      <c r="AH4" s="1" t="s">
        <v>5712</v>
      </c>
      <c r="AI4" s="1"/>
      <c r="AJ4" s="1" t="s">
        <v>4386</v>
      </c>
      <c r="AK4" s="1" t="s">
        <v>3792</v>
      </c>
      <c r="AL4" s="1" t="s">
        <v>4387</v>
      </c>
      <c r="AM4" s="1" t="s">
        <v>4386</v>
      </c>
      <c r="AN4" s="1" t="s">
        <v>3792</v>
      </c>
      <c r="AO4" s="1" t="s">
        <v>4387</v>
      </c>
      <c r="AP4" s="2" t="s">
        <v>5713</v>
      </c>
      <c r="AQ4" s="2" t="s">
        <v>1077</v>
      </c>
      <c r="AR4" s="1" t="s">
        <v>286</v>
      </c>
      <c r="AS4" s="1"/>
      <c r="AT4" s="1" t="s">
        <v>5</v>
      </c>
    </row>
    <row r="5" spans="1:47" x14ac:dyDescent="0.4">
      <c r="A5" s="1" t="s">
        <v>6397</v>
      </c>
      <c r="B5" s="10">
        <v>0</v>
      </c>
      <c r="C5" s="1" t="s">
        <v>2494</v>
      </c>
      <c r="D5" s="1" t="s">
        <v>2290</v>
      </c>
      <c r="E5" s="1" t="s">
        <v>2291</v>
      </c>
      <c r="F5" s="1" t="s">
        <v>14</v>
      </c>
      <c r="G5" s="1" t="s">
        <v>1</v>
      </c>
      <c r="H5" s="1" t="s">
        <v>6</v>
      </c>
      <c r="I5" s="1" t="s">
        <v>2</v>
      </c>
      <c r="J5" s="1" t="s">
        <v>2450</v>
      </c>
      <c r="K5" s="1" t="s">
        <v>6398</v>
      </c>
      <c r="L5" s="1" t="s">
        <v>7</v>
      </c>
      <c r="M5" s="1"/>
      <c r="N5" s="1" t="s">
        <v>6399</v>
      </c>
      <c r="O5" s="1" t="s">
        <v>3426</v>
      </c>
      <c r="P5" s="1"/>
      <c r="Q5" s="1"/>
      <c r="R5" s="1" t="s">
        <v>11</v>
      </c>
      <c r="S5" s="1"/>
      <c r="T5" s="1"/>
      <c r="U5" s="1"/>
      <c r="V5" s="1"/>
      <c r="W5" s="1"/>
      <c r="X5" s="1"/>
      <c r="Y5" s="1"/>
      <c r="Z5" s="1"/>
      <c r="AA5" s="1"/>
      <c r="AB5" s="1" t="s">
        <v>14282</v>
      </c>
      <c r="AC5" s="1"/>
      <c r="AD5" s="1"/>
      <c r="AE5" s="1" t="s">
        <v>6400</v>
      </c>
      <c r="AF5" s="1"/>
      <c r="AG5" s="1"/>
      <c r="AH5" s="1" t="s">
        <v>6401</v>
      </c>
      <c r="AI5" s="1"/>
      <c r="AJ5" s="1" t="s">
        <v>4817</v>
      </c>
      <c r="AK5" s="1" t="s">
        <v>4818</v>
      </c>
      <c r="AL5" s="1" t="s">
        <v>4819</v>
      </c>
      <c r="AM5" s="1" t="s">
        <v>6402</v>
      </c>
      <c r="AN5" s="1" t="s">
        <v>4818</v>
      </c>
      <c r="AO5" s="1" t="s">
        <v>6403</v>
      </c>
      <c r="AP5" s="2" t="s">
        <v>6404</v>
      </c>
      <c r="AQ5" s="2" t="s">
        <v>1077</v>
      </c>
      <c r="AR5" s="1" t="s">
        <v>287</v>
      </c>
      <c r="AS5" s="1"/>
      <c r="AT5" s="1" t="s">
        <v>5</v>
      </c>
    </row>
    <row r="6" spans="1:47" x14ac:dyDescent="0.4">
      <c r="A6" s="1" t="s">
        <v>4958</v>
      </c>
      <c r="B6" s="10">
        <v>0</v>
      </c>
      <c r="C6" s="1" t="s">
        <v>0</v>
      </c>
      <c r="D6" s="1" t="s">
        <v>2290</v>
      </c>
      <c r="E6" s="1" t="s">
        <v>2291</v>
      </c>
      <c r="F6" s="1" t="s">
        <v>14</v>
      </c>
      <c r="G6" s="1" t="s">
        <v>1</v>
      </c>
      <c r="H6" s="1" t="s">
        <v>6</v>
      </c>
      <c r="I6" s="1" t="s">
        <v>2</v>
      </c>
      <c r="J6" s="1" t="s">
        <v>3</v>
      </c>
      <c r="K6" s="1" t="s">
        <v>4959</v>
      </c>
      <c r="L6" s="1" t="s">
        <v>7</v>
      </c>
      <c r="M6" s="1" t="s">
        <v>9</v>
      </c>
      <c r="N6" s="1" t="s">
        <v>4960</v>
      </c>
      <c r="O6" s="1" t="s">
        <v>3756</v>
      </c>
      <c r="P6" s="1"/>
      <c r="Q6" s="1"/>
      <c r="R6" s="1" t="s">
        <v>11</v>
      </c>
      <c r="S6" s="1"/>
      <c r="T6" s="1"/>
      <c r="U6" s="1"/>
      <c r="V6" s="1"/>
      <c r="W6" s="1" t="s">
        <v>4961</v>
      </c>
      <c r="X6" s="1"/>
      <c r="Y6" s="1"/>
      <c r="Z6" s="1"/>
      <c r="AA6" s="1"/>
      <c r="AB6" s="1" t="s">
        <v>4962</v>
      </c>
      <c r="AC6" s="1"/>
      <c r="AD6" s="1"/>
      <c r="AE6" s="1" t="s">
        <v>4963</v>
      </c>
      <c r="AF6" s="1"/>
      <c r="AG6" s="1"/>
      <c r="AH6" s="1" t="s">
        <v>4964</v>
      </c>
      <c r="AI6" s="1"/>
      <c r="AJ6" s="1" t="s">
        <v>1431</v>
      </c>
      <c r="AK6" s="1" t="s">
        <v>246</v>
      </c>
      <c r="AL6" s="1" t="s">
        <v>1432</v>
      </c>
      <c r="AM6" s="1" t="s">
        <v>1890</v>
      </c>
      <c r="AN6" s="1" t="s">
        <v>246</v>
      </c>
      <c r="AO6" s="1" t="s">
        <v>1891</v>
      </c>
      <c r="AP6" s="2" t="s">
        <v>4965</v>
      </c>
      <c r="AQ6" s="2" t="s">
        <v>1153</v>
      </c>
      <c r="AR6" s="1" t="s">
        <v>287</v>
      </c>
      <c r="AS6" s="1"/>
      <c r="AT6" s="1" t="s">
        <v>5</v>
      </c>
    </row>
    <row r="7" spans="1:47" x14ac:dyDescent="0.4">
      <c r="A7" s="1" t="s">
        <v>4950</v>
      </c>
      <c r="B7" s="10">
        <v>0</v>
      </c>
      <c r="C7" s="1" t="s">
        <v>0</v>
      </c>
      <c r="D7" s="1" t="s">
        <v>2290</v>
      </c>
      <c r="E7" s="1" t="s">
        <v>2291</v>
      </c>
      <c r="F7" s="1" t="s">
        <v>14</v>
      </c>
      <c r="G7" s="1" t="s">
        <v>1</v>
      </c>
      <c r="H7" s="1" t="s">
        <v>6</v>
      </c>
      <c r="I7" s="1" t="s">
        <v>2</v>
      </c>
      <c r="J7" s="1" t="s">
        <v>3</v>
      </c>
      <c r="K7" s="1" t="s">
        <v>4951</v>
      </c>
      <c r="L7" s="1" t="s">
        <v>7</v>
      </c>
      <c r="M7" s="1" t="s">
        <v>9</v>
      </c>
      <c r="N7" s="1" t="s">
        <v>4952</v>
      </c>
      <c r="O7" s="1" t="s">
        <v>3756</v>
      </c>
      <c r="P7" s="1"/>
      <c r="Q7" s="1"/>
      <c r="R7" s="1" t="s">
        <v>11</v>
      </c>
      <c r="S7" s="1"/>
      <c r="T7" s="1"/>
      <c r="U7" s="1"/>
      <c r="V7" s="1"/>
      <c r="W7" s="1" t="s">
        <v>4953</v>
      </c>
      <c r="X7" s="1"/>
      <c r="Y7" s="1"/>
      <c r="Z7" s="1"/>
      <c r="AA7" s="1"/>
      <c r="AB7" s="1" t="s">
        <v>4954</v>
      </c>
      <c r="AC7" s="1"/>
      <c r="AD7" s="1"/>
      <c r="AE7" s="1" t="s">
        <v>4955</v>
      </c>
      <c r="AF7" s="1"/>
      <c r="AG7" s="1"/>
      <c r="AH7" s="1" t="s">
        <v>4956</v>
      </c>
      <c r="AI7" s="1"/>
      <c r="AJ7" s="1" t="s">
        <v>1431</v>
      </c>
      <c r="AK7" s="1" t="s">
        <v>246</v>
      </c>
      <c r="AL7" s="1" t="s">
        <v>1432</v>
      </c>
      <c r="AM7" s="1" t="s">
        <v>1890</v>
      </c>
      <c r="AN7" s="1" t="s">
        <v>246</v>
      </c>
      <c r="AO7" s="1" t="s">
        <v>1891</v>
      </c>
      <c r="AP7" s="2" t="s">
        <v>4957</v>
      </c>
      <c r="AQ7" s="2" t="s">
        <v>1153</v>
      </c>
      <c r="AR7" s="1" t="s">
        <v>287</v>
      </c>
      <c r="AS7" s="1"/>
      <c r="AT7" s="1" t="s">
        <v>5</v>
      </c>
    </row>
    <row r="8" spans="1:47" x14ac:dyDescent="0.4">
      <c r="A8" s="1" t="s">
        <v>11266</v>
      </c>
      <c r="B8" s="10">
        <v>0</v>
      </c>
      <c r="C8" s="1" t="s">
        <v>0</v>
      </c>
      <c r="D8" s="1" t="s">
        <v>3381</v>
      </c>
      <c r="E8" s="1" t="s">
        <v>2291</v>
      </c>
      <c r="F8" s="1" t="s">
        <v>3382</v>
      </c>
      <c r="G8" s="1" t="s">
        <v>1</v>
      </c>
      <c r="H8" s="1" t="s">
        <v>6</v>
      </c>
      <c r="I8" s="1" t="s">
        <v>2</v>
      </c>
      <c r="J8" s="1" t="s">
        <v>3</v>
      </c>
      <c r="K8" s="1" t="s">
        <v>11267</v>
      </c>
      <c r="L8" s="1" t="s">
        <v>4</v>
      </c>
      <c r="M8" s="1" t="s">
        <v>9</v>
      </c>
      <c r="N8" s="1" t="s">
        <v>11268</v>
      </c>
      <c r="O8" s="1" t="s">
        <v>11269</v>
      </c>
      <c r="P8" s="1"/>
      <c r="Q8" s="1"/>
      <c r="R8" s="1" t="s">
        <v>11</v>
      </c>
      <c r="S8" s="1"/>
      <c r="T8" s="1"/>
      <c r="U8" s="1"/>
      <c r="V8" s="1"/>
      <c r="W8" s="1" t="s">
        <v>11270</v>
      </c>
      <c r="X8" s="1"/>
      <c r="Y8" s="1"/>
      <c r="Z8" s="1"/>
      <c r="AA8" s="1"/>
      <c r="AB8" s="1" t="s">
        <v>14283</v>
      </c>
      <c r="AC8" s="1"/>
      <c r="AD8" s="1"/>
      <c r="AE8" s="1" t="s">
        <v>11271</v>
      </c>
      <c r="AF8" s="1"/>
      <c r="AG8" s="1"/>
      <c r="AH8" s="1" t="s">
        <v>11272</v>
      </c>
      <c r="AI8" s="1"/>
      <c r="AJ8" s="1" t="s">
        <v>54</v>
      </c>
      <c r="AK8" s="1" t="s">
        <v>514</v>
      </c>
      <c r="AL8" s="1"/>
      <c r="AM8" s="1" t="s">
        <v>11273</v>
      </c>
      <c r="AN8" s="1" t="s">
        <v>514</v>
      </c>
      <c r="AO8" s="1" t="s">
        <v>11274</v>
      </c>
      <c r="AP8" s="2" t="s">
        <v>11275</v>
      </c>
      <c r="AQ8" s="2" t="s">
        <v>1155</v>
      </c>
      <c r="AR8" s="1" t="s">
        <v>286</v>
      </c>
      <c r="AS8" s="1"/>
      <c r="AT8" s="1" t="s">
        <v>5</v>
      </c>
    </row>
    <row r="9" spans="1:47" x14ac:dyDescent="0.4">
      <c r="A9" s="1" t="s">
        <v>10384</v>
      </c>
      <c r="B9" s="10">
        <v>0</v>
      </c>
      <c r="C9" s="1" t="s">
        <v>0</v>
      </c>
      <c r="D9" s="1" t="s">
        <v>2220</v>
      </c>
      <c r="E9" s="1" t="s">
        <v>2078</v>
      </c>
      <c r="F9" s="1" t="s">
        <v>14</v>
      </c>
      <c r="G9" s="1" t="s">
        <v>1</v>
      </c>
      <c r="H9" s="1" t="s">
        <v>6</v>
      </c>
      <c r="I9" s="1" t="s">
        <v>2</v>
      </c>
      <c r="J9" s="1" t="s">
        <v>3</v>
      </c>
      <c r="K9" s="1" t="s">
        <v>10385</v>
      </c>
      <c r="L9" s="1" t="s">
        <v>7</v>
      </c>
      <c r="M9" s="1" t="s">
        <v>9</v>
      </c>
      <c r="N9" s="1" t="s">
        <v>10386</v>
      </c>
      <c r="O9" s="1" t="s">
        <v>9083</v>
      </c>
      <c r="P9" s="1"/>
      <c r="Q9" s="1"/>
      <c r="R9" s="1" t="s">
        <v>11</v>
      </c>
      <c r="S9" s="1"/>
      <c r="T9" s="1"/>
      <c r="U9" s="1"/>
      <c r="V9" s="1"/>
      <c r="W9" s="1"/>
      <c r="X9" s="1" t="s">
        <v>10387</v>
      </c>
      <c r="Y9" s="1"/>
      <c r="Z9" s="1"/>
      <c r="AA9" s="1"/>
      <c r="AB9" s="1" t="s">
        <v>10388</v>
      </c>
      <c r="AC9" s="1"/>
      <c r="AD9" s="1"/>
      <c r="AE9" s="1" t="s">
        <v>10389</v>
      </c>
      <c r="AF9" s="1"/>
      <c r="AG9" s="1"/>
      <c r="AH9" s="1" t="s">
        <v>10390</v>
      </c>
      <c r="AI9" s="1"/>
      <c r="AJ9" s="1" t="s">
        <v>725</v>
      </c>
      <c r="AK9" s="1" t="s">
        <v>213</v>
      </c>
      <c r="AL9" s="1" t="s">
        <v>726</v>
      </c>
      <c r="AM9" s="1" t="s">
        <v>725</v>
      </c>
      <c r="AN9" s="1" t="s">
        <v>213</v>
      </c>
      <c r="AO9" s="1" t="s">
        <v>726</v>
      </c>
      <c r="AP9" s="2" t="s">
        <v>10391</v>
      </c>
      <c r="AQ9" s="2" t="s">
        <v>1155</v>
      </c>
      <c r="AR9" s="1" t="s">
        <v>286</v>
      </c>
      <c r="AS9" s="1" t="s">
        <v>970</v>
      </c>
      <c r="AT9" s="1" t="s">
        <v>5</v>
      </c>
    </row>
    <row r="10" spans="1:47" x14ac:dyDescent="0.4">
      <c r="A10" s="1" t="s">
        <v>10392</v>
      </c>
      <c r="B10" s="10">
        <v>0</v>
      </c>
      <c r="C10" s="1" t="s">
        <v>0</v>
      </c>
      <c r="D10" s="1" t="s">
        <v>2220</v>
      </c>
      <c r="E10" s="1" t="s">
        <v>2078</v>
      </c>
      <c r="F10" s="1" t="s">
        <v>14</v>
      </c>
      <c r="G10" s="1" t="s">
        <v>1</v>
      </c>
      <c r="H10" s="1" t="s">
        <v>6</v>
      </c>
      <c r="I10" s="1" t="s">
        <v>2</v>
      </c>
      <c r="J10" s="1" t="s">
        <v>3</v>
      </c>
      <c r="K10" s="1" t="s">
        <v>10393</v>
      </c>
      <c r="L10" s="1" t="s">
        <v>7</v>
      </c>
      <c r="M10" s="1" t="s">
        <v>9</v>
      </c>
      <c r="N10" s="1" t="s">
        <v>10394</v>
      </c>
      <c r="O10" s="1" t="s">
        <v>9083</v>
      </c>
      <c r="P10" s="1"/>
      <c r="Q10" s="1"/>
      <c r="R10" s="1" t="s">
        <v>11</v>
      </c>
      <c r="S10" s="1"/>
      <c r="T10" s="1"/>
      <c r="U10" s="1"/>
      <c r="V10" s="1"/>
      <c r="W10" s="1"/>
      <c r="X10" s="1" t="s">
        <v>10387</v>
      </c>
      <c r="Y10" s="1"/>
      <c r="Z10" s="1"/>
      <c r="AA10" s="1"/>
      <c r="AB10" s="1" t="s">
        <v>10395</v>
      </c>
      <c r="AC10" s="1"/>
      <c r="AD10" s="1"/>
      <c r="AE10" s="1" t="s">
        <v>10389</v>
      </c>
      <c r="AF10" s="1"/>
      <c r="AG10" s="1"/>
      <c r="AH10" s="1" t="s">
        <v>10396</v>
      </c>
      <c r="AI10" s="1"/>
      <c r="AJ10" s="1" t="s">
        <v>725</v>
      </c>
      <c r="AK10" s="1" t="s">
        <v>213</v>
      </c>
      <c r="AL10" s="1" t="s">
        <v>726</v>
      </c>
      <c r="AM10" s="1" t="s">
        <v>725</v>
      </c>
      <c r="AN10" s="1" t="s">
        <v>213</v>
      </c>
      <c r="AO10" s="1" t="s">
        <v>726</v>
      </c>
      <c r="AP10" s="2" t="s">
        <v>10397</v>
      </c>
      <c r="AQ10" s="2" t="s">
        <v>1155</v>
      </c>
      <c r="AR10" s="1" t="s">
        <v>286</v>
      </c>
      <c r="AS10" s="1" t="s">
        <v>970</v>
      </c>
      <c r="AT10" s="1" t="s">
        <v>5</v>
      </c>
    </row>
    <row r="11" spans="1:47" x14ac:dyDescent="0.4">
      <c r="A11" s="1" t="s">
        <v>6148</v>
      </c>
      <c r="B11" s="10">
        <v>0</v>
      </c>
      <c r="C11" s="1" t="s">
        <v>0</v>
      </c>
      <c r="D11" s="1" t="s">
        <v>2076</v>
      </c>
      <c r="E11" s="1" t="s">
        <v>2078</v>
      </c>
      <c r="F11" s="1" t="s">
        <v>14</v>
      </c>
      <c r="G11" s="1" t="s">
        <v>1</v>
      </c>
      <c r="H11" s="1" t="s">
        <v>6</v>
      </c>
      <c r="I11" s="1" t="s">
        <v>2</v>
      </c>
      <c r="J11" s="1" t="s">
        <v>3</v>
      </c>
      <c r="K11" s="1" t="s">
        <v>6149</v>
      </c>
      <c r="L11" s="1" t="s">
        <v>7</v>
      </c>
      <c r="M11" s="1" t="s">
        <v>9</v>
      </c>
      <c r="N11" s="1" t="s">
        <v>6150</v>
      </c>
      <c r="O11" s="1" t="s">
        <v>2238</v>
      </c>
      <c r="P11" s="1"/>
      <c r="Q11" s="1"/>
      <c r="R11" s="1" t="s">
        <v>11</v>
      </c>
      <c r="S11" s="1"/>
      <c r="T11" s="1"/>
      <c r="U11" s="1"/>
      <c r="V11" s="1"/>
      <c r="W11" s="1"/>
      <c r="X11" s="1" t="s">
        <v>6151</v>
      </c>
      <c r="Y11" s="1"/>
      <c r="Z11" s="1"/>
      <c r="AA11" s="1"/>
      <c r="AB11" s="1" t="s">
        <v>6152</v>
      </c>
      <c r="AC11" s="1"/>
      <c r="AD11" s="1"/>
      <c r="AE11" s="1" t="s">
        <v>6153</v>
      </c>
      <c r="AF11" s="1"/>
      <c r="AG11" s="1"/>
      <c r="AH11" s="1"/>
      <c r="AI11" s="1"/>
      <c r="AJ11" s="1" t="s">
        <v>595</v>
      </c>
      <c r="AK11" s="1" t="s">
        <v>568</v>
      </c>
      <c r="AL11" s="1" t="s">
        <v>596</v>
      </c>
      <c r="AM11" s="1" t="s">
        <v>6154</v>
      </c>
      <c r="AN11" s="1" t="s">
        <v>568</v>
      </c>
      <c r="AO11" s="1" t="s">
        <v>6155</v>
      </c>
      <c r="AP11" s="2" t="s">
        <v>6156</v>
      </c>
      <c r="AQ11" s="2" t="s">
        <v>1077</v>
      </c>
      <c r="AR11" s="1" t="s">
        <v>286</v>
      </c>
      <c r="AS11" s="1"/>
      <c r="AT11" s="1" t="s">
        <v>5</v>
      </c>
    </row>
    <row r="12" spans="1:47" hidden="1" x14ac:dyDescent="0.4">
      <c r="A12" s="1" t="s">
        <v>4097</v>
      </c>
      <c r="B12" s="10"/>
      <c r="C12" s="1" t="s">
        <v>4098</v>
      </c>
      <c r="D12" s="1" t="s">
        <v>2211</v>
      </c>
      <c r="E12" s="1" t="s">
        <v>2078</v>
      </c>
      <c r="F12" s="1" t="s">
        <v>14</v>
      </c>
      <c r="G12" s="1" t="s">
        <v>1</v>
      </c>
      <c r="H12" s="1" t="s">
        <v>6</v>
      </c>
      <c r="I12" s="1" t="s">
        <v>2</v>
      </c>
      <c r="J12" s="1" t="s">
        <v>3</v>
      </c>
      <c r="K12" s="1" t="s">
        <v>4099</v>
      </c>
      <c r="L12" s="1" t="s">
        <v>7</v>
      </c>
      <c r="M12" s="1"/>
      <c r="N12" s="1" t="s">
        <v>4100</v>
      </c>
      <c r="O12" s="1" t="s">
        <v>3595</v>
      </c>
      <c r="P12" s="1"/>
      <c r="Q12" s="1"/>
      <c r="R12" s="1" t="s">
        <v>11</v>
      </c>
      <c r="S12" s="1"/>
      <c r="T12" s="1"/>
      <c r="U12" s="1"/>
      <c r="V12" s="1"/>
      <c r="W12" s="1" t="s">
        <v>4101</v>
      </c>
      <c r="X12" s="1" t="s">
        <v>4102</v>
      </c>
      <c r="Y12" s="1"/>
      <c r="Z12" s="1"/>
      <c r="AA12" s="1"/>
      <c r="AB12" s="1" t="s">
        <v>4103</v>
      </c>
      <c r="AC12" s="1"/>
      <c r="AD12" s="1"/>
      <c r="AE12" s="1" t="s">
        <v>4104</v>
      </c>
      <c r="AF12" s="1"/>
      <c r="AG12" s="1"/>
      <c r="AH12" s="1" t="s">
        <v>4105</v>
      </c>
      <c r="AI12" s="1"/>
      <c r="AJ12" s="1" t="s">
        <v>4106</v>
      </c>
      <c r="AK12" s="1" t="s">
        <v>4107</v>
      </c>
      <c r="AL12" s="1" t="s">
        <v>4108</v>
      </c>
      <c r="AM12" s="1" t="s">
        <v>4106</v>
      </c>
      <c r="AN12" s="1" t="s">
        <v>4107</v>
      </c>
      <c r="AO12" s="1" t="s">
        <v>4108</v>
      </c>
      <c r="AP12" s="2" t="s">
        <v>4109</v>
      </c>
      <c r="AQ12" s="2" t="s">
        <v>1153</v>
      </c>
      <c r="AR12" s="1" t="s">
        <v>286</v>
      </c>
      <c r="AS12" s="1" t="s">
        <v>4110</v>
      </c>
      <c r="AT12" s="1" t="s">
        <v>5</v>
      </c>
    </row>
    <row r="13" spans="1:47" hidden="1" x14ac:dyDescent="0.4">
      <c r="A13" s="1" t="s">
        <v>10531</v>
      </c>
      <c r="B13" s="10"/>
      <c r="C13" s="1" t="s">
        <v>0</v>
      </c>
      <c r="D13" s="1" t="s">
        <v>2220</v>
      </c>
      <c r="E13" s="1" t="s">
        <v>2078</v>
      </c>
      <c r="F13" s="1" t="s">
        <v>14</v>
      </c>
      <c r="G13" s="1" t="s">
        <v>1</v>
      </c>
      <c r="H13" s="1" t="s">
        <v>6</v>
      </c>
      <c r="I13" s="1" t="s">
        <v>2</v>
      </c>
      <c r="J13" s="1" t="s">
        <v>3</v>
      </c>
      <c r="K13" s="1" t="s">
        <v>10532</v>
      </c>
      <c r="L13" s="1" t="s">
        <v>7</v>
      </c>
      <c r="M13" s="1" t="s">
        <v>9</v>
      </c>
      <c r="N13" s="1" t="s">
        <v>10533</v>
      </c>
      <c r="O13" s="1" t="s">
        <v>10534</v>
      </c>
      <c r="P13" s="1" t="s">
        <v>10535</v>
      </c>
      <c r="Q13" s="1"/>
      <c r="R13" s="1" t="s">
        <v>11</v>
      </c>
      <c r="S13" s="1"/>
      <c r="T13" s="1"/>
      <c r="U13" s="1"/>
      <c r="V13" s="1"/>
      <c r="W13" s="1" t="s">
        <v>10536</v>
      </c>
      <c r="X13" s="1" t="s">
        <v>10537</v>
      </c>
      <c r="Y13" s="1"/>
      <c r="Z13" s="1"/>
      <c r="AA13" s="1"/>
      <c r="AB13" s="1" t="s">
        <v>10538</v>
      </c>
      <c r="AC13" s="1"/>
      <c r="AD13" s="1"/>
      <c r="AE13" s="1" t="s">
        <v>10539</v>
      </c>
      <c r="AF13" s="1"/>
      <c r="AG13" s="1"/>
      <c r="AH13" s="1" t="s">
        <v>10540</v>
      </c>
      <c r="AI13" s="1" t="s">
        <v>10541</v>
      </c>
      <c r="AJ13" s="1" t="s">
        <v>10542</v>
      </c>
      <c r="AK13" s="1" t="s">
        <v>10543</v>
      </c>
      <c r="AL13" s="1" t="s">
        <v>10544</v>
      </c>
      <c r="AM13" s="1" t="s">
        <v>10545</v>
      </c>
      <c r="AN13" s="1" t="s">
        <v>10546</v>
      </c>
      <c r="AO13" s="1" t="s">
        <v>10547</v>
      </c>
      <c r="AP13" s="2" t="s">
        <v>10548</v>
      </c>
      <c r="AQ13" s="2" t="s">
        <v>1155</v>
      </c>
      <c r="AR13" s="1" t="s">
        <v>286</v>
      </c>
      <c r="AS13" s="1" t="s">
        <v>10549</v>
      </c>
      <c r="AT13" s="1" t="s">
        <v>5</v>
      </c>
    </row>
    <row r="14" spans="1:47" hidden="1" x14ac:dyDescent="0.4">
      <c r="A14" s="1" t="s">
        <v>7947</v>
      </c>
      <c r="B14" s="10"/>
      <c r="C14" s="1" t="s">
        <v>3626</v>
      </c>
      <c r="D14" s="1" t="s">
        <v>2290</v>
      </c>
      <c r="E14" s="1" t="s">
        <v>2291</v>
      </c>
      <c r="F14" s="1" t="s">
        <v>14</v>
      </c>
      <c r="G14" s="1" t="s">
        <v>1</v>
      </c>
      <c r="H14" s="1" t="s">
        <v>6</v>
      </c>
      <c r="I14" s="1" t="s">
        <v>2</v>
      </c>
      <c r="J14" s="1" t="s">
        <v>3514</v>
      </c>
      <c r="K14" s="1" t="s">
        <v>7948</v>
      </c>
      <c r="L14" s="1" t="s">
        <v>7</v>
      </c>
      <c r="M14" s="1"/>
      <c r="N14" s="1" t="s">
        <v>7949</v>
      </c>
      <c r="O14" s="1" t="s">
        <v>7950</v>
      </c>
      <c r="P14" s="1"/>
      <c r="Q14" s="1"/>
      <c r="R14" s="1" t="s">
        <v>11</v>
      </c>
      <c r="S14" s="1"/>
      <c r="T14" s="1"/>
      <c r="U14" s="1"/>
      <c r="V14" s="1"/>
      <c r="W14" s="1" t="s">
        <v>7951</v>
      </c>
      <c r="X14" s="1"/>
      <c r="Y14" s="1"/>
      <c r="Z14" s="1"/>
      <c r="AA14" s="1"/>
      <c r="AB14" s="1" t="s">
        <v>7952</v>
      </c>
      <c r="AC14" s="1"/>
      <c r="AD14" s="1"/>
      <c r="AE14" s="1"/>
      <c r="AF14" s="1"/>
      <c r="AG14" s="1"/>
      <c r="AH14" s="1" t="s">
        <v>7953</v>
      </c>
      <c r="AI14" s="1"/>
      <c r="AJ14" s="1" t="s">
        <v>5313</v>
      </c>
      <c r="AK14" s="1" t="s">
        <v>5314</v>
      </c>
      <c r="AL14" s="1" t="s">
        <v>5315</v>
      </c>
      <c r="AM14" s="1" t="s">
        <v>5313</v>
      </c>
      <c r="AN14" s="1" t="s">
        <v>5314</v>
      </c>
      <c r="AO14" s="1" t="s">
        <v>5315</v>
      </c>
      <c r="AP14" s="2" t="s">
        <v>7954</v>
      </c>
      <c r="AQ14" s="2" t="s">
        <v>1154</v>
      </c>
      <c r="AR14" s="1" t="s">
        <v>286</v>
      </c>
      <c r="AS14" s="1" t="s">
        <v>7955</v>
      </c>
      <c r="AT14" s="1" t="s">
        <v>5</v>
      </c>
    </row>
    <row r="15" spans="1:47" hidden="1" x14ac:dyDescent="0.4">
      <c r="A15" s="1" t="s">
        <v>7925</v>
      </c>
      <c r="B15" s="10"/>
      <c r="C15" s="1" t="s">
        <v>3626</v>
      </c>
      <c r="D15" s="1" t="s">
        <v>2211</v>
      </c>
      <c r="E15" s="1" t="s">
        <v>2078</v>
      </c>
      <c r="F15" s="1" t="s">
        <v>14</v>
      </c>
      <c r="G15" s="1" t="s">
        <v>1</v>
      </c>
      <c r="H15" s="1" t="s">
        <v>6</v>
      </c>
      <c r="I15" s="1" t="s">
        <v>2</v>
      </c>
      <c r="J15" s="1" t="s">
        <v>3514</v>
      </c>
      <c r="K15" s="1" t="s">
        <v>7926</v>
      </c>
      <c r="L15" s="1" t="s">
        <v>7</v>
      </c>
      <c r="M15" s="1" t="s">
        <v>9</v>
      </c>
      <c r="N15" s="1" t="s">
        <v>7927</v>
      </c>
      <c r="O15" s="1" t="s">
        <v>2258</v>
      </c>
      <c r="P15" s="1"/>
      <c r="Q15" s="1"/>
      <c r="R15" s="1" t="s">
        <v>11</v>
      </c>
      <c r="S15" s="1"/>
      <c r="T15" s="1"/>
      <c r="U15" s="1"/>
      <c r="V15" s="1"/>
      <c r="W15" s="1"/>
      <c r="X15" s="1" t="s">
        <v>7928</v>
      </c>
      <c r="Y15" s="1"/>
      <c r="Z15" s="1"/>
      <c r="AA15" s="1"/>
      <c r="AB15" s="1" t="s">
        <v>7929</v>
      </c>
      <c r="AC15" s="1"/>
      <c r="AD15" s="1"/>
      <c r="AE15" s="1" t="s">
        <v>7930</v>
      </c>
      <c r="AF15" s="1"/>
      <c r="AG15" s="1"/>
      <c r="AH15" s="1" t="s">
        <v>7931</v>
      </c>
      <c r="AI15" s="1"/>
      <c r="AJ15" s="1" t="s">
        <v>6556</v>
      </c>
      <c r="AK15" s="1" t="s">
        <v>5314</v>
      </c>
      <c r="AL15" s="1" t="s">
        <v>6557</v>
      </c>
      <c r="AM15" s="1" t="s">
        <v>6556</v>
      </c>
      <c r="AN15" s="1" t="s">
        <v>5314</v>
      </c>
      <c r="AO15" s="1" t="s">
        <v>6557</v>
      </c>
      <c r="AP15" s="2" t="s">
        <v>7932</v>
      </c>
      <c r="AQ15" s="2" t="s">
        <v>1154</v>
      </c>
      <c r="AR15" s="1" t="s">
        <v>286</v>
      </c>
      <c r="AS15" s="1" t="s">
        <v>7933</v>
      </c>
      <c r="AT15" s="1" t="s">
        <v>5</v>
      </c>
    </row>
    <row r="16" spans="1:47" hidden="1" x14ac:dyDescent="0.4">
      <c r="A16" s="1" t="s">
        <v>10611</v>
      </c>
      <c r="B16" s="10"/>
      <c r="C16" s="1" t="s">
        <v>2454</v>
      </c>
      <c r="D16" s="1" t="s">
        <v>2211</v>
      </c>
      <c r="E16" s="1" t="s">
        <v>2078</v>
      </c>
      <c r="F16" s="1" t="s">
        <v>14</v>
      </c>
      <c r="G16" s="1" t="s">
        <v>1</v>
      </c>
      <c r="H16" s="1" t="s">
        <v>6</v>
      </c>
      <c r="I16" s="1" t="s">
        <v>2</v>
      </c>
      <c r="J16" s="1" t="s">
        <v>3676</v>
      </c>
      <c r="K16" s="1" t="s">
        <v>10612</v>
      </c>
      <c r="L16" s="1" t="s">
        <v>4</v>
      </c>
      <c r="M16" s="1"/>
      <c r="N16" s="1" t="s">
        <v>10613</v>
      </c>
      <c r="O16" s="1" t="s">
        <v>2481</v>
      </c>
      <c r="P16" s="1" t="s">
        <v>10614</v>
      </c>
      <c r="Q16" s="1"/>
      <c r="R16" s="1" t="s">
        <v>11</v>
      </c>
      <c r="S16" s="1"/>
      <c r="T16" s="1"/>
      <c r="U16" s="1"/>
      <c r="V16" s="1"/>
      <c r="W16" s="1" t="s">
        <v>10615</v>
      </c>
      <c r="X16" s="1" t="s">
        <v>10616</v>
      </c>
      <c r="Y16" s="1"/>
      <c r="Z16" s="1"/>
      <c r="AA16" s="1"/>
      <c r="AB16" s="1" t="s">
        <v>10617</v>
      </c>
      <c r="AC16" s="1"/>
      <c r="AD16" s="1"/>
      <c r="AE16" s="1"/>
      <c r="AF16" s="1"/>
      <c r="AG16" s="1"/>
      <c r="AH16" s="1" t="s">
        <v>10618</v>
      </c>
      <c r="AI16" s="1"/>
      <c r="AJ16" s="1" t="s">
        <v>3682</v>
      </c>
      <c r="AK16" s="1" t="s">
        <v>3106</v>
      </c>
      <c r="AL16" s="1" t="s">
        <v>3683</v>
      </c>
      <c r="AM16" s="1" t="s">
        <v>3682</v>
      </c>
      <c r="AN16" s="1" t="s">
        <v>3106</v>
      </c>
      <c r="AO16" s="1" t="s">
        <v>3683</v>
      </c>
      <c r="AP16" s="2" t="s">
        <v>10619</v>
      </c>
      <c r="AQ16" s="2" t="s">
        <v>1155</v>
      </c>
      <c r="AR16" s="1" t="s">
        <v>286</v>
      </c>
      <c r="AS16" s="1" t="s">
        <v>10227</v>
      </c>
      <c r="AT16" s="1" t="s">
        <v>5</v>
      </c>
    </row>
    <row r="17" spans="1:46" hidden="1" x14ac:dyDescent="0.4">
      <c r="A17" s="1" t="s">
        <v>7068</v>
      </c>
      <c r="B17" s="10"/>
      <c r="C17" s="1" t="s">
        <v>93</v>
      </c>
      <c r="D17" s="1" t="s">
        <v>2157</v>
      </c>
      <c r="E17" s="1" t="s">
        <v>2078</v>
      </c>
      <c r="F17" s="1" t="s">
        <v>14</v>
      </c>
      <c r="G17" s="1" t="s">
        <v>1</v>
      </c>
      <c r="H17" s="1" t="s">
        <v>6</v>
      </c>
      <c r="I17" s="1" t="s">
        <v>2</v>
      </c>
      <c r="J17" s="1" t="s">
        <v>3</v>
      </c>
      <c r="K17" s="1" t="s">
        <v>7069</v>
      </c>
      <c r="L17" s="1" t="s">
        <v>7</v>
      </c>
      <c r="M17" s="1"/>
      <c r="N17" s="1" t="s">
        <v>7070</v>
      </c>
      <c r="O17" s="1" t="s">
        <v>7039</v>
      </c>
      <c r="P17" s="1"/>
      <c r="Q17" s="1"/>
      <c r="R17" s="1" t="s">
        <v>11</v>
      </c>
      <c r="S17" s="1"/>
      <c r="T17" s="1"/>
      <c r="U17" s="1"/>
      <c r="V17" s="1"/>
      <c r="W17" s="1"/>
      <c r="X17" s="1"/>
      <c r="Y17" s="1"/>
      <c r="Z17" s="1"/>
      <c r="AA17" s="1"/>
      <c r="AB17" s="1" t="s">
        <v>7071</v>
      </c>
      <c r="AC17" s="1"/>
      <c r="AD17" s="1"/>
      <c r="AE17" s="1" t="s">
        <v>7041</v>
      </c>
      <c r="AF17" s="1"/>
      <c r="AG17" s="1"/>
      <c r="AH17" s="1"/>
      <c r="AI17" s="1"/>
      <c r="AJ17" s="1" t="s">
        <v>6930</v>
      </c>
      <c r="AK17" s="1" t="s">
        <v>6931</v>
      </c>
      <c r="AL17" s="1" t="s">
        <v>6932</v>
      </c>
      <c r="AM17" s="1" t="s">
        <v>6930</v>
      </c>
      <c r="AN17" s="1" t="s">
        <v>6931</v>
      </c>
      <c r="AO17" s="1" t="s">
        <v>6932</v>
      </c>
      <c r="AP17" s="2" t="s">
        <v>7072</v>
      </c>
      <c r="AQ17" s="2" t="s">
        <v>1077</v>
      </c>
      <c r="AR17" s="1" t="s">
        <v>286</v>
      </c>
      <c r="AS17" s="1"/>
      <c r="AT17" s="1" t="s">
        <v>5</v>
      </c>
    </row>
    <row r="18" spans="1:46" hidden="1" x14ac:dyDescent="0.4">
      <c r="A18" s="1" t="s">
        <v>11119</v>
      </c>
      <c r="B18" s="10"/>
      <c r="C18" s="1" t="s">
        <v>93</v>
      </c>
      <c r="D18" s="1" t="s">
        <v>2157</v>
      </c>
      <c r="E18" s="1" t="s">
        <v>2078</v>
      </c>
      <c r="F18" s="1" t="s">
        <v>14</v>
      </c>
      <c r="G18" s="1" t="s">
        <v>1</v>
      </c>
      <c r="H18" s="1" t="s">
        <v>6</v>
      </c>
      <c r="I18" s="1" t="s">
        <v>2</v>
      </c>
      <c r="J18" s="1" t="s">
        <v>3</v>
      </c>
      <c r="K18" s="1" t="s">
        <v>11120</v>
      </c>
      <c r="L18" s="1" t="s">
        <v>7</v>
      </c>
      <c r="M18" s="1"/>
      <c r="N18" s="1" t="s">
        <v>11121</v>
      </c>
      <c r="O18" s="1" t="s">
        <v>11112</v>
      </c>
      <c r="P18" s="1"/>
      <c r="Q18" s="1"/>
      <c r="R18" s="1" t="s">
        <v>11</v>
      </c>
      <c r="S18" s="1"/>
      <c r="T18" s="1"/>
      <c r="U18" s="1"/>
      <c r="V18" s="1"/>
      <c r="W18" s="1"/>
      <c r="X18" s="1"/>
      <c r="Y18" s="1"/>
      <c r="Z18" s="1"/>
      <c r="AA18" s="1"/>
      <c r="AB18" s="1" t="s">
        <v>11122</v>
      </c>
      <c r="AC18" s="1"/>
      <c r="AD18" s="1"/>
      <c r="AE18" s="1" t="s">
        <v>11114</v>
      </c>
      <c r="AF18" s="1"/>
      <c r="AG18" s="1"/>
      <c r="AH18" s="1" t="s">
        <v>11123</v>
      </c>
      <c r="AI18" s="1"/>
      <c r="AJ18" s="1" t="s">
        <v>11116</v>
      </c>
      <c r="AK18" s="1" t="s">
        <v>5111</v>
      </c>
      <c r="AL18" s="1" t="s">
        <v>11117</v>
      </c>
      <c r="AM18" s="1" t="s">
        <v>11116</v>
      </c>
      <c r="AN18" s="1" t="s">
        <v>5111</v>
      </c>
      <c r="AO18" s="1" t="s">
        <v>11117</v>
      </c>
      <c r="AP18" s="2" t="s">
        <v>11124</v>
      </c>
      <c r="AQ18" s="2" t="s">
        <v>1155</v>
      </c>
      <c r="AR18" s="1" t="s">
        <v>286</v>
      </c>
      <c r="AS18" s="1" t="s">
        <v>11125</v>
      </c>
      <c r="AT18" s="1" t="s">
        <v>5</v>
      </c>
    </row>
    <row r="19" spans="1:46" hidden="1" x14ac:dyDescent="0.4">
      <c r="A19" s="1" t="s">
        <v>11109</v>
      </c>
      <c r="B19" s="10"/>
      <c r="C19" s="1" t="s">
        <v>93</v>
      </c>
      <c r="D19" s="1" t="s">
        <v>2396</v>
      </c>
      <c r="E19" s="1" t="s">
        <v>2078</v>
      </c>
      <c r="F19" s="1" t="s">
        <v>14</v>
      </c>
      <c r="G19" s="1" t="s">
        <v>1</v>
      </c>
      <c r="H19" s="1" t="s">
        <v>6</v>
      </c>
      <c r="I19" s="1" t="s">
        <v>2</v>
      </c>
      <c r="J19" s="1" t="s">
        <v>3</v>
      </c>
      <c r="K19" s="1" t="s">
        <v>11110</v>
      </c>
      <c r="L19" s="1" t="s">
        <v>7</v>
      </c>
      <c r="M19" s="1"/>
      <c r="N19" s="1" t="s">
        <v>11111</v>
      </c>
      <c r="O19" s="1" t="s">
        <v>11112</v>
      </c>
      <c r="P19" s="1"/>
      <c r="Q19" s="1"/>
      <c r="R19" s="1" t="s">
        <v>11</v>
      </c>
      <c r="S19" s="1"/>
      <c r="T19" s="1"/>
      <c r="U19" s="1"/>
      <c r="V19" s="1"/>
      <c r="W19" s="1"/>
      <c r="X19" s="1"/>
      <c r="Y19" s="1"/>
      <c r="Z19" s="1"/>
      <c r="AA19" s="1"/>
      <c r="AB19" s="1" t="s">
        <v>11113</v>
      </c>
      <c r="AC19" s="1"/>
      <c r="AD19" s="1"/>
      <c r="AE19" s="1" t="s">
        <v>11114</v>
      </c>
      <c r="AF19" s="1"/>
      <c r="AG19" s="1"/>
      <c r="AH19" s="1" t="s">
        <v>11115</v>
      </c>
      <c r="AI19" s="1"/>
      <c r="AJ19" s="1" t="s">
        <v>11116</v>
      </c>
      <c r="AK19" s="1" t="s">
        <v>5111</v>
      </c>
      <c r="AL19" s="1" t="s">
        <v>11117</v>
      </c>
      <c r="AM19" s="1" t="s">
        <v>11116</v>
      </c>
      <c r="AN19" s="1" t="s">
        <v>5111</v>
      </c>
      <c r="AO19" s="1" t="s">
        <v>11117</v>
      </c>
      <c r="AP19" s="2" t="s">
        <v>11118</v>
      </c>
      <c r="AQ19" s="2" t="s">
        <v>1155</v>
      </c>
      <c r="AR19" s="1" t="s">
        <v>286</v>
      </c>
      <c r="AS19" s="1" t="s">
        <v>1861</v>
      </c>
      <c r="AT19" s="1" t="s">
        <v>5</v>
      </c>
    </row>
    <row r="20" spans="1:46" hidden="1" x14ac:dyDescent="0.4">
      <c r="A20" s="1" t="s">
        <v>7062</v>
      </c>
      <c r="B20" s="10"/>
      <c r="C20" s="1" t="s">
        <v>93</v>
      </c>
      <c r="D20" s="1" t="s">
        <v>2157</v>
      </c>
      <c r="E20" s="1" t="s">
        <v>2078</v>
      </c>
      <c r="F20" s="1" t="s">
        <v>14</v>
      </c>
      <c r="G20" s="1" t="s">
        <v>1</v>
      </c>
      <c r="H20" s="1" t="s">
        <v>6</v>
      </c>
      <c r="I20" s="1" t="s">
        <v>2</v>
      </c>
      <c r="J20" s="1" t="s">
        <v>3</v>
      </c>
      <c r="K20" s="1" t="s">
        <v>7063</v>
      </c>
      <c r="L20" s="1" t="s">
        <v>7</v>
      </c>
      <c r="M20" s="1"/>
      <c r="N20" s="1" t="s">
        <v>7064</v>
      </c>
      <c r="O20" s="1" t="s">
        <v>7039</v>
      </c>
      <c r="P20" s="1"/>
      <c r="Q20" s="1"/>
      <c r="R20" s="1" t="s">
        <v>11</v>
      </c>
      <c r="S20" s="1"/>
      <c r="T20" s="1"/>
      <c r="U20" s="1"/>
      <c r="V20" s="1"/>
      <c r="W20" s="1"/>
      <c r="X20" s="1"/>
      <c r="Y20" s="1"/>
      <c r="Z20" s="1"/>
      <c r="AA20" s="1"/>
      <c r="AB20" s="1" t="s">
        <v>7065</v>
      </c>
      <c r="AC20" s="1"/>
      <c r="AD20" s="1"/>
      <c r="AE20" s="1" t="s">
        <v>7041</v>
      </c>
      <c r="AF20" s="1"/>
      <c r="AG20" s="1"/>
      <c r="AH20" s="1" t="s">
        <v>7066</v>
      </c>
      <c r="AI20" s="1"/>
      <c r="AJ20" s="1" t="s">
        <v>6930</v>
      </c>
      <c r="AK20" s="1" t="s">
        <v>6931</v>
      </c>
      <c r="AL20" s="1" t="s">
        <v>6932</v>
      </c>
      <c r="AM20" s="1" t="s">
        <v>6930</v>
      </c>
      <c r="AN20" s="1" t="s">
        <v>6931</v>
      </c>
      <c r="AO20" s="1" t="s">
        <v>6932</v>
      </c>
      <c r="AP20" s="2" t="s">
        <v>7067</v>
      </c>
      <c r="AQ20" s="2" t="s">
        <v>1077</v>
      </c>
      <c r="AR20" s="1" t="s">
        <v>286</v>
      </c>
      <c r="AS20" s="1"/>
      <c r="AT20" s="1" t="s">
        <v>5</v>
      </c>
    </row>
    <row r="21" spans="1:46" hidden="1" x14ac:dyDescent="0.4">
      <c r="A21" s="1" t="s">
        <v>5725</v>
      </c>
      <c r="B21" s="10"/>
      <c r="C21" s="1" t="s">
        <v>2491</v>
      </c>
      <c r="D21" s="1" t="s">
        <v>2157</v>
      </c>
      <c r="E21" s="1" t="s">
        <v>2078</v>
      </c>
      <c r="F21" s="1" t="s">
        <v>14</v>
      </c>
      <c r="G21" s="1" t="s">
        <v>1</v>
      </c>
      <c r="H21" s="1" t="s">
        <v>6</v>
      </c>
      <c r="I21" s="1" t="s">
        <v>2</v>
      </c>
      <c r="J21" s="1" t="s">
        <v>2492</v>
      </c>
      <c r="K21" s="1" t="s">
        <v>5726</v>
      </c>
      <c r="L21" s="1" t="s">
        <v>7</v>
      </c>
      <c r="M21" s="1" t="s">
        <v>9</v>
      </c>
      <c r="N21" s="1" t="s">
        <v>5727</v>
      </c>
      <c r="O21" s="1" t="s">
        <v>5728</v>
      </c>
      <c r="P21" s="1"/>
      <c r="Q21" s="1"/>
      <c r="R21" s="1" t="s">
        <v>11</v>
      </c>
      <c r="S21" s="1"/>
      <c r="T21" s="1"/>
      <c r="U21" s="1"/>
      <c r="V21" s="1"/>
      <c r="W21" s="1"/>
      <c r="X21" s="1" t="s">
        <v>5729</v>
      </c>
      <c r="Y21" s="1"/>
      <c r="Z21" s="1"/>
      <c r="AA21" s="1"/>
      <c r="AB21" s="1" t="s">
        <v>5730</v>
      </c>
      <c r="AC21" s="1"/>
      <c r="AD21" s="1"/>
      <c r="AE21" s="1" t="s">
        <v>5731</v>
      </c>
      <c r="AF21" s="1"/>
      <c r="AG21" s="1"/>
      <c r="AH21" s="1" t="s">
        <v>5732</v>
      </c>
      <c r="AI21" s="1"/>
      <c r="AJ21" s="1" t="s">
        <v>5733</v>
      </c>
      <c r="AK21" s="1" t="s">
        <v>5734</v>
      </c>
      <c r="AL21" s="1" t="s">
        <v>5735</v>
      </c>
      <c r="AM21" s="1" t="s">
        <v>5736</v>
      </c>
      <c r="AN21" s="1" t="s">
        <v>5737</v>
      </c>
      <c r="AO21" s="1" t="s">
        <v>5738</v>
      </c>
      <c r="AP21" s="2" t="s">
        <v>5739</v>
      </c>
      <c r="AQ21" s="2" t="s">
        <v>1077</v>
      </c>
      <c r="AR21" s="1" t="s">
        <v>286</v>
      </c>
      <c r="AS21" s="1"/>
      <c r="AT21" s="1" t="s">
        <v>5</v>
      </c>
    </row>
    <row r="22" spans="1:46" hidden="1" x14ac:dyDescent="0.4">
      <c r="A22" s="1" t="s">
        <v>2854</v>
      </c>
      <c r="B22" s="10"/>
      <c r="C22" s="1" t="s">
        <v>0</v>
      </c>
      <c r="D22" s="1" t="s">
        <v>2396</v>
      </c>
      <c r="E22" s="1" t="s">
        <v>2078</v>
      </c>
      <c r="F22" s="1" t="s">
        <v>14</v>
      </c>
      <c r="G22" s="1" t="s">
        <v>1</v>
      </c>
      <c r="H22" s="1" t="s">
        <v>6</v>
      </c>
      <c r="I22" s="1" t="s">
        <v>2</v>
      </c>
      <c r="J22" s="1" t="s">
        <v>3</v>
      </c>
      <c r="K22" s="1" t="s">
        <v>2855</v>
      </c>
      <c r="L22" s="1" t="s">
        <v>4</v>
      </c>
      <c r="M22" s="1" t="s">
        <v>9</v>
      </c>
      <c r="N22" s="1" t="s">
        <v>2856</v>
      </c>
      <c r="O22" s="1" t="s">
        <v>2857</v>
      </c>
      <c r="P22" s="1"/>
      <c r="Q22" s="1"/>
      <c r="R22" s="1" t="s">
        <v>11</v>
      </c>
      <c r="S22" s="1"/>
      <c r="T22" s="1"/>
      <c r="U22" s="1"/>
      <c r="V22" s="1"/>
      <c r="W22" s="1" t="s">
        <v>2858</v>
      </c>
      <c r="X22" s="1"/>
      <c r="Y22" s="1"/>
      <c r="Z22" s="1"/>
      <c r="AA22" s="1"/>
      <c r="AB22" s="1" t="s">
        <v>2859</v>
      </c>
      <c r="AC22" s="1"/>
      <c r="AD22" s="1"/>
      <c r="AE22" s="1"/>
      <c r="AF22" s="1"/>
      <c r="AG22" s="1"/>
      <c r="AH22" s="1" t="s">
        <v>2860</v>
      </c>
      <c r="AI22" s="1"/>
      <c r="AJ22" s="1" t="s">
        <v>2861</v>
      </c>
      <c r="AK22" s="1" t="s">
        <v>2862</v>
      </c>
      <c r="AL22" s="1" t="s">
        <v>2863</v>
      </c>
      <c r="AM22" s="1" t="s">
        <v>2864</v>
      </c>
      <c r="AN22" s="1" t="s">
        <v>2862</v>
      </c>
      <c r="AO22" s="1" t="s">
        <v>2865</v>
      </c>
      <c r="AP22" s="2" t="s">
        <v>2866</v>
      </c>
      <c r="AQ22" s="2" t="s">
        <v>1155</v>
      </c>
      <c r="AR22" s="1"/>
      <c r="AS22" s="1"/>
      <c r="AT22" s="1" t="s">
        <v>5</v>
      </c>
    </row>
    <row r="23" spans="1:46" hidden="1" x14ac:dyDescent="0.4">
      <c r="A23" s="1" t="s">
        <v>5284</v>
      </c>
      <c r="B23" s="10"/>
      <c r="C23" s="1" t="s">
        <v>93</v>
      </c>
      <c r="D23" s="1" t="s">
        <v>2157</v>
      </c>
      <c r="E23" s="1" t="s">
        <v>2078</v>
      </c>
      <c r="F23" s="1" t="s">
        <v>14</v>
      </c>
      <c r="G23" s="1" t="s">
        <v>1</v>
      </c>
      <c r="H23" s="1" t="s">
        <v>6</v>
      </c>
      <c r="I23" s="1" t="s">
        <v>2</v>
      </c>
      <c r="J23" s="1" t="s">
        <v>3</v>
      </c>
      <c r="K23" s="1" t="s">
        <v>5285</v>
      </c>
      <c r="L23" s="1" t="s">
        <v>7</v>
      </c>
      <c r="M23" s="1"/>
      <c r="N23" s="1" t="s">
        <v>5286</v>
      </c>
      <c r="O23" s="1" t="s">
        <v>5256</v>
      </c>
      <c r="P23" s="1"/>
      <c r="Q23" s="1"/>
      <c r="R23" s="1" t="s">
        <v>11</v>
      </c>
      <c r="S23" s="1"/>
      <c r="T23" s="1"/>
      <c r="U23" s="1"/>
      <c r="V23" s="1"/>
      <c r="W23" s="1"/>
      <c r="X23" s="1"/>
      <c r="Y23" s="1"/>
      <c r="Z23" s="1"/>
      <c r="AA23" s="1"/>
      <c r="AB23" s="1" t="s">
        <v>5287</v>
      </c>
      <c r="AC23" s="1"/>
      <c r="AD23" s="1"/>
      <c r="AE23" s="1"/>
      <c r="AF23" s="1"/>
      <c r="AG23" s="1"/>
      <c r="AH23" s="1" t="s">
        <v>5288</v>
      </c>
      <c r="AI23" s="1"/>
      <c r="AJ23" s="1" t="s">
        <v>5259</v>
      </c>
      <c r="AK23" s="1" t="s">
        <v>5260</v>
      </c>
      <c r="AL23" s="1" t="s">
        <v>5261</v>
      </c>
      <c r="AM23" s="1" t="s">
        <v>5259</v>
      </c>
      <c r="AN23" s="1" t="s">
        <v>5260</v>
      </c>
      <c r="AO23" s="1" t="s">
        <v>5261</v>
      </c>
      <c r="AP23" s="2" t="s">
        <v>5289</v>
      </c>
      <c r="AQ23" s="2" t="s">
        <v>1077</v>
      </c>
      <c r="AR23" s="1" t="s">
        <v>286</v>
      </c>
      <c r="AS23" s="1" t="s">
        <v>5290</v>
      </c>
      <c r="AT23" s="1" t="s">
        <v>5</v>
      </c>
    </row>
    <row r="24" spans="1:46" hidden="1" x14ac:dyDescent="0.4">
      <c r="A24" s="1" t="s">
        <v>6989</v>
      </c>
      <c r="B24" s="10"/>
      <c r="C24" s="1" t="s">
        <v>6443</v>
      </c>
      <c r="D24" s="1" t="s">
        <v>2220</v>
      </c>
      <c r="E24" s="1" t="s">
        <v>2078</v>
      </c>
      <c r="F24" s="1" t="s">
        <v>14</v>
      </c>
      <c r="G24" s="1" t="s">
        <v>1</v>
      </c>
      <c r="H24" s="1" t="s">
        <v>6</v>
      </c>
      <c r="I24" s="1" t="s">
        <v>2</v>
      </c>
      <c r="J24" s="1" t="s">
        <v>3</v>
      </c>
      <c r="K24" s="1" t="s">
        <v>6990</v>
      </c>
      <c r="L24" s="1" t="s">
        <v>4</v>
      </c>
      <c r="M24" s="1"/>
      <c r="N24" s="1" t="s">
        <v>6991</v>
      </c>
      <c r="O24" s="1" t="s">
        <v>6992</v>
      </c>
      <c r="P24" s="1"/>
      <c r="Q24" s="1"/>
      <c r="R24" s="1" t="s">
        <v>11</v>
      </c>
      <c r="S24" s="1"/>
      <c r="T24" s="1"/>
      <c r="U24" s="1"/>
      <c r="V24" s="1"/>
      <c r="W24" s="1" t="s">
        <v>6993</v>
      </c>
      <c r="X24" s="1" t="s">
        <v>6994</v>
      </c>
      <c r="Y24" s="1"/>
      <c r="Z24" s="1"/>
      <c r="AA24" s="1"/>
      <c r="AB24" s="1" t="s">
        <v>6995</v>
      </c>
      <c r="AC24" s="1"/>
      <c r="AD24" s="1"/>
      <c r="AE24" s="1" t="s">
        <v>6996</v>
      </c>
      <c r="AF24" s="1"/>
      <c r="AG24" s="1"/>
      <c r="AH24" s="1" t="s">
        <v>6997</v>
      </c>
      <c r="AI24" s="1"/>
      <c r="AJ24" s="1" t="s">
        <v>6451</v>
      </c>
      <c r="AK24" s="1" t="s">
        <v>6452</v>
      </c>
      <c r="AL24" s="1" t="s">
        <v>6453</v>
      </c>
      <c r="AM24" s="1" t="s">
        <v>6451</v>
      </c>
      <c r="AN24" s="1" t="s">
        <v>6452</v>
      </c>
      <c r="AO24" s="1" t="s">
        <v>6453</v>
      </c>
      <c r="AP24" s="2" t="s">
        <v>6998</v>
      </c>
      <c r="AQ24" s="2" t="s">
        <v>1077</v>
      </c>
      <c r="AR24" s="1" t="s">
        <v>286</v>
      </c>
      <c r="AS24" s="1"/>
      <c r="AT24" s="1" t="s">
        <v>5</v>
      </c>
    </row>
    <row r="25" spans="1:46" hidden="1" x14ac:dyDescent="0.4">
      <c r="A25" s="1" t="s">
        <v>7015</v>
      </c>
      <c r="B25" s="10"/>
      <c r="C25" s="1" t="s">
        <v>6443</v>
      </c>
      <c r="D25" s="1" t="s">
        <v>2220</v>
      </c>
      <c r="E25" s="1" t="s">
        <v>2078</v>
      </c>
      <c r="F25" s="1" t="s">
        <v>14</v>
      </c>
      <c r="G25" s="1" t="s">
        <v>1</v>
      </c>
      <c r="H25" s="1" t="s">
        <v>6</v>
      </c>
      <c r="I25" s="1" t="s">
        <v>2</v>
      </c>
      <c r="J25" s="1" t="s">
        <v>3</v>
      </c>
      <c r="K25" s="1" t="s">
        <v>7016</v>
      </c>
      <c r="L25" s="1" t="s">
        <v>4</v>
      </c>
      <c r="M25" s="1"/>
      <c r="N25" s="1" t="s">
        <v>7017</v>
      </c>
      <c r="O25" s="1" t="s">
        <v>6992</v>
      </c>
      <c r="P25" s="1"/>
      <c r="Q25" s="1"/>
      <c r="R25" s="1" t="s">
        <v>11</v>
      </c>
      <c r="S25" s="1"/>
      <c r="T25" s="1"/>
      <c r="U25" s="1"/>
      <c r="V25" s="1"/>
      <c r="W25" s="1" t="s">
        <v>6993</v>
      </c>
      <c r="X25" s="1" t="s">
        <v>6994</v>
      </c>
      <c r="Y25" s="1"/>
      <c r="Z25" s="1"/>
      <c r="AA25" s="1"/>
      <c r="AB25" s="1" t="s">
        <v>7018</v>
      </c>
      <c r="AC25" s="1"/>
      <c r="AD25" s="1"/>
      <c r="AE25" s="1"/>
      <c r="AF25" s="1"/>
      <c r="AG25" s="1"/>
      <c r="AH25" s="1" t="s">
        <v>7019</v>
      </c>
      <c r="AI25" s="1"/>
      <c r="AJ25" s="1" t="s">
        <v>6451</v>
      </c>
      <c r="AK25" s="1" t="s">
        <v>6452</v>
      </c>
      <c r="AL25" s="1" t="s">
        <v>6453</v>
      </c>
      <c r="AM25" s="1" t="s">
        <v>6451</v>
      </c>
      <c r="AN25" s="1" t="s">
        <v>6452</v>
      </c>
      <c r="AO25" s="1" t="s">
        <v>6453</v>
      </c>
      <c r="AP25" s="2" t="s">
        <v>7020</v>
      </c>
      <c r="AQ25" s="2" t="s">
        <v>1077</v>
      </c>
      <c r="AR25" s="1" t="s">
        <v>286</v>
      </c>
      <c r="AS25" s="1"/>
      <c r="AT25" s="1" t="s">
        <v>5</v>
      </c>
    </row>
    <row r="26" spans="1:46" hidden="1" x14ac:dyDescent="0.4">
      <c r="A26" s="1" t="s">
        <v>6493</v>
      </c>
      <c r="B26" s="10"/>
      <c r="C26" s="1" t="s">
        <v>2491</v>
      </c>
      <c r="D26" s="1" t="s">
        <v>2396</v>
      </c>
      <c r="E26" s="1" t="s">
        <v>2078</v>
      </c>
      <c r="F26" s="1" t="s">
        <v>14</v>
      </c>
      <c r="G26" s="1" t="s">
        <v>1</v>
      </c>
      <c r="H26" s="1" t="s">
        <v>6</v>
      </c>
      <c r="I26" s="1" t="s">
        <v>2</v>
      </c>
      <c r="J26" s="1" t="s">
        <v>2492</v>
      </c>
      <c r="K26" s="1" t="s">
        <v>6494</v>
      </c>
      <c r="L26" s="1" t="s">
        <v>7</v>
      </c>
      <c r="M26" s="1" t="s">
        <v>9</v>
      </c>
      <c r="N26" s="1" t="s">
        <v>6495</v>
      </c>
      <c r="O26" s="1" t="s">
        <v>6496</v>
      </c>
      <c r="P26" s="1"/>
      <c r="Q26" s="1"/>
      <c r="R26" s="1" t="s">
        <v>11</v>
      </c>
      <c r="S26" s="1"/>
      <c r="T26" s="1"/>
      <c r="U26" s="1"/>
      <c r="V26" s="1"/>
      <c r="W26" s="1" t="s">
        <v>6497</v>
      </c>
      <c r="X26" s="1"/>
      <c r="Y26" s="1"/>
      <c r="Z26" s="1"/>
      <c r="AA26" s="1"/>
      <c r="AB26" s="1" t="s">
        <v>6498</v>
      </c>
      <c r="AC26" s="1"/>
      <c r="AD26" s="1"/>
      <c r="AE26" s="1" t="s">
        <v>6499</v>
      </c>
      <c r="AF26" s="1"/>
      <c r="AG26" s="1"/>
      <c r="AH26" s="1" t="s">
        <v>6500</v>
      </c>
      <c r="AI26" s="1" t="s">
        <v>6501</v>
      </c>
      <c r="AJ26" s="1" t="s">
        <v>4973</v>
      </c>
      <c r="AK26" s="1" t="s">
        <v>4974</v>
      </c>
      <c r="AL26" s="1" t="s">
        <v>4975</v>
      </c>
      <c r="AM26" s="1" t="s">
        <v>6502</v>
      </c>
      <c r="AN26" s="1" t="s">
        <v>4974</v>
      </c>
      <c r="AO26" s="1" t="s">
        <v>6503</v>
      </c>
      <c r="AP26" s="2" t="s">
        <v>6504</v>
      </c>
      <c r="AQ26" s="2" t="s">
        <v>1077</v>
      </c>
      <c r="AR26" s="1" t="s">
        <v>286</v>
      </c>
      <c r="AS26" s="1"/>
      <c r="AT26" s="1" t="s">
        <v>5</v>
      </c>
    </row>
    <row r="27" spans="1:46" hidden="1" x14ac:dyDescent="0.4">
      <c r="A27" s="1" t="s">
        <v>2826</v>
      </c>
      <c r="B27" s="10"/>
      <c r="C27" s="1" t="s">
        <v>0</v>
      </c>
      <c r="D27" s="1" t="s">
        <v>2827</v>
      </c>
      <c r="E27" s="1" t="s">
        <v>2078</v>
      </c>
      <c r="F27" s="1" t="s">
        <v>14</v>
      </c>
      <c r="G27" s="1" t="s">
        <v>1</v>
      </c>
      <c r="H27" s="1" t="s">
        <v>6</v>
      </c>
      <c r="I27" s="1" t="s">
        <v>2</v>
      </c>
      <c r="J27" s="1" t="s">
        <v>3</v>
      </c>
      <c r="K27" s="1" t="s">
        <v>2828</v>
      </c>
      <c r="L27" s="1" t="s">
        <v>4</v>
      </c>
      <c r="M27" s="1" t="s">
        <v>9</v>
      </c>
      <c r="N27" s="1" t="s">
        <v>2829</v>
      </c>
      <c r="O27" s="1" t="s">
        <v>2238</v>
      </c>
      <c r="P27" s="1"/>
      <c r="Q27" s="1"/>
      <c r="R27" s="1" t="s">
        <v>11</v>
      </c>
      <c r="S27" s="1"/>
      <c r="T27" s="1"/>
      <c r="U27" s="1"/>
      <c r="V27" s="1"/>
      <c r="W27" s="1"/>
      <c r="X27" s="1" t="s">
        <v>2830</v>
      </c>
      <c r="Y27" s="1"/>
      <c r="Z27" s="1"/>
      <c r="AA27" s="1"/>
      <c r="AB27" s="1" t="s">
        <v>2831</v>
      </c>
      <c r="AC27" s="1"/>
      <c r="AD27" s="1"/>
      <c r="AE27" s="1" t="s">
        <v>2832</v>
      </c>
      <c r="AF27" s="1"/>
      <c r="AG27" s="1"/>
      <c r="AH27" s="1" t="s">
        <v>2833</v>
      </c>
      <c r="AI27" s="1"/>
      <c r="AJ27" s="1" t="s">
        <v>2834</v>
      </c>
      <c r="AK27" s="1" t="s">
        <v>2835</v>
      </c>
      <c r="AL27" s="1"/>
      <c r="AM27" s="1" t="s">
        <v>2836</v>
      </c>
      <c r="AN27" s="1" t="s">
        <v>2837</v>
      </c>
      <c r="AO27" s="1"/>
      <c r="AP27" s="2" t="s">
        <v>2838</v>
      </c>
      <c r="AQ27" s="2" t="s">
        <v>1077</v>
      </c>
      <c r="AR27" s="1"/>
      <c r="AS27" s="1" t="s">
        <v>2839</v>
      </c>
      <c r="AT27" s="1" t="s">
        <v>5</v>
      </c>
    </row>
    <row r="28" spans="1:46" hidden="1" x14ac:dyDescent="0.4">
      <c r="A28" s="1" t="s">
        <v>9065</v>
      </c>
      <c r="B28" s="10"/>
      <c r="C28" s="1" t="s">
        <v>2544</v>
      </c>
      <c r="D28" s="1" t="s">
        <v>2157</v>
      </c>
      <c r="E28" s="1" t="s">
        <v>2078</v>
      </c>
      <c r="F28" s="1" t="s">
        <v>14</v>
      </c>
      <c r="G28" s="1" t="s">
        <v>1</v>
      </c>
      <c r="H28" s="1" t="s">
        <v>6</v>
      </c>
      <c r="I28" s="1" t="s">
        <v>2</v>
      </c>
      <c r="J28" s="1" t="s">
        <v>2451</v>
      </c>
      <c r="K28" s="1" t="s">
        <v>9066</v>
      </c>
      <c r="L28" s="1" t="s">
        <v>7</v>
      </c>
      <c r="M28" s="1" t="s">
        <v>9</v>
      </c>
      <c r="N28" s="1" t="s">
        <v>9067</v>
      </c>
      <c r="O28" s="1" t="s">
        <v>4944</v>
      </c>
      <c r="P28" s="1"/>
      <c r="Q28" s="1"/>
      <c r="R28" s="1" t="s">
        <v>11</v>
      </c>
      <c r="S28" s="1"/>
      <c r="T28" s="1"/>
      <c r="U28" s="1"/>
      <c r="V28" s="1"/>
      <c r="W28" s="1" t="s">
        <v>9068</v>
      </c>
      <c r="X28" s="1" t="s">
        <v>9069</v>
      </c>
      <c r="Y28" s="1"/>
      <c r="Z28" s="1"/>
      <c r="AA28" s="1"/>
      <c r="AB28" s="1" t="s">
        <v>9070</v>
      </c>
      <c r="AC28" s="1"/>
      <c r="AD28" s="1"/>
      <c r="AE28" s="1" t="s">
        <v>9071</v>
      </c>
      <c r="AF28" s="1"/>
      <c r="AG28" s="1"/>
      <c r="AH28" s="1" t="s">
        <v>9072</v>
      </c>
      <c r="AI28" s="1"/>
      <c r="AJ28" s="1" t="s">
        <v>9073</v>
      </c>
      <c r="AK28" s="1" t="s">
        <v>9074</v>
      </c>
      <c r="AL28" s="1" t="s">
        <v>9075</v>
      </c>
      <c r="AM28" s="1" t="s">
        <v>9076</v>
      </c>
      <c r="AN28" s="1" t="s">
        <v>9077</v>
      </c>
      <c r="AO28" s="1" t="s">
        <v>9078</v>
      </c>
      <c r="AP28" s="2" t="s">
        <v>9079</v>
      </c>
      <c r="AQ28" s="2" t="s">
        <v>1154</v>
      </c>
      <c r="AR28" s="1" t="s">
        <v>286</v>
      </c>
      <c r="AS28" s="1"/>
      <c r="AT28" s="1" t="s">
        <v>5</v>
      </c>
    </row>
    <row r="29" spans="1:46" hidden="1" x14ac:dyDescent="0.4">
      <c r="A29" s="1" t="s">
        <v>8827</v>
      </c>
      <c r="B29" s="10"/>
      <c r="C29" s="1" t="s">
        <v>2091</v>
      </c>
      <c r="D29" s="1" t="s">
        <v>2396</v>
      </c>
      <c r="E29" s="1" t="s">
        <v>2078</v>
      </c>
      <c r="F29" s="1" t="s">
        <v>14</v>
      </c>
      <c r="G29" s="1" t="s">
        <v>1</v>
      </c>
      <c r="H29" s="1" t="s">
        <v>6</v>
      </c>
      <c r="I29" s="1" t="s">
        <v>2</v>
      </c>
      <c r="J29" s="1" t="s">
        <v>3</v>
      </c>
      <c r="K29" s="1" t="s">
        <v>8828</v>
      </c>
      <c r="L29" s="1" t="s">
        <v>7</v>
      </c>
      <c r="M29" s="1"/>
      <c r="N29" s="1" t="s">
        <v>8829</v>
      </c>
      <c r="O29" s="1" t="s">
        <v>8810</v>
      </c>
      <c r="P29" s="1"/>
      <c r="Q29" s="1"/>
      <c r="R29" s="1" t="s">
        <v>11</v>
      </c>
      <c r="S29" s="1"/>
      <c r="T29" s="1"/>
      <c r="U29" s="1"/>
      <c r="V29" s="1"/>
      <c r="W29" s="1" t="s">
        <v>8830</v>
      </c>
      <c r="X29" s="1"/>
      <c r="Y29" s="1"/>
      <c r="Z29" s="1"/>
      <c r="AA29" s="1"/>
      <c r="AB29" s="1" t="s">
        <v>8831</v>
      </c>
      <c r="AC29" s="1"/>
      <c r="AD29" s="1"/>
      <c r="AE29" s="1" t="s">
        <v>8813</v>
      </c>
      <c r="AF29" s="1"/>
      <c r="AG29" s="1"/>
      <c r="AH29" s="1" t="s">
        <v>8832</v>
      </c>
      <c r="AI29" s="1"/>
      <c r="AJ29" s="1" t="s">
        <v>8815</v>
      </c>
      <c r="AK29" s="1" t="s">
        <v>4886</v>
      </c>
      <c r="AL29" s="1" t="s">
        <v>8816</v>
      </c>
      <c r="AM29" s="1" t="s">
        <v>8815</v>
      </c>
      <c r="AN29" s="1" t="s">
        <v>4886</v>
      </c>
      <c r="AO29" s="1" t="s">
        <v>8816</v>
      </c>
      <c r="AP29" s="2" t="s">
        <v>8833</v>
      </c>
      <c r="AQ29" s="2" t="s">
        <v>1154</v>
      </c>
      <c r="AR29" s="1" t="s">
        <v>286</v>
      </c>
      <c r="AS29" s="1" t="s">
        <v>8834</v>
      </c>
      <c r="AT29" s="1" t="s">
        <v>5</v>
      </c>
    </row>
    <row r="30" spans="1:46" hidden="1" x14ac:dyDescent="0.4">
      <c r="A30" s="1" t="s">
        <v>7270</v>
      </c>
      <c r="B30" s="10"/>
      <c r="C30" s="1" t="s">
        <v>93</v>
      </c>
      <c r="D30" s="1" t="s">
        <v>2396</v>
      </c>
      <c r="E30" s="1" t="s">
        <v>2478</v>
      </c>
      <c r="F30" s="1" t="s">
        <v>14</v>
      </c>
      <c r="G30" s="1" t="s">
        <v>1</v>
      </c>
      <c r="H30" s="1" t="s">
        <v>6</v>
      </c>
      <c r="I30" s="1" t="s">
        <v>2</v>
      </c>
      <c r="J30" s="1" t="s">
        <v>3</v>
      </c>
      <c r="K30" s="1" t="s">
        <v>7271</v>
      </c>
      <c r="L30" s="1" t="s">
        <v>4</v>
      </c>
      <c r="M30" s="1"/>
      <c r="N30" s="1" t="s">
        <v>7272</v>
      </c>
      <c r="O30" s="1" t="s">
        <v>3321</v>
      </c>
      <c r="P30" s="1"/>
      <c r="Q30" s="1"/>
      <c r="R30" s="1" t="s">
        <v>11</v>
      </c>
      <c r="S30" s="1"/>
      <c r="T30" s="1"/>
      <c r="U30" s="1"/>
      <c r="V30" s="1"/>
      <c r="W30" s="1" t="s">
        <v>7273</v>
      </c>
      <c r="X30" s="1"/>
      <c r="Y30" s="1"/>
      <c r="Z30" s="1"/>
      <c r="AA30" s="1"/>
      <c r="AB30" s="1" t="s">
        <v>7274</v>
      </c>
      <c r="AC30" s="1"/>
      <c r="AD30" s="1"/>
      <c r="AE30" s="1" t="s">
        <v>7266</v>
      </c>
      <c r="AF30" s="1"/>
      <c r="AG30" s="1"/>
      <c r="AH30" s="1" t="s">
        <v>7275</v>
      </c>
      <c r="AI30" s="1"/>
      <c r="AJ30" s="1" t="s">
        <v>253</v>
      </c>
      <c r="AK30" s="1" t="s">
        <v>329</v>
      </c>
      <c r="AL30" s="1" t="s">
        <v>254</v>
      </c>
      <c r="AM30" s="1" t="s">
        <v>253</v>
      </c>
      <c r="AN30" s="1" t="s">
        <v>329</v>
      </c>
      <c r="AO30" s="1" t="s">
        <v>254</v>
      </c>
      <c r="AP30" s="2" t="s">
        <v>7276</v>
      </c>
      <c r="AQ30" s="2" t="s">
        <v>1077</v>
      </c>
      <c r="AR30" s="1" t="s">
        <v>286</v>
      </c>
      <c r="AS30" s="1" t="s">
        <v>7277</v>
      </c>
      <c r="AT30" s="1" t="s">
        <v>5</v>
      </c>
    </row>
    <row r="31" spans="1:46" hidden="1" x14ac:dyDescent="0.4">
      <c r="A31" s="1" t="s">
        <v>10504</v>
      </c>
      <c r="B31" s="10"/>
      <c r="C31" s="1" t="s">
        <v>2544</v>
      </c>
      <c r="D31" s="1" t="s">
        <v>2076</v>
      </c>
      <c r="E31" s="1" t="s">
        <v>2078</v>
      </c>
      <c r="F31" s="1" t="s">
        <v>14</v>
      </c>
      <c r="G31" s="1" t="s">
        <v>1</v>
      </c>
      <c r="H31" s="1" t="s">
        <v>6</v>
      </c>
      <c r="I31" s="1" t="s">
        <v>2</v>
      </c>
      <c r="J31" s="1" t="s">
        <v>2451</v>
      </c>
      <c r="K31" s="1" t="s">
        <v>10505</v>
      </c>
      <c r="L31" s="1" t="s">
        <v>7</v>
      </c>
      <c r="M31" s="1" t="s">
        <v>9</v>
      </c>
      <c r="N31" s="1" t="s">
        <v>10506</v>
      </c>
      <c r="O31" s="1" t="s">
        <v>4311</v>
      </c>
      <c r="P31" s="1"/>
      <c r="Q31" s="1"/>
      <c r="R31" s="1" t="s">
        <v>11</v>
      </c>
      <c r="S31" s="1"/>
      <c r="T31" s="1"/>
      <c r="U31" s="1"/>
      <c r="V31" s="1"/>
      <c r="W31" s="1"/>
      <c r="X31" s="1" t="s">
        <v>10507</v>
      </c>
      <c r="Y31" s="1"/>
      <c r="Z31" s="1"/>
      <c r="AA31" s="1"/>
      <c r="AB31" s="1" t="s">
        <v>10508</v>
      </c>
      <c r="AC31" s="1"/>
      <c r="AD31" s="1"/>
      <c r="AE31" s="1"/>
      <c r="AF31" s="1"/>
      <c r="AG31" s="1"/>
      <c r="AH31" s="1" t="s">
        <v>10509</v>
      </c>
      <c r="AI31" s="1"/>
      <c r="AJ31" s="1" t="s">
        <v>9259</v>
      </c>
      <c r="AK31" s="1" t="s">
        <v>9260</v>
      </c>
      <c r="AL31" s="1" t="s">
        <v>9261</v>
      </c>
      <c r="AM31" s="1" t="s">
        <v>10510</v>
      </c>
      <c r="AN31" s="1" t="s">
        <v>9263</v>
      </c>
      <c r="AO31" s="1" t="s">
        <v>10511</v>
      </c>
      <c r="AP31" s="2" t="s">
        <v>10512</v>
      </c>
      <c r="AQ31" s="2" t="s">
        <v>1155</v>
      </c>
      <c r="AR31" s="1" t="s">
        <v>286</v>
      </c>
      <c r="AS31" s="1" t="s">
        <v>10513</v>
      </c>
      <c r="AT31" s="1" t="s">
        <v>5</v>
      </c>
    </row>
    <row r="32" spans="1:46" hidden="1" x14ac:dyDescent="0.4">
      <c r="A32" s="1" t="s">
        <v>2948</v>
      </c>
      <c r="B32" s="10"/>
      <c r="C32" s="1" t="s">
        <v>0</v>
      </c>
      <c r="D32" s="1" t="s">
        <v>2157</v>
      </c>
      <c r="E32" s="1" t="s">
        <v>2078</v>
      </c>
      <c r="F32" s="1" t="s">
        <v>14</v>
      </c>
      <c r="G32" s="1" t="s">
        <v>1</v>
      </c>
      <c r="H32" s="1" t="s">
        <v>6</v>
      </c>
      <c r="I32" s="1" t="s">
        <v>2</v>
      </c>
      <c r="J32" s="1" t="s">
        <v>3</v>
      </c>
      <c r="K32" s="1" t="s">
        <v>2949</v>
      </c>
      <c r="L32" s="1" t="s">
        <v>7</v>
      </c>
      <c r="M32" s="1" t="s">
        <v>9</v>
      </c>
      <c r="N32" s="1" t="s">
        <v>2950</v>
      </c>
      <c r="O32" s="1" t="s">
        <v>2648</v>
      </c>
      <c r="P32" s="1"/>
      <c r="Q32" s="1"/>
      <c r="R32" s="1" t="s">
        <v>11</v>
      </c>
      <c r="S32" s="1"/>
      <c r="T32" s="1"/>
      <c r="U32" s="1"/>
      <c r="V32" s="1"/>
      <c r="W32" s="1"/>
      <c r="X32" s="1" t="s">
        <v>2951</v>
      </c>
      <c r="Y32" s="1"/>
      <c r="Z32" s="1"/>
      <c r="AA32" s="1"/>
      <c r="AB32" s="1" t="s">
        <v>2952</v>
      </c>
      <c r="AC32" s="1"/>
      <c r="AD32" s="1"/>
      <c r="AE32" s="1"/>
      <c r="AF32" s="1"/>
      <c r="AG32" s="1"/>
      <c r="AH32" s="1" t="s">
        <v>2953</v>
      </c>
      <c r="AI32" s="1"/>
      <c r="AJ32" s="1" t="s">
        <v>2954</v>
      </c>
      <c r="AK32" s="1" t="s">
        <v>2955</v>
      </c>
      <c r="AL32" s="1"/>
      <c r="AM32" s="1" t="s">
        <v>2956</v>
      </c>
      <c r="AN32" s="1" t="s">
        <v>2955</v>
      </c>
      <c r="AO32" s="1"/>
      <c r="AP32" s="2" t="s">
        <v>2957</v>
      </c>
      <c r="AQ32" s="2" t="s">
        <v>1077</v>
      </c>
      <c r="AR32" s="1"/>
      <c r="AS32" s="1"/>
      <c r="AT32" s="1" t="s">
        <v>5</v>
      </c>
    </row>
    <row r="33" spans="1:46" hidden="1" x14ac:dyDescent="0.4">
      <c r="A33" s="1" t="s">
        <v>6006</v>
      </c>
      <c r="B33" s="10"/>
      <c r="C33" s="1" t="s">
        <v>5198</v>
      </c>
      <c r="D33" s="1" t="s">
        <v>2076</v>
      </c>
      <c r="E33" s="1" t="s">
        <v>2078</v>
      </c>
      <c r="F33" s="1" t="s">
        <v>14</v>
      </c>
      <c r="G33" s="1" t="s">
        <v>1</v>
      </c>
      <c r="H33" s="1" t="s">
        <v>6</v>
      </c>
      <c r="I33" s="1" t="s">
        <v>2</v>
      </c>
      <c r="J33" s="1" t="s">
        <v>5199</v>
      </c>
      <c r="K33" s="1" t="s">
        <v>6007</v>
      </c>
      <c r="L33" s="1" t="s">
        <v>7</v>
      </c>
      <c r="M33" s="1"/>
      <c r="N33" s="1" t="s">
        <v>6008</v>
      </c>
      <c r="O33" s="1" t="s">
        <v>6009</v>
      </c>
      <c r="P33" s="1"/>
      <c r="Q33" s="1"/>
      <c r="R33" s="1" t="s">
        <v>11</v>
      </c>
      <c r="S33" s="1"/>
      <c r="T33" s="1"/>
      <c r="U33" s="1"/>
      <c r="V33" s="1"/>
      <c r="W33" s="1" t="s">
        <v>6010</v>
      </c>
      <c r="X33" s="1" t="s">
        <v>6011</v>
      </c>
      <c r="Y33" s="1"/>
      <c r="Z33" s="1"/>
      <c r="AA33" s="1"/>
      <c r="AB33" s="1" t="s">
        <v>6012</v>
      </c>
      <c r="AC33" s="1"/>
      <c r="AD33" s="1"/>
      <c r="AE33" s="1" t="s">
        <v>6013</v>
      </c>
      <c r="AF33" s="1"/>
      <c r="AG33" s="1"/>
      <c r="AH33" s="1" t="s">
        <v>6014</v>
      </c>
      <c r="AI33" s="1"/>
      <c r="AJ33" s="1" t="s">
        <v>5448</v>
      </c>
      <c r="AK33" s="1" t="s">
        <v>5449</v>
      </c>
      <c r="AL33" s="1" t="s">
        <v>5450</v>
      </c>
      <c r="AM33" s="1" t="s">
        <v>5451</v>
      </c>
      <c r="AN33" s="1" t="s">
        <v>5452</v>
      </c>
      <c r="AO33" s="1" t="s">
        <v>5453</v>
      </c>
      <c r="AP33" s="2" t="s">
        <v>6015</v>
      </c>
      <c r="AQ33" s="2" t="s">
        <v>1077</v>
      </c>
      <c r="AR33" s="1" t="s">
        <v>286</v>
      </c>
      <c r="AS33" s="1"/>
      <c r="AT33" s="1" t="s">
        <v>5</v>
      </c>
    </row>
    <row r="34" spans="1:46" hidden="1" x14ac:dyDescent="0.4">
      <c r="A34" s="1" t="s">
        <v>9527</v>
      </c>
      <c r="B34" s="10"/>
      <c r="C34" s="1" t="s">
        <v>93</v>
      </c>
      <c r="D34" s="1" t="s">
        <v>2396</v>
      </c>
      <c r="E34" s="1" t="s">
        <v>2078</v>
      </c>
      <c r="F34" s="1" t="s">
        <v>14</v>
      </c>
      <c r="G34" s="1" t="s">
        <v>1</v>
      </c>
      <c r="H34" s="1" t="s">
        <v>6</v>
      </c>
      <c r="I34" s="1" t="s">
        <v>2</v>
      </c>
      <c r="J34" s="1" t="s">
        <v>3</v>
      </c>
      <c r="K34" s="1" t="s">
        <v>9528</v>
      </c>
      <c r="L34" s="1" t="s">
        <v>4</v>
      </c>
      <c r="M34" s="1"/>
      <c r="N34" s="1" t="s">
        <v>9529</v>
      </c>
      <c r="O34" s="1" t="s">
        <v>3321</v>
      </c>
      <c r="P34" s="1"/>
      <c r="Q34" s="1"/>
      <c r="R34" s="1" t="s">
        <v>11</v>
      </c>
      <c r="S34" s="1"/>
      <c r="T34" s="1"/>
      <c r="U34" s="1"/>
      <c r="V34" s="1"/>
      <c r="W34" s="1" t="s">
        <v>7264</v>
      </c>
      <c r="X34" s="1"/>
      <c r="Y34" s="1"/>
      <c r="Z34" s="1"/>
      <c r="AA34" s="1"/>
      <c r="AB34" s="1" t="s">
        <v>9530</v>
      </c>
      <c r="AC34" s="1"/>
      <c r="AD34" s="1"/>
      <c r="AE34" s="1" t="s">
        <v>7266</v>
      </c>
      <c r="AF34" s="1"/>
      <c r="AG34" s="1"/>
      <c r="AH34" s="1" t="s">
        <v>9531</v>
      </c>
      <c r="AI34" s="1"/>
      <c r="AJ34" s="1" t="s">
        <v>253</v>
      </c>
      <c r="AK34" s="1" t="s">
        <v>329</v>
      </c>
      <c r="AL34" s="1" t="s">
        <v>254</v>
      </c>
      <c r="AM34" s="1" t="s">
        <v>253</v>
      </c>
      <c r="AN34" s="1" t="s">
        <v>329</v>
      </c>
      <c r="AO34" s="1" t="s">
        <v>254</v>
      </c>
      <c r="AP34" s="2" t="s">
        <v>9532</v>
      </c>
      <c r="AQ34" s="2" t="s">
        <v>1155</v>
      </c>
      <c r="AR34" s="1" t="s">
        <v>286</v>
      </c>
      <c r="AS34" s="1" t="s">
        <v>9533</v>
      </c>
      <c r="AT34" s="1" t="s">
        <v>5</v>
      </c>
    </row>
    <row r="35" spans="1:46" hidden="1" x14ac:dyDescent="0.4">
      <c r="A35" s="1" t="s">
        <v>2590</v>
      </c>
      <c r="B35" s="10"/>
      <c r="C35" s="1" t="s">
        <v>2454</v>
      </c>
      <c r="D35" s="1" t="s">
        <v>2157</v>
      </c>
      <c r="E35" s="1" t="s">
        <v>2078</v>
      </c>
      <c r="F35" s="1" t="s">
        <v>14</v>
      </c>
      <c r="G35" s="1" t="s">
        <v>1</v>
      </c>
      <c r="H35" s="1" t="s">
        <v>6</v>
      </c>
      <c r="I35" s="1" t="s">
        <v>2</v>
      </c>
      <c r="J35" s="1" t="s">
        <v>3</v>
      </c>
      <c r="K35" s="1" t="s">
        <v>2591</v>
      </c>
      <c r="L35" s="1" t="s">
        <v>7</v>
      </c>
      <c r="M35" s="1"/>
      <c r="N35" s="1" t="s">
        <v>2592</v>
      </c>
      <c r="O35" s="1" t="s">
        <v>2238</v>
      </c>
      <c r="P35" s="1"/>
      <c r="Q35" s="1"/>
      <c r="R35" s="1"/>
      <c r="S35" s="1"/>
      <c r="T35" s="1"/>
      <c r="U35" s="1"/>
      <c r="V35" s="1"/>
      <c r="W35" s="1"/>
      <c r="X35" s="1" t="s">
        <v>2593</v>
      </c>
      <c r="Y35" s="1"/>
      <c r="Z35" s="1"/>
      <c r="AA35" s="1"/>
      <c r="AB35" s="1" t="s">
        <v>2594</v>
      </c>
      <c r="AC35" s="1"/>
      <c r="AD35" s="1"/>
      <c r="AE35" s="1"/>
      <c r="AF35" s="1"/>
      <c r="AG35" s="1"/>
      <c r="AH35" s="1" t="s">
        <v>2595</v>
      </c>
      <c r="AI35" s="1"/>
      <c r="AJ35" s="1" t="s">
        <v>2596</v>
      </c>
      <c r="AK35" s="1" t="s">
        <v>2597</v>
      </c>
      <c r="AL35" s="1"/>
      <c r="AM35" s="1" t="s">
        <v>2598</v>
      </c>
      <c r="AN35" s="1" t="s">
        <v>2597</v>
      </c>
      <c r="AO35" s="1"/>
      <c r="AP35" s="2" t="s">
        <v>2599</v>
      </c>
      <c r="AQ35" s="2" t="s">
        <v>1155</v>
      </c>
      <c r="AR35" s="1"/>
      <c r="AS35" s="1"/>
      <c r="AT35" s="1" t="s">
        <v>5</v>
      </c>
    </row>
    <row r="36" spans="1:46" hidden="1" x14ac:dyDescent="0.4">
      <c r="A36" s="1" t="s">
        <v>3635</v>
      </c>
      <c r="B36" s="10"/>
      <c r="C36" s="1" t="s">
        <v>2491</v>
      </c>
      <c r="D36" s="1" t="s">
        <v>2157</v>
      </c>
      <c r="E36" s="1" t="s">
        <v>2078</v>
      </c>
      <c r="F36" s="1" t="s">
        <v>14</v>
      </c>
      <c r="G36" s="1" t="s">
        <v>1</v>
      </c>
      <c r="H36" s="1" t="s">
        <v>6</v>
      </c>
      <c r="I36" s="1" t="s">
        <v>2</v>
      </c>
      <c r="J36" s="1" t="s">
        <v>2492</v>
      </c>
      <c r="K36" s="1" t="s">
        <v>3636</v>
      </c>
      <c r="L36" s="1" t="s">
        <v>7</v>
      </c>
      <c r="M36" s="1" t="s">
        <v>9</v>
      </c>
      <c r="N36" s="1" t="s">
        <v>3637</v>
      </c>
      <c r="O36" s="1" t="s">
        <v>3638</v>
      </c>
      <c r="P36" s="1"/>
      <c r="Q36" s="1"/>
      <c r="R36" s="1" t="s">
        <v>11</v>
      </c>
      <c r="S36" s="1"/>
      <c r="T36" s="1"/>
      <c r="U36" s="1"/>
      <c r="V36" s="1"/>
      <c r="W36" s="1" t="s">
        <v>3639</v>
      </c>
      <c r="X36" s="1" t="s">
        <v>3640</v>
      </c>
      <c r="Y36" s="1"/>
      <c r="Z36" s="1"/>
      <c r="AA36" s="1"/>
      <c r="AB36" s="1" t="s">
        <v>3641</v>
      </c>
      <c r="AC36" s="1"/>
      <c r="AD36" s="1"/>
      <c r="AE36" s="1" t="s">
        <v>3642</v>
      </c>
      <c r="AF36" s="1"/>
      <c r="AG36" s="1"/>
      <c r="AH36" s="1" t="s">
        <v>3643</v>
      </c>
      <c r="AI36" s="1"/>
      <c r="AJ36" s="1" t="s">
        <v>3644</v>
      </c>
      <c r="AK36" s="1" t="s">
        <v>3645</v>
      </c>
      <c r="AL36" s="1" t="s">
        <v>3646</v>
      </c>
      <c r="AM36" s="1" t="s">
        <v>3647</v>
      </c>
      <c r="AN36" s="1" t="s">
        <v>3645</v>
      </c>
      <c r="AO36" s="1" t="s">
        <v>3648</v>
      </c>
      <c r="AP36" s="2" t="s">
        <v>3649</v>
      </c>
      <c r="AQ36" s="2" t="s">
        <v>1153</v>
      </c>
      <c r="AR36" s="1" t="s">
        <v>287</v>
      </c>
      <c r="AS36" s="1"/>
      <c r="AT36" s="1" t="s">
        <v>5</v>
      </c>
    </row>
    <row r="37" spans="1:46" hidden="1" x14ac:dyDescent="0.4">
      <c r="A37" s="1" t="s">
        <v>7337</v>
      </c>
      <c r="B37" s="10"/>
      <c r="C37" s="1" t="s">
        <v>2091</v>
      </c>
      <c r="D37" s="1" t="s">
        <v>2396</v>
      </c>
      <c r="E37" s="1" t="s">
        <v>2478</v>
      </c>
      <c r="F37" s="1" t="s">
        <v>14</v>
      </c>
      <c r="G37" s="1" t="s">
        <v>1</v>
      </c>
      <c r="H37" s="1" t="s">
        <v>6</v>
      </c>
      <c r="I37" s="1" t="s">
        <v>2</v>
      </c>
      <c r="J37" s="1" t="s">
        <v>3</v>
      </c>
      <c r="K37" s="1" t="s">
        <v>7338</v>
      </c>
      <c r="L37" s="1" t="s">
        <v>7</v>
      </c>
      <c r="M37" s="1"/>
      <c r="N37" s="1" t="s">
        <v>7339</v>
      </c>
      <c r="O37" s="1" t="s">
        <v>7327</v>
      </c>
      <c r="P37" s="1"/>
      <c r="Q37" s="1"/>
      <c r="R37" s="1" t="s">
        <v>11</v>
      </c>
      <c r="S37" s="1"/>
      <c r="T37" s="1"/>
      <c r="U37" s="1"/>
      <c r="V37" s="1"/>
      <c r="W37" s="1" t="s">
        <v>7340</v>
      </c>
      <c r="X37" s="1"/>
      <c r="Y37" s="1"/>
      <c r="Z37" s="1"/>
      <c r="AA37" s="1"/>
      <c r="AB37" s="1" t="s">
        <v>7341</v>
      </c>
      <c r="AC37" s="1"/>
      <c r="AD37" s="1"/>
      <c r="AE37" s="1" t="s">
        <v>7342</v>
      </c>
      <c r="AF37" s="1"/>
      <c r="AG37" s="1"/>
      <c r="AH37" s="1" t="s">
        <v>7343</v>
      </c>
      <c r="AI37" s="1"/>
      <c r="AJ37" s="1" t="s">
        <v>4885</v>
      </c>
      <c r="AK37" s="1" t="s">
        <v>4886</v>
      </c>
      <c r="AL37" s="1" t="s">
        <v>4887</v>
      </c>
      <c r="AM37" s="1" t="s">
        <v>7333</v>
      </c>
      <c r="AN37" s="1" t="s">
        <v>4889</v>
      </c>
      <c r="AO37" s="1" t="s">
        <v>7334</v>
      </c>
      <c r="AP37" s="2" t="s">
        <v>7344</v>
      </c>
      <c r="AQ37" s="2" t="s">
        <v>1077</v>
      </c>
      <c r="AR37" s="1" t="s">
        <v>286</v>
      </c>
      <c r="AS37" s="1" t="s">
        <v>7345</v>
      </c>
      <c r="AT37" s="1" t="s">
        <v>5</v>
      </c>
    </row>
    <row r="38" spans="1:46" hidden="1" x14ac:dyDescent="0.4">
      <c r="A38" s="1" t="s">
        <v>7324</v>
      </c>
      <c r="B38" s="10"/>
      <c r="C38" s="1" t="s">
        <v>2091</v>
      </c>
      <c r="D38" s="1" t="s">
        <v>2220</v>
      </c>
      <c r="E38" s="1" t="s">
        <v>2478</v>
      </c>
      <c r="F38" s="1" t="s">
        <v>14</v>
      </c>
      <c r="G38" s="1" t="s">
        <v>1</v>
      </c>
      <c r="H38" s="1" t="s">
        <v>6</v>
      </c>
      <c r="I38" s="1" t="s">
        <v>2</v>
      </c>
      <c r="J38" s="1" t="s">
        <v>3</v>
      </c>
      <c r="K38" s="1" t="s">
        <v>7325</v>
      </c>
      <c r="L38" s="1" t="s">
        <v>7</v>
      </c>
      <c r="M38" s="1"/>
      <c r="N38" s="1" t="s">
        <v>7326</v>
      </c>
      <c r="O38" s="1" t="s">
        <v>7327</v>
      </c>
      <c r="P38" s="1"/>
      <c r="Q38" s="1"/>
      <c r="R38" s="1" t="s">
        <v>11</v>
      </c>
      <c r="S38" s="1"/>
      <c r="T38" s="1"/>
      <c r="U38" s="1"/>
      <c r="V38" s="1"/>
      <c r="W38" s="1" t="s">
        <v>7328</v>
      </c>
      <c r="X38" s="1" t="s">
        <v>7329</v>
      </c>
      <c r="Y38" s="1"/>
      <c r="Z38" s="1"/>
      <c r="AA38" s="1"/>
      <c r="AB38" s="1" t="s">
        <v>7330</v>
      </c>
      <c r="AC38" s="1"/>
      <c r="AD38" s="1"/>
      <c r="AE38" s="1" t="s">
        <v>7331</v>
      </c>
      <c r="AF38" s="1"/>
      <c r="AG38" s="1"/>
      <c r="AH38" s="1" t="s">
        <v>7332</v>
      </c>
      <c r="AI38" s="1"/>
      <c r="AJ38" s="1" t="s">
        <v>4885</v>
      </c>
      <c r="AK38" s="1" t="s">
        <v>4886</v>
      </c>
      <c r="AL38" s="1" t="s">
        <v>4887</v>
      </c>
      <c r="AM38" s="1" t="s">
        <v>7333</v>
      </c>
      <c r="AN38" s="1" t="s">
        <v>4889</v>
      </c>
      <c r="AO38" s="1" t="s">
        <v>7334</v>
      </c>
      <c r="AP38" s="2" t="s">
        <v>7335</v>
      </c>
      <c r="AQ38" s="2" t="s">
        <v>1077</v>
      </c>
      <c r="AR38" s="1" t="s">
        <v>286</v>
      </c>
      <c r="AS38" s="1" t="s">
        <v>7336</v>
      </c>
      <c r="AT38" s="1" t="s">
        <v>5</v>
      </c>
    </row>
    <row r="39" spans="1:46" hidden="1" x14ac:dyDescent="0.4">
      <c r="A39" s="1" t="s">
        <v>9594</v>
      </c>
      <c r="B39" s="10"/>
      <c r="C39" s="1" t="s">
        <v>93</v>
      </c>
      <c r="D39" s="1" t="s">
        <v>2157</v>
      </c>
      <c r="E39" s="1" t="s">
        <v>2078</v>
      </c>
      <c r="F39" s="1" t="s">
        <v>14</v>
      </c>
      <c r="G39" s="1" t="s">
        <v>1</v>
      </c>
      <c r="H39" s="1" t="s">
        <v>6</v>
      </c>
      <c r="I39" s="1" t="s">
        <v>2</v>
      </c>
      <c r="J39" s="1" t="s">
        <v>3</v>
      </c>
      <c r="K39" s="1" t="s">
        <v>9595</v>
      </c>
      <c r="L39" s="1" t="s">
        <v>7</v>
      </c>
      <c r="M39" s="1"/>
      <c r="N39" s="1" t="s">
        <v>9596</v>
      </c>
      <c r="O39" s="1" t="s">
        <v>3928</v>
      </c>
      <c r="P39" s="1"/>
      <c r="Q39" s="1"/>
      <c r="R39" s="1" t="s">
        <v>11</v>
      </c>
      <c r="S39" s="1"/>
      <c r="T39" s="1"/>
      <c r="U39" s="1"/>
      <c r="V39" s="1"/>
      <c r="W39" s="1"/>
      <c r="X39" s="1"/>
      <c r="Y39" s="1"/>
      <c r="Z39" s="1"/>
      <c r="AA39" s="1"/>
      <c r="AB39" s="1" t="s">
        <v>9597</v>
      </c>
      <c r="AC39" s="1"/>
      <c r="AD39" s="1"/>
      <c r="AE39" s="1" t="s">
        <v>9585</v>
      </c>
      <c r="AF39" s="1"/>
      <c r="AG39" s="1"/>
      <c r="AH39" s="1" t="s">
        <v>9598</v>
      </c>
      <c r="AI39" s="1"/>
      <c r="AJ39" s="1" t="s">
        <v>6822</v>
      </c>
      <c r="AK39" s="1" t="s">
        <v>6275</v>
      </c>
      <c r="AL39" s="1" t="s">
        <v>6823</v>
      </c>
      <c r="AM39" s="1" t="s">
        <v>6822</v>
      </c>
      <c r="AN39" s="1" t="s">
        <v>6275</v>
      </c>
      <c r="AO39" s="1" t="s">
        <v>6823</v>
      </c>
      <c r="AP39" s="2" t="s">
        <v>9599</v>
      </c>
      <c r="AQ39" s="2" t="s">
        <v>1155</v>
      </c>
      <c r="AR39" s="1" t="s">
        <v>286</v>
      </c>
      <c r="AS39" s="1" t="s">
        <v>9540</v>
      </c>
      <c r="AT39" s="1" t="s">
        <v>5</v>
      </c>
    </row>
    <row r="40" spans="1:46" hidden="1" x14ac:dyDescent="0.4">
      <c r="A40" s="1" t="s">
        <v>8597</v>
      </c>
      <c r="B40" s="10"/>
      <c r="C40" s="1" t="s">
        <v>2841</v>
      </c>
      <c r="D40" s="1" t="s">
        <v>2211</v>
      </c>
      <c r="E40" s="1" t="s">
        <v>2078</v>
      </c>
      <c r="F40" s="1" t="s">
        <v>14</v>
      </c>
      <c r="G40" s="1" t="s">
        <v>1</v>
      </c>
      <c r="H40" s="1" t="s">
        <v>6</v>
      </c>
      <c r="I40" s="1" t="s">
        <v>2</v>
      </c>
      <c r="J40" s="1" t="s">
        <v>2842</v>
      </c>
      <c r="K40" s="1" t="s">
        <v>8598</v>
      </c>
      <c r="L40" s="1" t="s">
        <v>7</v>
      </c>
      <c r="M40" s="1"/>
      <c r="N40" s="1" t="s">
        <v>8599</v>
      </c>
      <c r="O40" s="1" t="s">
        <v>8567</v>
      </c>
      <c r="P40" s="1"/>
      <c r="Q40" s="1"/>
      <c r="R40" s="1" t="s">
        <v>11</v>
      </c>
      <c r="S40" s="1"/>
      <c r="T40" s="1"/>
      <c r="U40" s="1"/>
      <c r="V40" s="1"/>
      <c r="W40" s="1" t="s">
        <v>8600</v>
      </c>
      <c r="X40" s="1" t="s">
        <v>8469</v>
      </c>
      <c r="Y40" s="1"/>
      <c r="Z40" s="1"/>
      <c r="AA40" s="1"/>
      <c r="AB40" s="1" t="s">
        <v>8601</v>
      </c>
      <c r="AC40" s="1"/>
      <c r="AD40" s="1"/>
      <c r="AE40" s="1"/>
      <c r="AF40" s="1"/>
      <c r="AG40" s="1"/>
      <c r="AH40" s="1" t="s">
        <v>8602</v>
      </c>
      <c r="AI40" s="1"/>
      <c r="AJ40" s="1" t="s">
        <v>4327</v>
      </c>
      <c r="AK40" s="1" t="s">
        <v>8473</v>
      </c>
      <c r="AL40" s="1" t="s">
        <v>4328</v>
      </c>
      <c r="AM40" s="1" t="s">
        <v>4327</v>
      </c>
      <c r="AN40" s="1" t="s">
        <v>8473</v>
      </c>
      <c r="AO40" s="1" t="s">
        <v>4328</v>
      </c>
      <c r="AP40" s="2" t="s">
        <v>8603</v>
      </c>
      <c r="AQ40" s="2" t="s">
        <v>1154</v>
      </c>
      <c r="AR40" s="1" t="s">
        <v>286</v>
      </c>
      <c r="AS40" s="1" t="s">
        <v>8604</v>
      </c>
      <c r="AT40" s="1" t="s">
        <v>5</v>
      </c>
    </row>
    <row r="41" spans="1:46" hidden="1" x14ac:dyDescent="0.4">
      <c r="A41" s="1" t="s">
        <v>3020</v>
      </c>
      <c r="B41" s="10"/>
      <c r="C41" s="1" t="s">
        <v>0</v>
      </c>
      <c r="D41" s="1" t="s">
        <v>2157</v>
      </c>
      <c r="E41" s="1" t="s">
        <v>13</v>
      </c>
      <c r="F41" s="1" t="s">
        <v>14</v>
      </c>
      <c r="G41" s="1" t="s">
        <v>1</v>
      </c>
      <c r="H41" s="1" t="s">
        <v>6</v>
      </c>
      <c r="I41" s="1" t="s">
        <v>2</v>
      </c>
      <c r="J41" s="1" t="s">
        <v>3</v>
      </c>
      <c r="K41" s="1" t="s">
        <v>3021</v>
      </c>
      <c r="L41" s="1" t="s">
        <v>7</v>
      </c>
      <c r="M41" s="1" t="s">
        <v>9</v>
      </c>
      <c r="N41" s="1" t="s">
        <v>3022</v>
      </c>
      <c r="O41" s="1" t="s">
        <v>2160</v>
      </c>
      <c r="P41" s="1"/>
      <c r="Q41" s="1" t="s">
        <v>12</v>
      </c>
      <c r="R41" s="1" t="s">
        <v>11</v>
      </c>
      <c r="S41" s="1"/>
      <c r="T41" s="1" t="s">
        <v>12</v>
      </c>
      <c r="U41" s="1" t="s">
        <v>11</v>
      </c>
      <c r="V41" s="1"/>
      <c r="W41" s="1"/>
      <c r="X41" s="1" t="s">
        <v>3023</v>
      </c>
      <c r="Y41" s="1"/>
      <c r="Z41" s="1"/>
      <c r="AA41" s="1"/>
      <c r="AB41" s="1" t="s">
        <v>3024</v>
      </c>
      <c r="AC41" s="1" t="s">
        <v>3025</v>
      </c>
      <c r="AD41" s="1"/>
      <c r="AE41" s="1" t="s">
        <v>3026</v>
      </c>
      <c r="AF41" s="1"/>
      <c r="AG41" s="1"/>
      <c r="AH41" s="1" t="s">
        <v>3027</v>
      </c>
      <c r="AI41" s="1"/>
      <c r="AJ41" s="1" t="s">
        <v>3015</v>
      </c>
      <c r="AK41" s="1" t="s">
        <v>3016</v>
      </c>
      <c r="AL41" s="1"/>
      <c r="AM41" s="1" t="s">
        <v>3028</v>
      </c>
      <c r="AN41" s="1" t="s">
        <v>3016</v>
      </c>
      <c r="AO41" s="1" t="s">
        <v>3029</v>
      </c>
      <c r="AP41" s="2" t="s">
        <v>3030</v>
      </c>
      <c r="AQ41" s="2" t="s">
        <v>1155</v>
      </c>
      <c r="AR41" s="1"/>
      <c r="AS41" s="1"/>
      <c r="AT41" s="1" t="s">
        <v>5</v>
      </c>
    </row>
    <row r="42" spans="1:46" hidden="1" x14ac:dyDescent="0.4">
      <c r="A42" s="1" t="s">
        <v>4495</v>
      </c>
      <c r="B42" s="10"/>
      <c r="C42" s="1" t="s">
        <v>93</v>
      </c>
      <c r="D42" s="1" t="s">
        <v>2220</v>
      </c>
      <c r="E42" s="1" t="s">
        <v>2078</v>
      </c>
      <c r="F42" s="1" t="s">
        <v>14</v>
      </c>
      <c r="G42" s="1" t="s">
        <v>1</v>
      </c>
      <c r="H42" s="1" t="s">
        <v>6</v>
      </c>
      <c r="I42" s="1" t="s">
        <v>2</v>
      </c>
      <c r="J42" s="1" t="s">
        <v>3</v>
      </c>
      <c r="K42" s="1" t="s">
        <v>4496</v>
      </c>
      <c r="L42" s="1" t="s">
        <v>7</v>
      </c>
      <c r="M42" s="1"/>
      <c r="N42" s="1" t="s">
        <v>4497</v>
      </c>
      <c r="O42" s="1" t="s">
        <v>4498</v>
      </c>
      <c r="P42" s="1"/>
      <c r="Q42" s="1"/>
      <c r="R42" s="1" t="s">
        <v>11</v>
      </c>
      <c r="S42" s="1"/>
      <c r="T42" s="1"/>
      <c r="U42" s="1"/>
      <c r="V42" s="1"/>
      <c r="W42" s="1" t="s">
        <v>4499</v>
      </c>
      <c r="X42" s="1"/>
      <c r="Y42" s="1"/>
      <c r="Z42" s="1"/>
      <c r="AA42" s="1"/>
      <c r="AB42" s="1" t="s">
        <v>4500</v>
      </c>
      <c r="AC42" s="1"/>
      <c r="AD42" s="1"/>
      <c r="AE42" s="1"/>
      <c r="AF42" s="1"/>
      <c r="AG42" s="1"/>
      <c r="AH42" s="1" t="s">
        <v>4501</v>
      </c>
      <c r="AI42" s="1"/>
      <c r="AJ42" s="1" t="s">
        <v>4502</v>
      </c>
      <c r="AK42" s="1" t="s">
        <v>4503</v>
      </c>
      <c r="AL42" s="1" t="s">
        <v>4504</v>
      </c>
      <c r="AM42" s="1" t="s">
        <v>4502</v>
      </c>
      <c r="AN42" s="1" t="s">
        <v>4503</v>
      </c>
      <c r="AO42" s="1" t="s">
        <v>4504</v>
      </c>
      <c r="AP42" s="2" t="s">
        <v>4505</v>
      </c>
      <c r="AQ42" s="2" t="s">
        <v>1153</v>
      </c>
      <c r="AR42" s="1" t="s">
        <v>286</v>
      </c>
      <c r="AS42" s="1"/>
      <c r="AT42" s="1" t="s">
        <v>5</v>
      </c>
    </row>
    <row r="43" spans="1:46" hidden="1" x14ac:dyDescent="0.4">
      <c r="A43" s="1" t="s">
        <v>7670</v>
      </c>
      <c r="B43" s="10"/>
      <c r="C43" s="1" t="s">
        <v>93</v>
      </c>
      <c r="D43" s="1" t="s">
        <v>2157</v>
      </c>
      <c r="E43" s="1" t="s">
        <v>2478</v>
      </c>
      <c r="F43" s="1" t="s">
        <v>14</v>
      </c>
      <c r="G43" s="1" t="s">
        <v>1</v>
      </c>
      <c r="H43" s="1" t="s">
        <v>6</v>
      </c>
      <c r="I43" s="1" t="s">
        <v>2</v>
      </c>
      <c r="J43" s="1" t="s">
        <v>3</v>
      </c>
      <c r="K43" s="1" t="s">
        <v>7671</v>
      </c>
      <c r="L43" s="1" t="s">
        <v>7</v>
      </c>
      <c r="M43" s="1"/>
      <c r="N43" s="1" t="s">
        <v>7672</v>
      </c>
      <c r="O43" s="1" t="s">
        <v>3928</v>
      </c>
      <c r="P43" s="1"/>
      <c r="Q43" s="1"/>
      <c r="R43" s="1" t="s">
        <v>11</v>
      </c>
      <c r="S43" s="1"/>
      <c r="T43" s="1"/>
      <c r="U43" s="1"/>
      <c r="V43" s="1"/>
      <c r="W43" s="1"/>
      <c r="X43" s="1"/>
      <c r="Y43" s="1"/>
      <c r="Z43" s="1"/>
      <c r="AA43" s="1"/>
      <c r="AB43" s="1" t="s">
        <v>7673</v>
      </c>
      <c r="AC43" s="1"/>
      <c r="AD43" s="1"/>
      <c r="AE43" s="1" t="s">
        <v>4719</v>
      </c>
      <c r="AF43" s="1"/>
      <c r="AG43" s="1"/>
      <c r="AH43" s="1" t="s">
        <v>7674</v>
      </c>
      <c r="AI43" s="1" t="s">
        <v>7675</v>
      </c>
      <c r="AJ43" s="1" t="s">
        <v>6822</v>
      </c>
      <c r="AK43" s="1" t="s">
        <v>6275</v>
      </c>
      <c r="AL43" s="1" t="s">
        <v>6823</v>
      </c>
      <c r="AM43" s="1" t="s">
        <v>6822</v>
      </c>
      <c r="AN43" s="1" t="s">
        <v>6275</v>
      </c>
      <c r="AO43" s="1" t="s">
        <v>6823</v>
      </c>
      <c r="AP43" s="2" t="s">
        <v>7676</v>
      </c>
      <c r="AQ43" s="2" t="s">
        <v>1154</v>
      </c>
      <c r="AR43" s="1" t="s">
        <v>286</v>
      </c>
      <c r="AS43" s="1"/>
      <c r="AT43" s="1" t="s">
        <v>5</v>
      </c>
    </row>
    <row r="44" spans="1:46" hidden="1" x14ac:dyDescent="0.4">
      <c r="A44" s="1" t="s">
        <v>7147</v>
      </c>
      <c r="B44" s="10"/>
      <c r="C44" s="1" t="s">
        <v>93</v>
      </c>
      <c r="D44" s="1" t="s">
        <v>2157</v>
      </c>
      <c r="E44" s="1" t="s">
        <v>2478</v>
      </c>
      <c r="F44" s="1" t="s">
        <v>14</v>
      </c>
      <c r="G44" s="1" t="s">
        <v>1</v>
      </c>
      <c r="H44" s="1" t="s">
        <v>6</v>
      </c>
      <c r="I44" s="1" t="s">
        <v>2</v>
      </c>
      <c r="J44" s="1" t="s">
        <v>3</v>
      </c>
      <c r="K44" s="1" t="s">
        <v>7148</v>
      </c>
      <c r="L44" s="1" t="s">
        <v>7</v>
      </c>
      <c r="M44" s="1"/>
      <c r="N44" s="1" t="s">
        <v>7149</v>
      </c>
      <c r="O44" s="1" t="s">
        <v>3928</v>
      </c>
      <c r="P44" s="1"/>
      <c r="Q44" s="1"/>
      <c r="R44" s="1" t="s">
        <v>11</v>
      </c>
      <c r="S44" s="1"/>
      <c r="T44" s="1"/>
      <c r="U44" s="1"/>
      <c r="V44" s="1"/>
      <c r="W44" s="1"/>
      <c r="X44" s="1"/>
      <c r="Y44" s="1"/>
      <c r="Z44" s="1"/>
      <c r="AA44" s="1"/>
      <c r="AB44" s="1" t="s">
        <v>7150</v>
      </c>
      <c r="AC44" s="1"/>
      <c r="AD44" s="1"/>
      <c r="AE44" s="1" t="s">
        <v>4719</v>
      </c>
      <c r="AF44" s="1"/>
      <c r="AG44" s="1"/>
      <c r="AH44" s="1" t="s">
        <v>7151</v>
      </c>
      <c r="AI44" s="1" t="s">
        <v>7152</v>
      </c>
      <c r="AJ44" s="1" t="s">
        <v>6822</v>
      </c>
      <c r="AK44" s="1" t="s">
        <v>6275</v>
      </c>
      <c r="AL44" s="1" t="s">
        <v>6823</v>
      </c>
      <c r="AM44" s="1" t="s">
        <v>6822</v>
      </c>
      <c r="AN44" s="1" t="s">
        <v>6275</v>
      </c>
      <c r="AO44" s="1" t="s">
        <v>6823</v>
      </c>
      <c r="AP44" s="2" t="s">
        <v>7153</v>
      </c>
      <c r="AQ44" s="2" t="s">
        <v>1077</v>
      </c>
      <c r="AR44" s="1" t="s">
        <v>286</v>
      </c>
      <c r="AS44" s="1"/>
      <c r="AT44" s="1" t="s">
        <v>5</v>
      </c>
    </row>
    <row r="45" spans="1:46" hidden="1" x14ac:dyDescent="0.4">
      <c r="A45" s="1" t="s">
        <v>7655</v>
      </c>
      <c r="B45" s="10"/>
      <c r="C45" s="1" t="s">
        <v>93</v>
      </c>
      <c r="D45" s="1" t="s">
        <v>2157</v>
      </c>
      <c r="E45" s="1" t="s">
        <v>2078</v>
      </c>
      <c r="F45" s="1" t="s">
        <v>14</v>
      </c>
      <c r="G45" s="1" t="s">
        <v>1</v>
      </c>
      <c r="H45" s="1" t="s">
        <v>6</v>
      </c>
      <c r="I45" s="1" t="s">
        <v>2</v>
      </c>
      <c r="J45" s="1" t="s">
        <v>3</v>
      </c>
      <c r="K45" s="1" t="s">
        <v>7656</v>
      </c>
      <c r="L45" s="1" t="s">
        <v>7</v>
      </c>
      <c r="M45" s="1"/>
      <c r="N45" s="1" t="s">
        <v>7657</v>
      </c>
      <c r="O45" s="1" t="s">
        <v>3928</v>
      </c>
      <c r="P45" s="1"/>
      <c r="Q45" s="1"/>
      <c r="R45" s="1" t="s">
        <v>11</v>
      </c>
      <c r="S45" s="1"/>
      <c r="T45" s="1"/>
      <c r="U45" s="1"/>
      <c r="V45" s="1"/>
      <c r="W45" s="1"/>
      <c r="X45" s="1"/>
      <c r="Y45" s="1"/>
      <c r="Z45" s="1"/>
      <c r="AA45" s="1"/>
      <c r="AB45" s="1" t="s">
        <v>7658</v>
      </c>
      <c r="AC45" s="1"/>
      <c r="AD45" s="1"/>
      <c r="AE45" s="1" t="s">
        <v>4719</v>
      </c>
      <c r="AF45" s="1"/>
      <c r="AG45" s="1"/>
      <c r="AH45" s="1" t="s">
        <v>7659</v>
      </c>
      <c r="AI45" s="1" t="s">
        <v>7660</v>
      </c>
      <c r="AJ45" s="1" t="s">
        <v>6822</v>
      </c>
      <c r="AK45" s="1" t="s">
        <v>6275</v>
      </c>
      <c r="AL45" s="1" t="s">
        <v>6823</v>
      </c>
      <c r="AM45" s="1" t="s">
        <v>6822</v>
      </c>
      <c r="AN45" s="1" t="s">
        <v>6275</v>
      </c>
      <c r="AO45" s="1" t="s">
        <v>6823</v>
      </c>
      <c r="AP45" s="2" t="s">
        <v>7661</v>
      </c>
      <c r="AQ45" s="2" t="s">
        <v>1154</v>
      </c>
      <c r="AR45" s="1" t="s">
        <v>286</v>
      </c>
      <c r="AS45" s="1" t="s">
        <v>7662</v>
      </c>
      <c r="AT45" s="1" t="s">
        <v>5</v>
      </c>
    </row>
    <row r="46" spans="1:46" hidden="1" x14ac:dyDescent="0.4">
      <c r="A46" s="1" t="s">
        <v>7663</v>
      </c>
      <c r="B46" s="10"/>
      <c r="C46" s="1" t="s">
        <v>93</v>
      </c>
      <c r="D46" s="1" t="s">
        <v>2157</v>
      </c>
      <c r="E46" s="1" t="s">
        <v>2478</v>
      </c>
      <c r="F46" s="1" t="s">
        <v>14</v>
      </c>
      <c r="G46" s="1" t="s">
        <v>1</v>
      </c>
      <c r="H46" s="1" t="s">
        <v>6</v>
      </c>
      <c r="I46" s="1" t="s">
        <v>2</v>
      </c>
      <c r="J46" s="1" t="s">
        <v>3</v>
      </c>
      <c r="K46" s="1" t="s">
        <v>7664</v>
      </c>
      <c r="L46" s="1" t="s">
        <v>7</v>
      </c>
      <c r="M46" s="1"/>
      <c r="N46" s="1" t="s">
        <v>7665</v>
      </c>
      <c r="O46" s="1" t="s">
        <v>3928</v>
      </c>
      <c r="P46" s="1"/>
      <c r="Q46" s="1"/>
      <c r="R46" s="1" t="s">
        <v>11</v>
      </c>
      <c r="S46" s="1"/>
      <c r="T46" s="1"/>
      <c r="U46" s="1"/>
      <c r="V46" s="1"/>
      <c r="W46" s="1"/>
      <c r="X46" s="1"/>
      <c r="Y46" s="1"/>
      <c r="Z46" s="1"/>
      <c r="AA46" s="1"/>
      <c r="AB46" s="1" t="s">
        <v>7666</v>
      </c>
      <c r="AC46" s="1"/>
      <c r="AD46" s="1"/>
      <c r="AE46" s="1" t="s">
        <v>4719</v>
      </c>
      <c r="AF46" s="1"/>
      <c r="AG46" s="1"/>
      <c r="AH46" s="1" t="s">
        <v>7667</v>
      </c>
      <c r="AI46" s="1" t="s">
        <v>7668</v>
      </c>
      <c r="AJ46" s="1" t="s">
        <v>6822</v>
      </c>
      <c r="AK46" s="1" t="s">
        <v>6275</v>
      </c>
      <c r="AL46" s="1" t="s">
        <v>6823</v>
      </c>
      <c r="AM46" s="1" t="s">
        <v>6822</v>
      </c>
      <c r="AN46" s="1" t="s">
        <v>6275</v>
      </c>
      <c r="AO46" s="1" t="s">
        <v>6823</v>
      </c>
      <c r="AP46" s="2" t="s">
        <v>7669</v>
      </c>
      <c r="AQ46" s="2" t="s">
        <v>1154</v>
      </c>
      <c r="AR46" s="1" t="s">
        <v>286</v>
      </c>
      <c r="AS46" s="1"/>
      <c r="AT46" s="1" t="s">
        <v>5</v>
      </c>
    </row>
    <row r="47" spans="1:46" hidden="1" x14ac:dyDescent="0.4">
      <c r="A47" s="1" t="s">
        <v>7677</v>
      </c>
      <c r="B47" s="10"/>
      <c r="C47" s="1" t="s">
        <v>93</v>
      </c>
      <c r="D47" s="1" t="s">
        <v>2157</v>
      </c>
      <c r="E47" s="1" t="s">
        <v>2478</v>
      </c>
      <c r="F47" s="1" t="s">
        <v>14</v>
      </c>
      <c r="G47" s="1" t="s">
        <v>1</v>
      </c>
      <c r="H47" s="1" t="s">
        <v>6</v>
      </c>
      <c r="I47" s="1" t="s">
        <v>2</v>
      </c>
      <c r="J47" s="1" t="s">
        <v>3</v>
      </c>
      <c r="K47" s="1" t="s">
        <v>7678</v>
      </c>
      <c r="L47" s="1" t="s">
        <v>7</v>
      </c>
      <c r="M47" s="1"/>
      <c r="N47" s="1" t="s">
        <v>7679</v>
      </c>
      <c r="O47" s="1" t="s">
        <v>3928</v>
      </c>
      <c r="P47" s="1"/>
      <c r="Q47" s="1"/>
      <c r="R47" s="1" t="s">
        <v>11</v>
      </c>
      <c r="S47" s="1"/>
      <c r="T47" s="1"/>
      <c r="U47" s="1"/>
      <c r="V47" s="1"/>
      <c r="W47" s="1"/>
      <c r="X47" s="1"/>
      <c r="Y47" s="1"/>
      <c r="Z47" s="1"/>
      <c r="AA47" s="1"/>
      <c r="AB47" s="1" t="s">
        <v>7680</v>
      </c>
      <c r="AC47" s="1"/>
      <c r="AD47" s="1"/>
      <c r="AE47" s="1" t="s">
        <v>4719</v>
      </c>
      <c r="AF47" s="1"/>
      <c r="AG47" s="1"/>
      <c r="AH47" s="1" t="s">
        <v>7681</v>
      </c>
      <c r="AI47" s="1" t="s">
        <v>7682</v>
      </c>
      <c r="AJ47" s="1" t="s">
        <v>6822</v>
      </c>
      <c r="AK47" s="1" t="s">
        <v>6275</v>
      </c>
      <c r="AL47" s="1" t="s">
        <v>6823</v>
      </c>
      <c r="AM47" s="1" t="s">
        <v>6822</v>
      </c>
      <c r="AN47" s="1" t="s">
        <v>6275</v>
      </c>
      <c r="AO47" s="1" t="s">
        <v>6823</v>
      </c>
      <c r="AP47" s="2" t="s">
        <v>7683</v>
      </c>
      <c r="AQ47" s="2" t="s">
        <v>1154</v>
      </c>
      <c r="AR47" s="1" t="s">
        <v>286</v>
      </c>
      <c r="AS47" s="1"/>
      <c r="AT47" s="1" t="s">
        <v>5</v>
      </c>
    </row>
    <row r="48" spans="1:46" hidden="1" x14ac:dyDescent="0.4">
      <c r="A48" s="1" t="s">
        <v>2715</v>
      </c>
      <c r="B48" s="10"/>
      <c r="C48" s="1" t="s">
        <v>0</v>
      </c>
      <c r="D48" s="1" t="s">
        <v>2157</v>
      </c>
      <c r="E48" s="1" t="s">
        <v>2078</v>
      </c>
      <c r="F48" s="1" t="s">
        <v>14</v>
      </c>
      <c r="G48" s="1" t="s">
        <v>1</v>
      </c>
      <c r="H48" s="1" t="s">
        <v>6</v>
      </c>
      <c r="I48" s="1" t="s">
        <v>2</v>
      </c>
      <c r="J48" s="1" t="s">
        <v>3</v>
      </c>
      <c r="K48" s="1" t="s">
        <v>2716</v>
      </c>
      <c r="L48" s="1" t="s">
        <v>7</v>
      </c>
      <c r="M48" s="1" t="s">
        <v>9</v>
      </c>
      <c r="N48" s="1" t="s">
        <v>2717</v>
      </c>
      <c r="O48" s="1" t="s">
        <v>2238</v>
      </c>
      <c r="P48" s="1"/>
      <c r="Q48" s="1"/>
      <c r="R48" s="1" t="s">
        <v>11</v>
      </c>
      <c r="S48" s="1"/>
      <c r="T48" s="1"/>
      <c r="U48" s="1"/>
      <c r="V48" s="1"/>
      <c r="W48" s="1"/>
      <c r="X48" s="1"/>
      <c r="Y48" s="1"/>
      <c r="Z48" s="1"/>
      <c r="AA48" s="1"/>
      <c r="AB48" s="1" t="s">
        <v>2718</v>
      </c>
      <c r="AC48" s="1"/>
      <c r="AD48" s="1"/>
      <c r="AE48" s="1"/>
      <c r="AF48" s="1"/>
      <c r="AG48" s="1"/>
      <c r="AH48" s="1" t="s">
        <v>2719</v>
      </c>
      <c r="AI48" s="1"/>
      <c r="AJ48" s="1" t="s">
        <v>2720</v>
      </c>
      <c r="AK48" s="1" t="s">
        <v>2721</v>
      </c>
      <c r="AL48" s="1"/>
      <c r="AM48" s="1" t="s">
        <v>2720</v>
      </c>
      <c r="AN48" s="1" t="s">
        <v>2721</v>
      </c>
      <c r="AO48" s="1"/>
      <c r="AP48" s="2" t="s">
        <v>2722</v>
      </c>
      <c r="AQ48" s="2" t="s">
        <v>1155</v>
      </c>
      <c r="AR48" s="1"/>
      <c r="AS48" s="1"/>
      <c r="AT48" s="1" t="s">
        <v>5</v>
      </c>
    </row>
    <row r="49" spans="1:46" hidden="1" x14ac:dyDescent="0.4">
      <c r="A49" s="1" t="s">
        <v>3443</v>
      </c>
      <c r="B49" s="10"/>
      <c r="C49" s="1" t="s">
        <v>0</v>
      </c>
      <c r="D49" s="1" t="s">
        <v>2220</v>
      </c>
      <c r="E49" s="1" t="s">
        <v>3444</v>
      </c>
      <c r="F49" s="1" t="s">
        <v>14</v>
      </c>
      <c r="G49" s="1" t="s">
        <v>1</v>
      </c>
      <c r="H49" s="1" t="s">
        <v>6</v>
      </c>
      <c r="I49" s="1" t="s">
        <v>2</v>
      </c>
      <c r="J49" s="1" t="s">
        <v>3</v>
      </c>
      <c r="K49" s="1" t="s">
        <v>3445</v>
      </c>
      <c r="L49" s="1" t="s">
        <v>7</v>
      </c>
      <c r="M49" s="1" t="s">
        <v>9</v>
      </c>
      <c r="N49" s="1" t="s">
        <v>3446</v>
      </c>
      <c r="O49" s="1" t="s">
        <v>3447</v>
      </c>
      <c r="P49" s="1"/>
      <c r="Q49" s="1"/>
      <c r="R49" s="1" t="s">
        <v>11</v>
      </c>
      <c r="S49" s="1"/>
      <c r="T49" s="1"/>
      <c r="U49" s="1"/>
      <c r="V49" s="1"/>
      <c r="W49" s="1" t="s">
        <v>3448</v>
      </c>
      <c r="X49" s="1" t="s">
        <v>3449</v>
      </c>
      <c r="Y49" s="1"/>
      <c r="Z49" s="1"/>
      <c r="AA49" s="1"/>
      <c r="AB49" s="1" t="s">
        <v>3450</v>
      </c>
      <c r="AC49" s="1"/>
      <c r="AD49" s="1"/>
      <c r="AE49" s="1"/>
      <c r="AF49" s="1"/>
      <c r="AG49" s="1"/>
      <c r="AH49" s="1" t="s">
        <v>3451</v>
      </c>
      <c r="AI49" s="1"/>
      <c r="AJ49" s="1" t="s">
        <v>2418</v>
      </c>
      <c r="AK49" s="1" t="s">
        <v>3452</v>
      </c>
      <c r="AL49" s="1" t="s">
        <v>2420</v>
      </c>
      <c r="AM49" s="1" t="s">
        <v>3453</v>
      </c>
      <c r="AN49" s="1" t="s">
        <v>2422</v>
      </c>
      <c r="AO49" s="1" t="s">
        <v>3454</v>
      </c>
      <c r="AP49" s="2" t="s">
        <v>3455</v>
      </c>
      <c r="AQ49" s="2" t="s">
        <v>1077</v>
      </c>
      <c r="AR49" s="1"/>
      <c r="AS49" s="1"/>
      <c r="AT49" s="1" t="s">
        <v>5</v>
      </c>
    </row>
    <row r="50" spans="1:46" hidden="1" x14ac:dyDescent="0.4">
      <c r="A50" s="1" t="s">
        <v>10819</v>
      </c>
      <c r="B50" s="10"/>
      <c r="C50" s="1" t="s">
        <v>93</v>
      </c>
      <c r="D50" s="1" t="s">
        <v>2290</v>
      </c>
      <c r="E50" s="1" t="s">
        <v>2291</v>
      </c>
      <c r="F50" s="1" t="s">
        <v>14</v>
      </c>
      <c r="G50" s="1" t="s">
        <v>1</v>
      </c>
      <c r="H50" s="1" t="s">
        <v>6</v>
      </c>
      <c r="I50" s="1" t="s">
        <v>2</v>
      </c>
      <c r="J50" s="1" t="s">
        <v>3</v>
      </c>
      <c r="K50" s="1" t="s">
        <v>10820</v>
      </c>
      <c r="L50" s="1" t="s">
        <v>7</v>
      </c>
      <c r="M50" s="1"/>
      <c r="N50" s="1" t="s">
        <v>10821</v>
      </c>
      <c r="O50" s="1" t="s">
        <v>3756</v>
      </c>
      <c r="P50" s="1"/>
      <c r="Q50" s="1"/>
      <c r="R50" s="1" t="s">
        <v>11</v>
      </c>
      <c r="S50" s="1"/>
      <c r="T50" s="1"/>
      <c r="U50" s="1"/>
      <c r="V50" s="1"/>
      <c r="W50" s="1" t="s">
        <v>10822</v>
      </c>
      <c r="X50" s="1"/>
      <c r="Y50" s="1"/>
      <c r="Z50" s="1"/>
      <c r="AA50" s="1"/>
      <c r="AB50" s="1" t="s">
        <v>10823</v>
      </c>
      <c r="AC50" s="1"/>
      <c r="AD50" s="1"/>
      <c r="AE50" s="1" t="s">
        <v>10824</v>
      </c>
      <c r="AF50" s="1"/>
      <c r="AG50" s="1"/>
      <c r="AH50" s="1" t="s">
        <v>10825</v>
      </c>
      <c r="AI50" s="1"/>
      <c r="AJ50" s="1" t="s">
        <v>10826</v>
      </c>
      <c r="AK50" s="1" t="s">
        <v>1787</v>
      </c>
      <c r="AL50" s="1" t="s">
        <v>10827</v>
      </c>
      <c r="AM50" s="1" t="s">
        <v>10826</v>
      </c>
      <c r="AN50" s="1" t="s">
        <v>1787</v>
      </c>
      <c r="AO50" s="1" t="s">
        <v>10827</v>
      </c>
      <c r="AP50" s="2" t="s">
        <v>10828</v>
      </c>
      <c r="AQ50" s="2" t="s">
        <v>1155</v>
      </c>
      <c r="AR50" s="1" t="s">
        <v>286</v>
      </c>
      <c r="AS50" s="1" t="s">
        <v>1017</v>
      </c>
      <c r="AT50" s="1" t="s">
        <v>5</v>
      </c>
    </row>
    <row r="51" spans="1:46" hidden="1" x14ac:dyDescent="0.4">
      <c r="A51" s="1" t="s">
        <v>10377</v>
      </c>
      <c r="B51" s="10"/>
      <c r="C51" s="1" t="s">
        <v>93</v>
      </c>
      <c r="D51" s="1" t="s">
        <v>2157</v>
      </c>
      <c r="E51" s="1" t="s">
        <v>2078</v>
      </c>
      <c r="F51" s="1" t="s">
        <v>14</v>
      </c>
      <c r="G51" s="1" t="s">
        <v>1</v>
      </c>
      <c r="H51" s="1" t="s">
        <v>6</v>
      </c>
      <c r="I51" s="1" t="s">
        <v>2</v>
      </c>
      <c r="J51" s="1" t="s">
        <v>3</v>
      </c>
      <c r="K51" s="1" t="s">
        <v>10378</v>
      </c>
      <c r="L51" s="1" t="s">
        <v>2129</v>
      </c>
      <c r="M51" s="1"/>
      <c r="N51" s="1" t="s">
        <v>10379</v>
      </c>
      <c r="O51" s="1" t="s">
        <v>10163</v>
      </c>
      <c r="P51" s="1"/>
      <c r="Q51" s="1"/>
      <c r="R51" s="1" t="s">
        <v>11</v>
      </c>
      <c r="S51" s="1"/>
      <c r="T51" s="1"/>
      <c r="U51" s="1"/>
      <c r="V51" s="1"/>
      <c r="W51" s="1" t="s">
        <v>10380</v>
      </c>
      <c r="X51" s="1"/>
      <c r="Y51" s="1"/>
      <c r="Z51" s="1"/>
      <c r="AA51" s="1"/>
      <c r="AB51" s="1" t="s">
        <v>10381</v>
      </c>
      <c r="AC51" s="1"/>
      <c r="AD51" s="1"/>
      <c r="AE51" s="1" t="s">
        <v>10166</v>
      </c>
      <c r="AF51" s="1"/>
      <c r="AG51" s="1"/>
      <c r="AH51" s="1" t="s">
        <v>10382</v>
      </c>
      <c r="AI51" s="1"/>
      <c r="AJ51" s="1" t="s">
        <v>3932</v>
      </c>
      <c r="AK51" s="1" t="s">
        <v>3933</v>
      </c>
      <c r="AL51" s="1" t="s">
        <v>3934</v>
      </c>
      <c r="AM51" s="1" t="s">
        <v>3932</v>
      </c>
      <c r="AN51" s="1" t="s">
        <v>3933</v>
      </c>
      <c r="AO51" s="1" t="s">
        <v>3934</v>
      </c>
      <c r="AP51" s="2" t="s">
        <v>10383</v>
      </c>
      <c r="AQ51" s="2" t="s">
        <v>1155</v>
      </c>
      <c r="AR51" s="1" t="s">
        <v>286</v>
      </c>
      <c r="AS51" s="1" t="s">
        <v>970</v>
      </c>
      <c r="AT51" s="1" t="s">
        <v>5</v>
      </c>
    </row>
    <row r="52" spans="1:46" hidden="1" x14ac:dyDescent="0.4">
      <c r="A52" s="1" t="s">
        <v>10550</v>
      </c>
      <c r="B52" s="10"/>
      <c r="C52" s="1" t="s">
        <v>0</v>
      </c>
      <c r="D52" s="1" t="s">
        <v>2220</v>
      </c>
      <c r="E52" s="1" t="s">
        <v>2078</v>
      </c>
      <c r="F52" s="1" t="s">
        <v>14</v>
      </c>
      <c r="G52" s="1" t="s">
        <v>1</v>
      </c>
      <c r="H52" s="1" t="s">
        <v>6</v>
      </c>
      <c r="I52" s="1" t="s">
        <v>2</v>
      </c>
      <c r="J52" s="1" t="s">
        <v>3</v>
      </c>
      <c r="K52" s="1" t="s">
        <v>10551</v>
      </c>
      <c r="L52" s="1" t="s">
        <v>7</v>
      </c>
      <c r="M52" s="1" t="s">
        <v>9</v>
      </c>
      <c r="N52" s="1" t="s">
        <v>10533</v>
      </c>
      <c r="O52" s="1" t="s">
        <v>10534</v>
      </c>
      <c r="P52" s="1" t="s">
        <v>10552</v>
      </c>
      <c r="Q52" s="1"/>
      <c r="R52" s="1" t="s">
        <v>11</v>
      </c>
      <c r="S52" s="1"/>
      <c r="T52" s="1"/>
      <c r="U52" s="1"/>
      <c r="V52" s="1"/>
      <c r="W52" s="1" t="s">
        <v>10536</v>
      </c>
      <c r="X52" s="1" t="s">
        <v>10553</v>
      </c>
      <c r="Y52" s="1"/>
      <c r="Z52" s="1"/>
      <c r="AA52" s="1"/>
      <c r="AB52" s="1" t="s">
        <v>10554</v>
      </c>
      <c r="AC52" s="1"/>
      <c r="AD52" s="1"/>
      <c r="AE52" s="1" t="s">
        <v>10539</v>
      </c>
      <c r="AF52" s="1"/>
      <c r="AG52" s="1"/>
      <c r="AH52" s="1" t="s">
        <v>10555</v>
      </c>
      <c r="AI52" s="1" t="s">
        <v>10556</v>
      </c>
      <c r="AJ52" s="1" t="s">
        <v>10542</v>
      </c>
      <c r="AK52" s="1" t="s">
        <v>10543</v>
      </c>
      <c r="AL52" s="1" t="s">
        <v>10544</v>
      </c>
      <c r="AM52" s="1" t="s">
        <v>10545</v>
      </c>
      <c r="AN52" s="1" t="s">
        <v>10546</v>
      </c>
      <c r="AO52" s="1" t="s">
        <v>10547</v>
      </c>
      <c r="AP52" s="2" t="s">
        <v>10557</v>
      </c>
      <c r="AQ52" s="2" t="s">
        <v>1155</v>
      </c>
      <c r="AR52" s="1" t="s">
        <v>286</v>
      </c>
      <c r="AS52" s="1" t="s">
        <v>10549</v>
      </c>
      <c r="AT52" s="1" t="s">
        <v>5</v>
      </c>
    </row>
    <row r="53" spans="1:46" hidden="1" x14ac:dyDescent="0.4">
      <c r="A53" s="1" t="s">
        <v>10558</v>
      </c>
      <c r="B53" s="10"/>
      <c r="C53" s="1" t="s">
        <v>0</v>
      </c>
      <c r="D53" s="1" t="s">
        <v>2220</v>
      </c>
      <c r="E53" s="1" t="s">
        <v>2078</v>
      </c>
      <c r="F53" s="1" t="s">
        <v>14</v>
      </c>
      <c r="G53" s="1" t="s">
        <v>1</v>
      </c>
      <c r="H53" s="1" t="s">
        <v>6</v>
      </c>
      <c r="I53" s="1" t="s">
        <v>2</v>
      </c>
      <c r="J53" s="1" t="s">
        <v>3</v>
      </c>
      <c r="K53" s="1" t="s">
        <v>10559</v>
      </c>
      <c r="L53" s="1" t="s">
        <v>7</v>
      </c>
      <c r="M53" s="1" t="s">
        <v>9</v>
      </c>
      <c r="N53" s="1" t="s">
        <v>10533</v>
      </c>
      <c r="O53" s="1" t="s">
        <v>10534</v>
      </c>
      <c r="P53" s="1" t="s">
        <v>10560</v>
      </c>
      <c r="Q53" s="1"/>
      <c r="R53" s="1" t="s">
        <v>11</v>
      </c>
      <c r="S53" s="1"/>
      <c r="T53" s="1"/>
      <c r="U53" s="1"/>
      <c r="V53" s="1"/>
      <c r="W53" s="1" t="s">
        <v>10536</v>
      </c>
      <c r="X53" s="1" t="s">
        <v>10561</v>
      </c>
      <c r="Y53" s="1"/>
      <c r="Z53" s="1"/>
      <c r="AA53" s="1"/>
      <c r="AB53" s="1" t="s">
        <v>10562</v>
      </c>
      <c r="AC53" s="1"/>
      <c r="AD53" s="1"/>
      <c r="AE53" s="1" t="s">
        <v>10539</v>
      </c>
      <c r="AF53" s="1"/>
      <c r="AG53" s="1"/>
      <c r="AH53" s="1" t="s">
        <v>10563</v>
      </c>
      <c r="AI53" s="1" t="s">
        <v>10564</v>
      </c>
      <c r="AJ53" s="1" t="s">
        <v>10542</v>
      </c>
      <c r="AK53" s="1" t="s">
        <v>10543</v>
      </c>
      <c r="AL53" s="1" t="s">
        <v>10544</v>
      </c>
      <c r="AM53" s="1" t="s">
        <v>10545</v>
      </c>
      <c r="AN53" s="1" t="s">
        <v>10546</v>
      </c>
      <c r="AO53" s="1" t="s">
        <v>10547</v>
      </c>
      <c r="AP53" s="2" t="s">
        <v>10565</v>
      </c>
      <c r="AQ53" s="2" t="s">
        <v>1155</v>
      </c>
      <c r="AR53" s="1" t="s">
        <v>286</v>
      </c>
      <c r="AS53" s="1" t="s">
        <v>10549</v>
      </c>
      <c r="AT53" s="1" t="s">
        <v>5</v>
      </c>
    </row>
    <row r="54" spans="1:46" hidden="1" x14ac:dyDescent="0.4">
      <c r="A54" s="1" t="s">
        <v>6372</v>
      </c>
      <c r="B54" s="10"/>
      <c r="C54" s="1" t="s">
        <v>0</v>
      </c>
      <c r="D54" s="1" t="s">
        <v>2157</v>
      </c>
      <c r="E54" s="1" t="s">
        <v>2078</v>
      </c>
      <c r="F54" s="1" t="s">
        <v>14</v>
      </c>
      <c r="G54" s="1" t="s">
        <v>1</v>
      </c>
      <c r="H54" s="1" t="s">
        <v>6</v>
      </c>
      <c r="I54" s="1" t="s">
        <v>2</v>
      </c>
      <c r="J54" s="1" t="s">
        <v>3</v>
      </c>
      <c r="K54" s="1" t="s">
        <v>6373</v>
      </c>
      <c r="L54" s="1" t="s">
        <v>7</v>
      </c>
      <c r="M54" s="1" t="s">
        <v>9</v>
      </c>
      <c r="N54" s="1" t="s">
        <v>6374</v>
      </c>
      <c r="O54" s="1" t="s">
        <v>3155</v>
      </c>
      <c r="P54" s="1"/>
      <c r="Q54" s="1"/>
      <c r="R54" s="1" t="s">
        <v>11</v>
      </c>
      <c r="S54" s="1"/>
      <c r="T54" s="1"/>
      <c r="U54" s="1"/>
      <c r="V54" s="1"/>
      <c r="W54" s="1"/>
      <c r="X54" s="1"/>
      <c r="Y54" s="1"/>
      <c r="Z54" s="1"/>
      <c r="AA54" s="1"/>
      <c r="AB54" s="1" t="s">
        <v>6375</v>
      </c>
      <c r="AC54" s="1"/>
      <c r="AD54" s="1"/>
      <c r="AE54" s="1" t="s">
        <v>6376</v>
      </c>
      <c r="AF54" s="1"/>
      <c r="AG54" s="1"/>
      <c r="AH54" s="1" t="s">
        <v>6377</v>
      </c>
      <c r="AI54" s="1"/>
      <c r="AJ54" s="1" t="s">
        <v>6378</v>
      </c>
      <c r="AK54" s="1" t="s">
        <v>5436</v>
      </c>
      <c r="AL54" s="1"/>
      <c r="AM54" s="1" t="s">
        <v>6379</v>
      </c>
      <c r="AN54" s="1" t="s">
        <v>2743</v>
      </c>
      <c r="AO54" s="1" t="s">
        <v>6380</v>
      </c>
      <c r="AP54" s="2" t="s">
        <v>6381</v>
      </c>
      <c r="AQ54" s="2" t="s">
        <v>1077</v>
      </c>
      <c r="AR54" s="1" t="s">
        <v>286</v>
      </c>
      <c r="AS54" s="1"/>
      <c r="AT54" s="1" t="s">
        <v>5</v>
      </c>
    </row>
    <row r="55" spans="1:46" hidden="1" x14ac:dyDescent="0.4">
      <c r="A55" s="1" t="s">
        <v>4111</v>
      </c>
      <c r="B55" s="10"/>
      <c r="C55" s="1" t="s">
        <v>0</v>
      </c>
      <c r="D55" s="1" t="s">
        <v>2076</v>
      </c>
      <c r="E55" s="1" t="s">
        <v>2078</v>
      </c>
      <c r="F55" s="1" t="s">
        <v>14</v>
      </c>
      <c r="G55" s="1" t="s">
        <v>1</v>
      </c>
      <c r="H55" s="1" t="s">
        <v>6</v>
      </c>
      <c r="I55" s="1" t="s">
        <v>2</v>
      </c>
      <c r="J55" s="1" t="s">
        <v>3</v>
      </c>
      <c r="K55" s="1" t="s">
        <v>4112</v>
      </c>
      <c r="L55" s="1" t="s">
        <v>4</v>
      </c>
      <c r="M55" s="1" t="s">
        <v>9</v>
      </c>
      <c r="N55" s="1" t="s">
        <v>4113</v>
      </c>
      <c r="O55" s="1" t="s">
        <v>2238</v>
      </c>
      <c r="P55" s="1"/>
      <c r="Q55" s="1"/>
      <c r="R55" s="1" t="s">
        <v>11</v>
      </c>
      <c r="S55" s="1"/>
      <c r="T55" s="1"/>
      <c r="U55" s="1"/>
      <c r="V55" s="1"/>
      <c r="W55" s="1" t="s">
        <v>4114</v>
      </c>
      <c r="X55" s="1" t="s">
        <v>4115</v>
      </c>
      <c r="Y55" s="1"/>
      <c r="Z55" s="1"/>
      <c r="AA55" s="1"/>
      <c r="AB55" s="1" t="s">
        <v>4116</v>
      </c>
      <c r="AC55" s="1"/>
      <c r="AD55" s="1"/>
      <c r="AE55" s="1" t="s">
        <v>4117</v>
      </c>
      <c r="AF55" s="1"/>
      <c r="AG55" s="1"/>
      <c r="AH55" s="1" t="s">
        <v>4118</v>
      </c>
      <c r="AI55" s="1"/>
      <c r="AJ55" s="1" t="s">
        <v>55</v>
      </c>
      <c r="AK55" s="1" t="s">
        <v>476</v>
      </c>
      <c r="AL55" s="1"/>
      <c r="AM55" s="1" t="s">
        <v>216</v>
      </c>
      <c r="AN55" s="1" t="s">
        <v>476</v>
      </c>
      <c r="AO55" s="1" t="s">
        <v>217</v>
      </c>
      <c r="AP55" s="2" t="s">
        <v>4119</v>
      </c>
      <c r="AQ55" s="2" t="s">
        <v>1153</v>
      </c>
      <c r="AR55" s="1" t="s">
        <v>286</v>
      </c>
      <c r="AS55" s="1"/>
      <c r="AT55" s="1" t="s">
        <v>5</v>
      </c>
    </row>
    <row r="56" spans="1:46" hidden="1" x14ac:dyDescent="0.4">
      <c r="A56" s="1" t="s">
        <v>8807</v>
      </c>
      <c r="B56" s="10"/>
      <c r="C56" s="1" t="s">
        <v>2091</v>
      </c>
      <c r="D56" s="1" t="s">
        <v>2396</v>
      </c>
      <c r="E56" s="1" t="s">
        <v>2078</v>
      </c>
      <c r="F56" s="1" t="s">
        <v>14</v>
      </c>
      <c r="G56" s="1" t="s">
        <v>1</v>
      </c>
      <c r="H56" s="1" t="s">
        <v>6</v>
      </c>
      <c r="I56" s="1" t="s">
        <v>2</v>
      </c>
      <c r="J56" s="1" t="s">
        <v>3</v>
      </c>
      <c r="K56" s="1" t="s">
        <v>8808</v>
      </c>
      <c r="L56" s="1" t="s">
        <v>7</v>
      </c>
      <c r="M56" s="1"/>
      <c r="N56" s="1" t="s">
        <v>8809</v>
      </c>
      <c r="O56" s="1" t="s">
        <v>8810</v>
      </c>
      <c r="P56" s="1"/>
      <c r="Q56" s="1"/>
      <c r="R56" s="1" t="s">
        <v>11</v>
      </c>
      <c r="S56" s="1"/>
      <c r="T56" s="1"/>
      <c r="U56" s="1"/>
      <c r="V56" s="1"/>
      <c r="W56" s="1" t="s">
        <v>8811</v>
      </c>
      <c r="X56" s="1"/>
      <c r="Y56" s="1"/>
      <c r="Z56" s="1"/>
      <c r="AA56" s="1"/>
      <c r="AB56" s="1" t="s">
        <v>8812</v>
      </c>
      <c r="AC56" s="1"/>
      <c r="AD56" s="1"/>
      <c r="AE56" s="1" t="s">
        <v>8813</v>
      </c>
      <c r="AF56" s="1"/>
      <c r="AG56" s="1"/>
      <c r="AH56" s="1" t="s">
        <v>8814</v>
      </c>
      <c r="AI56" s="1"/>
      <c r="AJ56" s="1" t="s">
        <v>8815</v>
      </c>
      <c r="AK56" s="1" t="s">
        <v>4886</v>
      </c>
      <c r="AL56" s="1" t="s">
        <v>8816</v>
      </c>
      <c r="AM56" s="1" t="s">
        <v>8815</v>
      </c>
      <c r="AN56" s="1" t="s">
        <v>4886</v>
      </c>
      <c r="AO56" s="1" t="s">
        <v>8816</v>
      </c>
      <c r="AP56" s="2" t="s">
        <v>8817</v>
      </c>
      <c r="AQ56" s="2" t="s">
        <v>1154</v>
      </c>
      <c r="AR56" s="1" t="s">
        <v>286</v>
      </c>
      <c r="AS56" s="1" t="s">
        <v>8818</v>
      </c>
      <c r="AT56" s="1" t="s">
        <v>5</v>
      </c>
    </row>
    <row r="57" spans="1:46" hidden="1" x14ac:dyDescent="0.4">
      <c r="A57" s="1" t="s">
        <v>7261</v>
      </c>
      <c r="B57" s="10"/>
      <c r="C57" s="1" t="s">
        <v>93</v>
      </c>
      <c r="D57" s="1" t="s">
        <v>2396</v>
      </c>
      <c r="E57" s="1" t="s">
        <v>2078</v>
      </c>
      <c r="F57" s="1" t="s">
        <v>14</v>
      </c>
      <c r="G57" s="1" t="s">
        <v>1</v>
      </c>
      <c r="H57" s="1" t="s">
        <v>6</v>
      </c>
      <c r="I57" s="1" t="s">
        <v>2</v>
      </c>
      <c r="J57" s="1" t="s">
        <v>3</v>
      </c>
      <c r="K57" s="1" t="s">
        <v>7262</v>
      </c>
      <c r="L57" s="1" t="s">
        <v>4</v>
      </c>
      <c r="M57" s="1"/>
      <c r="N57" s="1" t="s">
        <v>7263</v>
      </c>
      <c r="O57" s="1" t="s">
        <v>3321</v>
      </c>
      <c r="P57" s="1"/>
      <c r="Q57" s="1"/>
      <c r="R57" s="1" t="s">
        <v>11</v>
      </c>
      <c r="S57" s="1"/>
      <c r="T57" s="1"/>
      <c r="U57" s="1"/>
      <c r="V57" s="1"/>
      <c r="W57" s="1" t="s">
        <v>7264</v>
      </c>
      <c r="X57" s="1"/>
      <c r="Y57" s="1"/>
      <c r="Z57" s="1"/>
      <c r="AA57" s="1"/>
      <c r="AB57" s="1" t="s">
        <v>7265</v>
      </c>
      <c r="AC57" s="1"/>
      <c r="AD57" s="1"/>
      <c r="AE57" s="1" t="s">
        <v>7266</v>
      </c>
      <c r="AF57" s="1"/>
      <c r="AG57" s="1"/>
      <c r="AH57" s="1" t="s">
        <v>7267</v>
      </c>
      <c r="AI57" s="1"/>
      <c r="AJ57" s="1" t="s">
        <v>253</v>
      </c>
      <c r="AK57" s="1" t="s">
        <v>329</v>
      </c>
      <c r="AL57" s="1" t="s">
        <v>254</v>
      </c>
      <c r="AM57" s="1" t="s">
        <v>253</v>
      </c>
      <c r="AN57" s="1" t="s">
        <v>329</v>
      </c>
      <c r="AO57" s="1" t="s">
        <v>254</v>
      </c>
      <c r="AP57" s="2" t="s">
        <v>7268</v>
      </c>
      <c r="AQ57" s="2" t="s">
        <v>1077</v>
      </c>
      <c r="AR57" s="1" t="s">
        <v>286</v>
      </c>
      <c r="AS57" s="1" t="s">
        <v>7269</v>
      </c>
      <c r="AT57" s="1" t="s">
        <v>5</v>
      </c>
    </row>
    <row r="58" spans="1:46" hidden="1" x14ac:dyDescent="0.4">
      <c r="A58" s="1" t="s">
        <v>5242</v>
      </c>
      <c r="B58" s="10"/>
      <c r="C58" s="1" t="s">
        <v>0</v>
      </c>
      <c r="D58" s="1" t="s">
        <v>2220</v>
      </c>
      <c r="E58" s="1" t="s">
        <v>2078</v>
      </c>
      <c r="F58" s="1" t="s">
        <v>14</v>
      </c>
      <c r="G58" s="1" t="s">
        <v>1</v>
      </c>
      <c r="H58" s="1" t="s">
        <v>6</v>
      </c>
      <c r="I58" s="1" t="s">
        <v>2</v>
      </c>
      <c r="J58" s="1" t="s">
        <v>3</v>
      </c>
      <c r="K58" s="1" t="s">
        <v>5243</v>
      </c>
      <c r="L58" s="1" t="s">
        <v>7</v>
      </c>
      <c r="M58" s="1" t="s">
        <v>9</v>
      </c>
      <c r="N58" s="1" t="s">
        <v>5244</v>
      </c>
      <c r="O58" s="1" t="s">
        <v>5245</v>
      </c>
      <c r="P58" s="1"/>
      <c r="Q58" s="1"/>
      <c r="R58" s="1" t="s">
        <v>11</v>
      </c>
      <c r="S58" s="1"/>
      <c r="T58" s="1"/>
      <c r="U58" s="1"/>
      <c r="V58" s="1"/>
      <c r="W58" s="1" t="s">
        <v>5246</v>
      </c>
      <c r="X58" s="1" t="s">
        <v>5247</v>
      </c>
      <c r="Y58" s="1"/>
      <c r="Z58" s="1"/>
      <c r="AA58" s="1"/>
      <c r="AB58" s="1" t="s">
        <v>5248</v>
      </c>
      <c r="AC58" s="1"/>
      <c r="AD58" s="1"/>
      <c r="AE58" s="1"/>
      <c r="AF58" s="1"/>
      <c r="AG58" s="1"/>
      <c r="AH58" s="1" t="s">
        <v>5249</v>
      </c>
      <c r="AI58" s="1"/>
      <c r="AJ58" s="1" t="s">
        <v>4947</v>
      </c>
      <c r="AK58" s="1" t="s">
        <v>4283</v>
      </c>
      <c r="AL58" s="1" t="s">
        <v>4948</v>
      </c>
      <c r="AM58" s="1" t="s">
        <v>5250</v>
      </c>
      <c r="AN58" s="1" t="s">
        <v>4283</v>
      </c>
      <c r="AO58" s="1" t="s">
        <v>5251</v>
      </c>
      <c r="AP58" s="2" t="s">
        <v>5252</v>
      </c>
      <c r="AQ58" s="2" t="s">
        <v>1153</v>
      </c>
      <c r="AR58" s="1" t="s">
        <v>287</v>
      </c>
      <c r="AS58" s="1" t="s">
        <v>5178</v>
      </c>
      <c r="AT58" s="1" t="s">
        <v>5</v>
      </c>
    </row>
    <row r="59" spans="1:46" hidden="1" x14ac:dyDescent="0.4">
      <c r="A59" s="1" t="s">
        <v>2600</v>
      </c>
      <c r="B59" s="10"/>
      <c r="C59" s="1" t="s">
        <v>0</v>
      </c>
      <c r="D59" s="1" t="s">
        <v>2211</v>
      </c>
      <c r="E59" s="1" t="s">
        <v>13</v>
      </c>
      <c r="F59" s="1" t="s">
        <v>14</v>
      </c>
      <c r="G59" s="1" t="s">
        <v>1</v>
      </c>
      <c r="H59" s="1" t="s">
        <v>6</v>
      </c>
      <c r="I59" s="1" t="s">
        <v>2</v>
      </c>
      <c r="J59" s="1" t="s">
        <v>3</v>
      </c>
      <c r="K59" s="1" t="s">
        <v>2601</v>
      </c>
      <c r="L59" s="1" t="s">
        <v>7</v>
      </c>
      <c r="M59" s="1" t="s">
        <v>9</v>
      </c>
      <c r="N59" s="1" t="s">
        <v>2602</v>
      </c>
      <c r="O59" s="1" t="s">
        <v>2603</v>
      </c>
      <c r="P59" s="1"/>
      <c r="Q59" s="1"/>
      <c r="R59" s="1" t="s">
        <v>11</v>
      </c>
      <c r="S59" s="1"/>
      <c r="T59" s="1"/>
      <c r="U59" s="1"/>
      <c r="V59" s="1"/>
      <c r="W59" s="1" t="s">
        <v>2604</v>
      </c>
      <c r="X59" s="1" t="s">
        <v>2605</v>
      </c>
      <c r="Y59" s="1"/>
      <c r="Z59" s="1"/>
      <c r="AA59" s="1"/>
      <c r="AB59" s="1" t="s">
        <v>2606</v>
      </c>
      <c r="AC59" s="1"/>
      <c r="AD59" s="1"/>
      <c r="AE59" s="1" t="s">
        <v>2607</v>
      </c>
      <c r="AF59" s="1"/>
      <c r="AG59" s="1"/>
      <c r="AH59" s="1" t="s">
        <v>2608</v>
      </c>
      <c r="AI59" s="1"/>
      <c r="AJ59" s="1" t="s">
        <v>2609</v>
      </c>
      <c r="AK59" s="1" t="s">
        <v>2610</v>
      </c>
      <c r="AL59" s="1"/>
      <c r="AM59" s="1" t="s">
        <v>2611</v>
      </c>
      <c r="AN59" s="1" t="s">
        <v>2610</v>
      </c>
      <c r="AO59" s="1"/>
      <c r="AP59" s="2" t="s">
        <v>2612</v>
      </c>
      <c r="AQ59" s="2" t="s">
        <v>1154</v>
      </c>
      <c r="AR59" s="1"/>
      <c r="AS59" s="1"/>
      <c r="AT59" s="1" t="s">
        <v>5</v>
      </c>
    </row>
    <row r="60" spans="1:46" hidden="1" x14ac:dyDescent="0.4">
      <c r="A60" s="1" t="s">
        <v>3259</v>
      </c>
      <c r="B60" s="10"/>
      <c r="C60" s="1" t="s">
        <v>3260</v>
      </c>
      <c r="D60" s="1" t="s">
        <v>2220</v>
      </c>
      <c r="E60" s="1" t="s">
        <v>2078</v>
      </c>
      <c r="F60" s="1" t="s">
        <v>14</v>
      </c>
      <c r="G60" s="1" t="s">
        <v>1</v>
      </c>
      <c r="H60" s="1" t="s">
        <v>6</v>
      </c>
      <c r="I60" s="1" t="s">
        <v>2</v>
      </c>
      <c r="J60" s="1" t="s">
        <v>2492</v>
      </c>
      <c r="K60" s="1" t="s">
        <v>3261</v>
      </c>
      <c r="L60" s="1" t="s">
        <v>7</v>
      </c>
      <c r="M60" s="1" t="s">
        <v>9</v>
      </c>
      <c r="N60" s="1" t="s">
        <v>3262</v>
      </c>
      <c r="O60" s="1" t="s">
        <v>3263</v>
      </c>
      <c r="P60" s="1" t="s">
        <v>3264</v>
      </c>
      <c r="Q60" s="1"/>
      <c r="R60" s="1" t="s">
        <v>11</v>
      </c>
      <c r="S60" s="1"/>
      <c r="T60" s="1"/>
      <c r="U60" s="1"/>
      <c r="V60" s="1"/>
      <c r="W60" s="1"/>
      <c r="X60" s="1" t="s">
        <v>3265</v>
      </c>
      <c r="Y60" s="1"/>
      <c r="Z60" s="1"/>
      <c r="AA60" s="1"/>
      <c r="AB60" s="1" t="s">
        <v>3266</v>
      </c>
      <c r="AC60" s="1"/>
      <c r="AD60" s="1"/>
      <c r="AE60" s="1" t="s">
        <v>2079</v>
      </c>
      <c r="AF60" s="1"/>
      <c r="AG60" s="1"/>
      <c r="AH60" s="1" t="s">
        <v>3267</v>
      </c>
      <c r="AI60" s="1"/>
      <c r="AJ60" s="1" t="s">
        <v>3268</v>
      </c>
      <c r="AK60" s="1" t="s">
        <v>3269</v>
      </c>
      <c r="AL60" s="1" t="s">
        <v>3270</v>
      </c>
      <c r="AM60" s="1" t="s">
        <v>3271</v>
      </c>
      <c r="AN60" s="1" t="s">
        <v>3272</v>
      </c>
      <c r="AO60" s="1"/>
      <c r="AP60" s="2" t="s">
        <v>3273</v>
      </c>
      <c r="AQ60" s="2" t="s">
        <v>1155</v>
      </c>
      <c r="AR60" s="1"/>
      <c r="AS60" s="1"/>
      <c r="AT60" s="1" t="s">
        <v>5</v>
      </c>
    </row>
    <row r="61" spans="1:46" hidden="1" x14ac:dyDescent="0.4">
      <c r="A61" s="1" t="s">
        <v>3373</v>
      </c>
      <c r="B61" s="10"/>
      <c r="C61" s="1" t="s">
        <v>2494</v>
      </c>
      <c r="D61" s="1" t="s">
        <v>2157</v>
      </c>
      <c r="E61" s="1" t="s">
        <v>2078</v>
      </c>
      <c r="F61" s="1" t="s">
        <v>14</v>
      </c>
      <c r="G61" s="1" t="s">
        <v>1</v>
      </c>
      <c r="H61" s="1" t="s">
        <v>6</v>
      </c>
      <c r="I61" s="1" t="s">
        <v>2</v>
      </c>
      <c r="J61" s="1" t="s">
        <v>2450</v>
      </c>
      <c r="K61" s="1" t="s">
        <v>3374</v>
      </c>
      <c r="L61" s="1" t="s">
        <v>7</v>
      </c>
      <c r="M61" s="1" t="s">
        <v>9</v>
      </c>
      <c r="N61" s="1" t="s">
        <v>3375</v>
      </c>
      <c r="O61" s="1" t="s">
        <v>3363</v>
      </c>
      <c r="P61" s="1" t="s">
        <v>3376</v>
      </c>
      <c r="Q61" s="1"/>
      <c r="R61" s="1" t="s">
        <v>11</v>
      </c>
      <c r="S61" s="1"/>
      <c r="T61" s="1"/>
      <c r="U61" s="1"/>
      <c r="V61" s="1"/>
      <c r="W61" s="1"/>
      <c r="X61" s="1" t="s">
        <v>3365</v>
      </c>
      <c r="Y61" s="1"/>
      <c r="Z61" s="1"/>
      <c r="AA61" s="1"/>
      <c r="AB61" s="1" t="s">
        <v>3377</v>
      </c>
      <c r="AC61" s="1"/>
      <c r="AD61" s="1"/>
      <c r="AE61" s="1"/>
      <c r="AF61" s="1"/>
      <c r="AG61" s="1"/>
      <c r="AH61" s="1" t="s">
        <v>3378</v>
      </c>
      <c r="AI61" s="1"/>
      <c r="AJ61" s="1" t="s">
        <v>3368</v>
      </c>
      <c r="AK61" s="1" t="s">
        <v>3369</v>
      </c>
      <c r="AL61" s="1" t="s">
        <v>3370</v>
      </c>
      <c r="AM61" s="1" t="s">
        <v>3368</v>
      </c>
      <c r="AN61" s="1" t="s">
        <v>3369</v>
      </c>
      <c r="AO61" s="1" t="s">
        <v>3370</v>
      </c>
      <c r="AP61" s="2" t="s">
        <v>3379</v>
      </c>
      <c r="AQ61" s="2" t="s">
        <v>1077</v>
      </c>
      <c r="AR61" s="1"/>
      <c r="AS61" s="1" t="s">
        <v>3372</v>
      </c>
      <c r="AT61" s="1" t="s">
        <v>5</v>
      </c>
    </row>
    <row r="62" spans="1:46" hidden="1" x14ac:dyDescent="0.4">
      <c r="A62" s="1" t="s">
        <v>3360</v>
      </c>
      <c r="B62" s="10"/>
      <c r="C62" s="1" t="s">
        <v>2494</v>
      </c>
      <c r="D62" s="1" t="s">
        <v>2157</v>
      </c>
      <c r="E62" s="1" t="s">
        <v>2078</v>
      </c>
      <c r="F62" s="1" t="s">
        <v>14</v>
      </c>
      <c r="G62" s="1" t="s">
        <v>1</v>
      </c>
      <c r="H62" s="1" t="s">
        <v>6</v>
      </c>
      <c r="I62" s="1" t="s">
        <v>2</v>
      </c>
      <c r="J62" s="1" t="s">
        <v>2450</v>
      </c>
      <c r="K62" s="1" t="s">
        <v>3361</v>
      </c>
      <c r="L62" s="1" t="s">
        <v>7</v>
      </c>
      <c r="M62" s="1" t="s">
        <v>9</v>
      </c>
      <c r="N62" s="1" t="s">
        <v>3362</v>
      </c>
      <c r="O62" s="1" t="s">
        <v>3363</v>
      </c>
      <c r="P62" s="1" t="s">
        <v>3364</v>
      </c>
      <c r="Q62" s="1"/>
      <c r="R62" s="1" t="s">
        <v>11</v>
      </c>
      <c r="S62" s="1"/>
      <c r="T62" s="1"/>
      <c r="U62" s="1"/>
      <c r="V62" s="1"/>
      <c r="W62" s="1"/>
      <c r="X62" s="1" t="s">
        <v>3365</v>
      </c>
      <c r="Y62" s="1"/>
      <c r="Z62" s="1"/>
      <c r="AA62" s="1"/>
      <c r="AB62" s="1" t="s">
        <v>3366</v>
      </c>
      <c r="AC62" s="1"/>
      <c r="AD62" s="1"/>
      <c r="AE62" s="1"/>
      <c r="AF62" s="1"/>
      <c r="AG62" s="1"/>
      <c r="AH62" s="1" t="s">
        <v>3367</v>
      </c>
      <c r="AI62" s="1"/>
      <c r="AJ62" s="1" t="s">
        <v>3368</v>
      </c>
      <c r="AK62" s="1" t="s">
        <v>3369</v>
      </c>
      <c r="AL62" s="1" t="s">
        <v>3370</v>
      </c>
      <c r="AM62" s="1" t="s">
        <v>3368</v>
      </c>
      <c r="AN62" s="1" t="s">
        <v>3369</v>
      </c>
      <c r="AO62" s="1" t="s">
        <v>3370</v>
      </c>
      <c r="AP62" s="2" t="s">
        <v>3371</v>
      </c>
      <c r="AQ62" s="2" t="s">
        <v>1077</v>
      </c>
      <c r="AR62" s="1"/>
      <c r="AS62" s="1" t="s">
        <v>3372</v>
      </c>
      <c r="AT62" s="1" t="s">
        <v>5</v>
      </c>
    </row>
    <row r="63" spans="1:46" hidden="1" x14ac:dyDescent="0.4">
      <c r="A63" s="1" t="s">
        <v>8453</v>
      </c>
      <c r="B63" s="10"/>
      <c r="C63" s="1" t="s">
        <v>93</v>
      </c>
      <c r="D63" s="1" t="s">
        <v>2211</v>
      </c>
      <c r="E63" s="1" t="s">
        <v>2078</v>
      </c>
      <c r="F63" s="1" t="s">
        <v>14</v>
      </c>
      <c r="G63" s="1" t="s">
        <v>1</v>
      </c>
      <c r="H63" s="1" t="s">
        <v>6</v>
      </c>
      <c r="I63" s="1" t="s">
        <v>2</v>
      </c>
      <c r="J63" s="1" t="s">
        <v>3</v>
      </c>
      <c r="K63" s="1" t="s">
        <v>8454</v>
      </c>
      <c r="L63" s="1" t="s">
        <v>4</v>
      </c>
      <c r="M63" s="1"/>
      <c r="N63" s="1" t="s">
        <v>8455</v>
      </c>
      <c r="O63" s="1" t="s">
        <v>15</v>
      </c>
      <c r="P63" s="1"/>
      <c r="Q63" s="1"/>
      <c r="R63" s="1" t="s">
        <v>11</v>
      </c>
      <c r="S63" s="1"/>
      <c r="T63" s="1"/>
      <c r="U63" s="1"/>
      <c r="V63" s="1"/>
      <c r="W63" s="1"/>
      <c r="X63" s="1"/>
      <c r="Y63" s="1"/>
      <c r="Z63" s="1"/>
      <c r="AA63" s="1"/>
      <c r="AB63" s="1" t="s">
        <v>8456</v>
      </c>
      <c r="AC63" s="1"/>
      <c r="AD63" s="1"/>
      <c r="AE63" s="1" t="s">
        <v>8457</v>
      </c>
      <c r="AF63" s="1"/>
      <c r="AG63" s="1"/>
      <c r="AH63" s="1" t="s">
        <v>8458</v>
      </c>
      <c r="AI63" s="1" t="s">
        <v>8459</v>
      </c>
      <c r="AJ63" s="1" t="s">
        <v>8178</v>
      </c>
      <c r="AK63" s="1" t="s">
        <v>1787</v>
      </c>
      <c r="AL63" s="1" t="s">
        <v>8179</v>
      </c>
      <c r="AM63" s="1" t="s">
        <v>8460</v>
      </c>
      <c r="AN63" s="1" t="s">
        <v>1456</v>
      </c>
      <c r="AO63" s="1" t="s">
        <v>8461</v>
      </c>
      <c r="AP63" s="2" t="s">
        <v>8462</v>
      </c>
      <c r="AQ63" s="2" t="s">
        <v>1154</v>
      </c>
      <c r="AR63" s="1" t="s">
        <v>286</v>
      </c>
      <c r="AS63" s="1" t="s">
        <v>8463</v>
      </c>
      <c r="AT63" s="1" t="s">
        <v>5</v>
      </c>
    </row>
    <row r="64" spans="1:46" hidden="1" x14ac:dyDescent="0.4">
      <c r="A64" s="1" t="s">
        <v>10009</v>
      </c>
      <c r="B64" s="10"/>
      <c r="C64" s="1" t="s">
        <v>0</v>
      </c>
      <c r="D64" s="1" t="s">
        <v>2220</v>
      </c>
      <c r="E64" s="1" t="s">
        <v>2078</v>
      </c>
      <c r="F64" s="1" t="s">
        <v>14</v>
      </c>
      <c r="G64" s="1" t="s">
        <v>1</v>
      </c>
      <c r="H64" s="1" t="s">
        <v>6</v>
      </c>
      <c r="I64" s="1" t="s">
        <v>2</v>
      </c>
      <c r="J64" s="1" t="s">
        <v>3</v>
      </c>
      <c r="K64" s="1" t="s">
        <v>10010</v>
      </c>
      <c r="L64" s="1" t="s">
        <v>7</v>
      </c>
      <c r="M64" s="1" t="s">
        <v>9</v>
      </c>
      <c r="N64" s="1" t="s">
        <v>10011</v>
      </c>
      <c r="O64" s="1" t="s">
        <v>10001</v>
      </c>
      <c r="P64" s="1"/>
      <c r="Q64" s="1"/>
      <c r="R64" s="1" t="s">
        <v>11</v>
      </c>
      <c r="S64" s="1"/>
      <c r="T64" s="1"/>
      <c r="U64" s="1"/>
      <c r="V64" s="1"/>
      <c r="W64" s="1"/>
      <c r="X64" s="1" t="s">
        <v>6553</v>
      </c>
      <c r="Y64" s="1"/>
      <c r="Z64" s="1"/>
      <c r="AA64" s="1"/>
      <c r="AB64" s="1" t="s">
        <v>10012</v>
      </c>
      <c r="AC64" s="1"/>
      <c r="AD64" s="1"/>
      <c r="AE64" s="1" t="s">
        <v>10004</v>
      </c>
      <c r="AF64" s="1"/>
      <c r="AG64" s="1"/>
      <c r="AH64" s="1" t="s">
        <v>10013</v>
      </c>
      <c r="AI64" s="1" t="s">
        <v>10014</v>
      </c>
      <c r="AJ64" s="1" t="s">
        <v>1835</v>
      </c>
      <c r="AK64" s="1" t="s">
        <v>1836</v>
      </c>
      <c r="AL64" s="1" t="s">
        <v>1837</v>
      </c>
      <c r="AM64" s="1" t="s">
        <v>9666</v>
      </c>
      <c r="AN64" s="1" t="s">
        <v>1839</v>
      </c>
      <c r="AO64" s="1"/>
      <c r="AP64" s="2" t="s">
        <v>10015</v>
      </c>
      <c r="AQ64" s="2" t="s">
        <v>1155</v>
      </c>
      <c r="AR64" s="1" t="s">
        <v>286</v>
      </c>
      <c r="AS64" s="1" t="s">
        <v>10016</v>
      </c>
      <c r="AT64" s="1" t="s">
        <v>5</v>
      </c>
    </row>
    <row r="65" spans="1:46" hidden="1" x14ac:dyDescent="0.4">
      <c r="A65" s="1" t="s">
        <v>9317</v>
      </c>
      <c r="B65" s="10"/>
      <c r="C65" s="1" t="s">
        <v>93</v>
      </c>
      <c r="D65" s="1" t="s">
        <v>2396</v>
      </c>
      <c r="E65" s="1" t="s">
        <v>2078</v>
      </c>
      <c r="F65" s="1" t="s">
        <v>14</v>
      </c>
      <c r="G65" s="1" t="s">
        <v>1</v>
      </c>
      <c r="H65" s="1" t="s">
        <v>6</v>
      </c>
      <c r="I65" s="1" t="s">
        <v>2</v>
      </c>
      <c r="J65" s="1" t="s">
        <v>3</v>
      </c>
      <c r="K65" s="1" t="s">
        <v>9318</v>
      </c>
      <c r="L65" s="1" t="s">
        <v>4</v>
      </c>
      <c r="M65" s="1"/>
      <c r="N65" s="1" t="s">
        <v>9319</v>
      </c>
      <c r="O65" s="1" t="s">
        <v>9320</v>
      </c>
      <c r="P65" s="1"/>
      <c r="Q65" s="1"/>
      <c r="R65" s="1" t="s">
        <v>11</v>
      </c>
      <c r="S65" s="1"/>
      <c r="T65" s="1"/>
      <c r="U65" s="1"/>
      <c r="V65" s="1"/>
      <c r="W65" s="1" t="s">
        <v>9319</v>
      </c>
      <c r="X65" s="1"/>
      <c r="Y65" s="1"/>
      <c r="Z65" s="1"/>
      <c r="AA65" s="1"/>
      <c r="AB65" s="1" t="s">
        <v>9321</v>
      </c>
      <c r="AC65" s="1"/>
      <c r="AD65" s="1"/>
      <c r="AE65" s="1" t="s">
        <v>9237</v>
      </c>
      <c r="AF65" s="1"/>
      <c r="AG65" s="1"/>
      <c r="AH65" s="1" t="s">
        <v>9322</v>
      </c>
      <c r="AI65" s="1"/>
      <c r="AJ65" s="1" t="s">
        <v>9239</v>
      </c>
      <c r="AK65" s="1" t="s">
        <v>9240</v>
      </c>
      <c r="AL65" s="1" t="s">
        <v>9241</v>
      </c>
      <c r="AM65" s="1" t="s">
        <v>9239</v>
      </c>
      <c r="AN65" s="1" t="s">
        <v>9240</v>
      </c>
      <c r="AO65" s="1" t="s">
        <v>9241</v>
      </c>
      <c r="AP65" s="2" t="s">
        <v>9323</v>
      </c>
      <c r="AQ65" s="2" t="s">
        <v>1154</v>
      </c>
      <c r="AR65" s="1" t="s">
        <v>286</v>
      </c>
      <c r="AS65" s="1"/>
      <c r="AT65" s="1" t="s">
        <v>5</v>
      </c>
    </row>
    <row r="66" spans="1:46" hidden="1" x14ac:dyDescent="0.4">
      <c r="A66" s="1" t="s">
        <v>9231</v>
      </c>
      <c r="B66" s="10"/>
      <c r="C66" s="1" t="s">
        <v>93</v>
      </c>
      <c r="D66" s="1" t="s">
        <v>2396</v>
      </c>
      <c r="E66" s="1" t="s">
        <v>7590</v>
      </c>
      <c r="F66" s="1" t="s">
        <v>14</v>
      </c>
      <c r="G66" s="1" t="s">
        <v>1</v>
      </c>
      <c r="H66" s="1" t="s">
        <v>6</v>
      </c>
      <c r="I66" s="1" t="s">
        <v>2</v>
      </c>
      <c r="J66" s="1" t="s">
        <v>3</v>
      </c>
      <c r="K66" s="1" t="s">
        <v>9232</v>
      </c>
      <c r="L66" s="1" t="s">
        <v>4</v>
      </c>
      <c r="M66" s="1"/>
      <c r="N66" s="1" t="s">
        <v>9233</v>
      </c>
      <c r="O66" s="1" t="s">
        <v>9234</v>
      </c>
      <c r="P66" s="1"/>
      <c r="Q66" s="1"/>
      <c r="R66" s="1" t="s">
        <v>11</v>
      </c>
      <c r="S66" s="1"/>
      <c r="T66" s="1"/>
      <c r="U66" s="1"/>
      <c r="V66" s="1"/>
      <c r="W66" s="1" t="s">
        <v>9235</v>
      </c>
      <c r="X66" s="1"/>
      <c r="Y66" s="1"/>
      <c r="Z66" s="1"/>
      <c r="AA66" s="1"/>
      <c r="AB66" s="1" t="s">
        <v>9236</v>
      </c>
      <c r="AC66" s="1"/>
      <c r="AD66" s="1"/>
      <c r="AE66" s="1" t="s">
        <v>9237</v>
      </c>
      <c r="AF66" s="1"/>
      <c r="AG66" s="1"/>
      <c r="AH66" s="1" t="s">
        <v>9238</v>
      </c>
      <c r="AI66" s="1"/>
      <c r="AJ66" s="1" t="s">
        <v>9239</v>
      </c>
      <c r="AK66" s="1" t="s">
        <v>9240</v>
      </c>
      <c r="AL66" s="1" t="s">
        <v>9241</v>
      </c>
      <c r="AM66" s="1" t="s">
        <v>9239</v>
      </c>
      <c r="AN66" s="1" t="s">
        <v>9240</v>
      </c>
      <c r="AO66" s="1" t="s">
        <v>9241</v>
      </c>
      <c r="AP66" s="2" t="s">
        <v>9242</v>
      </c>
      <c r="AQ66" s="2" t="s">
        <v>1154</v>
      </c>
      <c r="AR66" s="1" t="s">
        <v>286</v>
      </c>
      <c r="AS66" s="1"/>
      <c r="AT66" s="1" t="s">
        <v>5</v>
      </c>
    </row>
    <row r="67" spans="1:46" hidden="1" x14ac:dyDescent="0.4">
      <c r="A67" s="1" t="s">
        <v>9324</v>
      </c>
      <c r="B67" s="10"/>
      <c r="C67" s="1" t="s">
        <v>93</v>
      </c>
      <c r="D67" s="1" t="s">
        <v>2157</v>
      </c>
      <c r="E67" s="1" t="s">
        <v>2078</v>
      </c>
      <c r="F67" s="1" t="s">
        <v>14</v>
      </c>
      <c r="G67" s="1" t="s">
        <v>1</v>
      </c>
      <c r="H67" s="1" t="s">
        <v>6</v>
      </c>
      <c r="I67" s="1" t="s">
        <v>2</v>
      </c>
      <c r="J67" s="1" t="s">
        <v>3</v>
      </c>
      <c r="K67" s="1" t="s">
        <v>9325</v>
      </c>
      <c r="L67" s="1" t="s">
        <v>7</v>
      </c>
      <c r="M67" s="1"/>
      <c r="N67" s="1" t="s">
        <v>9326</v>
      </c>
      <c r="O67" s="1" t="s">
        <v>9327</v>
      </c>
      <c r="P67" s="1"/>
      <c r="Q67" s="1" t="s">
        <v>12</v>
      </c>
      <c r="R67" s="1" t="s">
        <v>11</v>
      </c>
      <c r="S67" s="1"/>
      <c r="T67" s="1" t="s">
        <v>12</v>
      </c>
      <c r="U67" s="1" t="s">
        <v>11</v>
      </c>
      <c r="V67" s="1"/>
      <c r="W67" s="1" t="s">
        <v>9328</v>
      </c>
      <c r="X67" s="1"/>
      <c r="Y67" s="1"/>
      <c r="Z67" s="1"/>
      <c r="AA67" s="1"/>
      <c r="AB67" s="1" t="s">
        <v>9329</v>
      </c>
      <c r="AC67" s="1"/>
      <c r="AD67" s="1"/>
      <c r="AE67" s="1" t="s">
        <v>9237</v>
      </c>
      <c r="AF67" s="1"/>
      <c r="AG67" s="1"/>
      <c r="AH67" s="1" t="s">
        <v>9330</v>
      </c>
      <c r="AI67" s="1"/>
      <c r="AJ67" s="1" t="s">
        <v>9239</v>
      </c>
      <c r="AK67" s="1" t="s">
        <v>9240</v>
      </c>
      <c r="AL67" s="1" t="s">
        <v>9241</v>
      </c>
      <c r="AM67" s="1" t="s">
        <v>9239</v>
      </c>
      <c r="AN67" s="1" t="s">
        <v>9240</v>
      </c>
      <c r="AO67" s="1" t="s">
        <v>9241</v>
      </c>
      <c r="AP67" s="2" t="s">
        <v>9331</v>
      </c>
      <c r="AQ67" s="2" t="s">
        <v>1156</v>
      </c>
      <c r="AR67" s="1" t="s">
        <v>286</v>
      </c>
      <c r="AS67" s="1"/>
      <c r="AT67" s="1" t="s">
        <v>5</v>
      </c>
    </row>
    <row r="68" spans="1:46" hidden="1" x14ac:dyDescent="0.4">
      <c r="A68" s="1" t="s">
        <v>3936</v>
      </c>
      <c r="B68" s="10"/>
      <c r="C68" s="1" t="s">
        <v>93</v>
      </c>
      <c r="D68" s="1" t="s">
        <v>2211</v>
      </c>
      <c r="E68" s="1" t="s">
        <v>2078</v>
      </c>
      <c r="F68" s="1" t="s">
        <v>14</v>
      </c>
      <c r="G68" s="1" t="s">
        <v>1</v>
      </c>
      <c r="H68" s="1" t="s">
        <v>6</v>
      </c>
      <c r="I68" s="1" t="s">
        <v>2</v>
      </c>
      <c r="J68" s="1" t="s">
        <v>3</v>
      </c>
      <c r="K68" s="1" t="s">
        <v>3937</v>
      </c>
      <c r="L68" s="1" t="s">
        <v>7</v>
      </c>
      <c r="M68" s="1"/>
      <c r="N68" s="1" t="s">
        <v>3938</v>
      </c>
      <c r="O68" s="1" t="s">
        <v>3939</v>
      </c>
      <c r="P68" s="1"/>
      <c r="Q68" s="1"/>
      <c r="R68" s="1" t="s">
        <v>11</v>
      </c>
      <c r="S68" s="1"/>
      <c r="T68" s="1"/>
      <c r="U68" s="1"/>
      <c r="V68" s="1"/>
      <c r="W68" s="1" t="s">
        <v>3940</v>
      </c>
      <c r="X68" s="1" t="s">
        <v>3941</v>
      </c>
      <c r="Y68" s="1"/>
      <c r="Z68" s="1"/>
      <c r="AA68" s="1"/>
      <c r="AB68" s="1" t="s">
        <v>3942</v>
      </c>
      <c r="AC68" s="1"/>
      <c r="AD68" s="1"/>
      <c r="AE68" s="1" t="s">
        <v>3943</v>
      </c>
      <c r="AF68" s="1"/>
      <c r="AG68" s="1"/>
      <c r="AH68" s="1" t="s">
        <v>3944</v>
      </c>
      <c r="AI68" s="1" t="s">
        <v>3945</v>
      </c>
      <c r="AJ68" s="1" t="s">
        <v>3946</v>
      </c>
      <c r="AK68" s="1" t="s">
        <v>3947</v>
      </c>
      <c r="AL68" s="1"/>
      <c r="AM68" s="1" t="s">
        <v>3946</v>
      </c>
      <c r="AN68" s="1" t="s">
        <v>3947</v>
      </c>
      <c r="AO68" s="1"/>
      <c r="AP68" s="2" t="s">
        <v>3948</v>
      </c>
      <c r="AQ68" s="2" t="s">
        <v>1153</v>
      </c>
      <c r="AR68" s="1" t="s">
        <v>286</v>
      </c>
      <c r="AS68" s="1"/>
      <c r="AT68" s="1" t="s">
        <v>5</v>
      </c>
    </row>
    <row r="69" spans="1:46" hidden="1" x14ac:dyDescent="0.4">
      <c r="A69" s="1" t="s">
        <v>7408</v>
      </c>
      <c r="B69" s="10"/>
      <c r="C69" s="1" t="s">
        <v>93</v>
      </c>
      <c r="D69" s="1" t="s">
        <v>2211</v>
      </c>
      <c r="E69" s="1" t="s">
        <v>2478</v>
      </c>
      <c r="F69" s="1" t="s">
        <v>14</v>
      </c>
      <c r="G69" s="1" t="s">
        <v>1</v>
      </c>
      <c r="H69" s="1" t="s">
        <v>6</v>
      </c>
      <c r="I69" s="1" t="s">
        <v>2</v>
      </c>
      <c r="J69" s="1" t="s">
        <v>3</v>
      </c>
      <c r="K69" s="1" t="s">
        <v>7409</v>
      </c>
      <c r="L69" s="1" t="s">
        <v>4</v>
      </c>
      <c r="M69" s="1"/>
      <c r="N69" s="1" t="s">
        <v>7410</v>
      </c>
      <c r="O69" s="1" t="s">
        <v>7411</v>
      </c>
      <c r="P69" s="1"/>
      <c r="Q69" s="1"/>
      <c r="R69" s="1" t="s">
        <v>11</v>
      </c>
      <c r="S69" s="1"/>
      <c r="T69" s="1"/>
      <c r="U69" s="1"/>
      <c r="V69" s="1"/>
      <c r="W69" s="1" t="s">
        <v>7412</v>
      </c>
      <c r="X69" s="1" t="s">
        <v>7413</v>
      </c>
      <c r="Y69" s="1"/>
      <c r="Z69" s="1"/>
      <c r="AA69" s="1"/>
      <c r="AB69" s="1" t="s">
        <v>7414</v>
      </c>
      <c r="AC69" s="1"/>
      <c r="AD69" s="1"/>
      <c r="AE69" s="1" t="s">
        <v>7415</v>
      </c>
      <c r="AF69" s="1"/>
      <c r="AG69" s="1"/>
      <c r="AH69" s="1" t="s">
        <v>7416</v>
      </c>
      <c r="AI69" s="1"/>
      <c r="AJ69" s="1" t="s">
        <v>253</v>
      </c>
      <c r="AK69" s="1" t="s">
        <v>329</v>
      </c>
      <c r="AL69" s="1" t="s">
        <v>254</v>
      </c>
      <c r="AM69" s="1" t="s">
        <v>253</v>
      </c>
      <c r="AN69" s="1" t="s">
        <v>329</v>
      </c>
      <c r="AO69" s="1" t="s">
        <v>254</v>
      </c>
      <c r="AP69" s="2" t="s">
        <v>7417</v>
      </c>
      <c r="AQ69" s="2" t="s">
        <v>1077</v>
      </c>
      <c r="AR69" s="1" t="s">
        <v>286</v>
      </c>
      <c r="AS69" s="1" t="s">
        <v>7418</v>
      </c>
      <c r="AT69" s="1" t="s">
        <v>5</v>
      </c>
    </row>
    <row r="70" spans="1:46" hidden="1" x14ac:dyDescent="0.4">
      <c r="A70" s="1" t="s">
        <v>3782</v>
      </c>
      <c r="B70" s="10"/>
      <c r="C70" s="1" t="s">
        <v>93</v>
      </c>
      <c r="D70" s="1" t="s">
        <v>2220</v>
      </c>
      <c r="E70" s="1" t="s">
        <v>2078</v>
      </c>
      <c r="F70" s="1" t="s">
        <v>14</v>
      </c>
      <c r="G70" s="1" t="s">
        <v>1</v>
      </c>
      <c r="H70" s="1" t="s">
        <v>6</v>
      </c>
      <c r="I70" s="1" t="s">
        <v>2</v>
      </c>
      <c r="J70" s="1" t="s">
        <v>3</v>
      </c>
      <c r="K70" s="1" t="s">
        <v>3783</v>
      </c>
      <c r="L70" s="1" t="s">
        <v>2231</v>
      </c>
      <c r="M70" s="1"/>
      <c r="N70" s="1" t="s">
        <v>3784</v>
      </c>
      <c r="O70" s="1" t="s">
        <v>3785</v>
      </c>
      <c r="P70" s="1"/>
      <c r="Q70" s="1"/>
      <c r="R70" s="1" t="s">
        <v>11</v>
      </c>
      <c r="S70" s="1"/>
      <c r="T70" s="1"/>
      <c r="U70" s="1"/>
      <c r="V70" s="1"/>
      <c r="W70" s="1" t="s">
        <v>3786</v>
      </c>
      <c r="X70" s="1" t="s">
        <v>3787</v>
      </c>
      <c r="Y70" s="1"/>
      <c r="Z70" s="1"/>
      <c r="AA70" s="1"/>
      <c r="AB70" s="1" t="s">
        <v>3788</v>
      </c>
      <c r="AC70" s="1"/>
      <c r="AD70" s="1"/>
      <c r="AE70" s="1" t="s">
        <v>3789</v>
      </c>
      <c r="AF70" s="1"/>
      <c r="AG70" s="1"/>
      <c r="AH70" s="1" t="s">
        <v>3790</v>
      </c>
      <c r="AI70" s="1"/>
      <c r="AJ70" s="1" t="s">
        <v>3791</v>
      </c>
      <c r="AK70" s="1" t="s">
        <v>3792</v>
      </c>
      <c r="AL70" s="1" t="s">
        <v>3793</v>
      </c>
      <c r="AM70" s="1" t="s">
        <v>3791</v>
      </c>
      <c r="AN70" s="1" t="s">
        <v>3792</v>
      </c>
      <c r="AO70" s="1" t="s">
        <v>3793</v>
      </c>
      <c r="AP70" s="2" t="s">
        <v>3794</v>
      </c>
      <c r="AQ70" s="2" t="s">
        <v>1153</v>
      </c>
      <c r="AR70" s="1" t="s">
        <v>287</v>
      </c>
      <c r="AS70" s="1"/>
      <c r="AT70" s="1" t="s">
        <v>5</v>
      </c>
    </row>
    <row r="71" spans="1:46" hidden="1" x14ac:dyDescent="0.4">
      <c r="A71" s="1" t="s">
        <v>4021</v>
      </c>
      <c r="B71" s="10"/>
      <c r="C71" s="1" t="s">
        <v>0</v>
      </c>
      <c r="D71" s="1" t="s">
        <v>2211</v>
      </c>
      <c r="E71" s="1" t="s">
        <v>2078</v>
      </c>
      <c r="F71" s="1" t="s">
        <v>14</v>
      </c>
      <c r="G71" s="1" t="s">
        <v>1</v>
      </c>
      <c r="H71" s="1" t="s">
        <v>6</v>
      </c>
      <c r="I71" s="1" t="s">
        <v>2</v>
      </c>
      <c r="J71" s="1" t="s">
        <v>3</v>
      </c>
      <c r="K71" s="1" t="s">
        <v>4022</v>
      </c>
      <c r="L71" s="1" t="s">
        <v>7</v>
      </c>
      <c r="M71" s="1" t="s">
        <v>9</v>
      </c>
      <c r="N71" s="1" t="s">
        <v>4023</v>
      </c>
      <c r="O71" s="1" t="s">
        <v>3994</v>
      </c>
      <c r="P71" s="1"/>
      <c r="Q71" s="1"/>
      <c r="R71" s="1" t="s">
        <v>11</v>
      </c>
      <c r="S71" s="1"/>
      <c r="T71" s="1"/>
      <c r="U71" s="1"/>
      <c r="V71" s="1"/>
      <c r="W71" s="1"/>
      <c r="X71" s="1"/>
      <c r="Y71" s="1"/>
      <c r="Z71" s="1"/>
      <c r="AA71" s="1"/>
      <c r="AB71" s="1" t="s">
        <v>4024</v>
      </c>
      <c r="AC71" s="1"/>
      <c r="AD71" s="1"/>
      <c r="AE71" s="1" t="s">
        <v>3996</v>
      </c>
      <c r="AF71" s="1"/>
      <c r="AG71" s="1"/>
      <c r="AH71" s="1" t="s">
        <v>4025</v>
      </c>
      <c r="AI71" s="1"/>
      <c r="AJ71" s="1" t="s">
        <v>3998</v>
      </c>
      <c r="AK71" s="1" t="s">
        <v>3999</v>
      </c>
      <c r="AL71" s="1" t="s">
        <v>4000</v>
      </c>
      <c r="AM71" s="1" t="s">
        <v>3998</v>
      </c>
      <c r="AN71" s="1" t="s">
        <v>3999</v>
      </c>
      <c r="AO71" s="1" t="s">
        <v>4000</v>
      </c>
      <c r="AP71" s="2" t="s">
        <v>4026</v>
      </c>
      <c r="AQ71" s="2" t="s">
        <v>1153</v>
      </c>
      <c r="AR71" s="1" t="s">
        <v>286</v>
      </c>
      <c r="AS71" s="1" t="s">
        <v>4002</v>
      </c>
      <c r="AT71" s="1" t="s">
        <v>5</v>
      </c>
    </row>
    <row r="72" spans="1:46" hidden="1" x14ac:dyDescent="0.4">
      <c r="A72" s="1" t="s">
        <v>3991</v>
      </c>
      <c r="B72" s="10"/>
      <c r="C72" s="1" t="s">
        <v>0</v>
      </c>
      <c r="D72" s="1" t="s">
        <v>2211</v>
      </c>
      <c r="E72" s="1" t="s">
        <v>2078</v>
      </c>
      <c r="F72" s="1" t="s">
        <v>14</v>
      </c>
      <c r="G72" s="1" t="s">
        <v>1</v>
      </c>
      <c r="H72" s="1" t="s">
        <v>6</v>
      </c>
      <c r="I72" s="1" t="s">
        <v>2</v>
      </c>
      <c r="J72" s="1" t="s">
        <v>3</v>
      </c>
      <c r="K72" s="1" t="s">
        <v>3992</v>
      </c>
      <c r="L72" s="1" t="s">
        <v>7</v>
      </c>
      <c r="M72" s="1" t="s">
        <v>9</v>
      </c>
      <c r="N72" s="1" t="s">
        <v>3993</v>
      </c>
      <c r="O72" s="1" t="s">
        <v>3994</v>
      </c>
      <c r="P72" s="1"/>
      <c r="Q72" s="1"/>
      <c r="R72" s="1" t="s">
        <v>11</v>
      </c>
      <c r="S72" s="1"/>
      <c r="T72" s="1"/>
      <c r="U72" s="1"/>
      <c r="V72" s="1"/>
      <c r="W72" s="1"/>
      <c r="X72" s="1"/>
      <c r="Y72" s="1"/>
      <c r="Z72" s="1"/>
      <c r="AA72" s="1"/>
      <c r="AB72" s="1" t="s">
        <v>3995</v>
      </c>
      <c r="AC72" s="1"/>
      <c r="AD72" s="1"/>
      <c r="AE72" s="1" t="s">
        <v>3996</v>
      </c>
      <c r="AF72" s="1"/>
      <c r="AG72" s="1"/>
      <c r="AH72" s="1" t="s">
        <v>3997</v>
      </c>
      <c r="AI72" s="1"/>
      <c r="AJ72" s="1" t="s">
        <v>3998</v>
      </c>
      <c r="AK72" s="1" t="s">
        <v>3999</v>
      </c>
      <c r="AL72" s="1" t="s">
        <v>4000</v>
      </c>
      <c r="AM72" s="1" t="s">
        <v>3998</v>
      </c>
      <c r="AN72" s="1" t="s">
        <v>3999</v>
      </c>
      <c r="AO72" s="1" t="s">
        <v>4000</v>
      </c>
      <c r="AP72" s="2" t="s">
        <v>4001</v>
      </c>
      <c r="AQ72" s="2" t="s">
        <v>1153</v>
      </c>
      <c r="AR72" s="1" t="s">
        <v>286</v>
      </c>
      <c r="AS72" s="1" t="s">
        <v>4002</v>
      </c>
      <c r="AT72" s="1" t="s">
        <v>5</v>
      </c>
    </row>
    <row r="73" spans="1:46" hidden="1" x14ac:dyDescent="0.4">
      <c r="A73" s="1" t="s">
        <v>4003</v>
      </c>
      <c r="B73" s="10"/>
      <c r="C73" s="1" t="s">
        <v>0</v>
      </c>
      <c r="D73" s="1" t="s">
        <v>2211</v>
      </c>
      <c r="E73" s="1" t="s">
        <v>2078</v>
      </c>
      <c r="F73" s="1" t="s">
        <v>14</v>
      </c>
      <c r="G73" s="1" t="s">
        <v>1</v>
      </c>
      <c r="H73" s="1" t="s">
        <v>6</v>
      </c>
      <c r="I73" s="1" t="s">
        <v>2</v>
      </c>
      <c r="J73" s="1" t="s">
        <v>3</v>
      </c>
      <c r="K73" s="1" t="s">
        <v>4004</v>
      </c>
      <c r="L73" s="1" t="s">
        <v>7</v>
      </c>
      <c r="M73" s="1" t="s">
        <v>9</v>
      </c>
      <c r="N73" s="1" t="s">
        <v>4005</v>
      </c>
      <c r="O73" s="1" t="s">
        <v>3994</v>
      </c>
      <c r="P73" s="1"/>
      <c r="Q73" s="1"/>
      <c r="R73" s="1" t="s">
        <v>11</v>
      </c>
      <c r="S73" s="1"/>
      <c r="T73" s="1"/>
      <c r="U73" s="1"/>
      <c r="V73" s="1"/>
      <c r="W73" s="1"/>
      <c r="X73" s="1"/>
      <c r="Y73" s="1"/>
      <c r="Z73" s="1"/>
      <c r="AA73" s="1"/>
      <c r="AB73" s="1" t="s">
        <v>4006</v>
      </c>
      <c r="AC73" s="1"/>
      <c r="AD73" s="1"/>
      <c r="AE73" s="1" t="s">
        <v>3996</v>
      </c>
      <c r="AF73" s="1"/>
      <c r="AG73" s="1"/>
      <c r="AH73" s="1" t="s">
        <v>4007</v>
      </c>
      <c r="AI73" s="1"/>
      <c r="AJ73" s="1" t="s">
        <v>3998</v>
      </c>
      <c r="AK73" s="1" t="s">
        <v>3999</v>
      </c>
      <c r="AL73" s="1" t="s">
        <v>4000</v>
      </c>
      <c r="AM73" s="1" t="s">
        <v>3998</v>
      </c>
      <c r="AN73" s="1" t="s">
        <v>3999</v>
      </c>
      <c r="AO73" s="1" t="s">
        <v>4000</v>
      </c>
      <c r="AP73" s="2" t="s">
        <v>4008</v>
      </c>
      <c r="AQ73" s="2" t="s">
        <v>1153</v>
      </c>
      <c r="AR73" s="1" t="s">
        <v>286</v>
      </c>
      <c r="AS73" s="1" t="s">
        <v>4009</v>
      </c>
      <c r="AT73" s="1" t="s">
        <v>5</v>
      </c>
    </row>
    <row r="74" spans="1:46" hidden="1" x14ac:dyDescent="0.4">
      <c r="A74" s="1" t="s">
        <v>4010</v>
      </c>
      <c r="B74" s="10"/>
      <c r="C74" s="1" t="s">
        <v>0</v>
      </c>
      <c r="D74" s="1" t="s">
        <v>2211</v>
      </c>
      <c r="E74" s="1" t="s">
        <v>2078</v>
      </c>
      <c r="F74" s="1" t="s">
        <v>14</v>
      </c>
      <c r="G74" s="1" t="s">
        <v>1</v>
      </c>
      <c r="H74" s="1" t="s">
        <v>6</v>
      </c>
      <c r="I74" s="1" t="s">
        <v>2</v>
      </c>
      <c r="J74" s="1" t="s">
        <v>3</v>
      </c>
      <c r="K74" s="1" t="s">
        <v>4011</v>
      </c>
      <c r="L74" s="1" t="s">
        <v>7</v>
      </c>
      <c r="M74" s="1" t="s">
        <v>9</v>
      </c>
      <c r="N74" s="1" t="s">
        <v>4012</v>
      </c>
      <c r="O74" s="1" t="s">
        <v>3994</v>
      </c>
      <c r="P74" s="1"/>
      <c r="Q74" s="1"/>
      <c r="R74" s="1" t="s">
        <v>11</v>
      </c>
      <c r="S74" s="1"/>
      <c r="T74" s="1"/>
      <c r="U74" s="1"/>
      <c r="V74" s="1"/>
      <c r="W74" s="1"/>
      <c r="X74" s="1"/>
      <c r="Y74" s="1"/>
      <c r="Z74" s="1"/>
      <c r="AA74" s="1"/>
      <c r="AB74" s="1" t="s">
        <v>4013</v>
      </c>
      <c r="AC74" s="1"/>
      <c r="AD74" s="1"/>
      <c r="AE74" s="1" t="s">
        <v>3996</v>
      </c>
      <c r="AF74" s="1"/>
      <c r="AG74" s="1"/>
      <c r="AH74" s="1" t="s">
        <v>4014</v>
      </c>
      <c r="AI74" s="1"/>
      <c r="AJ74" s="1" t="s">
        <v>3998</v>
      </c>
      <c r="AK74" s="1" t="s">
        <v>3999</v>
      </c>
      <c r="AL74" s="1" t="s">
        <v>4000</v>
      </c>
      <c r="AM74" s="1" t="s">
        <v>3998</v>
      </c>
      <c r="AN74" s="1" t="s">
        <v>3999</v>
      </c>
      <c r="AO74" s="1" t="s">
        <v>4000</v>
      </c>
      <c r="AP74" s="2" t="s">
        <v>4015</v>
      </c>
      <c r="AQ74" s="2" t="s">
        <v>1153</v>
      </c>
      <c r="AR74" s="1" t="s">
        <v>286</v>
      </c>
      <c r="AS74" s="1" t="s">
        <v>4009</v>
      </c>
      <c r="AT74" s="1" t="s">
        <v>5</v>
      </c>
    </row>
    <row r="75" spans="1:46" hidden="1" x14ac:dyDescent="0.4">
      <c r="A75" s="1" t="s">
        <v>4016</v>
      </c>
      <c r="B75" s="10"/>
      <c r="C75" s="1" t="s">
        <v>0</v>
      </c>
      <c r="D75" s="1" t="s">
        <v>2211</v>
      </c>
      <c r="E75" s="1" t="s">
        <v>2078</v>
      </c>
      <c r="F75" s="1" t="s">
        <v>14</v>
      </c>
      <c r="G75" s="1" t="s">
        <v>1</v>
      </c>
      <c r="H75" s="1" t="s">
        <v>6</v>
      </c>
      <c r="I75" s="1" t="s">
        <v>2</v>
      </c>
      <c r="J75" s="1" t="s">
        <v>3</v>
      </c>
      <c r="K75" s="1" t="s">
        <v>4017</v>
      </c>
      <c r="L75" s="1" t="s">
        <v>7</v>
      </c>
      <c r="M75" s="1" t="s">
        <v>9</v>
      </c>
      <c r="N75" s="1" t="s">
        <v>4018</v>
      </c>
      <c r="O75" s="1" t="s">
        <v>3994</v>
      </c>
      <c r="P75" s="1"/>
      <c r="Q75" s="1"/>
      <c r="R75" s="1" t="s">
        <v>11</v>
      </c>
      <c r="S75" s="1"/>
      <c r="T75" s="1"/>
      <c r="U75" s="1"/>
      <c r="V75" s="1"/>
      <c r="W75" s="1"/>
      <c r="X75" s="1"/>
      <c r="Y75" s="1"/>
      <c r="Z75" s="1"/>
      <c r="AA75" s="1"/>
      <c r="AB75" s="1" t="s">
        <v>4019</v>
      </c>
      <c r="AC75" s="1"/>
      <c r="AD75" s="1"/>
      <c r="AE75" s="1" t="s">
        <v>3996</v>
      </c>
      <c r="AF75" s="1"/>
      <c r="AG75" s="1"/>
      <c r="AH75" s="1" t="s">
        <v>4020</v>
      </c>
      <c r="AI75" s="1"/>
      <c r="AJ75" s="1" t="s">
        <v>3998</v>
      </c>
      <c r="AK75" s="1" t="s">
        <v>3999</v>
      </c>
      <c r="AL75" s="1" t="s">
        <v>4000</v>
      </c>
      <c r="AM75" s="1" t="s">
        <v>3998</v>
      </c>
      <c r="AN75" s="1" t="s">
        <v>3999</v>
      </c>
      <c r="AO75" s="1" t="s">
        <v>4000</v>
      </c>
      <c r="AP75" s="2" t="s">
        <v>4001</v>
      </c>
      <c r="AQ75" s="2" t="s">
        <v>1153</v>
      </c>
      <c r="AR75" s="1" t="s">
        <v>286</v>
      </c>
      <c r="AS75" s="1" t="s">
        <v>4009</v>
      </c>
      <c r="AT75" s="1" t="s">
        <v>5</v>
      </c>
    </row>
    <row r="76" spans="1:46" hidden="1" x14ac:dyDescent="0.4">
      <c r="A76" s="1" t="s">
        <v>4688</v>
      </c>
      <c r="B76" s="10"/>
      <c r="C76" s="1" t="s">
        <v>0</v>
      </c>
      <c r="D76" s="1" t="s">
        <v>2220</v>
      </c>
      <c r="E76" s="1" t="s">
        <v>2078</v>
      </c>
      <c r="F76" s="1" t="s">
        <v>14</v>
      </c>
      <c r="G76" s="1" t="s">
        <v>1</v>
      </c>
      <c r="H76" s="1" t="s">
        <v>6</v>
      </c>
      <c r="I76" s="1" t="s">
        <v>2</v>
      </c>
      <c r="J76" s="1" t="s">
        <v>3</v>
      </c>
      <c r="K76" s="1" t="s">
        <v>4689</v>
      </c>
      <c r="L76" s="1" t="s">
        <v>4690</v>
      </c>
      <c r="M76" s="1" t="s">
        <v>9</v>
      </c>
      <c r="N76" s="1" t="s">
        <v>4691</v>
      </c>
      <c r="O76" s="1" t="s">
        <v>4692</v>
      </c>
      <c r="P76" s="1"/>
      <c r="Q76" s="1"/>
      <c r="R76" s="1" t="s">
        <v>11</v>
      </c>
      <c r="S76" s="1"/>
      <c r="T76" s="1"/>
      <c r="U76" s="1"/>
      <c r="V76" s="1"/>
      <c r="W76" s="1"/>
      <c r="X76" s="1" t="s">
        <v>4693</v>
      </c>
      <c r="Y76" s="1"/>
      <c r="Z76" s="1"/>
      <c r="AA76" s="1"/>
      <c r="AB76" s="1" t="s">
        <v>4694</v>
      </c>
      <c r="AC76" s="1"/>
      <c r="AD76" s="1"/>
      <c r="AE76" s="1" t="s">
        <v>4695</v>
      </c>
      <c r="AF76" s="1"/>
      <c r="AG76" s="1"/>
      <c r="AH76" s="1" t="s">
        <v>4696</v>
      </c>
      <c r="AI76" s="1"/>
      <c r="AJ76" s="1" t="s">
        <v>4084</v>
      </c>
      <c r="AK76" s="1" t="s">
        <v>4085</v>
      </c>
      <c r="AL76" s="1"/>
      <c r="AM76" s="1" t="s">
        <v>4697</v>
      </c>
      <c r="AN76" s="1" t="s">
        <v>4698</v>
      </c>
      <c r="AO76" s="1" t="s">
        <v>4699</v>
      </c>
      <c r="AP76" s="2" t="s">
        <v>4700</v>
      </c>
      <c r="AQ76" s="2" t="s">
        <v>1153</v>
      </c>
      <c r="AR76" s="1" t="s">
        <v>286</v>
      </c>
      <c r="AS76" s="1"/>
      <c r="AT76" s="1" t="s">
        <v>5</v>
      </c>
    </row>
    <row r="77" spans="1:46" hidden="1" x14ac:dyDescent="0.4">
      <c r="A77" s="1" t="s">
        <v>4701</v>
      </c>
      <c r="B77" s="10"/>
      <c r="C77" s="1" t="s">
        <v>0</v>
      </c>
      <c r="D77" s="1" t="s">
        <v>2220</v>
      </c>
      <c r="E77" s="1" t="s">
        <v>2078</v>
      </c>
      <c r="F77" s="1" t="s">
        <v>14</v>
      </c>
      <c r="G77" s="1" t="s">
        <v>1</v>
      </c>
      <c r="H77" s="1" t="s">
        <v>6</v>
      </c>
      <c r="I77" s="1" t="s">
        <v>2</v>
      </c>
      <c r="J77" s="1" t="s">
        <v>3</v>
      </c>
      <c r="K77" s="1" t="s">
        <v>4702</v>
      </c>
      <c r="L77" s="1" t="s">
        <v>4690</v>
      </c>
      <c r="M77" s="1" t="s">
        <v>9</v>
      </c>
      <c r="N77" s="1" t="s">
        <v>4703</v>
      </c>
      <c r="O77" s="1" t="s">
        <v>4692</v>
      </c>
      <c r="P77" s="1"/>
      <c r="Q77" s="1"/>
      <c r="R77" s="1" t="s">
        <v>11</v>
      </c>
      <c r="S77" s="1"/>
      <c r="T77" s="1"/>
      <c r="U77" s="1"/>
      <c r="V77" s="1"/>
      <c r="W77" s="1"/>
      <c r="X77" s="1" t="s">
        <v>4704</v>
      </c>
      <c r="Y77" s="1"/>
      <c r="Z77" s="1"/>
      <c r="AA77" s="1"/>
      <c r="AB77" s="1" t="s">
        <v>4705</v>
      </c>
      <c r="AC77" s="1"/>
      <c r="AD77" s="1"/>
      <c r="AE77" s="1"/>
      <c r="AF77" s="1"/>
      <c r="AG77" s="1"/>
      <c r="AH77" s="1" t="s">
        <v>4706</v>
      </c>
      <c r="AI77" s="1"/>
      <c r="AJ77" s="1" t="s">
        <v>4084</v>
      </c>
      <c r="AK77" s="1" t="s">
        <v>4085</v>
      </c>
      <c r="AL77" s="1"/>
      <c r="AM77" s="1" t="s">
        <v>4697</v>
      </c>
      <c r="AN77" s="1" t="s">
        <v>4698</v>
      </c>
      <c r="AO77" s="1" t="s">
        <v>4699</v>
      </c>
      <c r="AP77" s="2" t="s">
        <v>4707</v>
      </c>
      <c r="AQ77" s="2" t="s">
        <v>1153</v>
      </c>
      <c r="AR77" s="1" t="s">
        <v>286</v>
      </c>
      <c r="AS77" s="1"/>
      <c r="AT77" s="1" t="s">
        <v>5</v>
      </c>
    </row>
    <row r="78" spans="1:46" hidden="1" x14ac:dyDescent="0.4">
      <c r="A78" s="1" t="s">
        <v>4708</v>
      </c>
      <c r="B78" s="10"/>
      <c r="C78" s="1" t="s">
        <v>0</v>
      </c>
      <c r="D78" s="1" t="s">
        <v>2220</v>
      </c>
      <c r="E78" s="1" t="s">
        <v>2078</v>
      </c>
      <c r="F78" s="1" t="s">
        <v>14</v>
      </c>
      <c r="G78" s="1" t="s">
        <v>1</v>
      </c>
      <c r="H78" s="1" t="s">
        <v>6</v>
      </c>
      <c r="I78" s="1" t="s">
        <v>2</v>
      </c>
      <c r="J78" s="1" t="s">
        <v>3</v>
      </c>
      <c r="K78" s="1" t="s">
        <v>4709</v>
      </c>
      <c r="L78" s="1" t="s">
        <v>4690</v>
      </c>
      <c r="M78" s="1" t="s">
        <v>9</v>
      </c>
      <c r="N78" s="1" t="s">
        <v>4710</v>
      </c>
      <c r="O78" s="1" t="s">
        <v>4692</v>
      </c>
      <c r="P78" s="1"/>
      <c r="Q78" s="1"/>
      <c r="R78" s="1" t="s">
        <v>11</v>
      </c>
      <c r="S78" s="1"/>
      <c r="T78" s="1"/>
      <c r="U78" s="1"/>
      <c r="V78" s="1"/>
      <c r="W78" s="1"/>
      <c r="X78" s="1" t="s">
        <v>4711</v>
      </c>
      <c r="Y78" s="1"/>
      <c r="Z78" s="1"/>
      <c r="AA78" s="1"/>
      <c r="AB78" s="1" t="s">
        <v>4712</v>
      </c>
      <c r="AC78" s="1"/>
      <c r="AD78" s="1"/>
      <c r="AE78" s="1" t="s">
        <v>4695</v>
      </c>
      <c r="AF78" s="1"/>
      <c r="AG78" s="1"/>
      <c r="AH78" s="1" t="s">
        <v>4713</v>
      </c>
      <c r="AI78" s="1"/>
      <c r="AJ78" s="1" t="s">
        <v>4084</v>
      </c>
      <c r="AK78" s="1" t="s">
        <v>4085</v>
      </c>
      <c r="AL78" s="1"/>
      <c r="AM78" s="1" t="s">
        <v>4697</v>
      </c>
      <c r="AN78" s="1" t="s">
        <v>4698</v>
      </c>
      <c r="AO78" s="1" t="s">
        <v>4699</v>
      </c>
      <c r="AP78" s="2" t="s">
        <v>4714</v>
      </c>
      <c r="AQ78" s="2" t="s">
        <v>1153</v>
      </c>
      <c r="AR78" s="1" t="s">
        <v>286</v>
      </c>
      <c r="AS78" s="1"/>
      <c r="AT78" s="1" t="s">
        <v>5</v>
      </c>
    </row>
    <row r="79" spans="1:46" hidden="1" x14ac:dyDescent="0.4">
      <c r="A79" s="1" t="s">
        <v>5058</v>
      </c>
      <c r="B79" s="10"/>
      <c r="C79" s="1" t="s">
        <v>2091</v>
      </c>
      <c r="D79" s="1" t="s">
        <v>2157</v>
      </c>
      <c r="E79" s="1" t="s">
        <v>2078</v>
      </c>
      <c r="F79" s="1" t="s">
        <v>14</v>
      </c>
      <c r="G79" s="1" t="s">
        <v>1</v>
      </c>
      <c r="H79" s="1" t="s">
        <v>6</v>
      </c>
      <c r="I79" s="1" t="s">
        <v>2</v>
      </c>
      <c r="J79" s="1" t="s">
        <v>3</v>
      </c>
      <c r="K79" s="1" t="s">
        <v>5059</v>
      </c>
      <c r="L79" s="1" t="s">
        <v>7</v>
      </c>
      <c r="M79" s="1"/>
      <c r="N79" s="1" t="s">
        <v>5060</v>
      </c>
      <c r="O79" s="1" t="s">
        <v>5061</v>
      </c>
      <c r="P79" s="1"/>
      <c r="Q79" s="1"/>
      <c r="R79" s="1" t="s">
        <v>11</v>
      </c>
      <c r="S79" s="1"/>
      <c r="T79" s="1"/>
      <c r="U79" s="1"/>
      <c r="V79" s="1"/>
      <c r="W79" s="1"/>
      <c r="X79" s="1"/>
      <c r="Y79" s="1"/>
      <c r="Z79" s="1"/>
      <c r="AA79" s="1"/>
      <c r="AB79" s="1" t="s">
        <v>5062</v>
      </c>
      <c r="AC79" s="1"/>
      <c r="AD79" s="1"/>
      <c r="AE79" s="1"/>
      <c r="AF79" s="1"/>
      <c r="AG79" s="1"/>
      <c r="AH79" s="1" t="s">
        <v>5063</v>
      </c>
      <c r="AI79" s="1"/>
      <c r="AJ79" s="1" t="s">
        <v>5046</v>
      </c>
      <c r="AK79" s="1" t="s">
        <v>5047</v>
      </c>
      <c r="AL79" s="1" t="s">
        <v>5048</v>
      </c>
      <c r="AM79" s="1" t="s">
        <v>5046</v>
      </c>
      <c r="AN79" s="1" t="s">
        <v>5047</v>
      </c>
      <c r="AO79" s="1" t="s">
        <v>5048</v>
      </c>
      <c r="AP79" s="2" t="s">
        <v>5064</v>
      </c>
      <c r="AQ79" s="2" t="s">
        <v>1153</v>
      </c>
      <c r="AR79" s="1" t="s">
        <v>286</v>
      </c>
      <c r="AS79" s="1"/>
      <c r="AT79" s="1" t="s">
        <v>5</v>
      </c>
    </row>
    <row r="80" spans="1:46" hidden="1" x14ac:dyDescent="0.4">
      <c r="A80" s="1" t="s">
        <v>5065</v>
      </c>
      <c r="B80" s="10"/>
      <c r="C80" s="1" t="s">
        <v>2091</v>
      </c>
      <c r="D80" s="1" t="s">
        <v>2157</v>
      </c>
      <c r="E80" s="1" t="s">
        <v>2078</v>
      </c>
      <c r="F80" s="1" t="s">
        <v>14</v>
      </c>
      <c r="G80" s="1" t="s">
        <v>1</v>
      </c>
      <c r="H80" s="1" t="s">
        <v>6</v>
      </c>
      <c r="I80" s="1" t="s">
        <v>2</v>
      </c>
      <c r="J80" s="1" t="s">
        <v>3</v>
      </c>
      <c r="K80" s="1" t="s">
        <v>5066</v>
      </c>
      <c r="L80" s="1" t="s">
        <v>7</v>
      </c>
      <c r="M80" s="1"/>
      <c r="N80" s="1" t="s">
        <v>5067</v>
      </c>
      <c r="O80" s="1" t="s">
        <v>5061</v>
      </c>
      <c r="P80" s="1"/>
      <c r="Q80" s="1"/>
      <c r="R80" s="1" t="s">
        <v>11</v>
      </c>
      <c r="S80" s="1"/>
      <c r="T80" s="1"/>
      <c r="U80" s="1"/>
      <c r="V80" s="1"/>
      <c r="W80" s="1"/>
      <c r="X80" s="1"/>
      <c r="Y80" s="1"/>
      <c r="Z80" s="1"/>
      <c r="AA80" s="1"/>
      <c r="AB80" s="1" t="s">
        <v>5068</v>
      </c>
      <c r="AC80" s="1"/>
      <c r="AD80" s="1"/>
      <c r="AE80" s="1"/>
      <c r="AF80" s="1"/>
      <c r="AG80" s="1"/>
      <c r="AH80" s="1" t="s">
        <v>5069</v>
      </c>
      <c r="AI80" s="1"/>
      <c r="AJ80" s="1" t="s">
        <v>5046</v>
      </c>
      <c r="AK80" s="1" t="s">
        <v>5047</v>
      </c>
      <c r="AL80" s="1" t="s">
        <v>5048</v>
      </c>
      <c r="AM80" s="1" t="s">
        <v>5046</v>
      </c>
      <c r="AN80" s="1" t="s">
        <v>5047</v>
      </c>
      <c r="AO80" s="1" t="s">
        <v>5048</v>
      </c>
      <c r="AP80" s="2" t="s">
        <v>5070</v>
      </c>
      <c r="AQ80" s="2" t="s">
        <v>1153</v>
      </c>
      <c r="AR80" s="1" t="s">
        <v>286</v>
      </c>
      <c r="AS80" s="1"/>
      <c r="AT80" s="1" t="s">
        <v>5</v>
      </c>
    </row>
    <row r="81" spans="1:46" hidden="1" x14ac:dyDescent="0.4">
      <c r="A81" s="1" t="s">
        <v>5867</v>
      </c>
      <c r="B81" s="10"/>
      <c r="C81" s="1" t="s">
        <v>0</v>
      </c>
      <c r="D81" s="1" t="s">
        <v>3381</v>
      </c>
      <c r="E81" s="1" t="s">
        <v>2291</v>
      </c>
      <c r="F81" s="1" t="s">
        <v>3382</v>
      </c>
      <c r="G81" s="1" t="s">
        <v>1</v>
      </c>
      <c r="H81" s="1" t="s">
        <v>6</v>
      </c>
      <c r="I81" s="1" t="s">
        <v>2</v>
      </c>
      <c r="J81" s="1" t="s">
        <v>3</v>
      </c>
      <c r="K81" s="1" t="s">
        <v>5868</v>
      </c>
      <c r="L81" s="1" t="s">
        <v>4</v>
      </c>
      <c r="M81" s="1" t="s">
        <v>9</v>
      </c>
      <c r="N81" s="1" t="s">
        <v>5869</v>
      </c>
      <c r="O81" s="1" t="s">
        <v>5870</v>
      </c>
      <c r="P81" s="1"/>
      <c r="Q81" s="1"/>
      <c r="R81" s="1" t="s">
        <v>11</v>
      </c>
      <c r="S81" s="1"/>
      <c r="T81" s="1"/>
      <c r="U81" s="1"/>
      <c r="V81" s="1"/>
      <c r="W81" s="1" t="s">
        <v>5871</v>
      </c>
      <c r="X81" s="1"/>
      <c r="Y81" s="1"/>
      <c r="Z81" s="1"/>
      <c r="AA81" s="1"/>
      <c r="AB81" s="1" t="s">
        <v>5872</v>
      </c>
      <c r="AC81" s="1"/>
      <c r="AD81" s="1"/>
      <c r="AE81" s="1" t="s">
        <v>5873</v>
      </c>
      <c r="AF81" s="1"/>
      <c r="AG81" s="1"/>
      <c r="AH81" s="1" t="s">
        <v>5874</v>
      </c>
      <c r="AI81" s="1"/>
      <c r="AJ81" s="1" t="s">
        <v>211</v>
      </c>
      <c r="AK81" s="1" t="s">
        <v>511</v>
      </c>
      <c r="AL81" s="1" t="s">
        <v>212</v>
      </c>
      <c r="AM81" s="1" t="s">
        <v>1319</v>
      </c>
      <c r="AN81" s="1" t="s">
        <v>511</v>
      </c>
      <c r="AO81" s="1"/>
      <c r="AP81" s="2" t="s">
        <v>5875</v>
      </c>
      <c r="AQ81" s="2" t="s">
        <v>1077</v>
      </c>
      <c r="AR81" s="1" t="s">
        <v>286</v>
      </c>
      <c r="AS81" s="1"/>
      <c r="AT81" s="1" t="s">
        <v>5</v>
      </c>
    </row>
    <row r="82" spans="1:46" hidden="1" x14ac:dyDescent="0.4">
      <c r="A82" s="1" t="s">
        <v>10438</v>
      </c>
      <c r="B82" s="10"/>
      <c r="C82" s="1" t="s">
        <v>0</v>
      </c>
      <c r="D82" s="1" t="s">
        <v>2220</v>
      </c>
      <c r="E82" s="1" t="s">
        <v>2078</v>
      </c>
      <c r="F82" s="1" t="s">
        <v>14</v>
      </c>
      <c r="G82" s="1" t="s">
        <v>1</v>
      </c>
      <c r="H82" s="1" t="s">
        <v>6</v>
      </c>
      <c r="I82" s="1" t="s">
        <v>2</v>
      </c>
      <c r="J82" s="1" t="s">
        <v>3</v>
      </c>
      <c r="K82" s="1" t="s">
        <v>10439</v>
      </c>
      <c r="L82" s="1" t="s">
        <v>7</v>
      </c>
      <c r="M82" s="1" t="s">
        <v>9</v>
      </c>
      <c r="N82" s="1" t="s">
        <v>10440</v>
      </c>
      <c r="O82" s="1" t="s">
        <v>10441</v>
      </c>
      <c r="P82" s="1"/>
      <c r="Q82" s="1"/>
      <c r="R82" s="1" t="s">
        <v>11</v>
      </c>
      <c r="S82" s="1"/>
      <c r="T82" s="1"/>
      <c r="U82" s="1"/>
      <c r="V82" s="1"/>
      <c r="W82" s="1"/>
      <c r="X82" s="1" t="s">
        <v>10442</v>
      </c>
      <c r="Y82" s="1"/>
      <c r="Z82" s="1"/>
      <c r="AA82" s="1"/>
      <c r="AB82" s="1" t="s">
        <v>10443</v>
      </c>
      <c r="AC82" s="1"/>
      <c r="AD82" s="1"/>
      <c r="AE82" s="1" t="s">
        <v>10444</v>
      </c>
      <c r="AF82" s="1"/>
      <c r="AG82" s="1"/>
      <c r="AH82" s="1" t="s">
        <v>10445</v>
      </c>
      <c r="AI82" s="1"/>
      <c r="AJ82" s="1" t="s">
        <v>498</v>
      </c>
      <c r="AK82" s="1" t="s">
        <v>218</v>
      </c>
      <c r="AL82" s="1" t="s">
        <v>499</v>
      </c>
      <c r="AM82" s="1" t="s">
        <v>498</v>
      </c>
      <c r="AN82" s="1" t="s">
        <v>218</v>
      </c>
      <c r="AO82" s="1" t="s">
        <v>499</v>
      </c>
      <c r="AP82" s="2" t="s">
        <v>10446</v>
      </c>
      <c r="AQ82" s="2" t="s">
        <v>1155</v>
      </c>
      <c r="AR82" s="1" t="s">
        <v>286</v>
      </c>
      <c r="AS82" s="1" t="s">
        <v>970</v>
      </c>
      <c r="AT82" s="1" t="s">
        <v>5</v>
      </c>
    </row>
    <row r="83" spans="1:46" hidden="1" x14ac:dyDescent="0.4">
      <c r="A83" s="1" t="s">
        <v>11412</v>
      </c>
      <c r="B83" s="10"/>
      <c r="C83" s="1" t="s">
        <v>0</v>
      </c>
      <c r="D83" s="1" t="s">
        <v>2157</v>
      </c>
      <c r="E83" s="1" t="s">
        <v>2078</v>
      </c>
      <c r="F83" s="1" t="s">
        <v>14</v>
      </c>
      <c r="G83" s="1" t="s">
        <v>1</v>
      </c>
      <c r="H83" s="1" t="s">
        <v>6</v>
      </c>
      <c r="I83" s="1" t="s">
        <v>2</v>
      </c>
      <c r="J83" s="1" t="s">
        <v>3</v>
      </c>
      <c r="K83" s="1" t="s">
        <v>11413</v>
      </c>
      <c r="L83" s="1" t="s">
        <v>7</v>
      </c>
      <c r="M83" s="1" t="s">
        <v>9</v>
      </c>
      <c r="N83" s="1" t="s">
        <v>11414</v>
      </c>
      <c r="O83" s="1" t="s">
        <v>4983</v>
      </c>
      <c r="P83" s="1"/>
      <c r="Q83" s="1"/>
      <c r="R83" s="1" t="s">
        <v>11</v>
      </c>
      <c r="S83" s="1"/>
      <c r="T83" s="1"/>
      <c r="U83" s="1"/>
      <c r="V83" s="1"/>
      <c r="W83" s="1"/>
      <c r="X83" s="1" t="s">
        <v>11415</v>
      </c>
      <c r="Y83" s="1"/>
      <c r="Z83" s="1"/>
      <c r="AA83" s="1"/>
      <c r="AB83" s="1" t="s">
        <v>11416</v>
      </c>
      <c r="AC83" s="1"/>
      <c r="AD83" s="1"/>
      <c r="AE83" s="1" t="s">
        <v>11417</v>
      </c>
      <c r="AF83" s="1"/>
      <c r="AG83" s="1"/>
      <c r="AH83" s="1" t="s">
        <v>11418</v>
      </c>
      <c r="AI83" s="1"/>
      <c r="AJ83" s="1" t="s">
        <v>6411</v>
      </c>
      <c r="AK83" s="1" t="s">
        <v>6412</v>
      </c>
      <c r="AL83" s="1" t="s">
        <v>6413</v>
      </c>
      <c r="AM83" s="1" t="s">
        <v>6414</v>
      </c>
      <c r="AN83" s="1" t="s">
        <v>6412</v>
      </c>
      <c r="AO83" s="1" t="s">
        <v>6415</v>
      </c>
      <c r="AP83" s="2" t="s">
        <v>11419</v>
      </c>
      <c r="AQ83" s="2" t="s">
        <v>1155</v>
      </c>
      <c r="AR83" s="1" t="s">
        <v>286</v>
      </c>
      <c r="AS83" s="1" t="s">
        <v>1068</v>
      </c>
      <c r="AT83" s="1" t="s">
        <v>5</v>
      </c>
    </row>
    <row r="84" spans="1:46" hidden="1" x14ac:dyDescent="0.4">
      <c r="A84" s="1" t="s">
        <v>7440</v>
      </c>
      <c r="B84" s="10"/>
      <c r="C84" s="1" t="s">
        <v>93</v>
      </c>
      <c r="D84" s="1" t="s">
        <v>2211</v>
      </c>
      <c r="E84" s="1" t="s">
        <v>2078</v>
      </c>
      <c r="F84" s="1" t="s">
        <v>14</v>
      </c>
      <c r="G84" s="1" t="s">
        <v>1</v>
      </c>
      <c r="H84" s="1" t="s">
        <v>6</v>
      </c>
      <c r="I84" s="1" t="s">
        <v>2</v>
      </c>
      <c r="J84" s="1" t="s">
        <v>3</v>
      </c>
      <c r="K84" s="1" t="s">
        <v>7441</v>
      </c>
      <c r="L84" s="1" t="s">
        <v>7</v>
      </c>
      <c r="M84" s="1"/>
      <c r="N84" s="1" t="s">
        <v>7442</v>
      </c>
      <c r="O84" s="1" t="s">
        <v>15</v>
      </c>
      <c r="P84" s="1"/>
      <c r="Q84" s="1"/>
      <c r="R84" s="1" t="s">
        <v>11</v>
      </c>
      <c r="S84" s="1"/>
      <c r="T84" s="1"/>
      <c r="U84" s="1"/>
      <c r="V84" s="1"/>
      <c r="W84" s="1" t="s">
        <v>7435</v>
      </c>
      <c r="X84" s="1"/>
      <c r="Y84" s="1"/>
      <c r="Z84" s="1"/>
      <c r="AA84" s="1"/>
      <c r="AB84" s="1" t="s">
        <v>7443</v>
      </c>
      <c r="AC84" s="1"/>
      <c r="AD84" s="1"/>
      <c r="AE84" s="1" t="s">
        <v>20</v>
      </c>
      <c r="AF84" s="1"/>
      <c r="AG84" s="1"/>
      <c r="AH84" s="1" t="s">
        <v>7444</v>
      </c>
      <c r="AI84" s="1"/>
      <c r="AJ84" s="1" t="s">
        <v>5110</v>
      </c>
      <c r="AK84" s="1" t="s">
        <v>5111</v>
      </c>
      <c r="AL84" s="1" t="s">
        <v>5112</v>
      </c>
      <c r="AM84" s="1" t="s">
        <v>5110</v>
      </c>
      <c r="AN84" s="1" t="s">
        <v>5111</v>
      </c>
      <c r="AO84" s="1" t="s">
        <v>5112</v>
      </c>
      <c r="AP84" s="2" t="s">
        <v>7445</v>
      </c>
      <c r="AQ84" s="2" t="s">
        <v>1077</v>
      </c>
      <c r="AR84" s="1" t="s">
        <v>286</v>
      </c>
      <c r="AS84" s="1"/>
      <c r="AT84" s="1" t="s">
        <v>5</v>
      </c>
    </row>
    <row r="85" spans="1:46" hidden="1" x14ac:dyDescent="0.4">
      <c r="A85" s="1" t="s">
        <v>5341</v>
      </c>
      <c r="B85" s="10"/>
      <c r="C85" s="1" t="s">
        <v>93</v>
      </c>
      <c r="D85" s="1" t="s">
        <v>2211</v>
      </c>
      <c r="E85" s="1" t="s">
        <v>2078</v>
      </c>
      <c r="F85" s="1" t="s">
        <v>14</v>
      </c>
      <c r="G85" s="1" t="s">
        <v>1</v>
      </c>
      <c r="H85" s="1" t="s">
        <v>6</v>
      </c>
      <c r="I85" s="1" t="s">
        <v>2</v>
      </c>
      <c r="J85" s="1" t="s">
        <v>3</v>
      </c>
      <c r="K85" s="1" t="s">
        <v>5342</v>
      </c>
      <c r="L85" s="1" t="s">
        <v>7</v>
      </c>
      <c r="M85" s="1"/>
      <c r="N85" s="1" t="s">
        <v>5343</v>
      </c>
      <c r="O85" s="1" t="s">
        <v>15</v>
      </c>
      <c r="P85" s="1"/>
      <c r="Q85" s="1"/>
      <c r="R85" s="1" t="s">
        <v>11</v>
      </c>
      <c r="S85" s="1"/>
      <c r="T85" s="1"/>
      <c r="U85" s="1"/>
      <c r="V85" s="1"/>
      <c r="W85" s="1" t="s">
        <v>5344</v>
      </c>
      <c r="X85" s="1"/>
      <c r="Y85" s="1"/>
      <c r="Z85" s="1"/>
      <c r="AA85" s="1"/>
      <c r="AB85" s="1" t="s">
        <v>5345</v>
      </c>
      <c r="AC85" s="1"/>
      <c r="AD85" s="1"/>
      <c r="AE85" s="1" t="s">
        <v>20</v>
      </c>
      <c r="AF85" s="1"/>
      <c r="AG85" s="1"/>
      <c r="AH85" s="1" t="s">
        <v>5346</v>
      </c>
      <c r="AI85" s="1"/>
      <c r="AJ85" s="1" t="s">
        <v>5110</v>
      </c>
      <c r="AK85" s="1" t="s">
        <v>5111</v>
      </c>
      <c r="AL85" s="1" t="s">
        <v>5112</v>
      </c>
      <c r="AM85" s="1" t="s">
        <v>5110</v>
      </c>
      <c r="AN85" s="1" t="s">
        <v>5111</v>
      </c>
      <c r="AO85" s="1" t="s">
        <v>5112</v>
      </c>
      <c r="AP85" s="2" t="s">
        <v>5347</v>
      </c>
      <c r="AQ85" s="2" t="s">
        <v>1077</v>
      </c>
      <c r="AR85" s="1" t="s">
        <v>286</v>
      </c>
      <c r="AS85" s="1" t="s">
        <v>5348</v>
      </c>
      <c r="AT85" s="1" t="s">
        <v>5</v>
      </c>
    </row>
    <row r="86" spans="1:46" hidden="1" x14ac:dyDescent="0.4">
      <c r="A86" s="1" t="s">
        <v>10639</v>
      </c>
      <c r="B86" s="10"/>
      <c r="C86" s="1" t="s">
        <v>93</v>
      </c>
      <c r="D86" s="1" t="s">
        <v>2211</v>
      </c>
      <c r="E86" s="1" t="s">
        <v>2078</v>
      </c>
      <c r="F86" s="1" t="s">
        <v>14</v>
      </c>
      <c r="G86" s="1" t="s">
        <v>1</v>
      </c>
      <c r="H86" s="1" t="s">
        <v>6</v>
      </c>
      <c r="I86" s="1" t="s">
        <v>2</v>
      </c>
      <c r="J86" s="1" t="s">
        <v>3</v>
      </c>
      <c r="K86" s="1" t="s">
        <v>10640</v>
      </c>
      <c r="L86" s="1" t="s">
        <v>7</v>
      </c>
      <c r="M86" s="1"/>
      <c r="N86" s="1" t="s">
        <v>10641</v>
      </c>
      <c r="O86" s="1" t="s">
        <v>15</v>
      </c>
      <c r="P86" s="1"/>
      <c r="Q86" s="1"/>
      <c r="R86" s="1" t="s">
        <v>11</v>
      </c>
      <c r="S86" s="1"/>
      <c r="T86" s="1"/>
      <c r="U86" s="1"/>
      <c r="V86" s="1"/>
      <c r="W86" s="1"/>
      <c r="X86" s="1"/>
      <c r="Y86" s="1"/>
      <c r="Z86" s="1"/>
      <c r="AA86" s="1"/>
      <c r="AB86" s="1" t="s">
        <v>10642</v>
      </c>
      <c r="AC86" s="1"/>
      <c r="AD86" s="1"/>
      <c r="AE86" s="1" t="s">
        <v>20</v>
      </c>
      <c r="AF86" s="1"/>
      <c r="AG86" s="1"/>
      <c r="AH86" s="1" t="s">
        <v>10643</v>
      </c>
      <c r="AI86" s="1"/>
      <c r="AJ86" s="1" t="s">
        <v>7513</v>
      </c>
      <c r="AK86" s="1" t="s">
        <v>10636</v>
      </c>
      <c r="AL86" s="1" t="s">
        <v>7514</v>
      </c>
      <c r="AM86" s="1" t="s">
        <v>7513</v>
      </c>
      <c r="AN86" s="1" t="s">
        <v>10636</v>
      </c>
      <c r="AO86" s="1" t="s">
        <v>7514</v>
      </c>
      <c r="AP86" s="2" t="s">
        <v>10644</v>
      </c>
      <c r="AQ86" s="2" t="s">
        <v>1155</v>
      </c>
      <c r="AR86" s="1" t="s">
        <v>286</v>
      </c>
      <c r="AS86" s="1" t="s">
        <v>10645</v>
      </c>
      <c r="AT86" s="1" t="s">
        <v>5</v>
      </c>
    </row>
    <row r="87" spans="1:46" hidden="1" x14ac:dyDescent="0.4">
      <c r="A87" s="1" t="s">
        <v>7473</v>
      </c>
      <c r="B87" s="10"/>
      <c r="C87" s="1" t="s">
        <v>93</v>
      </c>
      <c r="D87" s="1" t="s">
        <v>2211</v>
      </c>
      <c r="E87" s="1" t="s">
        <v>2078</v>
      </c>
      <c r="F87" s="1" t="s">
        <v>14</v>
      </c>
      <c r="G87" s="1" t="s">
        <v>1</v>
      </c>
      <c r="H87" s="1" t="s">
        <v>6</v>
      </c>
      <c r="I87" s="1" t="s">
        <v>2</v>
      </c>
      <c r="J87" s="1" t="s">
        <v>3</v>
      </c>
      <c r="K87" s="1" t="s">
        <v>7474</v>
      </c>
      <c r="L87" s="1" t="s">
        <v>7</v>
      </c>
      <c r="M87" s="1"/>
      <c r="N87" s="1" t="s">
        <v>7475</v>
      </c>
      <c r="O87" s="1" t="s">
        <v>15</v>
      </c>
      <c r="P87" s="1"/>
      <c r="Q87" s="1"/>
      <c r="R87" s="1" t="s">
        <v>11</v>
      </c>
      <c r="S87" s="1"/>
      <c r="T87" s="1"/>
      <c r="U87" s="1"/>
      <c r="V87" s="1"/>
      <c r="W87" s="1" t="s">
        <v>7449</v>
      </c>
      <c r="X87" s="1"/>
      <c r="Y87" s="1"/>
      <c r="Z87" s="1"/>
      <c r="AA87" s="1"/>
      <c r="AB87" s="1" t="s">
        <v>7476</v>
      </c>
      <c r="AC87" s="1"/>
      <c r="AD87" s="1"/>
      <c r="AE87" s="1" t="s">
        <v>20</v>
      </c>
      <c r="AF87" s="1"/>
      <c r="AG87" s="1"/>
      <c r="AH87" s="1" t="s">
        <v>7477</v>
      </c>
      <c r="AI87" s="1"/>
      <c r="AJ87" s="1" t="s">
        <v>5110</v>
      </c>
      <c r="AK87" s="1" t="s">
        <v>5111</v>
      </c>
      <c r="AL87" s="1" t="s">
        <v>5112</v>
      </c>
      <c r="AM87" s="1" t="s">
        <v>5110</v>
      </c>
      <c r="AN87" s="1" t="s">
        <v>5111</v>
      </c>
      <c r="AO87" s="1" t="s">
        <v>5112</v>
      </c>
      <c r="AP87" s="2" t="s">
        <v>7478</v>
      </c>
      <c r="AQ87" s="2" t="s">
        <v>1077</v>
      </c>
      <c r="AR87" s="1" t="s">
        <v>286</v>
      </c>
      <c r="AS87" s="1" t="s">
        <v>7439</v>
      </c>
      <c r="AT87" s="1" t="s">
        <v>5</v>
      </c>
    </row>
    <row r="88" spans="1:46" hidden="1" x14ac:dyDescent="0.4">
      <c r="A88" s="1" t="s">
        <v>7453</v>
      </c>
      <c r="B88" s="10"/>
      <c r="C88" s="1" t="s">
        <v>93</v>
      </c>
      <c r="D88" s="1" t="s">
        <v>2211</v>
      </c>
      <c r="E88" s="1" t="s">
        <v>2078</v>
      </c>
      <c r="F88" s="1" t="s">
        <v>14</v>
      </c>
      <c r="G88" s="1" t="s">
        <v>1</v>
      </c>
      <c r="H88" s="1" t="s">
        <v>6</v>
      </c>
      <c r="I88" s="1" t="s">
        <v>2</v>
      </c>
      <c r="J88" s="1" t="s">
        <v>3</v>
      </c>
      <c r="K88" s="1" t="s">
        <v>7454</v>
      </c>
      <c r="L88" s="1" t="s">
        <v>7</v>
      </c>
      <c r="M88" s="1"/>
      <c r="N88" s="1" t="s">
        <v>7455</v>
      </c>
      <c r="O88" s="1" t="s">
        <v>15</v>
      </c>
      <c r="P88" s="1"/>
      <c r="Q88" s="1"/>
      <c r="R88" s="1" t="s">
        <v>11</v>
      </c>
      <c r="S88" s="1"/>
      <c r="T88" s="1"/>
      <c r="U88" s="1"/>
      <c r="V88" s="1"/>
      <c r="W88" s="1" t="s">
        <v>7435</v>
      </c>
      <c r="X88" s="1"/>
      <c r="Y88" s="1"/>
      <c r="Z88" s="1"/>
      <c r="AA88" s="1"/>
      <c r="AB88" s="1" t="s">
        <v>7456</v>
      </c>
      <c r="AC88" s="1"/>
      <c r="AD88" s="1"/>
      <c r="AE88" s="1" t="s">
        <v>20</v>
      </c>
      <c r="AF88" s="1"/>
      <c r="AG88" s="1"/>
      <c r="AH88" s="1" t="s">
        <v>7457</v>
      </c>
      <c r="AI88" s="1"/>
      <c r="AJ88" s="1" t="s">
        <v>5110</v>
      </c>
      <c r="AK88" s="1" t="s">
        <v>5111</v>
      </c>
      <c r="AL88" s="1" t="s">
        <v>5112</v>
      </c>
      <c r="AM88" s="1" t="s">
        <v>5110</v>
      </c>
      <c r="AN88" s="1" t="s">
        <v>5111</v>
      </c>
      <c r="AO88" s="1" t="s">
        <v>5112</v>
      </c>
      <c r="AP88" s="2" t="s">
        <v>7458</v>
      </c>
      <c r="AQ88" s="2" t="s">
        <v>1077</v>
      </c>
      <c r="AR88" s="1" t="s">
        <v>286</v>
      </c>
      <c r="AS88" s="1" t="s">
        <v>7439</v>
      </c>
      <c r="AT88" s="1" t="s">
        <v>5</v>
      </c>
    </row>
    <row r="89" spans="1:46" hidden="1" x14ac:dyDescent="0.4">
      <c r="A89" s="1" t="s">
        <v>10631</v>
      </c>
      <c r="B89" s="10"/>
      <c r="C89" s="1" t="s">
        <v>93</v>
      </c>
      <c r="D89" s="1" t="s">
        <v>2211</v>
      </c>
      <c r="E89" s="1" t="s">
        <v>2078</v>
      </c>
      <c r="F89" s="1" t="s">
        <v>14</v>
      </c>
      <c r="G89" s="1" t="s">
        <v>1</v>
      </c>
      <c r="H89" s="1" t="s">
        <v>6</v>
      </c>
      <c r="I89" s="1" t="s">
        <v>2</v>
      </c>
      <c r="J89" s="1" t="s">
        <v>3</v>
      </c>
      <c r="K89" s="1" t="s">
        <v>10632</v>
      </c>
      <c r="L89" s="1" t="s">
        <v>7</v>
      </c>
      <c r="M89" s="1"/>
      <c r="N89" s="1" t="s">
        <v>10633</v>
      </c>
      <c r="O89" s="1" t="s">
        <v>15</v>
      </c>
      <c r="P89" s="1"/>
      <c r="Q89" s="1"/>
      <c r="R89" s="1" t="s">
        <v>11</v>
      </c>
      <c r="S89" s="1"/>
      <c r="T89" s="1"/>
      <c r="U89" s="1"/>
      <c r="V89" s="1"/>
      <c r="W89" s="1"/>
      <c r="X89" s="1"/>
      <c r="Y89" s="1"/>
      <c r="Z89" s="1"/>
      <c r="AA89" s="1"/>
      <c r="AB89" s="1" t="s">
        <v>10634</v>
      </c>
      <c r="AC89" s="1"/>
      <c r="AD89" s="1"/>
      <c r="AE89" s="1" t="s">
        <v>20</v>
      </c>
      <c r="AF89" s="1"/>
      <c r="AG89" s="1"/>
      <c r="AH89" s="1" t="s">
        <v>10635</v>
      </c>
      <c r="AI89" s="1"/>
      <c r="AJ89" s="1" t="s">
        <v>7513</v>
      </c>
      <c r="AK89" s="1" t="s">
        <v>10636</v>
      </c>
      <c r="AL89" s="1" t="s">
        <v>7514</v>
      </c>
      <c r="AM89" s="1" t="s">
        <v>7513</v>
      </c>
      <c r="AN89" s="1" t="s">
        <v>10636</v>
      </c>
      <c r="AO89" s="1" t="s">
        <v>7514</v>
      </c>
      <c r="AP89" s="2" t="s">
        <v>10637</v>
      </c>
      <c r="AQ89" s="2" t="s">
        <v>1155</v>
      </c>
      <c r="AR89" s="1" t="s">
        <v>286</v>
      </c>
      <c r="AS89" s="1" t="s">
        <v>10638</v>
      </c>
      <c r="AT89" s="1" t="s">
        <v>5</v>
      </c>
    </row>
    <row r="90" spans="1:46" hidden="1" x14ac:dyDescent="0.4">
      <c r="A90" s="1" t="s">
        <v>7446</v>
      </c>
      <c r="B90" s="10"/>
      <c r="C90" s="1" t="s">
        <v>93</v>
      </c>
      <c r="D90" s="1" t="s">
        <v>2211</v>
      </c>
      <c r="E90" s="1" t="s">
        <v>2078</v>
      </c>
      <c r="F90" s="1" t="s">
        <v>14</v>
      </c>
      <c r="G90" s="1" t="s">
        <v>1</v>
      </c>
      <c r="H90" s="1" t="s">
        <v>6</v>
      </c>
      <c r="I90" s="1" t="s">
        <v>2</v>
      </c>
      <c r="J90" s="1" t="s">
        <v>3</v>
      </c>
      <c r="K90" s="1" t="s">
        <v>7447</v>
      </c>
      <c r="L90" s="1" t="s">
        <v>7</v>
      </c>
      <c r="M90" s="1"/>
      <c r="N90" s="1" t="s">
        <v>7448</v>
      </c>
      <c r="O90" s="1" t="s">
        <v>15</v>
      </c>
      <c r="P90" s="1"/>
      <c r="Q90" s="1"/>
      <c r="R90" s="1" t="s">
        <v>11</v>
      </c>
      <c r="S90" s="1"/>
      <c r="T90" s="1"/>
      <c r="U90" s="1"/>
      <c r="V90" s="1"/>
      <c r="W90" s="1" t="s">
        <v>7449</v>
      </c>
      <c r="X90" s="1"/>
      <c r="Y90" s="1"/>
      <c r="Z90" s="1"/>
      <c r="AA90" s="1"/>
      <c r="AB90" s="1" t="s">
        <v>7450</v>
      </c>
      <c r="AC90" s="1"/>
      <c r="AD90" s="1"/>
      <c r="AE90" s="1" t="s">
        <v>20</v>
      </c>
      <c r="AF90" s="1"/>
      <c r="AG90" s="1"/>
      <c r="AH90" s="1" t="s">
        <v>7451</v>
      </c>
      <c r="AI90" s="1"/>
      <c r="AJ90" s="1" t="s">
        <v>5110</v>
      </c>
      <c r="AK90" s="1" t="s">
        <v>5111</v>
      </c>
      <c r="AL90" s="1" t="s">
        <v>5112</v>
      </c>
      <c r="AM90" s="1" t="s">
        <v>5110</v>
      </c>
      <c r="AN90" s="1" t="s">
        <v>5111</v>
      </c>
      <c r="AO90" s="1" t="s">
        <v>5112</v>
      </c>
      <c r="AP90" s="2" t="s">
        <v>7452</v>
      </c>
      <c r="AQ90" s="2" t="s">
        <v>1077</v>
      </c>
      <c r="AR90" s="1" t="s">
        <v>286</v>
      </c>
      <c r="AS90" s="1"/>
      <c r="AT90" s="1" t="s">
        <v>5</v>
      </c>
    </row>
    <row r="91" spans="1:46" hidden="1" x14ac:dyDescent="0.4">
      <c r="A91" s="1" t="s">
        <v>7432</v>
      </c>
      <c r="B91" s="10"/>
      <c r="C91" s="1" t="s">
        <v>93</v>
      </c>
      <c r="D91" s="1" t="s">
        <v>2211</v>
      </c>
      <c r="E91" s="1" t="s">
        <v>2078</v>
      </c>
      <c r="F91" s="1" t="s">
        <v>14</v>
      </c>
      <c r="G91" s="1" t="s">
        <v>1</v>
      </c>
      <c r="H91" s="1" t="s">
        <v>6</v>
      </c>
      <c r="I91" s="1" t="s">
        <v>2</v>
      </c>
      <c r="J91" s="1" t="s">
        <v>3</v>
      </c>
      <c r="K91" s="1" t="s">
        <v>7433</v>
      </c>
      <c r="L91" s="1" t="s">
        <v>7</v>
      </c>
      <c r="M91" s="1"/>
      <c r="N91" s="1" t="s">
        <v>7434</v>
      </c>
      <c r="O91" s="1" t="s">
        <v>15</v>
      </c>
      <c r="P91" s="1"/>
      <c r="Q91" s="1"/>
      <c r="R91" s="1" t="s">
        <v>11</v>
      </c>
      <c r="S91" s="1"/>
      <c r="T91" s="1"/>
      <c r="U91" s="1"/>
      <c r="V91" s="1"/>
      <c r="W91" s="1" t="s">
        <v>7435</v>
      </c>
      <c r="X91" s="1"/>
      <c r="Y91" s="1"/>
      <c r="Z91" s="1"/>
      <c r="AA91" s="1"/>
      <c r="AB91" s="1" t="s">
        <v>7436</v>
      </c>
      <c r="AC91" s="1"/>
      <c r="AD91" s="1"/>
      <c r="AE91" s="1" t="s">
        <v>20</v>
      </c>
      <c r="AF91" s="1"/>
      <c r="AG91" s="1"/>
      <c r="AH91" s="1" t="s">
        <v>7437</v>
      </c>
      <c r="AI91" s="1"/>
      <c r="AJ91" s="1" t="s">
        <v>5110</v>
      </c>
      <c r="AK91" s="1" t="s">
        <v>5111</v>
      </c>
      <c r="AL91" s="1" t="s">
        <v>5112</v>
      </c>
      <c r="AM91" s="1" t="s">
        <v>5110</v>
      </c>
      <c r="AN91" s="1" t="s">
        <v>5111</v>
      </c>
      <c r="AO91" s="1" t="s">
        <v>5112</v>
      </c>
      <c r="AP91" s="2" t="s">
        <v>7438</v>
      </c>
      <c r="AQ91" s="2" t="s">
        <v>1077</v>
      </c>
      <c r="AR91" s="1" t="s">
        <v>286</v>
      </c>
      <c r="AS91" s="1" t="s">
        <v>7439</v>
      </c>
      <c r="AT91" s="1" t="s">
        <v>5</v>
      </c>
    </row>
    <row r="92" spans="1:46" hidden="1" x14ac:dyDescent="0.4">
      <c r="A92" s="1" t="s">
        <v>7459</v>
      </c>
      <c r="B92" s="10"/>
      <c r="C92" s="1" t="s">
        <v>93</v>
      </c>
      <c r="D92" s="1" t="s">
        <v>2211</v>
      </c>
      <c r="E92" s="1" t="s">
        <v>2078</v>
      </c>
      <c r="F92" s="1" t="s">
        <v>14</v>
      </c>
      <c r="G92" s="1" t="s">
        <v>1</v>
      </c>
      <c r="H92" s="1" t="s">
        <v>6</v>
      </c>
      <c r="I92" s="1" t="s">
        <v>2</v>
      </c>
      <c r="J92" s="1" t="s">
        <v>3</v>
      </c>
      <c r="K92" s="1" t="s">
        <v>7460</v>
      </c>
      <c r="L92" s="1" t="s">
        <v>7</v>
      </c>
      <c r="M92" s="1"/>
      <c r="N92" s="1" t="s">
        <v>7461</v>
      </c>
      <c r="O92" s="1" t="s">
        <v>15</v>
      </c>
      <c r="P92" s="1"/>
      <c r="Q92" s="1"/>
      <c r="R92" s="1" t="s">
        <v>11</v>
      </c>
      <c r="S92" s="1"/>
      <c r="T92" s="1"/>
      <c r="U92" s="1"/>
      <c r="V92" s="1"/>
      <c r="W92" s="1" t="s">
        <v>7449</v>
      </c>
      <c r="X92" s="1"/>
      <c r="Y92" s="1"/>
      <c r="Z92" s="1"/>
      <c r="AA92" s="1"/>
      <c r="AB92" s="1" t="s">
        <v>7462</v>
      </c>
      <c r="AC92" s="1"/>
      <c r="AD92" s="1"/>
      <c r="AE92" s="1" t="s">
        <v>20</v>
      </c>
      <c r="AF92" s="1"/>
      <c r="AG92" s="1"/>
      <c r="AH92" s="1" t="s">
        <v>7463</v>
      </c>
      <c r="AI92" s="1"/>
      <c r="AJ92" s="1" t="s">
        <v>5110</v>
      </c>
      <c r="AK92" s="1" t="s">
        <v>5111</v>
      </c>
      <c r="AL92" s="1" t="s">
        <v>5112</v>
      </c>
      <c r="AM92" s="1" t="s">
        <v>5110</v>
      </c>
      <c r="AN92" s="1" t="s">
        <v>5111</v>
      </c>
      <c r="AO92" s="1" t="s">
        <v>5112</v>
      </c>
      <c r="AP92" s="2" t="s">
        <v>7464</v>
      </c>
      <c r="AQ92" s="2" t="s">
        <v>1077</v>
      </c>
      <c r="AR92" s="1" t="s">
        <v>286</v>
      </c>
      <c r="AS92" s="1" t="s">
        <v>7439</v>
      </c>
      <c r="AT92" s="1" t="s">
        <v>5</v>
      </c>
    </row>
    <row r="93" spans="1:46" hidden="1" x14ac:dyDescent="0.4">
      <c r="A93" s="1" t="s">
        <v>11335</v>
      </c>
      <c r="B93" s="10"/>
      <c r="C93" s="1" t="s">
        <v>11336</v>
      </c>
      <c r="D93" s="1" t="s">
        <v>2211</v>
      </c>
      <c r="E93" s="1" t="s">
        <v>2078</v>
      </c>
      <c r="F93" s="1" t="s">
        <v>14</v>
      </c>
      <c r="G93" s="1" t="s">
        <v>1</v>
      </c>
      <c r="H93" s="1" t="s">
        <v>6</v>
      </c>
      <c r="I93" s="1" t="s">
        <v>2</v>
      </c>
      <c r="J93" s="1" t="s">
        <v>3</v>
      </c>
      <c r="K93" s="1" t="s">
        <v>11337</v>
      </c>
      <c r="L93" s="1" t="s">
        <v>7</v>
      </c>
      <c r="M93" s="1"/>
      <c r="N93" s="1" t="s">
        <v>11338</v>
      </c>
      <c r="O93" s="1" t="s">
        <v>15</v>
      </c>
      <c r="P93" s="1"/>
      <c r="Q93" s="1"/>
      <c r="R93" s="1" t="s">
        <v>11</v>
      </c>
      <c r="S93" s="1"/>
      <c r="T93" s="1"/>
      <c r="U93" s="1"/>
      <c r="V93" s="1"/>
      <c r="W93" s="1"/>
      <c r="X93" s="1"/>
      <c r="Y93" s="1"/>
      <c r="Z93" s="1"/>
      <c r="AA93" s="1"/>
      <c r="AB93" s="1" t="s">
        <v>11339</v>
      </c>
      <c r="AC93" s="1"/>
      <c r="AD93" s="1"/>
      <c r="AE93" s="1" t="s">
        <v>11340</v>
      </c>
      <c r="AF93" s="1"/>
      <c r="AG93" s="1"/>
      <c r="AH93" s="1" t="s">
        <v>11341</v>
      </c>
      <c r="AI93" s="1"/>
      <c r="AJ93" s="1" t="s">
        <v>11342</v>
      </c>
      <c r="AK93" s="1" t="s">
        <v>11343</v>
      </c>
      <c r="AL93" s="1" t="s">
        <v>11344</v>
      </c>
      <c r="AM93" s="1" t="s">
        <v>11345</v>
      </c>
      <c r="AN93" s="1" t="s">
        <v>11343</v>
      </c>
      <c r="AO93" s="1" t="s">
        <v>11346</v>
      </c>
      <c r="AP93" s="2" t="s">
        <v>11347</v>
      </c>
      <c r="AQ93" s="2" t="s">
        <v>1155</v>
      </c>
      <c r="AR93" s="1" t="s">
        <v>286</v>
      </c>
      <c r="AS93" s="1" t="s">
        <v>1068</v>
      </c>
      <c r="AT93" s="1" t="s">
        <v>5</v>
      </c>
    </row>
    <row r="94" spans="1:46" hidden="1" x14ac:dyDescent="0.4">
      <c r="A94" s="1" t="s">
        <v>8591</v>
      </c>
      <c r="B94" s="10"/>
      <c r="C94" s="1" t="s">
        <v>2675</v>
      </c>
      <c r="D94" s="1" t="s">
        <v>2396</v>
      </c>
      <c r="E94" s="1" t="s">
        <v>2078</v>
      </c>
      <c r="F94" s="1" t="s">
        <v>14</v>
      </c>
      <c r="G94" s="1" t="s">
        <v>1</v>
      </c>
      <c r="H94" s="1" t="s">
        <v>6</v>
      </c>
      <c r="I94" s="1" t="s">
        <v>2</v>
      </c>
      <c r="J94" s="1" t="s">
        <v>2450</v>
      </c>
      <c r="K94" s="1" t="s">
        <v>8592</v>
      </c>
      <c r="L94" s="1" t="s">
        <v>4</v>
      </c>
      <c r="M94" s="1" t="s">
        <v>9</v>
      </c>
      <c r="N94" s="1" t="s">
        <v>8593</v>
      </c>
      <c r="O94" s="1" t="s">
        <v>4983</v>
      </c>
      <c r="P94" s="1"/>
      <c r="Q94" s="1"/>
      <c r="R94" s="1" t="s">
        <v>11</v>
      </c>
      <c r="S94" s="1"/>
      <c r="T94" s="1"/>
      <c r="U94" s="1"/>
      <c r="V94" s="1"/>
      <c r="W94" s="1" t="s">
        <v>8234</v>
      </c>
      <c r="X94" s="1"/>
      <c r="Y94" s="1"/>
      <c r="Z94" s="1"/>
      <c r="AA94" s="1"/>
      <c r="AB94" s="1" t="s">
        <v>8594</v>
      </c>
      <c r="AC94" s="1"/>
      <c r="AD94" s="1"/>
      <c r="AE94" s="1" t="s">
        <v>8236</v>
      </c>
      <c r="AF94" s="1"/>
      <c r="AG94" s="1"/>
      <c r="AH94" s="1" t="s">
        <v>8595</v>
      </c>
      <c r="AI94" s="1"/>
      <c r="AJ94" s="1" t="s">
        <v>8238</v>
      </c>
      <c r="AK94" s="1" t="s">
        <v>8239</v>
      </c>
      <c r="AL94" s="1" t="s">
        <v>8240</v>
      </c>
      <c r="AM94" s="1" t="s">
        <v>8238</v>
      </c>
      <c r="AN94" s="1" t="s">
        <v>8239</v>
      </c>
      <c r="AO94" s="1" t="s">
        <v>8240</v>
      </c>
      <c r="AP94" s="2" t="s">
        <v>8596</v>
      </c>
      <c r="AQ94" s="2" t="s">
        <v>1154</v>
      </c>
      <c r="AR94" s="1" t="s">
        <v>286</v>
      </c>
      <c r="AS94" s="1"/>
      <c r="AT94" s="1" t="s">
        <v>5</v>
      </c>
    </row>
    <row r="95" spans="1:46" hidden="1" x14ac:dyDescent="0.4">
      <c r="A95" s="1" t="s">
        <v>4486</v>
      </c>
      <c r="B95" s="10"/>
      <c r="C95" s="1" t="s">
        <v>2454</v>
      </c>
      <c r="D95" s="1" t="s">
        <v>2157</v>
      </c>
      <c r="E95" s="1" t="s">
        <v>2078</v>
      </c>
      <c r="F95" s="1" t="s">
        <v>14</v>
      </c>
      <c r="G95" s="1" t="s">
        <v>1</v>
      </c>
      <c r="H95" s="1" t="s">
        <v>6</v>
      </c>
      <c r="I95" s="1" t="s">
        <v>2</v>
      </c>
      <c r="J95" s="1" t="s">
        <v>3676</v>
      </c>
      <c r="K95" s="1" t="s">
        <v>4487</v>
      </c>
      <c r="L95" s="1" t="s">
        <v>7</v>
      </c>
      <c r="M95" s="1"/>
      <c r="N95" s="1" t="s">
        <v>4488</v>
      </c>
      <c r="O95" s="1" t="s">
        <v>4489</v>
      </c>
      <c r="P95" s="1" t="s">
        <v>4490</v>
      </c>
      <c r="Q95" s="1"/>
      <c r="R95" s="1" t="s">
        <v>11</v>
      </c>
      <c r="S95" s="1"/>
      <c r="T95" s="1"/>
      <c r="U95" s="1"/>
      <c r="V95" s="1"/>
      <c r="W95" s="1" t="s">
        <v>4491</v>
      </c>
      <c r="X95" s="1"/>
      <c r="Y95" s="1"/>
      <c r="Z95" s="1"/>
      <c r="AA95" s="1"/>
      <c r="AB95" s="1" t="s">
        <v>4492</v>
      </c>
      <c r="AC95" s="1"/>
      <c r="AD95" s="1"/>
      <c r="AE95" s="1"/>
      <c r="AF95" s="1"/>
      <c r="AG95" s="1"/>
      <c r="AH95" s="1" t="s">
        <v>4493</v>
      </c>
      <c r="AI95" s="1"/>
      <c r="AJ95" s="1" t="s">
        <v>3682</v>
      </c>
      <c r="AK95" s="1" t="s">
        <v>3106</v>
      </c>
      <c r="AL95" s="1" t="s">
        <v>3683</v>
      </c>
      <c r="AM95" s="1" t="s">
        <v>3682</v>
      </c>
      <c r="AN95" s="1" t="s">
        <v>3106</v>
      </c>
      <c r="AO95" s="1" t="s">
        <v>3683</v>
      </c>
      <c r="AP95" s="2" t="s">
        <v>4494</v>
      </c>
      <c r="AQ95" s="2" t="s">
        <v>1153</v>
      </c>
      <c r="AR95" s="1" t="s">
        <v>286</v>
      </c>
      <c r="AS95" s="1"/>
      <c r="AT95" s="1" t="s">
        <v>5</v>
      </c>
    </row>
    <row r="96" spans="1:46" hidden="1" x14ac:dyDescent="0.4">
      <c r="A96" s="1" t="s">
        <v>4506</v>
      </c>
      <c r="B96" s="10"/>
      <c r="C96" s="1" t="s">
        <v>0</v>
      </c>
      <c r="D96" s="1" t="s">
        <v>2688</v>
      </c>
      <c r="E96" s="1" t="s">
        <v>3289</v>
      </c>
      <c r="F96" s="1" t="s">
        <v>2690</v>
      </c>
      <c r="G96" s="1" t="s">
        <v>1</v>
      </c>
      <c r="H96" s="1" t="s">
        <v>6</v>
      </c>
      <c r="I96" s="1" t="s">
        <v>2</v>
      </c>
      <c r="J96" s="1" t="s">
        <v>3</v>
      </c>
      <c r="K96" s="1" t="s">
        <v>4507</v>
      </c>
      <c r="L96" s="1" t="s">
        <v>4</v>
      </c>
      <c r="M96" s="1" t="s">
        <v>9</v>
      </c>
      <c r="N96" s="1" t="s">
        <v>4508</v>
      </c>
      <c r="O96" s="1" t="s">
        <v>4509</v>
      </c>
      <c r="P96" s="1"/>
      <c r="Q96" s="1"/>
      <c r="R96" s="1" t="s">
        <v>11</v>
      </c>
      <c r="S96" s="1"/>
      <c r="T96" s="1"/>
      <c r="U96" s="1"/>
      <c r="V96" s="1"/>
      <c r="W96" s="1" t="s">
        <v>4510</v>
      </c>
      <c r="X96" s="1"/>
      <c r="Y96" s="1"/>
      <c r="Z96" s="1"/>
      <c r="AA96" s="1"/>
      <c r="AB96" s="1" t="s">
        <v>4511</v>
      </c>
      <c r="AC96" s="1"/>
      <c r="AD96" s="1"/>
      <c r="AE96" s="1" t="s">
        <v>4512</v>
      </c>
      <c r="AF96" s="1"/>
      <c r="AG96" s="1"/>
      <c r="AH96" s="1" t="s">
        <v>4513</v>
      </c>
      <c r="AI96" s="1"/>
      <c r="AJ96" s="1" t="s">
        <v>4514</v>
      </c>
      <c r="AK96" s="1" t="s">
        <v>3176</v>
      </c>
      <c r="AL96" s="1" t="s">
        <v>4515</v>
      </c>
      <c r="AM96" s="1" t="s">
        <v>3175</v>
      </c>
      <c r="AN96" s="1" t="s">
        <v>3176</v>
      </c>
      <c r="AO96" s="1" t="s">
        <v>3177</v>
      </c>
      <c r="AP96" s="2" t="s">
        <v>4516</v>
      </c>
      <c r="AQ96" s="2" t="s">
        <v>1153</v>
      </c>
      <c r="AR96" s="1" t="s">
        <v>286</v>
      </c>
      <c r="AS96" s="1"/>
      <c r="AT96" s="1" t="s">
        <v>5</v>
      </c>
    </row>
    <row r="97" spans="1:46" hidden="1" x14ac:dyDescent="0.4">
      <c r="A97" s="1" t="s">
        <v>2424</v>
      </c>
      <c r="B97" s="10"/>
      <c r="C97" s="1" t="s">
        <v>0</v>
      </c>
      <c r="D97" s="1" t="s">
        <v>2157</v>
      </c>
      <c r="E97" s="1" t="s">
        <v>2078</v>
      </c>
      <c r="F97" s="1" t="s">
        <v>14</v>
      </c>
      <c r="G97" s="1" t="s">
        <v>1</v>
      </c>
      <c r="H97" s="1" t="s">
        <v>6</v>
      </c>
      <c r="I97" s="1" t="s">
        <v>2</v>
      </c>
      <c r="J97" s="1" t="s">
        <v>3</v>
      </c>
      <c r="K97" s="1" t="s">
        <v>2425</v>
      </c>
      <c r="L97" s="1" t="s">
        <v>7</v>
      </c>
      <c r="M97" s="1" t="s">
        <v>9</v>
      </c>
      <c r="N97" s="1" t="s">
        <v>2426</v>
      </c>
      <c r="O97" s="1" t="s">
        <v>2427</v>
      </c>
      <c r="P97" s="1"/>
      <c r="Q97" s="1"/>
      <c r="R97" s="1"/>
      <c r="S97" s="1"/>
      <c r="T97" s="1"/>
      <c r="U97" s="1"/>
      <c r="V97" s="1"/>
      <c r="W97" s="1"/>
      <c r="X97" s="1" t="s">
        <v>2428</v>
      </c>
      <c r="Y97" s="1"/>
      <c r="Z97" s="1"/>
      <c r="AA97" s="1"/>
      <c r="AB97" s="1" t="s">
        <v>2429</v>
      </c>
      <c r="AC97" s="1"/>
      <c r="AD97" s="1"/>
      <c r="AE97" s="1" t="s">
        <v>2430</v>
      </c>
      <c r="AF97" s="1"/>
      <c r="AG97" s="1"/>
      <c r="AH97" s="1" t="s">
        <v>2431</v>
      </c>
      <c r="AI97" s="1"/>
      <c r="AJ97" s="1" t="s">
        <v>2432</v>
      </c>
      <c r="AK97" s="1" t="s">
        <v>2433</v>
      </c>
      <c r="AL97" s="1" t="s">
        <v>2434</v>
      </c>
      <c r="AM97" s="1" t="s">
        <v>2435</v>
      </c>
      <c r="AN97" s="1" t="s">
        <v>2436</v>
      </c>
      <c r="AO97" s="1"/>
      <c r="AP97" s="2" t="s">
        <v>2437</v>
      </c>
      <c r="AQ97" s="2" t="s">
        <v>1077</v>
      </c>
      <c r="AR97" s="1"/>
      <c r="AS97" s="1"/>
      <c r="AT97" s="1" t="s">
        <v>5</v>
      </c>
    </row>
    <row r="98" spans="1:46" hidden="1" x14ac:dyDescent="0.4">
      <c r="A98" s="1" t="s">
        <v>5429</v>
      </c>
      <c r="B98" s="10"/>
      <c r="C98" s="1" t="s">
        <v>0</v>
      </c>
      <c r="D98" s="1" t="s">
        <v>2688</v>
      </c>
      <c r="E98" s="1" t="s">
        <v>3289</v>
      </c>
      <c r="F98" s="1" t="s">
        <v>2690</v>
      </c>
      <c r="G98" s="1" t="s">
        <v>1</v>
      </c>
      <c r="H98" s="1" t="s">
        <v>6</v>
      </c>
      <c r="I98" s="1" t="s">
        <v>2</v>
      </c>
      <c r="J98" s="1" t="s">
        <v>3</v>
      </c>
      <c r="K98" s="1" t="s">
        <v>5430</v>
      </c>
      <c r="L98" s="1" t="s">
        <v>4</v>
      </c>
      <c r="M98" s="1" t="s">
        <v>9</v>
      </c>
      <c r="N98" s="1" t="s">
        <v>5431</v>
      </c>
      <c r="O98" s="1" t="s">
        <v>4509</v>
      </c>
      <c r="P98" s="1"/>
      <c r="Q98" s="1"/>
      <c r="R98" s="1" t="s">
        <v>11</v>
      </c>
      <c r="S98" s="1"/>
      <c r="T98" s="1"/>
      <c r="U98" s="1"/>
      <c r="V98" s="1"/>
      <c r="W98" s="1"/>
      <c r="X98" s="1"/>
      <c r="Y98" s="1"/>
      <c r="Z98" s="1"/>
      <c r="AA98" s="1"/>
      <c r="AB98" s="1" t="s">
        <v>5432</v>
      </c>
      <c r="AC98" s="1"/>
      <c r="AD98" s="1"/>
      <c r="AE98" s="1" t="s">
        <v>5433</v>
      </c>
      <c r="AF98" s="1"/>
      <c r="AG98" s="1"/>
      <c r="AH98" s="1" t="s">
        <v>5434</v>
      </c>
      <c r="AI98" s="1"/>
      <c r="AJ98" s="1" t="s">
        <v>5435</v>
      </c>
      <c r="AK98" s="1" t="s">
        <v>5436</v>
      </c>
      <c r="AL98" s="1"/>
      <c r="AM98" s="1" t="s">
        <v>5437</v>
      </c>
      <c r="AN98" s="1" t="s">
        <v>5438</v>
      </c>
      <c r="AO98" s="1" t="s">
        <v>5439</v>
      </c>
      <c r="AP98" s="2" t="s">
        <v>5440</v>
      </c>
      <c r="AQ98" s="2" t="s">
        <v>1077</v>
      </c>
      <c r="AR98" s="1" t="s">
        <v>287</v>
      </c>
      <c r="AS98" s="1"/>
      <c r="AT98" s="1" t="s">
        <v>5</v>
      </c>
    </row>
    <row r="99" spans="1:46" hidden="1" x14ac:dyDescent="0.4">
      <c r="A99" s="1" t="s">
        <v>11886</v>
      </c>
      <c r="B99" s="10"/>
      <c r="C99" s="1" t="s">
        <v>93</v>
      </c>
      <c r="D99" s="1" t="s">
        <v>2396</v>
      </c>
      <c r="E99" s="1" t="s">
        <v>2078</v>
      </c>
      <c r="F99" s="1" t="s">
        <v>14</v>
      </c>
      <c r="G99" s="1" t="s">
        <v>1</v>
      </c>
      <c r="H99" s="1" t="s">
        <v>6</v>
      </c>
      <c r="I99" s="1" t="s">
        <v>2</v>
      </c>
      <c r="J99" s="1" t="s">
        <v>3</v>
      </c>
      <c r="K99" s="1" t="s">
        <v>11887</v>
      </c>
      <c r="L99" s="1" t="s">
        <v>7</v>
      </c>
      <c r="M99" s="1"/>
      <c r="N99" s="1" t="s">
        <v>4594</v>
      </c>
      <c r="O99" s="1" t="s">
        <v>7888</v>
      </c>
      <c r="P99" s="1" t="s">
        <v>5691</v>
      </c>
      <c r="Q99" s="1" t="s">
        <v>12</v>
      </c>
      <c r="R99" s="1" t="s">
        <v>11</v>
      </c>
      <c r="S99" s="1"/>
      <c r="T99" s="1" t="s">
        <v>12</v>
      </c>
      <c r="U99" s="1" t="s">
        <v>11</v>
      </c>
      <c r="V99" s="1"/>
      <c r="W99" s="1" t="s">
        <v>11807</v>
      </c>
      <c r="X99" s="1"/>
      <c r="Y99" s="1"/>
      <c r="Z99" s="1"/>
      <c r="AA99" s="1"/>
      <c r="AB99" s="1" t="s">
        <v>11888</v>
      </c>
      <c r="AC99" s="1"/>
      <c r="AD99" s="1"/>
      <c r="AE99" s="1" t="s">
        <v>11889</v>
      </c>
      <c r="AF99" s="1"/>
      <c r="AG99" s="1"/>
      <c r="AH99" s="1" t="s">
        <v>11890</v>
      </c>
      <c r="AI99" s="1"/>
      <c r="AJ99" s="1" t="s">
        <v>11811</v>
      </c>
      <c r="AK99" s="1" t="s">
        <v>4427</v>
      </c>
      <c r="AL99" s="1" t="s">
        <v>11812</v>
      </c>
      <c r="AM99" s="1" t="s">
        <v>11811</v>
      </c>
      <c r="AN99" s="1" t="s">
        <v>4427</v>
      </c>
      <c r="AO99" s="1" t="s">
        <v>11812</v>
      </c>
      <c r="AP99" s="2" t="s">
        <v>11891</v>
      </c>
      <c r="AQ99" s="2" t="s">
        <v>1156</v>
      </c>
      <c r="AR99" s="1" t="s">
        <v>286</v>
      </c>
      <c r="AS99" s="1" t="s">
        <v>11892</v>
      </c>
      <c r="AT99" s="1" t="s">
        <v>5</v>
      </c>
    </row>
    <row r="100" spans="1:46" hidden="1" x14ac:dyDescent="0.4">
      <c r="A100" s="1" t="s">
        <v>8819</v>
      </c>
      <c r="B100" s="10"/>
      <c r="C100" s="1" t="s">
        <v>2091</v>
      </c>
      <c r="D100" s="1" t="s">
        <v>2396</v>
      </c>
      <c r="E100" s="1" t="s">
        <v>2078</v>
      </c>
      <c r="F100" s="1" t="s">
        <v>14</v>
      </c>
      <c r="G100" s="1" t="s">
        <v>1</v>
      </c>
      <c r="H100" s="1" t="s">
        <v>6</v>
      </c>
      <c r="I100" s="1" t="s">
        <v>2</v>
      </c>
      <c r="J100" s="1" t="s">
        <v>3</v>
      </c>
      <c r="K100" s="1" t="s">
        <v>8820</v>
      </c>
      <c r="L100" s="1" t="s">
        <v>7</v>
      </c>
      <c r="M100" s="1"/>
      <c r="N100" s="1" t="s">
        <v>8821</v>
      </c>
      <c r="O100" s="1" t="s">
        <v>8810</v>
      </c>
      <c r="P100" s="1"/>
      <c r="Q100" s="1"/>
      <c r="R100" s="1" t="s">
        <v>11</v>
      </c>
      <c r="S100" s="1"/>
      <c r="T100" s="1"/>
      <c r="U100" s="1"/>
      <c r="V100" s="1"/>
      <c r="W100" s="1" t="s">
        <v>8822</v>
      </c>
      <c r="X100" s="1"/>
      <c r="Y100" s="1"/>
      <c r="Z100" s="1"/>
      <c r="AA100" s="1"/>
      <c r="AB100" s="1" t="s">
        <v>8823</v>
      </c>
      <c r="AC100" s="1"/>
      <c r="AD100" s="1"/>
      <c r="AE100" s="1" t="s">
        <v>8813</v>
      </c>
      <c r="AF100" s="1"/>
      <c r="AG100" s="1"/>
      <c r="AH100" s="1" t="s">
        <v>8824</v>
      </c>
      <c r="AI100" s="1"/>
      <c r="AJ100" s="1" t="s">
        <v>8815</v>
      </c>
      <c r="AK100" s="1" t="s">
        <v>4886</v>
      </c>
      <c r="AL100" s="1" t="s">
        <v>8816</v>
      </c>
      <c r="AM100" s="1" t="s">
        <v>8815</v>
      </c>
      <c r="AN100" s="1" t="s">
        <v>4886</v>
      </c>
      <c r="AO100" s="1" t="s">
        <v>8816</v>
      </c>
      <c r="AP100" s="2" t="s">
        <v>8825</v>
      </c>
      <c r="AQ100" s="2" t="s">
        <v>1154</v>
      </c>
      <c r="AR100" s="1" t="s">
        <v>286</v>
      </c>
      <c r="AS100" s="1" t="s">
        <v>8826</v>
      </c>
      <c r="AT100" s="1" t="s">
        <v>5</v>
      </c>
    </row>
    <row r="101" spans="1:46" hidden="1" x14ac:dyDescent="0.4">
      <c r="A101" s="1" t="s">
        <v>9420</v>
      </c>
      <c r="B101" s="10"/>
      <c r="C101" s="1" t="s">
        <v>93</v>
      </c>
      <c r="D101" s="1" t="s">
        <v>2211</v>
      </c>
      <c r="E101" s="1" t="s">
        <v>2078</v>
      </c>
      <c r="F101" s="1" t="s">
        <v>14</v>
      </c>
      <c r="G101" s="1" t="s">
        <v>1</v>
      </c>
      <c r="H101" s="1" t="s">
        <v>6</v>
      </c>
      <c r="I101" s="1" t="s">
        <v>2</v>
      </c>
      <c r="J101" s="1" t="s">
        <v>3</v>
      </c>
      <c r="K101" s="1" t="s">
        <v>9421</v>
      </c>
      <c r="L101" s="1" t="s">
        <v>4</v>
      </c>
      <c r="M101" s="1"/>
      <c r="N101" s="1" t="s">
        <v>9422</v>
      </c>
      <c r="O101" s="1" t="s">
        <v>19</v>
      </c>
      <c r="P101" s="1"/>
      <c r="Q101" s="1"/>
      <c r="R101" s="1" t="s">
        <v>11</v>
      </c>
      <c r="S101" s="1"/>
      <c r="T101" s="1"/>
      <c r="U101" s="1"/>
      <c r="V101" s="1"/>
      <c r="W101" s="1" t="s">
        <v>9423</v>
      </c>
      <c r="X101" s="1"/>
      <c r="Y101" s="1"/>
      <c r="Z101" s="1"/>
      <c r="AA101" s="1"/>
      <c r="AB101" s="1" t="s">
        <v>9424</v>
      </c>
      <c r="AC101" s="1"/>
      <c r="AD101" s="1"/>
      <c r="AE101" s="1" t="s">
        <v>9416</v>
      </c>
      <c r="AF101" s="1"/>
      <c r="AG101" s="1"/>
      <c r="AH101" s="1" t="s">
        <v>9425</v>
      </c>
      <c r="AI101" s="1"/>
      <c r="AJ101" s="1" t="s">
        <v>3932</v>
      </c>
      <c r="AK101" s="1" t="s">
        <v>3933</v>
      </c>
      <c r="AL101" s="1" t="s">
        <v>3934</v>
      </c>
      <c r="AM101" s="1" t="s">
        <v>3932</v>
      </c>
      <c r="AN101" s="1" t="s">
        <v>3933</v>
      </c>
      <c r="AO101" s="1" t="s">
        <v>3934</v>
      </c>
      <c r="AP101" s="2" t="s">
        <v>9426</v>
      </c>
      <c r="AQ101" s="2" t="s">
        <v>1154</v>
      </c>
      <c r="AR101" s="1" t="s">
        <v>286</v>
      </c>
      <c r="AS101" s="1" t="s">
        <v>8826</v>
      </c>
      <c r="AT101" s="1" t="s">
        <v>5</v>
      </c>
    </row>
    <row r="102" spans="1:46" hidden="1" x14ac:dyDescent="0.4">
      <c r="A102" s="1" t="s">
        <v>3117</v>
      </c>
      <c r="B102" s="10"/>
      <c r="C102" s="1" t="s">
        <v>0</v>
      </c>
      <c r="D102" s="1" t="s">
        <v>2157</v>
      </c>
      <c r="E102" s="1" t="s">
        <v>2078</v>
      </c>
      <c r="F102" s="1" t="s">
        <v>14</v>
      </c>
      <c r="G102" s="1" t="s">
        <v>1</v>
      </c>
      <c r="H102" s="1" t="s">
        <v>6</v>
      </c>
      <c r="I102" s="1" t="s">
        <v>2</v>
      </c>
      <c r="J102" s="1" t="s">
        <v>3</v>
      </c>
      <c r="K102" s="1" t="s">
        <v>3118</v>
      </c>
      <c r="L102" s="1" t="s">
        <v>7</v>
      </c>
      <c r="M102" s="1" t="s">
        <v>9</v>
      </c>
      <c r="N102" s="1" t="s">
        <v>3119</v>
      </c>
      <c r="O102" s="1" t="s">
        <v>3120</v>
      </c>
      <c r="P102" s="1"/>
      <c r="Q102" s="1"/>
      <c r="R102" s="1" t="s">
        <v>11</v>
      </c>
      <c r="S102" s="1"/>
      <c r="T102" s="1"/>
      <c r="U102" s="1"/>
      <c r="V102" s="1"/>
      <c r="W102" s="1" t="s">
        <v>3121</v>
      </c>
      <c r="X102" s="1" t="s">
        <v>3122</v>
      </c>
      <c r="Y102" s="1"/>
      <c r="Z102" s="1"/>
      <c r="AA102" s="1"/>
      <c r="AB102" s="1" t="s">
        <v>3123</v>
      </c>
      <c r="AC102" s="1"/>
      <c r="AD102" s="1"/>
      <c r="AE102" s="1" t="s">
        <v>3124</v>
      </c>
      <c r="AF102" s="1"/>
      <c r="AG102" s="1"/>
      <c r="AH102" s="1" t="s">
        <v>3125</v>
      </c>
      <c r="AI102" s="1"/>
      <c r="AJ102" s="1" t="s">
        <v>3126</v>
      </c>
      <c r="AK102" s="1" t="s">
        <v>3127</v>
      </c>
      <c r="AL102" s="1"/>
      <c r="AM102" s="1" t="s">
        <v>3128</v>
      </c>
      <c r="AN102" s="1" t="s">
        <v>3127</v>
      </c>
      <c r="AO102" s="1"/>
      <c r="AP102" s="2" t="s">
        <v>3129</v>
      </c>
      <c r="AQ102" s="2" t="s">
        <v>1153</v>
      </c>
      <c r="AR102" s="1"/>
      <c r="AS102" s="1"/>
      <c r="AT102" s="1" t="s">
        <v>10</v>
      </c>
    </row>
    <row r="103" spans="1:46" hidden="1" x14ac:dyDescent="0.4">
      <c r="A103" s="1" t="s">
        <v>6106</v>
      </c>
      <c r="B103" s="10"/>
      <c r="C103" s="1" t="s">
        <v>93</v>
      </c>
      <c r="D103" s="1" t="s">
        <v>2211</v>
      </c>
      <c r="E103" s="1" t="s">
        <v>2078</v>
      </c>
      <c r="F103" s="1" t="s">
        <v>14</v>
      </c>
      <c r="G103" s="1" t="s">
        <v>1</v>
      </c>
      <c r="H103" s="1" t="s">
        <v>6</v>
      </c>
      <c r="I103" s="1" t="s">
        <v>2</v>
      </c>
      <c r="J103" s="1" t="s">
        <v>3</v>
      </c>
      <c r="K103" s="1" t="s">
        <v>6107</v>
      </c>
      <c r="L103" s="1" t="s">
        <v>4</v>
      </c>
      <c r="M103" s="1"/>
      <c r="N103" s="1" t="s">
        <v>6108</v>
      </c>
      <c r="O103" s="1" t="s">
        <v>6109</v>
      </c>
      <c r="P103" s="1"/>
      <c r="Q103" s="1"/>
      <c r="R103" s="1" t="s">
        <v>11</v>
      </c>
      <c r="S103" s="1"/>
      <c r="T103" s="1"/>
      <c r="U103" s="1"/>
      <c r="V103" s="1"/>
      <c r="W103" s="1" t="s">
        <v>6110</v>
      </c>
      <c r="X103" s="1"/>
      <c r="Y103" s="1"/>
      <c r="Z103" s="1"/>
      <c r="AA103" s="1"/>
      <c r="AB103" s="1" t="s">
        <v>6111</v>
      </c>
      <c r="AC103" s="1"/>
      <c r="AD103" s="1"/>
      <c r="AE103" s="1" t="s">
        <v>6112</v>
      </c>
      <c r="AF103" s="1"/>
      <c r="AG103" s="1"/>
      <c r="AH103" s="1" t="s">
        <v>6113</v>
      </c>
      <c r="AI103" s="1"/>
      <c r="AJ103" s="1" t="s">
        <v>6114</v>
      </c>
      <c r="AK103" s="1" t="s">
        <v>6115</v>
      </c>
      <c r="AL103" s="1" t="s">
        <v>6116</v>
      </c>
      <c r="AM103" s="1" t="s">
        <v>6114</v>
      </c>
      <c r="AN103" s="1" t="s">
        <v>6115</v>
      </c>
      <c r="AO103" s="1" t="s">
        <v>6116</v>
      </c>
      <c r="AP103" s="2" t="s">
        <v>6117</v>
      </c>
      <c r="AQ103" s="2" t="s">
        <v>1077</v>
      </c>
      <c r="AR103" s="1" t="s">
        <v>286</v>
      </c>
      <c r="AS103" s="1"/>
      <c r="AT103" s="1" t="s">
        <v>5</v>
      </c>
    </row>
    <row r="104" spans="1:46" hidden="1" x14ac:dyDescent="0.4">
      <c r="A104" s="1" t="s">
        <v>5516</v>
      </c>
      <c r="B104" s="10"/>
      <c r="C104" s="1" t="s">
        <v>5198</v>
      </c>
      <c r="D104" s="1" t="s">
        <v>2076</v>
      </c>
      <c r="E104" s="1" t="s">
        <v>2078</v>
      </c>
      <c r="F104" s="1" t="s">
        <v>14</v>
      </c>
      <c r="G104" s="1" t="s">
        <v>1</v>
      </c>
      <c r="H104" s="1" t="s">
        <v>6</v>
      </c>
      <c r="I104" s="1" t="s">
        <v>2</v>
      </c>
      <c r="J104" s="1" t="s">
        <v>5199</v>
      </c>
      <c r="K104" s="1" t="s">
        <v>5517</v>
      </c>
      <c r="L104" s="1" t="s">
        <v>7</v>
      </c>
      <c r="M104" s="1"/>
      <c r="N104" s="1" t="s">
        <v>5518</v>
      </c>
      <c r="O104" s="1" t="s">
        <v>2258</v>
      </c>
      <c r="P104" s="1"/>
      <c r="Q104" s="1"/>
      <c r="R104" s="1" t="s">
        <v>11</v>
      </c>
      <c r="S104" s="1"/>
      <c r="T104" s="1"/>
      <c r="U104" s="1"/>
      <c r="V104" s="1"/>
      <c r="W104" s="1"/>
      <c r="X104" s="1" t="s">
        <v>5519</v>
      </c>
      <c r="Y104" s="1"/>
      <c r="Z104" s="1"/>
      <c r="AA104" s="1"/>
      <c r="AB104" s="1" t="s">
        <v>5520</v>
      </c>
      <c r="AC104" s="1"/>
      <c r="AD104" s="1"/>
      <c r="AE104" s="1" t="s">
        <v>5521</v>
      </c>
      <c r="AF104" s="1"/>
      <c r="AG104" s="1"/>
      <c r="AH104" s="1" t="s">
        <v>5522</v>
      </c>
      <c r="AI104" s="1"/>
      <c r="AJ104" s="1" t="s">
        <v>5448</v>
      </c>
      <c r="AK104" s="1" t="s">
        <v>5449</v>
      </c>
      <c r="AL104" s="1" t="s">
        <v>5450</v>
      </c>
      <c r="AM104" s="1" t="s">
        <v>5451</v>
      </c>
      <c r="AN104" s="1" t="s">
        <v>5452</v>
      </c>
      <c r="AO104" s="1" t="s">
        <v>5453</v>
      </c>
      <c r="AP104" s="2" t="s">
        <v>5523</v>
      </c>
      <c r="AQ104" s="2" t="s">
        <v>1077</v>
      </c>
      <c r="AR104" s="1" t="s">
        <v>286</v>
      </c>
      <c r="AS104" s="1"/>
      <c r="AT104" s="1" t="s">
        <v>5</v>
      </c>
    </row>
    <row r="105" spans="1:46" hidden="1" x14ac:dyDescent="0.4">
      <c r="A105" s="1" t="s">
        <v>9388</v>
      </c>
      <c r="B105" s="10"/>
      <c r="C105" s="1" t="s">
        <v>2494</v>
      </c>
      <c r="D105" s="1" t="s">
        <v>2157</v>
      </c>
      <c r="E105" s="1" t="s">
        <v>2078</v>
      </c>
      <c r="F105" s="1" t="s">
        <v>14</v>
      </c>
      <c r="G105" s="1" t="s">
        <v>1</v>
      </c>
      <c r="H105" s="1" t="s">
        <v>6</v>
      </c>
      <c r="I105" s="1" t="s">
        <v>2</v>
      </c>
      <c r="J105" s="1" t="s">
        <v>2450</v>
      </c>
      <c r="K105" s="1" t="s">
        <v>9389</v>
      </c>
      <c r="L105" s="1" t="s">
        <v>7</v>
      </c>
      <c r="M105" s="1" t="s">
        <v>9</v>
      </c>
      <c r="N105" s="1" t="s">
        <v>9390</v>
      </c>
      <c r="O105" s="1" t="s">
        <v>2238</v>
      </c>
      <c r="P105" s="1"/>
      <c r="Q105" s="1"/>
      <c r="R105" s="1" t="s">
        <v>11</v>
      </c>
      <c r="S105" s="1"/>
      <c r="T105" s="1"/>
      <c r="U105" s="1"/>
      <c r="V105" s="1"/>
      <c r="W105" s="1"/>
      <c r="X105" s="1" t="s">
        <v>9391</v>
      </c>
      <c r="Y105" s="1"/>
      <c r="Z105" s="1"/>
      <c r="AA105" s="1" t="s">
        <v>9392</v>
      </c>
      <c r="AB105" s="1" t="s">
        <v>9393</v>
      </c>
      <c r="AC105" s="1"/>
      <c r="AD105" s="1"/>
      <c r="AE105" s="1" t="s">
        <v>9394</v>
      </c>
      <c r="AF105" s="1"/>
      <c r="AG105" s="1"/>
      <c r="AH105" s="1" t="s">
        <v>9395</v>
      </c>
      <c r="AI105" s="1"/>
      <c r="AJ105" s="1" t="s">
        <v>9197</v>
      </c>
      <c r="AK105" s="1" t="s">
        <v>6061</v>
      </c>
      <c r="AL105" s="1" t="s">
        <v>9198</v>
      </c>
      <c r="AM105" s="1" t="s">
        <v>9197</v>
      </c>
      <c r="AN105" s="1" t="s">
        <v>6061</v>
      </c>
      <c r="AO105" s="1" t="s">
        <v>9198</v>
      </c>
      <c r="AP105" s="2" t="s">
        <v>9396</v>
      </c>
      <c r="AQ105" s="2" t="s">
        <v>1154</v>
      </c>
      <c r="AR105" s="1" t="s">
        <v>286</v>
      </c>
      <c r="AS105" s="1" t="s">
        <v>9397</v>
      </c>
      <c r="AT105" s="1" t="s">
        <v>5</v>
      </c>
    </row>
    <row r="106" spans="1:46" hidden="1" x14ac:dyDescent="0.4">
      <c r="A106" s="1" t="s">
        <v>10494</v>
      </c>
      <c r="B106" s="10"/>
      <c r="C106" s="1" t="s">
        <v>93</v>
      </c>
      <c r="D106" s="1" t="s">
        <v>2290</v>
      </c>
      <c r="E106" s="1" t="s">
        <v>2291</v>
      </c>
      <c r="F106" s="1" t="s">
        <v>14</v>
      </c>
      <c r="G106" s="1" t="s">
        <v>1</v>
      </c>
      <c r="H106" s="1" t="s">
        <v>6</v>
      </c>
      <c r="I106" s="1" t="s">
        <v>2</v>
      </c>
      <c r="J106" s="1" t="s">
        <v>3</v>
      </c>
      <c r="K106" s="1" t="s">
        <v>10495</v>
      </c>
      <c r="L106" s="1" t="s">
        <v>7</v>
      </c>
      <c r="M106" s="1"/>
      <c r="N106" s="1" t="s">
        <v>10496</v>
      </c>
      <c r="O106" s="1" t="s">
        <v>10497</v>
      </c>
      <c r="P106" s="1"/>
      <c r="Q106" s="1"/>
      <c r="R106" s="1" t="s">
        <v>11</v>
      </c>
      <c r="S106" s="1"/>
      <c r="T106" s="1"/>
      <c r="U106" s="1"/>
      <c r="V106" s="1"/>
      <c r="W106" s="1"/>
      <c r="X106" s="1"/>
      <c r="Y106" s="1"/>
      <c r="Z106" s="1"/>
      <c r="AA106" s="1"/>
      <c r="AB106" s="1" t="s">
        <v>10498</v>
      </c>
      <c r="AC106" s="1"/>
      <c r="AD106" s="1"/>
      <c r="AE106" s="1" t="s">
        <v>10499</v>
      </c>
      <c r="AF106" s="1"/>
      <c r="AG106" s="1"/>
      <c r="AH106" s="1" t="s">
        <v>10500</v>
      </c>
      <c r="AI106" s="1"/>
      <c r="AJ106" s="1" t="s">
        <v>10501</v>
      </c>
      <c r="AK106" s="1" t="s">
        <v>1787</v>
      </c>
      <c r="AL106" s="1" t="s">
        <v>10502</v>
      </c>
      <c r="AM106" s="1" t="s">
        <v>10501</v>
      </c>
      <c r="AN106" s="1" t="s">
        <v>1787</v>
      </c>
      <c r="AO106" s="1" t="s">
        <v>10502</v>
      </c>
      <c r="AP106" s="2" t="s">
        <v>10503</v>
      </c>
      <c r="AQ106" s="2" t="s">
        <v>1155</v>
      </c>
      <c r="AR106" s="1" t="s">
        <v>286</v>
      </c>
      <c r="AS106" s="1" t="s">
        <v>970</v>
      </c>
      <c r="AT106" s="1" t="s">
        <v>5</v>
      </c>
    </row>
    <row r="107" spans="1:46" hidden="1" x14ac:dyDescent="0.4">
      <c r="A107" s="1" t="s">
        <v>10428</v>
      </c>
      <c r="B107" s="10"/>
      <c r="C107" s="1" t="s">
        <v>0</v>
      </c>
      <c r="D107" s="1" t="s">
        <v>2290</v>
      </c>
      <c r="E107" s="1" t="s">
        <v>2291</v>
      </c>
      <c r="F107" s="1" t="s">
        <v>14</v>
      </c>
      <c r="G107" s="1" t="s">
        <v>1</v>
      </c>
      <c r="H107" s="1" t="s">
        <v>6</v>
      </c>
      <c r="I107" s="1" t="s">
        <v>2</v>
      </c>
      <c r="J107" s="1" t="s">
        <v>3</v>
      </c>
      <c r="K107" s="1" t="s">
        <v>10429</v>
      </c>
      <c r="L107" s="1" t="s">
        <v>7</v>
      </c>
      <c r="M107" s="1"/>
      <c r="N107" s="1" t="s">
        <v>10430</v>
      </c>
      <c r="O107" s="1" t="s">
        <v>3426</v>
      </c>
      <c r="P107" s="1"/>
      <c r="Q107" s="1"/>
      <c r="R107" s="1" t="s">
        <v>11</v>
      </c>
      <c r="S107" s="1"/>
      <c r="T107" s="1"/>
      <c r="U107" s="1"/>
      <c r="V107" s="1"/>
      <c r="W107" s="1"/>
      <c r="X107" s="1"/>
      <c r="Y107" s="1"/>
      <c r="Z107" s="1"/>
      <c r="AA107" s="1"/>
      <c r="AB107" s="1" t="s">
        <v>10431</v>
      </c>
      <c r="AC107" s="1"/>
      <c r="AD107" s="1"/>
      <c r="AE107" s="1" t="s">
        <v>10432</v>
      </c>
      <c r="AF107" s="1"/>
      <c r="AG107" s="1"/>
      <c r="AH107" s="1" t="s">
        <v>10433</v>
      </c>
      <c r="AI107" s="1"/>
      <c r="AJ107" s="1" t="s">
        <v>2124</v>
      </c>
      <c r="AK107" s="1" t="s">
        <v>5322</v>
      </c>
      <c r="AL107" s="1" t="s">
        <v>10434</v>
      </c>
      <c r="AM107" s="1" t="s">
        <v>10435</v>
      </c>
      <c r="AN107" s="1" t="s">
        <v>5322</v>
      </c>
      <c r="AO107" s="1" t="s">
        <v>10436</v>
      </c>
      <c r="AP107" s="2" t="s">
        <v>10437</v>
      </c>
      <c r="AQ107" s="2" t="s">
        <v>1155</v>
      </c>
      <c r="AR107" s="1" t="s">
        <v>286</v>
      </c>
      <c r="AS107" s="1" t="s">
        <v>970</v>
      </c>
      <c r="AT107" s="1" t="s">
        <v>5</v>
      </c>
    </row>
    <row r="108" spans="1:46" hidden="1" x14ac:dyDescent="0.4">
      <c r="A108" s="1" t="s">
        <v>10897</v>
      </c>
      <c r="B108" s="10"/>
      <c r="C108" s="1" t="s">
        <v>0</v>
      </c>
      <c r="D108" s="1" t="s">
        <v>2290</v>
      </c>
      <c r="E108" s="1" t="s">
        <v>2291</v>
      </c>
      <c r="F108" s="1" t="s">
        <v>14</v>
      </c>
      <c r="G108" s="1" t="s">
        <v>1</v>
      </c>
      <c r="H108" s="1" t="s">
        <v>6</v>
      </c>
      <c r="I108" s="1" t="s">
        <v>2</v>
      </c>
      <c r="J108" s="1" t="s">
        <v>3</v>
      </c>
      <c r="K108" s="1" t="s">
        <v>10898</v>
      </c>
      <c r="L108" s="1" t="s">
        <v>7</v>
      </c>
      <c r="M108" s="1" t="s">
        <v>9</v>
      </c>
      <c r="N108" s="1" t="s">
        <v>10899</v>
      </c>
      <c r="O108" s="1" t="s">
        <v>3426</v>
      </c>
      <c r="P108" s="1"/>
      <c r="Q108" s="1"/>
      <c r="R108" s="1" t="s">
        <v>11</v>
      </c>
      <c r="S108" s="1"/>
      <c r="T108" s="1"/>
      <c r="U108" s="1"/>
      <c r="V108" s="1"/>
      <c r="W108" s="1"/>
      <c r="X108" s="1"/>
      <c r="Y108" s="1"/>
      <c r="Z108" s="1"/>
      <c r="AA108" s="1"/>
      <c r="AB108" s="1" t="s">
        <v>10900</v>
      </c>
      <c r="AC108" s="1"/>
      <c r="AD108" s="1"/>
      <c r="AE108" s="1" t="s">
        <v>10901</v>
      </c>
      <c r="AF108" s="1"/>
      <c r="AG108" s="1"/>
      <c r="AH108" s="1" t="s">
        <v>10902</v>
      </c>
      <c r="AI108" s="1"/>
      <c r="AJ108" s="1" t="s">
        <v>2124</v>
      </c>
      <c r="AK108" s="1" t="s">
        <v>5322</v>
      </c>
      <c r="AL108" s="1" t="s">
        <v>10434</v>
      </c>
      <c r="AM108" s="1" t="s">
        <v>10435</v>
      </c>
      <c r="AN108" s="1" t="s">
        <v>5322</v>
      </c>
      <c r="AO108" s="1" t="s">
        <v>10436</v>
      </c>
      <c r="AP108" s="2" t="s">
        <v>10903</v>
      </c>
      <c r="AQ108" s="2" t="s">
        <v>1155</v>
      </c>
      <c r="AR108" s="1" t="s">
        <v>286</v>
      </c>
      <c r="AS108" s="1" t="s">
        <v>1017</v>
      </c>
      <c r="AT108" s="1" t="s">
        <v>5</v>
      </c>
    </row>
    <row r="109" spans="1:46" hidden="1" x14ac:dyDescent="0.4">
      <c r="A109" s="1" t="s">
        <v>10308</v>
      </c>
      <c r="B109" s="10"/>
      <c r="C109" s="1" t="s">
        <v>0</v>
      </c>
      <c r="D109" s="1" t="s">
        <v>2157</v>
      </c>
      <c r="E109" s="1" t="s">
        <v>2078</v>
      </c>
      <c r="F109" s="1" t="s">
        <v>14</v>
      </c>
      <c r="G109" s="1" t="s">
        <v>1</v>
      </c>
      <c r="H109" s="1" t="s">
        <v>6</v>
      </c>
      <c r="I109" s="1" t="s">
        <v>2</v>
      </c>
      <c r="J109" s="1" t="s">
        <v>3</v>
      </c>
      <c r="K109" s="1" t="s">
        <v>10309</v>
      </c>
      <c r="L109" s="1" t="s">
        <v>7</v>
      </c>
      <c r="M109" s="1" t="s">
        <v>9</v>
      </c>
      <c r="N109" s="1" t="s">
        <v>10310</v>
      </c>
      <c r="O109" s="1" t="s">
        <v>10311</v>
      </c>
      <c r="P109" s="1"/>
      <c r="Q109" s="1"/>
      <c r="R109" s="1" t="s">
        <v>11</v>
      </c>
      <c r="S109" s="1"/>
      <c r="T109" s="1"/>
      <c r="U109" s="1"/>
      <c r="V109" s="1"/>
      <c r="W109" s="1"/>
      <c r="X109" s="1" t="s">
        <v>10312</v>
      </c>
      <c r="Y109" s="1"/>
      <c r="Z109" s="1"/>
      <c r="AA109" s="1"/>
      <c r="AB109" s="1" t="s">
        <v>10313</v>
      </c>
      <c r="AC109" s="1"/>
      <c r="AD109" s="1"/>
      <c r="AE109" s="1" t="s">
        <v>2443</v>
      </c>
      <c r="AF109" s="1"/>
      <c r="AG109" s="1"/>
      <c r="AH109" s="1" t="s">
        <v>10314</v>
      </c>
      <c r="AI109" s="1"/>
      <c r="AJ109" s="1" t="s">
        <v>54</v>
      </c>
      <c r="AK109" s="1" t="s">
        <v>514</v>
      </c>
      <c r="AL109" s="1"/>
      <c r="AM109" s="1" t="s">
        <v>10315</v>
      </c>
      <c r="AN109" s="1" t="s">
        <v>514</v>
      </c>
      <c r="AO109" s="1" t="s">
        <v>10316</v>
      </c>
      <c r="AP109" s="2" t="s">
        <v>10317</v>
      </c>
      <c r="AQ109" s="2" t="s">
        <v>1155</v>
      </c>
      <c r="AR109" s="1" t="s">
        <v>286</v>
      </c>
      <c r="AS109" s="1" t="s">
        <v>10307</v>
      </c>
      <c r="AT109" s="1" t="s">
        <v>5</v>
      </c>
    </row>
    <row r="110" spans="1:46" hidden="1" x14ac:dyDescent="0.4">
      <c r="A110" s="1" t="s">
        <v>4809</v>
      </c>
      <c r="B110" s="10"/>
      <c r="C110" s="1" t="s">
        <v>2494</v>
      </c>
      <c r="D110" s="1" t="s">
        <v>2220</v>
      </c>
      <c r="E110" s="1" t="s">
        <v>2078</v>
      </c>
      <c r="F110" s="1" t="s">
        <v>14</v>
      </c>
      <c r="G110" s="1" t="s">
        <v>1</v>
      </c>
      <c r="H110" s="1" t="s">
        <v>6</v>
      </c>
      <c r="I110" s="1" t="s">
        <v>2</v>
      </c>
      <c r="J110" s="1" t="s">
        <v>2450</v>
      </c>
      <c r="K110" s="1" t="s">
        <v>4810</v>
      </c>
      <c r="L110" s="1" t="s">
        <v>7</v>
      </c>
      <c r="M110" s="1" t="s">
        <v>9</v>
      </c>
      <c r="N110" s="1" t="s">
        <v>4811</v>
      </c>
      <c r="O110" s="1" t="s">
        <v>3426</v>
      </c>
      <c r="P110" s="1"/>
      <c r="Q110" s="1"/>
      <c r="R110" s="1" t="s">
        <v>11</v>
      </c>
      <c r="S110" s="1"/>
      <c r="T110" s="1"/>
      <c r="U110" s="1"/>
      <c r="V110" s="1"/>
      <c r="W110" s="1"/>
      <c r="X110" s="1" t="s">
        <v>4812</v>
      </c>
      <c r="Y110" s="1"/>
      <c r="Z110" s="1"/>
      <c r="AA110" s="1" t="s">
        <v>4813</v>
      </c>
      <c r="AB110" s="1" t="s">
        <v>4814</v>
      </c>
      <c r="AC110" s="1"/>
      <c r="AD110" s="1"/>
      <c r="AE110" s="1" t="s">
        <v>4815</v>
      </c>
      <c r="AF110" s="1"/>
      <c r="AG110" s="1"/>
      <c r="AH110" s="1" t="s">
        <v>4816</v>
      </c>
      <c r="AI110" s="1"/>
      <c r="AJ110" s="1" t="s">
        <v>4817</v>
      </c>
      <c r="AK110" s="1" t="s">
        <v>4818</v>
      </c>
      <c r="AL110" s="1" t="s">
        <v>4819</v>
      </c>
      <c r="AM110" s="1" t="s">
        <v>4817</v>
      </c>
      <c r="AN110" s="1" t="s">
        <v>4818</v>
      </c>
      <c r="AO110" s="1" t="s">
        <v>4819</v>
      </c>
      <c r="AP110" s="2" t="s">
        <v>4820</v>
      </c>
      <c r="AQ110" s="2" t="s">
        <v>1153</v>
      </c>
      <c r="AR110" s="1" t="s">
        <v>286</v>
      </c>
      <c r="AS110" s="1"/>
      <c r="AT110" s="1" t="s">
        <v>5</v>
      </c>
    </row>
    <row r="111" spans="1:46" hidden="1" x14ac:dyDescent="0.4">
      <c r="A111" s="1" t="s">
        <v>4821</v>
      </c>
      <c r="B111" s="10"/>
      <c r="C111" s="1" t="s">
        <v>2494</v>
      </c>
      <c r="D111" s="1" t="s">
        <v>2220</v>
      </c>
      <c r="E111" s="1" t="s">
        <v>2078</v>
      </c>
      <c r="F111" s="1" t="s">
        <v>14</v>
      </c>
      <c r="G111" s="1" t="s">
        <v>1</v>
      </c>
      <c r="H111" s="1" t="s">
        <v>6</v>
      </c>
      <c r="I111" s="1" t="s">
        <v>2</v>
      </c>
      <c r="J111" s="1" t="s">
        <v>2450</v>
      </c>
      <c r="K111" s="1" t="s">
        <v>4822</v>
      </c>
      <c r="L111" s="1" t="s">
        <v>7</v>
      </c>
      <c r="M111" s="1" t="s">
        <v>9</v>
      </c>
      <c r="N111" s="1" t="s">
        <v>4823</v>
      </c>
      <c r="O111" s="1" t="s">
        <v>3426</v>
      </c>
      <c r="P111" s="1"/>
      <c r="Q111" s="1"/>
      <c r="R111" s="1" t="s">
        <v>11</v>
      </c>
      <c r="S111" s="1"/>
      <c r="T111" s="1"/>
      <c r="U111" s="1"/>
      <c r="V111" s="1"/>
      <c r="W111" s="1"/>
      <c r="X111" s="1" t="s">
        <v>4812</v>
      </c>
      <c r="Y111" s="1"/>
      <c r="Z111" s="1"/>
      <c r="AA111" s="1" t="s">
        <v>4824</v>
      </c>
      <c r="AB111" s="1" t="s">
        <v>4825</v>
      </c>
      <c r="AC111" s="1"/>
      <c r="AD111" s="1"/>
      <c r="AE111" s="1" t="s">
        <v>4826</v>
      </c>
      <c r="AF111" s="1"/>
      <c r="AG111" s="1"/>
      <c r="AH111" s="1" t="s">
        <v>4827</v>
      </c>
      <c r="AI111" s="1"/>
      <c r="AJ111" s="1" t="s">
        <v>4817</v>
      </c>
      <c r="AK111" s="1" t="s">
        <v>4818</v>
      </c>
      <c r="AL111" s="1" t="s">
        <v>4819</v>
      </c>
      <c r="AM111" s="1" t="s">
        <v>4817</v>
      </c>
      <c r="AN111" s="1" t="s">
        <v>4818</v>
      </c>
      <c r="AO111" s="1" t="s">
        <v>4819</v>
      </c>
      <c r="AP111" s="2" t="s">
        <v>4828</v>
      </c>
      <c r="AQ111" s="2" t="s">
        <v>1153</v>
      </c>
      <c r="AR111" s="1" t="s">
        <v>286</v>
      </c>
      <c r="AS111" s="1"/>
      <c r="AT111" s="1" t="s">
        <v>5</v>
      </c>
    </row>
    <row r="112" spans="1:46" hidden="1" x14ac:dyDescent="0.4">
      <c r="A112" s="1" t="s">
        <v>2080</v>
      </c>
      <c r="B112" s="10"/>
      <c r="C112" s="1" t="s">
        <v>0</v>
      </c>
      <c r="D112" s="1" t="s">
        <v>2076</v>
      </c>
      <c r="E112" s="1" t="s">
        <v>2078</v>
      </c>
      <c r="F112" s="1" t="s">
        <v>14</v>
      </c>
      <c r="G112" s="1" t="s">
        <v>1</v>
      </c>
      <c r="H112" s="1" t="s">
        <v>6</v>
      </c>
      <c r="I112" s="1" t="s">
        <v>2</v>
      </c>
      <c r="J112" s="1" t="s">
        <v>3</v>
      </c>
      <c r="K112" s="1" t="s">
        <v>2081</v>
      </c>
      <c r="L112" s="1" t="s">
        <v>4</v>
      </c>
      <c r="M112" s="1" t="s">
        <v>9</v>
      </c>
      <c r="N112" s="1" t="s">
        <v>9911</v>
      </c>
      <c r="O112" s="1" t="s">
        <v>3399</v>
      </c>
      <c r="P112" s="1"/>
      <c r="Q112" s="1"/>
      <c r="R112" s="1" t="s">
        <v>11</v>
      </c>
      <c r="S112" s="1"/>
      <c r="T112" s="1"/>
      <c r="U112" s="1"/>
      <c r="V112" s="1"/>
      <c r="W112" s="1"/>
      <c r="X112" s="1" t="s">
        <v>9912</v>
      </c>
      <c r="Y112" s="1"/>
      <c r="Z112" s="1"/>
      <c r="AA112" s="1"/>
      <c r="AB112" s="1" t="s">
        <v>9913</v>
      </c>
      <c r="AC112" s="1"/>
      <c r="AD112" s="1"/>
      <c r="AE112" s="1" t="s">
        <v>2082</v>
      </c>
      <c r="AF112" s="1"/>
      <c r="AG112" s="1"/>
      <c r="AH112" s="1" t="s">
        <v>9914</v>
      </c>
      <c r="AI112" s="1"/>
      <c r="AJ112" s="1" t="s">
        <v>78</v>
      </c>
      <c r="AK112" s="1" t="s">
        <v>519</v>
      </c>
      <c r="AL112" s="1" t="s">
        <v>130</v>
      </c>
      <c r="AM112" s="1" t="s">
        <v>9915</v>
      </c>
      <c r="AN112" s="1" t="s">
        <v>519</v>
      </c>
      <c r="AO112" s="1" t="s">
        <v>9916</v>
      </c>
      <c r="AP112" s="2" t="s">
        <v>9917</v>
      </c>
      <c r="AQ112" s="2" t="s">
        <v>1155</v>
      </c>
      <c r="AR112" s="1" t="s">
        <v>286</v>
      </c>
      <c r="AS112" s="1" t="s">
        <v>9918</v>
      </c>
      <c r="AT112" s="1" t="s">
        <v>5</v>
      </c>
    </row>
    <row r="113" spans="1:46" hidden="1" x14ac:dyDescent="0.4">
      <c r="A113" s="1" t="s">
        <v>8653</v>
      </c>
      <c r="B113" s="10"/>
      <c r="C113" s="1" t="s">
        <v>93</v>
      </c>
      <c r="D113" s="1" t="s">
        <v>2211</v>
      </c>
      <c r="E113" s="1" t="s">
        <v>2078</v>
      </c>
      <c r="F113" s="1" t="s">
        <v>14</v>
      </c>
      <c r="G113" s="1" t="s">
        <v>1</v>
      </c>
      <c r="H113" s="1" t="s">
        <v>6</v>
      </c>
      <c r="I113" s="1" t="s">
        <v>2</v>
      </c>
      <c r="J113" s="1" t="s">
        <v>3</v>
      </c>
      <c r="K113" s="1" t="s">
        <v>8654</v>
      </c>
      <c r="L113" s="1" t="s">
        <v>4</v>
      </c>
      <c r="M113" s="1"/>
      <c r="N113" s="1" t="s">
        <v>8655</v>
      </c>
      <c r="O113" s="1" t="s">
        <v>19</v>
      </c>
      <c r="P113" s="1"/>
      <c r="Q113" s="1"/>
      <c r="R113" s="1" t="s">
        <v>11</v>
      </c>
      <c r="S113" s="1"/>
      <c r="T113" s="1"/>
      <c r="U113" s="1"/>
      <c r="V113" s="1"/>
      <c r="W113" s="1" t="s">
        <v>8656</v>
      </c>
      <c r="X113" s="1"/>
      <c r="Y113" s="1"/>
      <c r="Z113" s="1"/>
      <c r="AA113" s="1"/>
      <c r="AB113" s="1" t="s">
        <v>8657</v>
      </c>
      <c r="AC113" s="1"/>
      <c r="AD113" s="1"/>
      <c r="AE113" s="1" t="s">
        <v>8318</v>
      </c>
      <c r="AF113" s="1"/>
      <c r="AG113" s="1"/>
      <c r="AH113" s="1" t="s">
        <v>8658</v>
      </c>
      <c r="AI113" s="1"/>
      <c r="AJ113" s="1" t="s">
        <v>8659</v>
      </c>
      <c r="AK113" s="1" t="s">
        <v>8396</v>
      </c>
      <c r="AL113" s="1" t="s">
        <v>8660</v>
      </c>
      <c r="AM113" s="1" t="s">
        <v>8659</v>
      </c>
      <c r="AN113" s="1" t="s">
        <v>8396</v>
      </c>
      <c r="AO113" s="1" t="s">
        <v>8660</v>
      </c>
      <c r="AP113" s="2" t="s">
        <v>8661</v>
      </c>
      <c r="AQ113" s="2" t="s">
        <v>1154</v>
      </c>
      <c r="AR113" s="1" t="s">
        <v>286</v>
      </c>
      <c r="AS113" s="1" t="s">
        <v>8662</v>
      </c>
      <c r="AT113" s="1" t="s">
        <v>5</v>
      </c>
    </row>
    <row r="114" spans="1:46" hidden="1" x14ac:dyDescent="0.4">
      <c r="A114" s="1" t="s">
        <v>7838</v>
      </c>
      <c r="B114" s="10"/>
      <c r="C114" s="1" t="s">
        <v>93</v>
      </c>
      <c r="D114" s="1" t="s">
        <v>2157</v>
      </c>
      <c r="E114" s="1" t="s">
        <v>2478</v>
      </c>
      <c r="F114" s="1" t="s">
        <v>14</v>
      </c>
      <c r="G114" s="1" t="s">
        <v>1</v>
      </c>
      <c r="H114" s="1" t="s">
        <v>6</v>
      </c>
      <c r="I114" s="1" t="s">
        <v>2</v>
      </c>
      <c r="J114" s="1" t="s">
        <v>3</v>
      </c>
      <c r="K114" s="1" t="s">
        <v>7839</v>
      </c>
      <c r="L114" s="1" t="s">
        <v>7</v>
      </c>
      <c r="M114" s="1"/>
      <c r="N114" s="1" t="s">
        <v>7840</v>
      </c>
      <c r="O114" s="1" t="s">
        <v>19</v>
      </c>
      <c r="P114" s="1"/>
      <c r="Q114" s="1"/>
      <c r="R114" s="1" t="s">
        <v>11</v>
      </c>
      <c r="S114" s="1"/>
      <c r="T114" s="1"/>
      <c r="U114" s="1"/>
      <c r="V114" s="1"/>
      <c r="W114" s="1" t="s">
        <v>7841</v>
      </c>
      <c r="X114" s="1"/>
      <c r="Y114" s="1"/>
      <c r="Z114" s="1"/>
      <c r="AA114" s="1"/>
      <c r="AB114" s="1" t="s">
        <v>7842</v>
      </c>
      <c r="AC114" s="1"/>
      <c r="AD114" s="1"/>
      <c r="AE114" s="1" t="s">
        <v>5108</v>
      </c>
      <c r="AF114" s="1"/>
      <c r="AG114" s="1"/>
      <c r="AH114" s="1" t="s">
        <v>7843</v>
      </c>
      <c r="AI114" s="1"/>
      <c r="AJ114" s="1" t="s">
        <v>5667</v>
      </c>
      <c r="AK114" s="1" t="s">
        <v>5668</v>
      </c>
      <c r="AL114" s="1" t="s">
        <v>5669</v>
      </c>
      <c r="AM114" s="1" t="s">
        <v>5667</v>
      </c>
      <c r="AN114" s="1" t="s">
        <v>5668</v>
      </c>
      <c r="AO114" s="1" t="s">
        <v>5669</v>
      </c>
      <c r="AP114" s="2" t="s">
        <v>7844</v>
      </c>
      <c r="AQ114" s="2" t="s">
        <v>1154</v>
      </c>
      <c r="AR114" s="1" t="s">
        <v>286</v>
      </c>
      <c r="AS114" s="1" t="s">
        <v>7845</v>
      </c>
      <c r="AT114" s="1" t="s">
        <v>5</v>
      </c>
    </row>
    <row r="115" spans="1:46" hidden="1" x14ac:dyDescent="0.4">
      <c r="A115" s="1" t="s">
        <v>11878</v>
      </c>
      <c r="B115" s="10"/>
      <c r="C115" s="1" t="s">
        <v>93</v>
      </c>
      <c r="D115" s="1" t="s">
        <v>2396</v>
      </c>
      <c r="E115" s="1" t="s">
        <v>2078</v>
      </c>
      <c r="F115" s="1" t="s">
        <v>14</v>
      </c>
      <c r="G115" s="1" t="s">
        <v>1</v>
      </c>
      <c r="H115" s="1" t="s">
        <v>6</v>
      </c>
      <c r="I115" s="1" t="s">
        <v>2</v>
      </c>
      <c r="J115" s="1" t="s">
        <v>3</v>
      </c>
      <c r="K115" s="1" t="s">
        <v>11879</v>
      </c>
      <c r="L115" s="1" t="s">
        <v>7</v>
      </c>
      <c r="M115" s="1"/>
      <c r="N115" s="1" t="s">
        <v>11880</v>
      </c>
      <c r="O115" s="1" t="s">
        <v>7888</v>
      </c>
      <c r="P115" s="1" t="s">
        <v>5858</v>
      </c>
      <c r="Q115" s="1" t="s">
        <v>12</v>
      </c>
      <c r="R115" s="1" t="s">
        <v>11</v>
      </c>
      <c r="S115" s="1"/>
      <c r="T115" s="1" t="s">
        <v>12</v>
      </c>
      <c r="U115" s="1" t="s">
        <v>11</v>
      </c>
      <c r="V115" s="1"/>
      <c r="W115" s="1" t="s">
        <v>11881</v>
      </c>
      <c r="X115" s="1"/>
      <c r="Y115" s="1"/>
      <c r="Z115" s="1"/>
      <c r="AA115" s="1"/>
      <c r="AB115" s="1" t="s">
        <v>11882</v>
      </c>
      <c r="AC115" s="1"/>
      <c r="AD115" s="1"/>
      <c r="AE115" s="1" t="s">
        <v>11883</v>
      </c>
      <c r="AF115" s="1"/>
      <c r="AG115" s="1"/>
      <c r="AH115" s="1" t="s">
        <v>11884</v>
      </c>
      <c r="AI115" s="1"/>
      <c r="AJ115" s="1" t="s">
        <v>11811</v>
      </c>
      <c r="AK115" s="1" t="s">
        <v>4427</v>
      </c>
      <c r="AL115" s="1" t="s">
        <v>11812</v>
      </c>
      <c r="AM115" s="1" t="s">
        <v>11811</v>
      </c>
      <c r="AN115" s="1" t="s">
        <v>4427</v>
      </c>
      <c r="AO115" s="1" t="s">
        <v>11812</v>
      </c>
      <c r="AP115" s="2" t="s">
        <v>11885</v>
      </c>
      <c r="AQ115" s="2" t="s">
        <v>1156</v>
      </c>
      <c r="AR115" s="1" t="s">
        <v>286</v>
      </c>
      <c r="AS115" s="1" t="s">
        <v>11873</v>
      </c>
      <c r="AT115" s="1" t="s">
        <v>5</v>
      </c>
    </row>
    <row r="116" spans="1:46" hidden="1" x14ac:dyDescent="0.4">
      <c r="A116" s="1" t="s">
        <v>4343</v>
      </c>
      <c r="B116" s="10"/>
      <c r="C116" s="1" t="s">
        <v>0</v>
      </c>
      <c r="D116" s="1" t="s">
        <v>2157</v>
      </c>
      <c r="E116" s="1" t="s">
        <v>2078</v>
      </c>
      <c r="F116" s="1" t="s">
        <v>14</v>
      </c>
      <c r="G116" s="1" t="s">
        <v>1</v>
      </c>
      <c r="H116" s="1" t="s">
        <v>6</v>
      </c>
      <c r="I116" s="1" t="s">
        <v>2</v>
      </c>
      <c r="J116" s="1" t="s">
        <v>3</v>
      </c>
      <c r="K116" s="1" t="s">
        <v>4344</v>
      </c>
      <c r="L116" s="1" t="s">
        <v>7</v>
      </c>
      <c r="M116" s="1" t="s">
        <v>9</v>
      </c>
      <c r="N116" s="1" t="s">
        <v>4345</v>
      </c>
      <c r="O116" s="1" t="s">
        <v>4346</v>
      </c>
      <c r="P116" s="1"/>
      <c r="Q116" s="1"/>
      <c r="R116" s="1" t="s">
        <v>11</v>
      </c>
      <c r="S116" s="1"/>
      <c r="T116" s="1"/>
      <c r="U116" s="1"/>
      <c r="V116" s="1"/>
      <c r="W116" s="1"/>
      <c r="X116" s="1" t="s">
        <v>4347</v>
      </c>
      <c r="Y116" s="1"/>
      <c r="Z116" s="1"/>
      <c r="AA116" s="1"/>
      <c r="AB116" s="1" t="s">
        <v>4348</v>
      </c>
      <c r="AC116" s="1"/>
      <c r="AD116" s="1"/>
      <c r="AE116" s="1"/>
      <c r="AF116" s="1"/>
      <c r="AG116" s="1"/>
      <c r="AH116" s="1" t="s">
        <v>4349</v>
      </c>
      <c r="AI116" s="1"/>
      <c r="AJ116" s="1" t="s">
        <v>3173</v>
      </c>
      <c r="AK116" s="1" t="s">
        <v>4350</v>
      </c>
      <c r="AL116" s="1"/>
      <c r="AM116" s="1" t="s">
        <v>4351</v>
      </c>
      <c r="AN116" s="1" t="s">
        <v>4352</v>
      </c>
      <c r="AO116" s="1" t="s">
        <v>4353</v>
      </c>
      <c r="AP116" s="2" t="s">
        <v>4354</v>
      </c>
      <c r="AQ116" s="2" t="s">
        <v>1153</v>
      </c>
      <c r="AR116" s="1" t="s">
        <v>286</v>
      </c>
      <c r="AS116" s="1"/>
      <c r="AT116" s="1" t="s">
        <v>5</v>
      </c>
    </row>
    <row r="117" spans="1:46" hidden="1" x14ac:dyDescent="0.4">
      <c r="A117" s="1" t="s">
        <v>8835</v>
      </c>
      <c r="B117" s="10"/>
      <c r="C117" s="1" t="s">
        <v>2091</v>
      </c>
      <c r="D117" s="1" t="s">
        <v>2396</v>
      </c>
      <c r="E117" s="1" t="s">
        <v>2078</v>
      </c>
      <c r="F117" s="1" t="s">
        <v>14</v>
      </c>
      <c r="G117" s="1" t="s">
        <v>1</v>
      </c>
      <c r="H117" s="1" t="s">
        <v>6</v>
      </c>
      <c r="I117" s="1" t="s">
        <v>2</v>
      </c>
      <c r="J117" s="1" t="s">
        <v>3</v>
      </c>
      <c r="K117" s="1" t="s">
        <v>8836</v>
      </c>
      <c r="L117" s="1" t="s">
        <v>7</v>
      </c>
      <c r="M117" s="1"/>
      <c r="N117" s="1" t="s">
        <v>8837</v>
      </c>
      <c r="O117" s="1" t="s">
        <v>8810</v>
      </c>
      <c r="P117" s="1"/>
      <c r="Q117" s="1"/>
      <c r="R117" s="1" t="s">
        <v>11</v>
      </c>
      <c r="S117" s="1"/>
      <c r="T117" s="1"/>
      <c r="U117" s="1"/>
      <c r="V117" s="1"/>
      <c r="W117" s="1" t="s">
        <v>8838</v>
      </c>
      <c r="X117" s="1"/>
      <c r="Y117" s="1"/>
      <c r="Z117" s="1"/>
      <c r="AA117" s="1"/>
      <c r="AB117" s="1" t="s">
        <v>8839</v>
      </c>
      <c r="AC117" s="1"/>
      <c r="AD117" s="1"/>
      <c r="AE117" s="1" t="s">
        <v>8813</v>
      </c>
      <c r="AF117" s="1"/>
      <c r="AG117" s="1"/>
      <c r="AH117" s="1" t="s">
        <v>8840</v>
      </c>
      <c r="AI117" s="1"/>
      <c r="AJ117" s="1" t="s">
        <v>8815</v>
      </c>
      <c r="AK117" s="1" t="s">
        <v>4886</v>
      </c>
      <c r="AL117" s="1" t="s">
        <v>8816</v>
      </c>
      <c r="AM117" s="1" t="s">
        <v>8815</v>
      </c>
      <c r="AN117" s="1" t="s">
        <v>4886</v>
      </c>
      <c r="AO117" s="1" t="s">
        <v>8816</v>
      </c>
      <c r="AP117" s="2" t="s">
        <v>8841</v>
      </c>
      <c r="AQ117" s="2" t="s">
        <v>1154</v>
      </c>
      <c r="AR117" s="1" t="s">
        <v>286</v>
      </c>
      <c r="AS117" s="1" t="s">
        <v>8842</v>
      </c>
      <c r="AT117" s="1" t="s">
        <v>5</v>
      </c>
    </row>
    <row r="118" spans="1:46" hidden="1" x14ac:dyDescent="0.4">
      <c r="A118" s="1" t="s">
        <v>6209</v>
      </c>
      <c r="B118" s="10"/>
      <c r="C118" s="1" t="s">
        <v>2555</v>
      </c>
      <c r="D118" s="1" t="s">
        <v>2157</v>
      </c>
      <c r="E118" s="1" t="s">
        <v>2078</v>
      </c>
      <c r="F118" s="1" t="s">
        <v>14</v>
      </c>
      <c r="G118" s="1" t="s">
        <v>1</v>
      </c>
      <c r="H118" s="1" t="s">
        <v>6</v>
      </c>
      <c r="I118" s="1" t="s">
        <v>2</v>
      </c>
      <c r="J118" s="1" t="s">
        <v>3</v>
      </c>
      <c r="K118" s="1" t="s">
        <v>6210</v>
      </c>
      <c r="L118" s="1" t="s">
        <v>7</v>
      </c>
      <c r="M118" s="1"/>
      <c r="N118" s="1" t="s">
        <v>6211</v>
      </c>
      <c r="O118" s="1" t="s">
        <v>6212</v>
      </c>
      <c r="P118" s="1"/>
      <c r="Q118" s="1"/>
      <c r="R118" s="1" t="s">
        <v>11</v>
      </c>
      <c r="S118" s="1"/>
      <c r="T118" s="1"/>
      <c r="U118" s="1"/>
      <c r="V118" s="1"/>
      <c r="W118" s="1"/>
      <c r="X118" s="1"/>
      <c r="Y118" s="1"/>
      <c r="Z118" s="1"/>
      <c r="AA118" s="1"/>
      <c r="AB118" s="1" t="s">
        <v>6213</v>
      </c>
      <c r="AC118" s="1"/>
      <c r="AD118" s="1"/>
      <c r="AE118" s="1" t="s">
        <v>6214</v>
      </c>
      <c r="AF118" s="1"/>
      <c r="AG118" s="1"/>
      <c r="AH118" s="1" t="s">
        <v>6215</v>
      </c>
      <c r="AI118" s="1"/>
      <c r="AJ118" s="1" t="s">
        <v>4201</v>
      </c>
      <c r="AK118" s="1" t="s">
        <v>6216</v>
      </c>
      <c r="AL118" s="1" t="s">
        <v>6217</v>
      </c>
      <c r="AM118" s="1" t="s">
        <v>4201</v>
      </c>
      <c r="AN118" s="1" t="s">
        <v>6216</v>
      </c>
      <c r="AO118" s="1" t="s">
        <v>6217</v>
      </c>
      <c r="AP118" s="2" t="s">
        <v>6218</v>
      </c>
      <c r="AQ118" s="2" t="s">
        <v>1077</v>
      </c>
      <c r="AR118" s="1" t="s">
        <v>286</v>
      </c>
      <c r="AS118" s="1"/>
      <c r="AT118" s="1" t="s">
        <v>5</v>
      </c>
    </row>
    <row r="119" spans="1:46" hidden="1" x14ac:dyDescent="0.4">
      <c r="A119" s="1" t="s">
        <v>8634</v>
      </c>
      <c r="B119" s="10"/>
      <c r="C119" s="1" t="s">
        <v>2675</v>
      </c>
      <c r="D119" s="1" t="s">
        <v>2157</v>
      </c>
      <c r="E119" s="1" t="s">
        <v>2078</v>
      </c>
      <c r="F119" s="1" t="s">
        <v>14</v>
      </c>
      <c r="G119" s="1" t="s">
        <v>1</v>
      </c>
      <c r="H119" s="1" t="s">
        <v>6</v>
      </c>
      <c r="I119" s="1" t="s">
        <v>2</v>
      </c>
      <c r="J119" s="1" t="s">
        <v>2450</v>
      </c>
      <c r="K119" s="1" t="s">
        <v>8635</v>
      </c>
      <c r="L119" s="1" t="s">
        <v>7</v>
      </c>
      <c r="M119" s="1"/>
      <c r="N119" s="1" t="s">
        <v>8636</v>
      </c>
      <c r="O119" s="1" t="s">
        <v>5535</v>
      </c>
      <c r="P119" s="1"/>
      <c r="Q119" s="1"/>
      <c r="R119" s="1" t="s">
        <v>11</v>
      </c>
      <c r="S119" s="1"/>
      <c r="T119" s="1"/>
      <c r="U119" s="1"/>
      <c r="V119" s="1"/>
      <c r="W119" s="1" t="s">
        <v>8637</v>
      </c>
      <c r="X119" s="1"/>
      <c r="Y119" s="1"/>
      <c r="Z119" s="1"/>
      <c r="AA119" s="1"/>
      <c r="AB119" s="1" t="s">
        <v>8638</v>
      </c>
      <c r="AC119" s="1"/>
      <c r="AD119" s="1"/>
      <c r="AE119" s="1" t="s">
        <v>8639</v>
      </c>
      <c r="AF119" s="1"/>
      <c r="AG119" s="1"/>
      <c r="AH119" s="1" t="s">
        <v>8640</v>
      </c>
      <c r="AI119" s="1"/>
      <c r="AJ119" s="1" t="s">
        <v>8238</v>
      </c>
      <c r="AK119" s="1" t="s">
        <v>8239</v>
      </c>
      <c r="AL119" s="1" t="s">
        <v>8240</v>
      </c>
      <c r="AM119" s="1" t="s">
        <v>8238</v>
      </c>
      <c r="AN119" s="1" t="s">
        <v>8239</v>
      </c>
      <c r="AO119" s="1" t="s">
        <v>8240</v>
      </c>
      <c r="AP119" s="2" t="s">
        <v>8641</v>
      </c>
      <c r="AQ119" s="2" t="s">
        <v>1154</v>
      </c>
      <c r="AR119" s="1" t="s">
        <v>286</v>
      </c>
      <c r="AS119" s="1" t="s">
        <v>8642</v>
      </c>
      <c r="AT119" s="1" t="s">
        <v>5</v>
      </c>
    </row>
    <row r="120" spans="1:46" hidden="1" x14ac:dyDescent="0.4">
      <c r="A120" s="1" t="s">
        <v>6024</v>
      </c>
      <c r="B120" s="10"/>
      <c r="C120" s="1" t="s">
        <v>93</v>
      </c>
      <c r="D120" s="1" t="s">
        <v>2220</v>
      </c>
      <c r="E120" s="1" t="s">
        <v>2078</v>
      </c>
      <c r="F120" s="1" t="s">
        <v>14</v>
      </c>
      <c r="G120" s="1" t="s">
        <v>1</v>
      </c>
      <c r="H120" s="1" t="s">
        <v>6</v>
      </c>
      <c r="I120" s="1" t="s">
        <v>2</v>
      </c>
      <c r="J120" s="1" t="s">
        <v>3</v>
      </c>
      <c r="K120" s="1" t="s">
        <v>6025</v>
      </c>
      <c r="L120" s="1" t="s">
        <v>7</v>
      </c>
      <c r="M120" s="1"/>
      <c r="N120" s="1" t="s">
        <v>5663</v>
      </c>
      <c r="O120" s="1" t="s">
        <v>6026</v>
      </c>
      <c r="P120" s="1"/>
      <c r="Q120" s="1"/>
      <c r="R120" s="1" t="s">
        <v>11</v>
      </c>
      <c r="S120" s="1"/>
      <c r="T120" s="1"/>
      <c r="U120" s="1"/>
      <c r="V120" s="1"/>
      <c r="W120" s="1" t="s">
        <v>6027</v>
      </c>
      <c r="X120" s="1"/>
      <c r="Y120" s="1"/>
      <c r="Z120" s="1"/>
      <c r="AA120" s="1"/>
      <c r="AB120" s="1" t="s">
        <v>6028</v>
      </c>
      <c r="AC120" s="1"/>
      <c r="AD120" s="1"/>
      <c r="AE120" s="1" t="s">
        <v>6029</v>
      </c>
      <c r="AF120" s="1"/>
      <c r="AG120" s="1"/>
      <c r="AH120" s="1" t="s">
        <v>6030</v>
      </c>
      <c r="AI120" s="1"/>
      <c r="AJ120" s="1" t="s">
        <v>6031</v>
      </c>
      <c r="AK120" s="1" t="s">
        <v>3947</v>
      </c>
      <c r="AL120" s="1" t="s">
        <v>6032</v>
      </c>
      <c r="AM120" s="1" t="s">
        <v>6031</v>
      </c>
      <c r="AN120" s="1" t="s">
        <v>3947</v>
      </c>
      <c r="AO120" s="1" t="s">
        <v>6032</v>
      </c>
      <c r="AP120" s="2" t="s">
        <v>6033</v>
      </c>
      <c r="AQ120" s="2" t="s">
        <v>1077</v>
      </c>
      <c r="AR120" s="1" t="s">
        <v>286</v>
      </c>
      <c r="AS120" s="1"/>
      <c r="AT120" s="1" t="s">
        <v>5</v>
      </c>
    </row>
    <row r="121" spans="1:46" hidden="1" x14ac:dyDescent="0.4">
      <c r="A121" s="1" t="s">
        <v>5052</v>
      </c>
      <c r="B121" s="10"/>
      <c r="C121" s="1" t="s">
        <v>2091</v>
      </c>
      <c r="D121" s="1" t="s">
        <v>2396</v>
      </c>
      <c r="E121" s="1" t="s">
        <v>2078</v>
      </c>
      <c r="F121" s="1" t="s">
        <v>14</v>
      </c>
      <c r="G121" s="1" t="s">
        <v>1</v>
      </c>
      <c r="H121" s="1" t="s">
        <v>6</v>
      </c>
      <c r="I121" s="1" t="s">
        <v>2</v>
      </c>
      <c r="J121" s="1" t="s">
        <v>3</v>
      </c>
      <c r="K121" s="1" t="s">
        <v>5053</v>
      </c>
      <c r="L121" s="1" t="s">
        <v>7</v>
      </c>
      <c r="M121" s="1"/>
      <c r="N121" s="1" t="s">
        <v>5054</v>
      </c>
      <c r="O121" s="1" t="s">
        <v>5042</v>
      </c>
      <c r="P121" s="1"/>
      <c r="Q121" s="1"/>
      <c r="R121" s="1" t="s">
        <v>11</v>
      </c>
      <c r="S121" s="1"/>
      <c r="T121" s="1"/>
      <c r="U121" s="1"/>
      <c r="V121" s="1"/>
      <c r="W121" s="1"/>
      <c r="X121" s="1"/>
      <c r="Y121" s="1"/>
      <c r="Z121" s="1"/>
      <c r="AA121" s="1"/>
      <c r="AB121" s="1" t="s">
        <v>5055</v>
      </c>
      <c r="AC121" s="1"/>
      <c r="AD121" s="1"/>
      <c r="AE121" s="1" t="s">
        <v>5044</v>
      </c>
      <c r="AF121" s="1"/>
      <c r="AG121" s="1"/>
      <c r="AH121" s="1" t="s">
        <v>5056</v>
      </c>
      <c r="AI121" s="1"/>
      <c r="AJ121" s="1" t="s">
        <v>5046</v>
      </c>
      <c r="AK121" s="1" t="s">
        <v>5047</v>
      </c>
      <c r="AL121" s="1" t="s">
        <v>5048</v>
      </c>
      <c r="AM121" s="1" t="s">
        <v>5049</v>
      </c>
      <c r="AN121" s="1" t="s">
        <v>5047</v>
      </c>
      <c r="AO121" s="1" t="s">
        <v>5050</v>
      </c>
      <c r="AP121" s="2" t="s">
        <v>5057</v>
      </c>
      <c r="AQ121" s="2" t="s">
        <v>1153</v>
      </c>
      <c r="AR121" s="1" t="s">
        <v>286</v>
      </c>
      <c r="AS121" s="1"/>
      <c r="AT121" s="1" t="s">
        <v>5</v>
      </c>
    </row>
    <row r="122" spans="1:46" hidden="1" x14ac:dyDescent="0.4">
      <c r="A122" s="1" t="s">
        <v>5884</v>
      </c>
      <c r="B122" s="10"/>
      <c r="C122" s="1" t="s">
        <v>5198</v>
      </c>
      <c r="D122" s="1" t="s">
        <v>2076</v>
      </c>
      <c r="E122" s="1" t="s">
        <v>2078</v>
      </c>
      <c r="F122" s="1" t="s">
        <v>14</v>
      </c>
      <c r="G122" s="1" t="s">
        <v>1</v>
      </c>
      <c r="H122" s="1" t="s">
        <v>6</v>
      </c>
      <c r="I122" s="1" t="s">
        <v>2</v>
      </c>
      <c r="J122" s="1" t="s">
        <v>5199</v>
      </c>
      <c r="K122" s="1" t="s">
        <v>5885</v>
      </c>
      <c r="L122" s="1" t="s">
        <v>7</v>
      </c>
      <c r="M122" s="1"/>
      <c r="N122" s="1" t="s">
        <v>5886</v>
      </c>
      <c r="O122" s="1" t="s">
        <v>5828</v>
      </c>
      <c r="P122" s="1"/>
      <c r="Q122" s="1"/>
      <c r="R122" s="1" t="s">
        <v>11</v>
      </c>
      <c r="S122" s="1"/>
      <c r="T122" s="1"/>
      <c r="U122" s="1"/>
      <c r="V122" s="1"/>
      <c r="W122" s="1"/>
      <c r="X122" s="1" t="s">
        <v>5887</v>
      </c>
      <c r="Y122" s="1"/>
      <c r="Z122" s="1"/>
      <c r="AA122" s="1"/>
      <c r="AB122" s="1" t="s">
        <v>5888</v>
      </c>
      <c r="AC122" s="1"/>
      <c r="AD122" s="1"/>
      <c r="AE122" s="1"/>
      <c r="AF122" s="1"/>
      <c r="AG122" s="1"/>
      <c r="AH122" s="1" t="s">
        <v>5889</v>
      </c>
      <c r="AI122" s="1"/>
      <c r="AJ122" s="1" t="s">
        <v>5448</v>
      </c>
      <c r="AK122" s="1" t="s">
        <v>5449</v>
      </c>
      <c r="AL122" s="1" t="s">
        <v>5450</v>
      </c>
      <c r="AM122" s="1" t="s">
        <v>5451</v>
      </c>
      <c r="AN122" s="1" t="s">
        <v>5452</v>
      </c>
      <c r="AO122" s="1" t="s">
        <v>5453</v>
      </c>
      <c r="AP122" s="2" t="s">
        <v>5890</v>
      </c>
      <c r="AQ122" s="2" t="s">
        <v>1077</v>
      </c>
      <c r="AR122" s="1" t="s">
        <v>286</v>
      </c>
      <c r="AS122" s="1"/>
      <c r="AT122" s="1" t="s">
        <v>5</v>
      </c>
    </row>
    <row r="123" spans="1:46" hidden="1" x14ac:dyDescent="0.4">
      <c r="A123" s="1" t="s">
        <v>11746</v>
      </c>
      <c r="B123" s="10"/>
      <c r="C123" s="1" t="s">
        <v>2841</v>
      </c>
      <c r="D123" s="1" t="s">
        <v>2211</v>
      </c>
      <c r="E123" s="1" t="s">
        <v>2078</v>
      </c>
      <c r="F123" s="1" t="s">
        <v>14</v>
      </c>
      <c r="G123" s="1" t="s">
        <v>1</v>
      </c>
      <c r="H123" s="1" t="s">
        <v>6</v>
      </c>
      <c r="I123" s="1" t="s">
        <v>2</v>
      </c>
      <c r="J123" s="1" t="s">
        <v>2842</v>
      </c>
      <c r="K123" s="1" t="s">
        <v>11747</v>
      </c>
      <c r="L123" s="1" t="s">
        <v>7</v>
      </c>
      <c r="M123" s="1"/>
      <c r="N123" s="1" t="s">
        <v>11748</v>
      </c>
      <c r="O123" s="1" t="s">
        <v>8567</v>
      </c>
      <c r="P123" s="1" t="s">
        <v>8568</v>
      </c>
      <c r="Q123" s="1" t="s">
        <v>12</v>
      </c>
      <c r="R123" s="1" t="s">
        <v>11</v>
      </c>
      <c r="S123" s="1"/>
      <c r="T123" s="1" t="s">
        <v>12</v>
      </c>
      <c r="U123" s="1" t="s">
        <v>11</v>
      </c>
      <c r="V123" s="1"/>
      <c r="W123" s="1" t="s">
        <v>11449</v>
      </c>
      <c r="X123" s="1"/>
      <c r="Y123" s="1"/>
      <c r="Z123" s="1"/>
      <c r="AA123" s="1"/>
      <c r="AB123" s="1" t="s">
        <v>11749</v>
      </c>
      <c r="AC123" s="1"/>
      <c r="AD123" s="1"/>
      <c r="AE123" s="1"/>
      <c r="AF123" s="1"/>
      <c r="AG123" s="1"/>
      <c r="AH123" s="1" t="s">
        <v>11750</v>
      </c>
      <c r="AI123" s="1"/>
      <c r="AJ123" s="1" t="s">
        <v>4327</v>
      </c>
      <c r="AK123" s="1" t="s">
        <v>8473</v>
      </c>
      <c r="AL123" s="1" t="s">
        <v>4328</v>
      </c>
      <c r="AM123" s="1" t="s">
        <v>4327</v>
      </c>
      <c r="AN123" s="1" t="s">
        <v>8473</v>
      </c>
      <c r="AO123" s="1" t="s">
        <v>4328</v>
      </c>
      <c r="AP123" s="2" t="s">
        <v>11751</v>
      </c>
      <c r="AQ123" s="2" t="s">
        <v>1156</v>
      </c>
      <c r="AR123" s="1" t="s">
        <v>286</v>
      </c>
      <c r="AS123" s="1" t="s">
        <v>11752</v>
      </c>
      <c r="AT123" s="1" t="s">
        <v>5</v>
      </c>
    </row>
    <row r="124" spans="1:46" hidden="1" x14ac:dyDescent="0.4">
      <c r="A124" s="1" t="s">
        <v>11732</v>
      </c>
      <c r="B124" s="10"/>
      <c r="C124" s="1" t="s">
        <v>2841</v>
      </c>
      <c r="D124" s="1" t="s">
        <v>2211</v>
      </c>
      <c r="E124" s="1" t="s">
        <v>2078</v>
      </c>
      <c r="F124" s="1" t="s">
        <v>14</v>
      </c>
      <c r="G124" s="1" t="s">
        <v>1</v>
      </c>
      <c r="H124" s="1" t="s">
        <v>6</v>
      </c>
      <c r="I124" s="1" t="s">
        <v>2</v>
      </c>
      <c r="J124" s="1" t="s">
        <v>2842</v>
      </c>
      <c r="K124" s="1" t="s">
        <v>11733</v>
      </c>
      <c r="L124" s="1" t="s">
        <v>7</v>
      </c>
      <c r="M124" s="1"/>
      <c r="N124" s="1" t="s">
        <v>11734</v>
      </c>
      <c r="O124" s="1" t="s">
        <v>8567</v>
      </c>
      <c r="P124" s="1"/>
      <c r="Q124" s="1" t="s">
        <v>12</v>
      </c>
      <c r="R124" s="1" t="s">
        <v>11</v>
      </c>
      <c r="S124" s="1"/>
      <c r="T124" s="1" t="s">
        <v>12</v>
      </c>
      <c r="U124" s="1" t="s">
        <v>11</v>
      </c>
      <c r="V124" s="1"/>
      <c r="W124" s="1" t="s">
        <v>11449</v>
      </c>
      <c r="X124" s="1"/>
      <c r="Y124" s="1"/>
      <c r="Z124" s="1"/>
      <c r="AA124" s="1"/>
      <c r="AB124" s="1" t="s">
        <v>11735</v>
      </c>
      <c r="AC124" s="1"/>
      <c r="AD124" s="1"/>
      <c r="AE124" s="1"/>
      <c r="AF124" s="1"/>
      <c r="AG124" s="1"/>
      <c r="AH124" s="1" t="s">
        <v>11736</v>
      </c>
      <c r="AI124" s="1"/>
      <c r="AJ124" s="1" t="s">
        <v>4327</v>
      </c>
      <c r="AK124" s="1" t="s">
        <v>8473</v>
      </c>
      <c r="AL124" s="1" t="s">
        <v>4328</v>
      </c>
      <c r="AM124" s="1" t="s">
        <v>4327</v>
      </c>
      <c r="AN124" s="1" t="s">
        <v>8473</v>
      </c>
      <c r="AO124" s="1" t="s">
        <v>4328</v>
      </c>
      <c r="AP124" s="2" t="s">
        <v>11737</v>
      </c>
      <c r="AQ124" s="2" t="s">
        <v>1156</v>
      </c>
      <c r="AR124" s="1" t="s">
        <v>286</v>
      </c>
      <c r="AS124" s="1" t="s">
        <v>11738</v>
      </c>
      <c r="AT124" s="1" t="s">
        <v>5</v>
      </c>
    </row>
    <row r="125" spans="1:46" hidden="1" x14ac:dyDescent="0.4">
      <c r="A125" s="1" t="s">
        <v>11753</v>
      </c>
      <c r="B125" s="10"/>
      <c r="C125" s="1" t="s">
        <v>2841</v>
      </c>
      <c r="D125" s="1" t="s">
        <v>2211</v>
      </c>
      <c r="E125" s="1" t="s">
        <v>2078</v>
      </c>
      <c r="F125" s="1" t="s">
        <v>14</v>
      </c>
      <c r="G125" s="1" t="s">
        <v>1</v>
      </c>
      <c r="H125" s="1" t="s">
        <v>6</v>
      </c>
      <c r="I125" s="1" t="s">
        <v>2</v>
      </c>
      <c r="J125" s="1" t="s">
        <v>2842</v>
      </c>
      <c r="K125" s="1" t="s">
        <v>11754</v>
      </c>
      <c r="L125" s="1" t="s">
        <v>7</v>
      </c>
      <c r="M125" s="1"/>
      <c r="N125" s="1" t="s">
        <v>11755</v>
      </c>
      <c r="O125" s="1" t="s">
        <v>8567</v>
      </c>
      <c r="P125" s="1" t="s">
        <v>8568</v>
      </c>
      <c r="Q125" s="1" t="s">
        <v>12</v>
      </c>
      <c r="R125" s="1" t="s">
        <v>11</v>
      </c>
      <c r="S125" s="1"/>
      <c r="T125" s="1" t="s">
        <v>12</v>
      </c>
      <c r="U125" s="1" t="s">
        <v>11</v>
      </c>
      <c r="V125" s="1"/>
      <c r="W125" s="1" t="s">
        <v>11449</v>
      </c>
      <c r="X125" s="1"/>
      <c r="Y125" s="1"/>
      <c r="Z125" s="1"/>
      <c r="AA125" s="1"/>
      <c r="AB125" s="1" t="s">
        <v>11756</v>
      </c>
      <c r="AC125" s="1"/>
      <c r="AD125" s="1"/>
      <c r="AE125" s="1"/>
      <c r="AF125" s="1"/>
      <c r="AG125" s="1"/>
      <c r="AH125" s="1" t="s">
        <v>11757</v>
      </c>
      <c r="AI125" s="1"/>
      <c r="AJ125" s="1" t="s">
        <v>4327</v>
      </c>
      <c r="AK125" s="1" t="s">
        <v>8473</v>
      </c>
      <c r="AL125" s="1" t="s">
        <v>4328</v>
      </c>
      <c r="AM125" s="1" t="s">
        <v>4327</v>
      </c>
      <c r="AN125" s="1" t="s">
        <v>8473</v>
      </c>
      <c r="AO125" s="1" t="s">
        <v>4328</v>
      </c>
      <c r="AP125" s="2" t="s">
        <v>11758</v>
      </c>
      <c r="AQ125" s="2" t="s">
        <v>1156</v>
      </c>
      <c r="AR125" s="1" t="s">
        <v>286</v>
      </c>
      <c r="AS125" s="1" t="s">
        <v>11759</v>
      </c>
      <c r="AT125" s="1" t="s">
        <v>5</v>
      </c>
    </row>
    <row r="126" spans="1:46" hidden="1" x14ac:dyDescent="0.4">
      <c r="A126" s="1" t="s">
        <v>11739</v>
      </c>
      <c r="B126" s="10"/>
      <c r="C126" s="1" t="s">
        <v>2841</v>
      </c>
      <c r="D126" s="1" t="s">
        <v>2211</v>
      </c>
      <c r="E126" s="1" t="s">
        <v>2478</v>
      </c>
      <c r="F126" s="1" t="s">
        <v>14</v>
      </c>
      <c r="G126" s="1" t="s">
        <v>1</v>
      </c>
      <c r="H126" s="1" t="s">
        <v>6</v>
      </c>
      <c r="I126" s="1" t="s">
        <v>2</v>
      </c>
      <c r="J126" s="1" t="s">
        <v>2842</v>
      </c>
      <c r="K126" s="1" t="s">
        <v>11740</v>
      </c>
      <c r="L126" s="1" t="s">
        <v>7</v>
      </c>
      <c r="M126" s="1"/>
      <c r="N126" s="1" t="s">
        <v>11741</v>
      </c>
      <c r="O126" s="1" t="s">
        <v>8567</v>
      </c>
      <c r="P126" s="1"/>
      <c r="Q126" s="1" t="s">
        <v>12</v>
      </c>
      <c r="R126" s="1" t="s">
        <v>11</v>
      </c>
      <c r="S126" s="1"/>
      <c r="T126" s="1" t="s">
        <v>12</v>
      </c>
      <c r="U126" s="1" t="s">
        <v>11</v>
      </c>
      <c r="V126" s="1"/>
      <c r="W126" s="1" t="s">
        <v>11474</v>
      </c>
      <c r="X126" s="1" t="s">
        <v>11449</v>
      </c>
      <c r="Y126" s="1"/>
      <c r="Z126" s="1"/>
      <c r="AA126" s="1"/>
      <c r="AB126" s="1" t="s">
        <v>11742</v>
      </c>
      <c r="AC126" s="1"/>
      <c r="AD126" s="1"/>
      <c r="AE126" s="1"/>
      <c r="AF126" s="1"/>
      <c r="AG126" s="1"/>
      <c r="AH126" s="1" t="s">
        <v>11743</v>
      </c>
      <c r="AI126" s="1"/>
      <c r="AJ126" s="1" t="s">
        <v>4327</v>
      </c>
      <c r="AK126" s="1" t="s">
        <v>8473</v>
      </c>
      <c r="AL126" s="1" t="s">
        <v>4328</v>
      </c>
      <c r="AM126" s="1" t="s">
        <v>4327</v>
      </c>
      <c r="AN126" s="1" t="s">
        <v>8473</v>
      </c>
      <c r="AO126" s="1" t="s">
        <v>4328</v>
      </c>
      <c r="AP126" s="2" t="s">
        <v>11744</v>
      </c>
      <c r="AQ126" s="2" t="s">
        <v>1156</v>
      </c>
      <c r="AR126" s="1" t="s">
        <v>286</v>
      </c>
      <c r="AS126" s="1" t="s">
        <v>11745</v>
      </c>
      <c r="AT126" s="1" t="s">
        <v>5</v>
      </c>
    </row>
    <row r="127" spans="1:46" hidden="1" x14ac:dyDescent="0.4">
      <c r="A127" s="1" t="s">
        <v>2746</v>
      </c>
      <c r="B127" s="10"/>
      <c r="C127" s="1" t="s">
        <v>2555</v>
      </c>
      <c r="D127" s="1" t="s">
        <v>2157</v>
      </c>
      <c r="E127" s="1" t="s">
        <v>2078</v>
      </c>
      <c r="F127" s="1" t="s">
        <v>14</v>
      </c>
      <c r="G127" s="1" t="s">
        <v>1</v>
      </c>
      <c r="H127" s="1" t="s">
        <v>6</v>
      </c>
      <c r="I127" s="1" t="s">
        <v>2</v>
      </c>
      <c r="J127" s="1" t="s">
        <v>3</v>
      </c>
      <c r="K127" s="1" t="s">
        <v>2747</v>
      </c>
      <c r="L127" s="1" t="s">
        <v>7</v>
      </c>
      <c r="M127" s="1"/>
      <c r="N127" s="1" t="s">
        <v>2748</v>
      </c>
      <c r="O127" s="1" t="s">
        <v>2558</v>
      </c>
      <c r="P127" s="1"/>
      <c r="Q127" s="1"/>
      <c r="R127" s="1" t="s">
        <v>11</v>
      </c>
      <c r="S127" s="1"/>
      <c r="T127" s="1"/>
      <c r="U127" s="1"/>
      <c r="V127" s="1"/>
      <c r="W127" s="1" t="s">
        <v>2749</v>
      </c>
      <c r="X127" s="1" t="s">
        <v>2750</v>
      </c>
      <c r="Y127" s="1"/>
      <c r="Z127" s="1"/>
      <c r="AA127" s="1"/>
      <c r="AB127" s="1" t="s">
        <v>2751</v>
      </c>
      <c r="AC127" s="1"/>
      <c r="AD127" s="1"/>
      <c r="AE127" s="1" t="s">
        <v>2752</v>
      </c>
      <c r="AF127" s="1"/>
      <c r="AG127" s="1"/>
      <c r="AH127" s="1" t="s">
        <v>2753</v>
      </c>
      <c r="AI127" s="1"/>
      <c r="AJ127" s="1" t="s">
        <v>2550</v>
      </c>
      <c r="AK127" s="1" t="s">
        <v>2754</v>
      </c>
      <c r="AL127" s="1" t="s">
        <v>2552</v>
      </c>
      <c r="AM127" s="1" t="s">
        <v>2550</v>
      </c>
      <c r="AN127" s="1" t="s">
        <v>2754</v>
      </c>
      <c r="AO127" s="1" t="s">
        <v>2552</v>
      </c>
      <c r="AP127" s="2" t="s">
        <v>2755</v>
      </c>
      <c r="AQ127" s="2" t="s">
        <v>1153</v>
      </c>
      <c r="AR127" s="1"/>
      <c r="AS127" s="1"/>
      <c r="AT127" s="1" t="s">
        <v>5</v>
      </c>
    </row>
    <row r="128" spans="1:46" hidden="1" x14ac:dyDescent="0.4">
      <c r="A128" s="1" t="s">
        <v>5910</v>
      </c>
      <c r="B128" s="10"/>
      <c r="C128" s="1" t="s">
        <v>5198</v>
      </c>
      <c r="D128" s="1" t="s">
        <v>2211</v>
      </c>
      <c r="E128" s="1" t="s">
        <v>2078</v>
      </c>
      <c r="F128" s="1" t="s">
        <v>14</v>
      </c>
      <c r="G128" s="1" t="s">
        <v>1</v>
      </c>
      <c r="H128" s="1" t="s">
        <v>6</v>
      </c>
      <c r="I128" s="1" t="s">
        <v>2</v>
      </c>
      <c r="J128" s="1" t="s">
        <v>5199</v>
      </c>
      <c r="K128" s="1" t="s">
        <v>5911</v>
      </c>
      <c r="L128" s="1" t="s">
        <v>7</v>
      </c>
      <c r="M128" s="1"/>
      <c r="N128" s="1" t="s">
        <v>5912</v>
      </c>
      <c r="O128" s="1" t="s">
        <v>5551</v>
      </c>
      <c r="P128" s="1"/>
      <c r="Q128" s="1"/>
      <c r="R128" s="1" t="s">
        <v>11</v>
      </c>
      <c r="S128" s="1"/>
      <c r="T128" s="1"/>
      <c r="U128" s="1"/>
      <c r="V128" s="1"/>
      <c r="W128" s="1" t="s">
        <v>5913</v>
      </c>
      <c r="X128" s="1" t="s">
        <v>5905</v>
      </c>
      <c r="Y128" s="1"/>
      <c r="Z128" s="1"/>
      <c r="AA128" s="1"/>
      <c r="AB128" s="1" t="s">
        <v>5914</v>
      </c>
      <c r="AC128" s="1"/>
      <c r="AD128" s="1"/>
      <c r="AE128" s="1" t="s">
        <v>5915</v>
      </c>
      <c r="AF128" s="1"/>
      <c r="AG128" s="1"/>
      <c r="AH128" s="1" t="s">
        <v>5916</v>
      </c>
      <c r="AI128" s="1"/>
      <c r="AJ128" s="1" t="s">
        <v>5448</v>
      </c>
      <c r="AK128" s="1" t="s">
        <v>5449</v>
      </c>
      <c r="AL128" s="1" t="s">
        <v>5450</v>
      </c>
      <c r="AM128" s="1" t="s">
        <v>5451</v>
      </c>
      <c r="AN128" s="1" t="s">
        <v>5452</v>
      </c>
      <c r="AO128" s="1" t="s">
        <v>5453</v>
      </c>
      <c r="AP128" s="2" t="s">
        <v>5917</v>
      </c>
      <c r="AQ128" s="2" t="s">
        <v>1077</v>
      </c>
      <c r="AR128" s="1" t="s">
        <v>286</v>
      </c>
      <c r="AS128" s="1"/>
      <c r="AT128" s="1" t="s">
        <v>5</v>
      </c>
    </row>
    <row r="129" spans="1:46" hidden="1" x14ac:dyDescent="0.4">
      <c r="A129" s="1" t="s">
        <v>11760</v>
      </c>
      <c r="B129" s="10"/>
      <c r="C129" s="1" t="s">
        <v>2841</v>
      </c>
      <c r="D129" s="1" t="s">
        <v>2211</v>
      </c>
      <c r="E129" s="1" t="s">
        <v>2078</v>
      </c>
      <c r="F129" s="1" t="s">
        <v>14</v>
      </c>
      <c r="G129" s="1" t="s">
        <v>1</v>
      </c>
      <c r="H129" s="1" t="s">
        <v>6</v>
      </c>
      <c r="I129" s="1" t="s">
        <v>2</v>
      </c>
      <c r="J129" s="1" t="s">
        <v>2842</v>
      </c>
      <c r="K129" s="1" t="s">
        <v>11761</v>
      </c>
      <c r="L129" s="1" t="s">
        <v>7</v>
      </c>
      <c r="M129" s="1"/>
      <c r="N129" s="1" t="s">
        <v>11762</v>
      </c>
      <c r="O129" s="1" t="s">
        <v>8567</v>
      </c>
      <c r="P129" s="1" t="s">
        <v>8568</v>
      </c>
      <c r="Q129" s="1" t="s">
        <v>12</v>
      </c>
      <c r="R129" s="1" t="s">
        <v>11</v>
      </c>
      <c r="S129" s="1"/>
      <c r="T129" s="1" t="s">
        <v>12</v>
      </c>
      <c r="U129" s="1" t="s">
        <v>11</v>
      </c>
      <c r="V129" s="1"/>
      <c r="W129" s="1" t="s">
        <v>11449</v>
      </c>
      <c r="X129" s="1"/>
      <c r="Y129" s="1"/>
      <c r="Z129" s="1"/>
      <c r="AA129" s="1"/>
      <c r="AB129" s="1" t="s">
        <v>11763</v>
      </c>
      <c r="AC129" s="1"/>
      <c r="AD129" s="1"/>
      <c r="AE129" s="1"/>
      <c r="AF129" s="1"/>
      <c r="AG129" s="1"/>
      <c r="AH129" s="1" t="s">
        <v>11764</v>
      </c>
      <c r="AI129" s="1"/>
      <c r="AJ129" s="1" t="s">
        <v>4327</v>
      </c>
      <c r="AK129" s="1" t="s">
        <v>8473</v>
      </c>
      <c r="AL129" s="1" t="s">
        <v>4328</v>
      </c>
      <c r="AM129" s="1" t="s">
        <v>4327</v>
      </c>
      <c r="AN129" s="1" t="s">
        <v>8473</v>
      </c>
      <c r="AO129" s="1" t="s">
        <v>4328</v>
      </c>
      <c r="AP129" s="2" t="s">
        <v>11765</v>
      </c>
      <c r="AQ129" s="2" t="s">
        <v>1156</v>
      </c>
      <c r="AR129" s="1" t="s">
        <v>286</v>
      </c>
      <c r="AS129" s="1" t="s">
        <v>11759</v>
      </c>
      <c r="AT129" s="1" t="s">
        <v>5</v>
      </c>
    </row>
    <row r="130" spans="1:46" hidden="1" x14ac:dyDescent="0.4">
      <c r="A130" s="1" t="s">
        <v>5825</v>
      </c>
      <c r="B130" s="10"/>
      <c r="C130" s="1" t="s">
        <v>5198</v>
      </c>
      <c r="D130" s="1" t="s">
        <v>2076</v>
      </c>
      <c r="E130" s="1" t="s">
        <v>2078</v>
      </c>
      <c r="F130" s="1" t="s">
        <v>14</v>
      </c>
      <c r="G130" s="1" t="s">
        <v>1</v>
      </c>
      <c r="H130" s="1" t="s">
        <v>6</v>
      </c>
      <c r="I130" s="1" t="s">
        <v>2</v>
      </c>
      <c r="J130" s="1" t="s">
        <v>5199</v>
      </c>
      <c r="K130" s="1" t="s">
        <v>5826</v>
      </c>
      <c r="L130" s="1" t="s">
        <v>7</v>
      </c>
      <c r="M130" s="1"/>
      <c r="N130" s="1" t="s">
        <v>5827</v>
      </c>
      <c r="O130" s="1" t="s">
        <v>5828</v>
      </c>
      <c r="P130" s="1"/>
      <c r="Q130" s="1"/>
      <c r="R130" s="1" t="s">
        <v>11</v>
      </c>
      <c r="S130" s="1"/>
      <c r="T130" s="1"/>
      <c r="U130" s="1"/>
      <c r="V130" s="1"/>
      <c r="W130" s="1" t="s">
        <v>5829</v>
      </c>
      <c r="X130" s="1"/>
      <c r="Y130" s="1"/>
      <c r="Z130" s="1"/>
      <c r="AA130" s="1"/>
      <c r="AB130" s="1" t="s">
        <v>5830</v>
      </c>
      <c r="AC130" s="1"/>
      <c r="AD130" s="1"/>
      <c r="AE130" s="1" t="s">
        <v>5831</v>
      </c>
      <c r="AF130" s="1"/>
      <c r="AG130" s="1"/>
      <c r="AH130" s="1" t="s">
        <v>5832</v>
      </c>
      <c r="AI130" s="1"/>
      <c r="AJ130" s="1" t="s">
        <v>5448</v>
      </c>
      <c r="AK130" s="1" t="s">
        <v>5449</v>
      </c>
      <c r="AL130" s="1" t="s">
        <v>5450</v>
      </c>
      <c r="AM130" s="1" t="s">
        <v>5451</v>
      </c>
      <c r="AN130" s="1" t="s">
        <v>5452</v>
      </c>
      <c r="AO130" s="1" t="s">
        <v>5453</v>
      </c>
      <c r="AP130" s="2" t="s">
        <v>5833</v>
      </c>
      <c r="AQ130" s="2" t="s">
        <v>1077</v>
      </c>
      <c r="AR130" s="1" t="s">
        <v>286</v>
      </c>
      <c r="AS130" s="1"/>
      <c r="AT130" s="1" t="s">
        <v>5</v>
      </c>
    </row>
    <row r="131" spans="1:46" hidden="1" x14ac:dyDescent="0.4">
      <c r="A131" s="1" t="s">
        <v>2938</v>
      </c>
      <c r="B131" s="10"/>
      <c r="C131" s="1" t="s">
        <v>0</v>
      </c>
      <c r="D131" s="1" t="s">
        <v>2157</v>
      </c>
      <c r="E131" s="1" t="s">
        <v>2078</v>
      </c>
      <c r="F131" s="1" t="s">
        <v>14</v>
      </c>
      <c r="G131" s="1" t="s">
        <v>1</v>
      </c>
      <c r="H131" s="1" t="s">
        <v>6</v>
      </c>
      <c r="I131" s="1" t="s">
        <v>2</v>
      </c>
      <c r="J131" s="1" t="s">
        <v>3</v>
      </c>
      <c r="K131" s="1" t="s">
        <v>2939</v>
      </c>
      <c r="L131" s="1" t="s">
        <v>7</v>
      </c>
      <c r="M131" s="1"/>
      <c r="N131" s="1" t="s">
        <v>2940</v>
      </c>
      <c r="O131" s="1" t="s">
        <v>2160</v>
      </c>
      <c r="P131" s="1"/>
      <c r="Q131" s="1" t="s">
        <v>12</v>
      </c>
      <c r="R131" s="1" t="s">
        <v>11</v>
      </c>
      <c r="S131" s="1"/>
      <c r="T131" s="1" t="s">
        <v>12</v>
      </c>
      <c r="U131" s="1" t="s">
        <v>11</v>
      </c>
      <c r="V131" s="1"/>
      <c r="W131" s="1"/>
      <c r="X131" s="1" t="s">
        <v>2941</v>
      </c>
      <c r="Y131" s="1"/>
      <c r="Z131" s="1"/>
      <c r="AA131" s="1"/>
      <c r="AB131" s="1" t="s">
        <v>2942</v>
      </c>
      <c r="AC131" s="1"/>
      <c r="AD131" s="1"/>
      <c r="AE131" s="1" t="s">
        <v>2943</v>
      </c>
      <c r="AF131" s="1"/>
      <c r="AG131" s="1"/>
      <c r="AH131" s="1" t="s">
        <v>2944</v>
      </c>
      <c r="AI131" s="1"/>
      <c r="AJ131" s="1" t="s">
        <v>54</v>
      </c>
      <c r="AK131" s="1" t="s">
        <v>1257</v>
      </c>
      <c r="AL131" s="1"/>
      <c r="AM131" s="1" t="s">
        <v>2945</v>
      </c>
      <c r="AN131" s="1" t="s">
        <v>1257</v>
      </c>
      <c r="AO131" s="1"/>
      <c r="AP131" s="2" t="s">
        <v>2946</v>
      </c>
      <c r="AQ131" s="2" t="s">
        <v>1156</v>
      </c>
      <c r="AR131" s="1"/>
      <c r="AS131" s="1"/>
      <c r="AT131" s="1" t="s">
        <v>10</v>
      </c>
    </row>
    <row r="132" spans="1:46" hidden="1" x14ac:dyDescent="0.4">
      <c r="A132" s="1" t="s">
        <v>10868</v>
      </c>
      <c r="B132" s="10"/>
      <c r="C132" s="1" t="s">
        <v>0</v>
      </c>
      <c r="D132" s="1" t="s">
        <v>2827</v>
      </c>
      <c r="E132" s="1" t="s">
        <v>2078</v>
      </c>
      <c r="F132" s="1" t="s">
        <v>14</v>
      </c>
      <c r="G132" s="1" t="s">
        <v>1</v>
      </c>
      <c r="H132" s="1" t="s">
        <v>6</v>
      </c>
      <c r="I132" s="1" t="s">
        <v>2</v>
      </c>
      <c r="J132" s="1" t="s">
        <v>3</v>
      </c>
      <c r="K132" s="1" t="s">
        <v>10869</v>
      </c>
      <c r="L132" s="1" t="s">
        <v>4</v>
      </c>
      <c r="M132" s="1"/>
      <c r="N132" s="1" t="s">
        <v>10870</v>
      </c>
      <c r="O132" s="1" t="s">
        <v>2399</v>
      </c>
      <c r="P132" s="1"/>
      <c r="Q132" s="1"/>
      <c r="R132" s="1" t="s">
        <v>11</v>
      </c>
      <c r="S132" s="1"/>
      <c r="T132" s="1"/>
      <c r="U132" s="1"/>
      <c r="V132" s="1"/>
      <c r="W132" s="1"/>
      <c r="X132" s="1" t="s">
        <v>10871</v>
      </c>
      <c r="Y132" s="1"/>
      <c r="Z132" s="1"/>
      <c r="AA132" s="1"/>
      <c r="AB132" s="1" t="s">
        <v>10872</v>
      </c>
      <c r="AC132" s="1"/>
      <c r="AD132" s="1"/>
      <c r="AE132" s="1" t="s">
        <v>10843</v>
      </c>
      <c r="AF132" s="1"/>
      <c r="AG132" s="1"/>
      <c r="AH132" s="1" t="s">
        <v>10873</v>
      </c>
      <c r="AI132" s="1"/>
      <c r="AJ132" s="1" t="s">
        <v>49</v>
      </c>
      <c r="AK132" s="1" t="s">
        <v>520</v>
      </c>
      <c r="AL132" s="1" t="s">
        <v>108</v>
      </c>
      <c r="AM132" s="1" t="s">
        <v>10874</v>
      </c>
      <c r="AN132" s="1" t="s">
        <v>520</v>
      </c>
      <c r="AO132" s="1" t="s">
        <v>10875</v>
      </c>
      <c r="AP132" s="2" t="s">
        <v>10876</v>
      </c>
      <c r="AQ132" s="2" t="s">
        <v>1155</v>
      </c>
      <c r="AR132" s="1" t="s">
        <v>286</v>
      </c>
      <c r="AS132" s="1"/>
      <c r="AT132" s="1" t="s">
        <v>5</v>
      </c>
    </row>
    <row r="133" spans="1:46" hidden="1" x14ac:dyDescent="0.4">
      <c r="A133" s="1" t="s">
        <v>9974</v>
      </c>
      <c r="B133" s="10"/>
      <c r="C133" s="1" t="s">
        <v>93</v>
      </c>
      <c r="D133" s="1" t="s">
        <v>2827</v>
      </c>
      <c r="E133" s="1" t="s">
        <v>2078</v>
      </c>
      <c r="F133" s="1" t="s">
        <v>14</v>
      </c>
      <c r="G133" s="1" t="s">
        <v>1</v>
      </c>
      <c r="H133" s="1" t="s">
        <v>6</v>
      </c>
      <c r="I133" s="1" t="s">
        <v>2</v>
      </c>
      <c r="J133" s="1" t="s">
        <v>3</v>
      </c>
      <c r="K133" s="1" t="s">
        <v>9975</v>
      </c>
      <c r="L133" s="1" t="s">
        <v>4</v>
      </c>
      <c r="M133" s="1"/>
      <c r="N133" s="1" t="s">
        <v>9976</v>
      </c>
      <c r="O133" s="1" t="s">
        <v>2399</v>
      </c>
      <c r="P133" s="1"/>
      <c r="Q133" s="1"/>
      <c r="R133" s="1" t="s">
        <v>11</v>
      </c>
      <c r="S133" s="1"/>
      <c r="T133" s="1"/>
      <c r="U133" s="1"/>
      <c r="V133" s="1"/>
      <c r="W133" s="1"/>
      <c r="X133" s="1"/>
      <c r="Y133" s="1"/>
      <c r="Z133" s="1"/>
      <c r="AA133" s="1"/>
      <c r="AB133" s="1" t="s">
        <v>9977</v>
      </c>
      <c r="AC133" s="1"/>
      <c r="AD133" s="1"/>
      <c r="AE133" s="1" t="s">
        <v>9978</v>
      </c>
      <c r="AF133" s="1"/>
      <c r="AG133" s="1"/>
      <c r="AH133" s="1" t="s">
        <v>9979</v>
      </c>
      <c r="AI133" s="1"/>
      <c r="AJ133" s="1" t="s">
        <v>7094</v>
      </c>
      <c r="AK133" s="1" t="s">
        <v>7095</v>
      </c>
      <c r="AL133" s="1" t="s">
        <v>7096</v>
      </c>
      <c r="AM133" s="1" t="s">
        <v>9980</v>
      </c>
      <c r="AN133" s="1" t="s">
        <v>9981</v>
      </c>
      <c r="AO133" s="1" t="s">
        <v>9982</v>
      </c>
      <c r="AP133" s="2" t="s">
        <v>9983</v>
      </c>
      <c r="AQ133" s="2" t="s">
        <v>1155</v>
      </c>
      <c r="AR133" s="1" t="s">
        <v>286</v>
      </c>
      <c r="AS133" s="1" t="s">
        <v>9984</v>
      </c>
      <c r="AT133" s="1" t="s">
        <v>5</v>
      </c>
    </row>
    <row r="134" spans="1:46" hidden="1" x14ac:dyDescent="0.4">
      <c r="A134" s="1" t="s">
        <v>9411</v>
      </c>
      <c r="B134" s="10"/>
      <c r="C134" s="1" t="s">
        <v>93</v>
      </c>
      <c r="D134" s="1" t="s">
        <v>2211</v>
      </c>
      <c r="E134" s="1" t="s">
        <v>2078</v>
      </c>
      <c r="F134" s="1" t="s">
        <v>14</v>
      </c>
      <c r="G134" s="1" t="s">
        <v>1</v>
      </c>
      <c r="H134" s="1" t="s">
        <v>6</v>
      </c>
      <c r="I134" s="1" t="s">
        <v>2</v>
      </c>
      <c r="J134" s="1" t="s">
        <v>3</v>
      </c>
      <c r="K134" s="1" t="s">
        <v>9412</v>
      </c>
      <c r="L134" s="1" t="s">
        <v>4</v>
      </c>
      <c r="M134" s="1"/>
      <c r="N134" s="1" t="s">
        <v>9413</v>
      </c>
      <c r="O134" s="1" t="s">
        <v>19</v>
      </c>
      <c r="P134" s="1"/>
      <c r="Q134" s="1"/>
      <c r="R134" s="1" t="s">
        <v>11</v>
      </c>
      <c r="S134" s="1"/>
      <c r="T134" s="1"/>
      <c r="U134" s="1"/>
      <c r="V134" s="1"/>
      <c r="W134" s="1" t="s">
        <v>9414</v>
      </c>
      <c r="X134" s="1"/>
      <c r="Y134" s="1"/>
      <c r="Z134" s="1"/>
      <c r="AA134" s="1"/>
      <c r="AB134" s="1" t="s">
        <v>9415</v>
      </c>
      <c r="AC134" s="1"/>
      <c r="AD134" s="1"/>
      <c r="AE134" s="1" t="s">
        <v>9416</v>
      </c>
      <c r="AF134" s="1"/>
      <c r="AG134" s="1"/>
      <c r="AH134" s="1" t="s">
        <v>9417</v>
      </c>
      <c r="AI134" s="1"/>
      <c r="AJ134" s="1" t="s">
        <v>3932</v>
      </c>
      <c r="AK134" s="1" t="s">
        <v>3933</v>
      </c>
      <c r="AL134" s="1" t="s">
        <v>3934</v>
      </c>
      <c r="AM134" s="1" t="s">
        <v>3932</v>
      </c>
      <c r="AN134" s="1" t="s">
        <v>3933</v>
      </c>
      <c r="AO134" s="1" t="s">
        <v>3934</v>
      </c>
      <c r="AP134" s="2" t="s">
        <v>9418</v>
      </c>
      <c r="AQ134" s="2" t="s">
        <v>1154</v>
      </c>
      <c r="AR134" s="1" t="s">
        <v>286</v>
      </c>
      <c r="AS134" s="1" t="s">
        <v>9419</v>
      </c>
      <c r="AT134" s="1" t="s">
        <v>5</v>
      </c>
    </row>
    <row r="135" spans="1:46" hidden="1" x14ac:dyDescent="0.4">
      <c r="A135" s="1" t="s">
        <v>7544</v>
      </c>
      <c r="B135" s="10"/>
      <c r="C135" s="1" t="s">
        <v>2454</v>
      </c>
      <c r="D135" s="1" t="s">
        <v>2220</v>
      </c>
      <c r="E135" s="1" t="s">
        <v>2478</v>
      </c>
      <c r="F135" s="1" t="s">
        <v>14</v>
      </c>
      <c r="G135" s="1" t="s">
        <v>1</v>
      </c>
      <c r="H135" s="1" t="s">
        <v>6</v>
      </c>
      <c r="I135" s="1" t="s">
        <v>2</v>
      </c>
      <c r="J135" s="1" t="s">
        <v>3676</v>
      </c>
      <c r="K135" s="1" t="s">
        <v>7545</v>
      </c>
      <c r="L135" s="1" t="s">
        <v>4</v>
      </c>
      <c r="M135" s="1"/>
      <c r="N135" s="1" t="s">
        <v>7546</v>
      </c>
      <c r="O135" s="1" t="s">
        <v>7547</v>
      </c>
      <c r="P135" s="1" t="s">
        <v>7548</v>
      </c>
      <c r="Q135" s="1"/>
      <c r="R135" s="1" t="s">
        <v>11</v>
      </c>
      <c r="S135" s="1"/>
      <c r="T135" s="1"/>
      <c r="U135" s="1"/>
      <c r="V135" s="1"/>
      <c r="W135" s="1" t="s">
        <v>7549</v>
      </c>
      <c r="X135" s="1" t="s">
        <v>7550</v>
      </c>
      <c r="Y135" s="1"/>
      <c r="Z135" s="1"/>
      <c r="AA135" s="1"/>
      <c r="AB135" s="1" t="s">
        <v>7551</v>
      </c>
      <c r="AC135" s="1"/>
      <c r="AD135" s="1"/>
      <c r="AE135" s="1"/>
      <c r="AF135" s="1"/>
      <c r="AG135" s="1"/>
      <c r="AH135" s="1" t="s">
        <v>7552</v>
      </c>
      <c r="AI135" s="1"/>
      <c r="AJ135" s="1" t="s">
        <v>3682</v>
      </c>
      <c r="AK135" s="1" t="s">
        <v>3106</v>
      </c>
      <c r="AL135" s="1" t="s">
        <v>3683</v>
      </c>
      <c r="AM135" s="1" t="s">
        <v>3682</v>
      </c>
      <c r="AN135" s="1" t="s">
        <v>3106</v>
      </c>
      <c r="AO135" s="1" t="s">
        <v>3683</v>
      </c>
      <c r="AP135" s="2" t="s">
        <v>7553</v>
      </c>
      <c r="AQ135" s="2" t="s">
        <v>1154</v>
      </c>
      <c r="AR135" s="1" t="s">
        <v>286</v>
      </c>
      <c r="AS135" s="1"/>
      <c r="AT135" s="1" t="s">
        <v>5</v>
      </c>
    </row>
    <row r="136" spans="1:46" hidden="1" x14ac:dyDescent="0.4">
      <c r="A136" s="1" t="s">
        <v>10566</v>
      </c>
      <c r="B136" s="10"/>
      <c r="C136" s="1" t="s">
        <v>2454</v>
      </c>
      <c r="D136" s="1" t="s">
        <v>2220</v>
      </c>
      <c r="E136" s="1" t="s">
        <v>2078</v>
      </c>
      <c r="F136" s="1" t="s">
        <v>14</v>
      </c>
      <c r="G136" s="1" t="s">
        <v>1</v>
      </c>
      <c r="H136" s="1" t="s">
        <v>6</v>
      </c>
      <c r="I136" s="1" t="s">
        <v>2</v>
      </c>
      <c r="J136" s="1" t="s">
        <v>3676</v>
      </c>
      <c r="K136" s="1" t="s">
        <v>10567</v>
      </c>
      <c r="L136" s="1" t="s">
        <v>7</v>
      </c>
      <c r="M136" s="1"/>
      <c r="N136" s="1" t="s">
        <v>10568</v>
      </c>
      <c r="O136" s="1" t="s">
        <v>6527</v>
      </c>
      <c r="P136" s="1"/>
      <c r="Q136" s="1"/>
      <c r="R136" s="1" t="s">
        <v>11</v>
      </c>
      <c r="S136" s="1"/>
      <c r="T136" s="1"/>
      <c r="U136" s="1"/>
      <c r="V136" s="1"/>
      <c r="W136" s="1" t="s">
        <v>10569</v>
      </c>
      <c r="X136" s="1" t="s">
        <v>10570</v>
      </c>
      <c r="Y136" s="1"/>
      <c r="Z136" s="1"/>
      <c r="AA136" s="1"/>
      <c r="AB136" s="1" t="s">
        <v>10571</v>
      </c>
      <c r="AC136" s="1"/>
      <c r="AD136" s="1"/>
      <c r="AE136" s="1" t="s">
        <v>10572</v>
      </c>
      <c r="AF136" s="1"/>
      <c r="AG136" s="1"/>
      <c r="AH136" s="1" t="s">
        <v>10573</v>
      </c>
      <c r="AI136" s="1"/>
      <c r="AJ136" s="1" t="s">
        <v>3530</v>
      </c>
      <c r="AK136" s="1" t="s">
        <v>3106</v>
      </c>
      <c r="AL136" s="1" t="s">
        <v>3531</v>
      </c>
      <c r="AM136" s="1" t="s">
        <v>3530</v>
      </c>
      <c r="AN136" s="1" t="s">
        <v>3106</v>
      </c>
      <c r="AO136" s="1" t="s">
        <v>3531</v>
      </c>
      <c r="AP136" s="2" t="s">
        <v>10574</v>
      </c>
      <c r="AQ136" s="2" t="s">
        <v>1155</v>
      </c>
      <c r="AR136" s="1" t="s">
        <v>286</v>
      </c>
      <c r="AS136" s="1" t="s">
        <v>10575</v>
      </c>
      <c r="AT136" s="1" t="s">
        <v>5</v>
      </c>
    </row>
    <row r="137" spans="1:46" hidden="1" x14ac:dyDescent="0.4">
      <c r="A137" s="1" t="s">
        <v>5039</v>
      </c>
      <c r="B137" s="10"/>
      <c r="C137" s="1" t="s">
        <v>2091</v>
      </c>
      <c r="D137" s="1" t="s">
        <v>2157</v>
      </c>
      <c r="E137" s="1" t="s">
        <v>2078</v>
      </c>
      <c r="F137" s="1" t="s">
        <v>14</v>
      </c>
      <c r="G137" s="1" t="s">
        <v>1</v>
      </c>
      <c r="H137" s="1" t="s">
        <v>6</v>
      </c>
      <c r="I137" s="1" t="s">
        <v>2</v>
      </c>
      <c r="J137" s="1" t="s">
        <v>3</v>
      </c>
      <c r="K137" s="1" t="s">
        <v>5040</v>
      </c>
      <c r="L137" s="1" t="s">
        <v>7</v>
      </c>
      <c r="M137" s="1"/>
      <c r="N137" s="1" t="s">
        <v>5041</v>
      </c>
      <c r="O137" s="1" t="s">
        <v>5042</v>
      </c>
      <c r="P137" s="1"/>
      <c r="Q137" s="1"/>
      <c r="R137" s="1" t="s">
        <v>11</v>
      </c>
      <c r="S137" s="1"/>
      <c r="T137" s="1"/>
      <c r="U137" s="1"/>
      <c r="V137" s="1"/>
      <c r="W137" s="1"/>
      <c r="X137" s="1"/>
      <c r="Y137" s="1"/>
      <c r="Z137" s="1"/>
      <c r="AA137" s="1"/>
      <c r="AB137" s="1" t="s">
        <v>5043</v>
      </c>
      <c r="AC137" s="1"/>
      <c r="AD137" s="1"/>
      <c r="AE137" s="1" t="s">
        <v>5044</v>
      </c>
      <c r="AF137" s="1"/>
      <c r="AG137" s="1"/>
      <c r="AH137" s="1" t="s">
        <v>5045</v>
      </c>
      <c r="AI137" s="1"/>
      <c r="AJ137" s="1" t="s">
        <v>5046</v>
      </c>
      <c r="AK137" s="1" t="s">
        <v>5047</v>
      </c>
      <c r="AL137" s="1" t="s">
        <v>5048</v>
      </c>
      <c r="AM137" s="1" t="s">
        <v>5049</v>
      </c>
      <c r="AN137" s="1" t="s">
        <v>5047</v>
      </c>
      <c r="AO137" s="1" t="s">
        <v>5050</v>
      </c>
      <c r="AP137" s="2" t="s">
        <v>5051</v>
      </c>
      <c r="AQ137" s="2" t="s">
        <v>1153</v>
      </c>
      <c r="AR137" s="1" t="s">
        <v>286</v>
      </c>
      <c r="AS137" s="1"/>
      <c r="AT137" s="1" t="s">
        <v>5</v>
      </c>
    </row>
    <row r="138" spans="1:46" hidden="1" x14ac:dyDescent="0.4">
      <c r="A138" s="1" t="s">
        <v>9865</v>
      </c>
      <c r="B138" s="10"/>
      <c r="C138" s="1" t="s">
        <v>4640</v>
      </c>
      <c r="D138" s="1" t="s">
        <v>2157</v>
      </c>
      <c r="E138" s="1" t="s">
        <v>2078</v>
      </c>
      <c r="F138" s="1" t="s">
        <v>14</v>
      </c>
      <c r="G138" s="1" t="s">
        <v>1</v>
      </c>
      <c r="H138" s="1" t="s">
        <v>6</v>
      </c>
      <c r="I138" s="1" t="s">
        <v>2</v>
      </c>
      <c r="J138" s="1" t="s">
        <v>3514</v>
      </c>
      <c r="K138" s="1" t="s">
        <v>9866</v>
      </c>
      <c r="L138" s="1" t="s">
        <v>7</v>
      </c>
      <c r="M138" s="1"/>
      <c r="N138" s="1" t="s">
        <v>9867</v>
      </c>
      <c r="O138" s="1" t="s">
        <v>9868</v>
      </c>
      <c r="P138" s="1"/>
      <c r="Q138" s="1"/>
      <c r="R138" s="1" t="s">
        <v>11</v>
      </c>
      <c r="S138" s="1"/>
      <c r="T138" s="1"/>
      <c r="U138" s="1"/>
      <c r="V138" s="1"/>
      <c r="W138" s="1" t="s">
        <v>9869</v>
      </c>
      <c r="X138" s="1"/>
      <c r="Y138" s="1"/>
      <c r="Z138" s="1"/>
      <c r="AA138" s="1" t="s">
        <v>9870</v>
      </c>
      <c r="AB138" s="1" t="s">
        <v>9871</v>
      </c>
      <c r="AC138" s="1"/>
      <c r="AD138" s="1"/>
      <c r="AE138" s="1" t="s">
        <v>9872</v>
      </c>
      <c r="AF138" s="1"/>
      <c r="AG138" s="1"/>
      <c r="AH138" s="1" t="s">
        <v>9873</v>
      </c>
      <c r="AI138" s="1"/>
      <c r="AJ138" s="1" t="s">
        <v>9640</v>
      </c>
      <c r="AK138" s="1" t="s">
        <v>9641</v>
      </c>
      <c r="AL138" s="1" t="s">
        <v>9642</v>
      </c>
      <c r="AM138" s="1" t="s">
        <v>9640</v>
      </c>
      <c r="AN138" s="1" t="s">
        <v>9641</v>
      </c>
      <c r="AO138" s="1" t="s">
        <v>9642</v>
      </c>
      <c r="AP138" s="2" t="s">
        <v>9874</v>
      </c>
      <c r="AQ138" s="2" t="s">
        <v>1155</v>
      </c>
      <c r="AR138" s="1" t="s">
        <v>286</v>
      </c>
      <c r="AS138" s="1" t="s">
        <v>9875</v>
      </c>
      <c r="AT138" s="1" t="s">
        <v>5</v>
      </c>
    </row>
    <row r="139" spans="1:46" hidden="1" x14ac:dyDescent="0.4">
      <c r="A139" s="1" t="s">
        <v>4966</v>
      </c>
      <c r="B139" s="10"/>
      <c r="C139" s="1" t="s">
        <v>2491</v>
      </c>
      <c r="D139" s="1" t="s">
        <v>2157</v>
      </c>
      <c r="E139" s="1" t="s">
        <v>2078</v>
      </c>
      <c r="F139" s="1" t="s">
        <v>14</v>
      </c>
      <c r="G139" s="1" t="s">
        <v>1</v>
      </c>
      <c r="H139" s="1" t="s">
        <v>6</v>
      </c>
      <c r="I139" s="1" t="s">
        <v>2</v>
      </c>
      <c r="J139" s="1" t="s">
        <v>2492</v>
      </c>
      <c r="K139" s="1" t="s">
        <v>4967</v>
      </c>
      <c r="L139" s="1" t="s">
        <v>7</v>
      </c>
      <c r="M139" s="1" t="s">
        <v>9</v>
      </c>
      <c r="N139" s="1" t="s">
        <v>4968</v>
      </c>
      <c r="O139" s="1" t="s">
        <v>2258</v>
      </c>
      <c r="P139" s="1"/>
      <c r="Q139" s="1"/>
      <c r="R139" s="1" t="s">
        <v>11</v>
      </c>
      <c r="S139" s="1"/>
      <c r="T139" s="1"/>
      <c r="U139" s="1"/>
      <c r="V139" s="1"/>
      <c r="W139" s="1"/>
      <c r="X139" s="1" t="s">
        <v>4969</v>
      </c>
      <c r="Y139" s="1"/>
      <c r="Z139" s="1"/>
      <c r="AA139" s="1"/>
      <c r="AB139" s="1" t="s">
        <v>4970</v>
      </c>
      <c r="AC139" s="1"/>
      <c r="AD139" s="1"/>
      <c r="AE139" s="1" t="s">
        <v>4971</v>
      </c>
      <c r="AF139" s="1"/>
      <c r="AG139" s="1"/>
      <c r="AH139" s="1" t="s">
        <v>4972</v>
      </c>
      <c r="AI139" s="1"/>
      <c r="AJ139" s="1" t="s">
        <v>4973</v>
      </c>
      <c r="AK139" s="1" t="s">
        <v>4974</v>
      </c>
      <c r="AL139" s="1" t="s">
        <v>4975</v>
      </c>
      <c r="AM139" s="1" t="s">
        <v>4976</v>
      </c>
      <c r="AN139" s="1" t="s">
        <v>4974</v>
      </c>
      <c r="AO139" s="1" t="s">
        <v>4977</v>
      </c>
      <c r="AP139" s="2" t="s">
        <v>4978</v>
      </c>
      <c r="AQ139" s="2" t="s">
        <v>1153</v>
      </c>
      <c r="AR139" s="1" t="s">
        <v>286</v>
      </c>
      <c r="AS139" s="1"/>
      <c r="AT139" s="1" t="s">
        <v>5</v>
      </c>
    </row>
    <row r="140" spans="1:46" hidden="1" x14ac:dyDescent="0.4">
      <c r="A140" s="1" t="s">
        <v>5524</v>
      </c>
      <c r="B140" s="10"/>
      <c r="C140" s="1" t="s">
        <v>5198</v>
      </c>
      <c r="D140" s="1" t="s">
        <v>2076</v>
      </c>
      <c r="E140" s="1" t="s">
        <v>2078</v>
      </c>
      <c r="F140" s="1" t="s">
        <v>14</v>
      </c>
      <c r="G140" s="1" t="s">
        <v>1</v>
      </c>
      <c r="H140" s="1" t="s">
        <v>6</v>
      </c>
      <c r="I140" s="1" t="s">
        <v>2</v>
      </c>
      <c r="J140" s="1" t="s">
        <v>5199</v>
      </c>
      <c r="K140" s="1" t="s">
        <v>5525</v>
      </c>
      <c r="L140" s="1" t="s">
        <v>7</v>
      </c>
      <c r="M140" s="1"/>
      <c r="N140" s="1" t="s">
        <v>5526</v>
      </c>
      <c r="O140" s="1" t="s">
        <v>2258</v>
      </c>
      <c r="P140" s="1"/>
      <c r="Q140" s="1"/>
      <c r="R140" s="1" t="s">
        <v>11</v>
      </c>
      <c r="S140" s="1"/>
      <c r="T140" s="1"/>
      <c r="U140" s="1"/>
      <c r="V140" s="1"/>
      <c r="W140" s="1" t="s">
        <v>5527</v>
      </c>
      <c r="X140" s="1"/>
      <c r="Y140" s="1"/>
      <c r="Z140" s="1"/>
      <c r="AA140" s="1"/>
      <c r="AB140" s="1" t="s">
        <v>5528</v>
      </c>
      <c r="AC140" s="1"/>
      <c r="AD140" s="1"/>
      <c r="AE140" s="1" t="s">
        <v>5529</v>
      </c>
      <c r="AF140" s="1"/>
      <c r="AG140" s="1"/>
      <c r="AH140" s="1" t="s">
        <v>5530</v>
      </c>
      <c r="AI140" s="1"/>
      <c r="AJ140" s="1" t="s">
        <v>5448</v>
      </c>
      <c r="AK140" s="1" t="s">
        <v>5449</v>
      </c>
      <c r="AL140" s="1" t="s">
        <v>5450</v>
      </c>
      <c r="AM140" s="1" t="s">
        <v>5451</v>
      </c>
      <c r="AN140" s="1" t="s">
        <v>5452</v>
      </c>
      <c r="AO140" s="1" t="s">
        <v>5453</v>
      </c>
      <c r="AP140" s="2" t="s">
        <v>5531</v>
      </c>
      <c r="AQ140" s="2" t="s">
        <v>1077</v>
      </c>
      <c r="AR140" s="1" t="s">
        <v>286</v>
      </c>
      <c r="AS140" s="1"/>
      <c r="AT140" s="1" t="s">
        <v>5</v>
      </c>
    </row>
    <row r="141" spans="1:46" hidden="1" x14ac:dyDescent="0.4">
      <c r="A141" s="1" t="s">
        <v>11589</v>
      </c>
      <c r="B141" s="10"/>
      <c r="C141" s="1" t="s">
        <v>3626</v>
      </c>
      <c r="D141" s="1" t="s">
        <v>2157</v>
      </c>
      <c r="E141" s="1" t="s">
        <v>2078</v>
      </c>
      <c r="F141" s="1" t="s">
        <v>14</v>
      </c>
      <c r="G141" s="1" t="s">
        <v>1</v>
      </c>
      <c r="H141" s="1" t="s">
        <v>6</v>
      </c>
      <c r="I141" s="1" t="s">
        <v>2</v>
      </c>
      <c r="J141" s="1" t="s">
        <v>3514</v>
      </c>
      <c r="K141" s="1" t="s">
        <v>11590</v>
      </c>
      <c r="L141" s="1" t="s">
        <v>7</v>
      </c>
      <c r="M141" s="1" t="s">
        <v>9</v>
      </c>
      <c r="N141" s="1" t="s">
        <v>11591</v>
      </c>
      <c r="O141" s="1" t="s">
        <v>2238</v>
      </c>
      <c r="P141" s="1"/>
      <c r="Q141" s="1" t="s">
        <v>12</v>
      </c>
      <c r="R141" s="1" t="s">
        <v>11</v>
      </c>
      <c r="S141" s="1"/>
      <c r="T141" s="1" t="s">
        <v>12</v>
      </c>
      <c r="U141" s="1" t="s">
        <v>11</v>
      </c>
      <c r="V141" s="1"/>
      <c r="W141" s="1"/>
      <c r="X141" s="1" t="s">
        <v>11592</v>
      </c>
      <c r="Y141" s="1"/>
      <c r="Z141" s="1"/>
      <c r="AA141" s="1"/>
      <c r="AB141" s="1" t="s">
        <v>11593</v>
      </c>
      <c r="AC141" s="1"/>
      <c r="AD141" s="1"/>
      <c r="AE141" s="1"/>
      <c r="AF141" s="1"/>
      <c r="AG141" s="1"/>
      <c r="AH141" s="1" t="s">
        <v>11594</v>
      </c>
      <c r="AI141" s="1"/>
      <c r="AJ141" s="1" t="s">
        <v>4777</v>
      </c>
      <c r="AK141" s="1" t="s">
        <v>11567</v>
      </c>
      <c r="AL141" s="1" t="s">
        <v>4778</v>
      </c>
      <c r="AM141" s="1" t="s">
        <v>4777</v>
      </c>
      <c r="AN141" s="1" t="s">
        <v>11567</v>
      </c>
      <c r="AO141" s="1" t="s">
        <v>4778</v>
      </c>
      <c r="AP141" s="2" t="s">
        <v>11595</v>
      </c>
      <c r="AQ141" s="2" t="s">
        <v>1155</v>
      </c>
      <c r="AR141" s="1" t="s">
        <v>286</v>
      </c>
      <c r="AS141" s="1" t="s">
        <v>11596</v>
      </c>
      <c r="AT141" s="1" t="s">
        <v>5</v>
      </c>
    </row>
    <row r="142" spans="1:46" hidden="1" x14ac:dyDescent="0.4">
      <c r="A142" s="1" t="s">
        <v>10050</v>
      </c>
      <c r="B142" s="10"/>
      <c r="C142" s="1" t="s">
        <v>0</v>
      </c>
      <c r="D142" s="1" t="s">
        <v>2220</v>
      </c>
      <c r="E142" s="1" t="s">
        <v>2078</v>
      </c>
      <c r="F142" s="1" t="s">
        <v>14</v>
      </c>
      <c r="G142" s="1" t="s">
        <v>1</v>
      </c>
      <c r="H142" s="1" t="s">
        <v>6</v>
      </c>
      <c r="I142" s="1" t="s">
        <v>2</v>
      </c>
      <c r="J142" s="1" t="s">
        <v>3</v>
      </c>
      <c r="K142" s="1" t="s">
        <v>10051</v>
      </c>
      <c r="L142" s="1" t="s">
        <v>7</v>
      </c>
      <c r="M142" s="1" t="s">
        <v>9</v>
      </c>
      <c r="N142" s="1" t="s">
        <v>10052</v>
      </c>
      <c r="O142" s="1" t="s">
        <v>10053</v>
      </c>
      <c r="P142" s="1"/>
      <c r="Q142" s="1"/>
      <c r="R142" s="1" t="s">
        <v>11</v>
      </c>
      <c r="S142" s="1"/>
      <c r="T142" s="1"/>
      <c r="U142" s="1"/>
      <c r="V142" s="1"/>
      <c r="W142" s="1" t="s">
        <v>10054</v>
      </c>
      <c r="X142" s="1"/>
      <c r="Y142" s="1"/>
      <c r="Z142" s="1"/>
      <c r="AA142" s="1"/>
      <c r="AB142" s="1" t="s">
        <v>10055</v>
      </c>
      <c r="AC142" s="1"/>
      <c r="AD142" s="1"/>
      <c r="AE142" s="1" t="s">
        <v>10056</v>
      </c>
      <c r="AF142" s="1"/>
      <c r="AG142" s="1"/>
      <c r="AH142" s="1" t="s">
        <v>10057</v>
      </c>
      <c r="AI142" s="1"/>
      <c r="AJ142" s="1" t="s">
        <v>10058</v>
      </c>
      <c r="AK142" s="1" t="s">
        <v>10059</v>
      </c>
      <c r="AL142" s="1" t="s">
        <v>10060</v>
      </c>
      <c r="AM142" s="1" t="s">
        <v>10061</v>
      </c>
      <c r="AN142" s="1" t="s">
        <v>10059</v>
      </c>
      <c r="AO142" s="1" t="s">
        <v>10062</v>
      </c>
      <c r="AP142" s="2" t="s">
        <v>10063</v>
      </c>
      <c r="AQ142" s="2" t="s">
        <v>1155</v>
      </c>
      <c r="AR142" s="1" t="s">
        <v>286</v>
      </c>
      <c r="AS142" s="1" t="s">
        <v>10064</v>
      </c>
      <c r="AT142" s="1" t="s">
        <v>5</v>
      </c>
    </row>
    <row r="143" spans="1:46" hidden="1" x14ac:dyDescent="0.4">
      <c r="A143" s="1" t="s">
        <v>10065</v>
      </c>
      <c r="B143" s="10"/>
      <c r="C143" s="1" t="s">
        <v>0</v>
      </c>
      <c r="D143" s="1" t="s">
        <v>2220</v>
      </c>
      <c r="E143" s="1" t="s">
        <v>2078</v>
      </c>
      <c r="F143" s="1" t="s">
        <v>14</v>
      </c>
      <c r="G143" s="1" t="s">
        <v>1</v>
      </c>
      <c r="H143" s="1" t="s">
        <v>6</v>
      </c>
      <c r="I143" s="1" t="s">
        <v>2</v>
      </c>
      <c r="J143" s="1" t="s">
        <v>3</v>
      </c>
      <c r="K143" s="1" t="s">
        <v>10066</v>
      </c>
      <c r="L143" s="1" t="s">
        <v>7</v>
      </c>
      <c r="M143" s="1" t="s">
        <v>9</v>
      </c>
      <c r="N143" s="1" t="s">
        <v>10067</v>
      </c>
      <c r="O143" s="1" t="s">
        <v>10053</v>
      </c>
      <c r="P143" s="1"/>
      <c r="Q143" s="1"/>
      <c r="R143" s="1" t="s">
        <v>11</v>
      </c>
      <c r="S143" s="1"/>
      <c r="T143" s="1"/>
      <c r="U143" s="1"/>
      <c r="V143" s="1"/>
      <c r="W143" s="1" t="s">
        <v>10068</v>
      </c>
      <c r="X143" s="1"/>
      <c r="Y143" s="1"/>
      <c r="Z143" s="1"/>
      <c r="AA143" s="1"/>
      <c r="AB143" s="1" t="s">
        <v>10069</v>
      </c>
      <c r="AC143" s="1"/>
      <c r="AD143" s="1"/>
      <c r="AE143" s="1" t="s">
        <v>10070</v>
      </c>
      <c r="AF143" s="1"/>
      <c r="AG143" s="1"/>
      <c r="AH143" s="1" t="s">
        <v>10071</v>
      </c>
      <c r="AI143" s="1"/>
      <c r="AJ143" s="1" t="s">
        <v>10058</v>
      </c>
      <c r="AK143" s="1" t="s">
        <v>10059</v>
      </c>
      <c r="AL143" s="1" t="s">
        <v>10060</v>
      </c>
      <c r="AM143" s="1" t="s">
        <v>10061</v>
      </c>
      <c r="AN143" s="1" t="s">
        <v>10059</v>
      </c>
      <c r="AO143" s="1" t="s">
        <v>10062</v>
      </c>
      <c r="AP143" s="2" t="s">
        <v>10072</v>
      </c>
      <c r="AQ143" s="2" t="s">
        <v>1155</v>
      </c>
      <c r="AR143" s="1" t="s">
        <v>286</v>
      </c>
      <c r="AS143" s="1" t="s">
        <v>10073</v>
      </c>
      <c r="AT143" s="1" t="s">
        <v>5</v>
      </c>
    </row>
    <row r="144" spans="1:46" hidden="1" x14ac:dyDescent="0.4">
      <c r="A144" s="1" t="s">
        <v>11020</v>
      </c>
      <c r="B144" s="10"/>
      <c r="C144" s="1" t="s">
        <v>0</v>
      </c>
      <c r="D144" s="1" t="s">
        <v>2290</v>
      </c>
      <c r="E144" s="1" t="s">
        <v>2291</v>
      </c>
      <c r="F144" s="1" t="s">
        <v>14</v>
      </c>
      <c r="G144" s="1" t="s">
        <v>1</v>
      </c>
      <c r="H144" s="1" t="s">
        <v>6</v>
      </c>
      <c r="I144" s="1" t="s">
        <v>2</v>
      </c>
      <c r="J144" s="1" t="s">
        <v>3</v>
      </c>
      <c r="K144" s="1" t="s">
        <v>11021</v>
      </c>
      <c r="L144" s="1" t="s">
        <v>7</v>
      </c>
      <c r="M144" s="1" t="s">
        <v>9</v>
      </c>
      <c r="N144" s="1" t="s">
        <v>11022</v>
      </c>
      <c r="O144" s="1" t="s">
        <v>3426</v>
      </c>
      <c r="P144" s="1" t="s">
        <v>11023</v>
      </c>
      <c r="Q144" s="1"/>
      <c r="R144" s="1" t="s">
        <v>11</v>
      </c>
      <c r="S144" s="1"/>
      <c r="T144" s="1"/>
      <c r="U144" s="1"/>
      <c r="V144" s="1"/>
      <c r="W144" s="1"/>
      <c r="X144" s="1"/>
      <c r="Y144" s="1"/>
      <c r="Z144" s="1"/>
      <c r="AA144" s="1"/>
      <c r="AB144" s="1" t="s">
        <v>11024</v>
      </c>
      <c r="AC144" s="1"/>
      <c r="AD144" s="1"/>
      <c r="AE144" s="1" t="s">
        <v>11025</v>
      </c>
      <c r="AF144" s="1"/>
      <c r="AG144" s="1"/>
      <c r="AH144" s="1" t="s">
        <v>11026</v>
      </c>
      <c r="AI144" s="1"/>
      <c r="AJ144" s="1" t="s">
        <v>51</v>
      </c>
      <c r="AK144" s="1" t="s">
        <v>1394</v>
      </c>
      <c r="AL144" s="1" t="s">
        <v>136</v>
      </c>
      <c r="AM144" s="1" t="s">
        <v>11027</v>
      </c>
      <c r="AN144" s="1" t="s">
        <v>1613</v>
      </c>
      <c r="AO144" s="1" t="s">
        <v>11028</v>
      </c>
      <c r="AP144" s="2" t="s">
        <v>11029</v>
      </c>
      <c r="AQ144" s="2" t="s">
        <v>1155</v>
      </c>
      <c r="AR144" s="1" t="s">
        <v>286</v>
      </c>
      <c r="AS144" s="1"/>
      <c r="AT144" s="1" t="s">
        <v>5</v>
      </c>
    </row>
    <row r="145" spans="1:46" hidden="1" x14ac:dyDescent="0.4">
      <c r="A145" s="1" t="s">
        <v>11957</v>
      </c>
      <c r="B145" s="10"/>
      <c r="C145" s="1" t="s">
        <v>2705</v>
      </c>
      <c r="D145" s="1" t="s">
        <v>2220</v>
      </c>
      <c r="E145" s="1" t="s">
        <v>2078</v>
      </c>
      <c r="F145" s="1" t="s">
        <v>14</v>
      </c>
      <c r="G145" s="1" t="s">
        <v>1</v>
      </c>
      <c r="H145" s="1" t="s">
        <v>6</v>
      </c>
      <c r="I145" s="1" t="s">
        <v>2</v>
      </c>
      <c r="J145" s="1" t="s">
        <v>2813</v>
      </c>
      <c r="K145" s="1" t="s">
        <v>11958</v>
      </c>
      <c r="L145" s="1" t="s">
        <v>7</v>
      </c>
      <c r="M145" s="1"/>
      <c r="N145" s="1" t="s">
        <v>11959</v>
      </c>
      <c r="O145" s="1" t="s">
        <v>11583</v>
      </c>
      <c r="P145" s="1"/>
      <c r="Q145" s="1" t="s">
        <v>12</v>
      </c>
      <c r="R145" s="1" t="s">
        <v>11</v>
      </c>
      <c r="S145" s="1"/>
      <c r="T145" s="1" t="s">
        <v>12</v>
      </c>
      <c r="U145" s="1" t="s">
        <v>11</v>
      </c>
      <c r="V145" s="1"/>
      <c r="W145" s="1" t="s">
        <v>11960</v>
      </c>
      <c r="X145" s="1" t="s">
        <v>11785</v>
      </c>
      <c r="Y145" s="1"/>
      <c r="Z145" s="1"/>
      <c r="AA145" s="1"/>
      <c r="AB145" s="1" t="s">
        <v>11961</v>
      </c>
      <c r="AC145" s="1"/>
      <c r="AD145" s="1"/>
      <c r="AE145" s="1"/>
      <c r="AF145" s="1"/>
      <c r="AG145" s="1"/>
      <c r="AH145" s="1" t="s">
        <v>11962</v>
      </c>
      <c r="AI145" s="1"/>
      <c r="AJ145" s="1" t="s">
        <v>9384</v>
      </c>
      <c r="AK145" s="1" t="s">
        <v>9385</v>
      </c>
      <c r="AL145" s="1" t="s">
        <v>9386</v>
      </c>
      <c r="AM145" s="1" t="s">
        <v>9384</v>
      </c>
      <c r="AN145" s="1" t="s">
        <v>9385</v>
      </c>
      <c r="AO145" s="1" t="s">
        <v>9386</v>
      </c>
      <c r="AP145" s="2" t="s">
        <v>11963</v>
      </c>
      <c r="AQ145" s="2" t="s">
        <v>1156</v>
      </c>
      <c r="AR145" s="1" t="s">
        <v>286</v>
      </c>
      <c r="AS145" s="1" t="s">
        <v>11964</v>
      </c>
      <c r="AT145" s="1" t="s">
        <v>5</v>
      </c>
    </row>
    <row r="146" spans="1:46" hidden="1" x14ac:dyDescent="0.4">
      <c r="A146" s="1" t="s">
        <v>11781</v>
      </c>
      <c r="B146" s="10"/>
      <c r="C146" s="1" t="s">
        <v>2705</v>
      </c>
      <c r="D146" s="1" t="s">
        <v>2220</v>
      </c>
      <c r="E146" s="1" t="s">
        <v>2078</v>
      </c>
      <c r="F146" s="1" t="s">
        <v>14</v>
      </c>
      <c r="G146" s="1" t="s">
        <v>1</v>
      </c>
      <c r="H146" s="1" t="s">
        <v>6</v>
      </c>
      <c r="I146" s="1" t="s">
        <v>2</v>
      </c>
      <c r="J146" s="1" t="s">
        <v>2813</v>
      </c>
      <c r="K146" s="1" t="s">
        <v>11782</v>
      </c>
      <c r="L146" s="1" t="s">
        <v>7</v>
      </c>
      <c r="M146" s="1"/>
      <c r="N146" s="1" t="s">
        <v>11783</v>
      </c>
      <c r="O146" s="1" t="s">
        <v>11583</v>
      </c>
      <c r="P146" s="1"/>
      <c r="Q146" s="1" t="s">
        <v>12</v>
      </c>
      <c r="R146" s="1" t="s">
        <v>11</v>
      </c>
      <c r="S146" s="1"/>
      <c r="T146" s="1" t="s">
        <v>12</v>
      </c>
      <c r="U146" s="1" t="s">
        <v>11</v>
      </c>
      <c r="V146" s="1"/>
      <c r="W146" s="1" t="s">
        <v>11784</v>
      </c>
      <c r="X146" s="1" t="s">
        <v>11785</v>
      </c>
      <c r="Y146" s="1"/>
      <c r="Z146" s="1"/>
      <c r="AA146" s="1"/>
      <c r="AB146" s="1" t="s">
        <v>11786</v>
      </c>
      <c r="AC146" s="1"/>
      <c r="AD146" s="1"/>
      <c r="AE146" s="1" t="s">
        <v>11787</v>
      </c>
      <c r="AF146" s="1"/>
      <c r="AG146" s="1"/>
      <c r="AH146" s="1" t="s">
        <v>11788</v>
      </c>
      <c r="AI146" s="1"/>
      <c r="AJ146" s="1" t="s">
        <v>9384</v>
      </c>
      <c r="AK146" s="1" t="s">
        <v>9385</v>
      </c>
      <c r="AL146" s="1" t="s">
        <v>9386</v>
      </c>
      <c r="AM146" s="1" t="s">
        <v>9384</v>
      </c>
      <c r="AN146" s="1" t="s">
        <v>9385</v>
      </c>
      <c r="AO146" s="1" t="s">
        <v>9386</v>
      </c>
      <c r="AP146" s="2" t="s">
        <v>11789</v>
      </c>
      <c r="AQ146" s="2" t="s">
        <v>1156</v>
      </c>
      <c r="AR146" s="1" t="s">
        <v>286</v>
      </c>
      <c r="AS146" s="1" t="s">
        <v>11759</v>
      </c>
      <c r="AT146" s="1" t="s">
        <v>5</v>
      </c>
    </row>
    <row r="147" spans="1:46" hidden="1" x14ac:dyDescent="0.4">
      <c r="A147" s="1" t="s">
        <v>11796</v>
      </c>
      <c r="B147" s="10"/>
      <c r="C147" s="1" t="s">
        <v>2705</v>
      </c>
      <c r="D147" s="1" t="s">
        <v>2220</v>
      </c>
      <c r="E147" s="1" t="s">
        <v>2078</v>
      </c>
      <c r="F147" s="1" t="s">
        <v>14</v>
      </c>
      <c r="G147" s="1" t="s">
        <v>1</v>
      </c>
      <c r="H147" s="1" t="s">
        <v>6</v>
      </c>
      <c r="I147" s="1" t="s">
        <v>2</v>
      </c>
      <c r="J147" s="1" t="s">
        <v>2813</v>
      </c>
      <c r="K147" s="1" t="s">
        <v>11797</v>
      </c>
      <c r="L147" s="1" t="s">
        <v>7</v>
      </c>
      <c r="M147" s="1"/>
      <c r="N147" s="1" t="s">
        <v>11798</v>
      </c>
      <c r="O147" s="1" t="s">
        <v>11583</v>
      </c>
      <c r="P147" s="1"/>
      <c r="Q147" s="1" t="s">
        <v>12</v>
      </c>
      <c r="R147" s="1" t="s">
        <v>11</v>
      </c>
      <c r="S147" s="1"/>
      <c r="T147" s="1" t="s">
        <v>12</v>
      </c>
      <c r="U147" s="1" t="s">
        <v>11</v>
      </c>
      <c r="V147" s="1"/>
      <c r="W147" s="1" t="s">
        <v>11799</v>
      </c>
      <c r="X147" s="1" t="s">
        <v>11800</v>
      </c>
      <c r="Y147" s="1"/>
      <c r="Z147" s="1"/>
      <c r="AA147" s="1"/>
      <c r="AB147" s="1" t="s">
        <v>11801</v>
      </c>
      <c r="AC147" s="1"/>
      <c r="AD147" s="1"/>
      <c r="AE147" s="1" t="s">
        <v>11787</v>
      </c>
      <c r="AF147" s="1"/>
      <c r="AG147" s="1"/>
      <c r="AH147" s="1" t="s">
        <v>11802</v>
      </c>
      <c r="AI147" s="1"/>
      <c r="AJ147" s="1" t="s">
        <v>9384</v>
      </c>
      <c r="AK147" s="1" t="s">
        <v>9385</v>
      </c>
      <c r="AL147" s="1" t="s">
        <v>9386</v>
      </c>
      <c r="AM147" s="1" t="s">
        <v>9384</v>
      </c>
      <c r="AN147" s="1" t="s">
        <v>9385</v>
      </c>
      <c r="AO147" s="1" t="s">
        <v>9386</v>
      </c>
      <c r="AP147" s="2" t="s">
        <v>11803</v>
      </c>
      <c r="AQ147" s="2" t="s">
        <v>1156</v>
      </c>
      <c r="AR147" s="1" t="s">
        <v>286</v>
      </c>
      <c r="AS147" s="1" t="s">
        <v>11759</v>
      </c>
      <c r="AT147" s="1" t="s">
        <v>5</v>
      </c>
    </row>
    <row r="148" spans="1:46" hidden="1" x14ac:dyDescent="0.4">
      <c r="A148" s="1" t="s">
        <v>9098</v>
      </c>
      <c r="B148" s="10"/>
      <c r="C148" s="1" t="s">
        <v>93</v>
      </c>
      <c r="D148" s="1" t="s">
        <v>2220</v>
      </c>
      <c r="E148" s="1" t="s">
        <v>2078</v>
      </c>
      <c r="F148" s="1" t="s">
        <v>14</v>
      </c>
      <c r="G148" s="1" t="s">
        <v>1</v>
      </c>
      <c r="H148" s="1" t="s">
        <v>6</v>
      </c>
      <c r="I148" s="1" t="s">
        <v>2</v>
      </c>
      <c r="J148" s="1" t="s">
        <v>3</v>
      </c>
      <c r="K148" s="1" t="s">
        <v>9099</v>
      </c>
      <c r="L148" s="1" t="s">
        <v>7</v>
      </c>
      <c r="M148" s="1"/>
      <c r="N148" s="1" t="s">
        <v>9100</v>
      </c>
      <c r="O148" s="1" t="s">
        <v>9083</v>
      </c>
      <c r="P148" s="1"/>
      <c r="Q148" s="1"/>
      <c r="R148" s="1" t="s">
        <v>11</v>
      </c>
      <c r="S148" s="1"/>
      <c r="T148" s="1"/>
      <c r="U148" s="1"/>
      <c r="V148" s="1"/>
      <c r="W148" s="1"/>
      <c r="X148" s="1"/>
      <c r="Y148" s="1"/>
      <c r="Z148" s="1"/>
      <c r="AA148" s="1"/>
      <c r="AB148" s="1" t="s">
        <v>9101</v>
      </c>
      <c r="AC148" s="1"/>
      <c r="AD148" s="1"/>
      <c r="AE148" s="1" t="s">
        <v>9085</v>
      </c>
      <c r="AF148" s="1"/>
      <c r="AG148" s="1"/>
      <c r="AH148" s="1" t="s">
        <v>9102</v>
      </c>
      <c r="AI148" s="1"/>
      <c r="AJ148" s="1" t="s">
        <v>9087</v>
      </c>
      <c r="AK148" s="1" t="s">
        <v>3947</v>
      </c>
      <c r="AL148" s="1" t="s">
        <v>9088</v>
      </c>
      <c r="AM148" s="1" t="s">
        <v>9087</v>
      </c>
      <c r="AN148" s="1" t="s">
        <v>3947</v>
      </c>
      <c r="AO148" s="1" t="s">
        <v>9088</v>
      </c>
      <c r="AP148" s="2" t="s">
        <v>9103</v>
      </c>
      <c r="AQ148" s="2" t="s">
        <v>1154</v>
      </c>
      <c r="AR148" s="1" t="s">
        <v>286</v>
      </c>
      <c r="AS148" s="1"/>
      <c r="AT148" s="1" t="s">
        <v>5</v>
      </c>
    </row>
    <row r="149" spans="1:46" hidden="1" x14ac:dyDescent="0.4">
      <c r="A149" s="1" t="s">
        <v>3959</v>
      </c>
      <c r="B149" s="10"/>
      <c r="C149" s="1" t="s">
        <v>0</v>
      </c>
      <c r="D149" s="1" t="s">
        <v>2688</v>
      </c>
      <c r="E149" s="1" t="s">
        <v>3289</v>
      </c>
      <c r="F149" s="1" t="s">
        <v>2690</v>
      </c>
      <c r="G149" s="1" t="s">
        <v>1</v>
      </c>
      <c r="H149" s="1" t="s">
        <v>6</v>
      </c>
      <c r="I149" s="1" t="s">
        <v>2</v>
      </c>
      <c r="J149" s="1" t="s">
        <v>3</v>
      </c>
      <c r="K149" s="1" t="s">
        <v>3960</v>
      </c>
      <c r="L149" s="1" t="s">
        <v>7</v>
      </c>
      <c r="M149" s="1" t="s">
        <v>9</v>
      </c>
      <c r="N149" s="1" t="s">
        <v>3961</v>
      </c>
      <c r="O149" s="1" t="s">
        <v>3962</v>
      </c>
      <c r="P149" s="1"/>
      <c r="Q149" s="1"/>
      <c r="R149" s="1" t="s">
        <v>11</v>
      </c>
      <c r="S149" s="1"/>
      <c r="T149" s="1"/>
      <c r="U149" s="1"/>
      <c r="V149" s="1"/>
      <c r="W149" s="1"/>
      <c r="X149" s="1"/>
      <c r="Y149" s="1"/>
      <c r="Z149" s="1"/>
      <c r="AA149" s="1"/>
      <c r="AB149" s="1" t="s">
        <v>3963</v>
      </c>
      <c r="AC149" s="1"/>
      <c r="AD149" s="1"/>
      <c r="AE149" s="1"/>
      <c r="AF149" s="1"/>
      <c r="AG149" s="1"/>
      <c r="AH149" s="1" t="s">
        <v>3964</v>
      </c>
      <c r="AI149" s="1"/>
      <c r="AJ149" s="1" t="s">
        <v>3965</v>
      </c>
      <c r="AK149" s="1" t="s">
        <v>3966</v>
      </c>
      <c r="AL149" s="1" t="s">
        <v>3967</v>
      </c>
      <c r="AM149" s="1" t="s">
        <v>3968</v>
      </c>
      <c r="AN149" s="1" t="s">
        <v>3966</v>
      </c>
      <c r="AO149" s="1" t="s">
        <v>3969</v>
      </c>
      <c r="AP149" s="2" t="s">
        <v>3970</v>
      </c>
      <c r="AQ149" s="2" t="s">
        <v>1153</v>
      </c>
      <c r="AR149" s="1" t="s">
        <v>286</v>
      </c>
      <c r="AS149" s="1"/>
      <c r="AT149" s="1" t="s">
        <v>5</v>
      </c>
    </row>
    <row r="150" spans="1:46" hidden="1" x14ac:dyDescent="0.4">
      <c r="A150" s="1" t="s">
        <v>9600</v>
      </c>
      <c r="B150" s="10"/>
      <c r="C150" s="1" t="s">
        <v>93</v>
      </c>
      <c r="D150" s="1" t="s">
        <v>2396</v>
      </c>
      <c r="E150" s="1" t="s">
        <v>2078</v>
      </c>
      <c r="F150" s="1" t="s">
        <v>14</v>
      </c>
      <c r="G150" s="1" t="s">
        <v>1</v>
      </c>
      <c r="H150" s="1" t="s">
        <v>6</v>
      </c>
      <c r="I150" s="1" t="s">
        <v>2</v>
      </c>
      <c r="J150" s="1" t="s">
        <v>3</v>
      </c>
      <c r="K150" s="1" t="s">
        <v>9601</v>
      </c>
      <c r="L150" s="1" t="s">
        <v>7</v>
      </c>
      <c r="M150" s="1"/>
      <c r="N150" s="1" t="s">
        <v>9602</v>
      </c>
      <c r="O150" s="1" t="s">
        <v>15</v>
      </c>
      <c r="P150" s="1"/>
      <c r="Q150" s="1"/>
      <c r="R150" s="1" t="s">
        <v>11</v>
      </c>
      <c r="S150" s="1"/>
      <c r="T150" s="1"/>
      <c r="U150" s="1"/>
      <c r="V150" s="1"/>
      <c r="W150" s="1" t="s">
        <v>9603</v>
      </c>
      <c r="X150" s="1"/>
      <c r="Y150" s="1"/>
      <c r="Z150" s="1"/>
      <c r="AA150" s="1"/>
      <c r="AB150" s="1" t="s">
        <v>9604</v>
      </c>
      <c r="AC150" s="1"/>
      <c r="AD150" s="1"/>
      <c r="AE150" s="1" t="s">
        <v>20</v>
      </c>
      <c r="AF150" s="1"/>
      <c r="AG150" s="1"/>
      <c r="AH150" s="1" t="s">
        <v>9605</v>
      </c>
      <c r="AI150" s="1"/>
      <c r="AJ150" s="1" t="s">
        <v>7285</v>
      </c>
      <c r="AK150" s="1" t="s">
        <v>4240</v>
      </c>
      <c r="AL150" s="1" t="s">
        <v>7286</v>
      </c>
      <c r="AM150" s="1" t="s">
        <v>7287</v>
      </c>
      <c r="AN150" s="1" t="s">
        <v>7288</v>
      </c>
      <c r="AO150" s="1" t="s">
        <v>7289</v>
      </c>
      <c r="AP150" s="2" t="s">
        <v>9606</v>
      </c>
      <c r="AQ150" s="2" t="s">
        <v>1155</v>
      </c>
      <c r="AR150" s="1" t="s">
        <v>286</v>
      </c>
      <c r="AS150" s="1" t="s">
        <v>9607</v>
      </c>
      <c r="AT150" s="1" t="s">
        <v>5</v>
      </c>
    </row>
    <row r="151" spans="1:46" hidden="1" x14ac:dyDescent="0.4">
      <c r="A151" s="1" t="s">
        <v>6192</v>
      </c>
      <c r="B151" s="10"/>
      <c r="C151" s="1" t="s">
        <v>0</v>
      </c>
      <c r="D151" s="1" t="s">
        <v>2827</v>
      </c>
      <c r="E151" s="1" t="s">
        <v>2078</v>
      </c>
      <c r="F151" s="1" t="s">
        <v>14</v>
      </c>
      <c r="G151" s="1" t="s">
        <v>1</v>
      </c>
      <c r="H151" s="1" t="s">
        <v>6</v>
      </c>
      <c r="I151" s="1" t="s">
        <v>2</v>
      </c>
      <c r="J151" s="1" t="s">
        <v>3</v>
      </c>
      <c r="K151" s="1" t="s">
        <v>6193</v>
      </c>
      <c r="L151" s="1" t="s">
        <v>7</v>
      </c>
      <c r="M151" s="1" t="s">
        <v>9</v>
      </c>
      <c r="N151" s="1" t="s">
        <v>6194</v>
      </c>
      <c r="O151" s="1" t="s">
        <v>6195</v>
      </c>
      <c r="P151" s="1"/>
      <c r="Q151" s="1"/>
      <c r="R151" s="1" t="s">
        <v>11</v>
      </c>
      <c r="S151" s="1"/>
      <c r="T151" s="1"/>
      <c r="U151" s="1"/>
      <c r="V151" s="1"/>
      <c r="W151" s="1"/>
      <c r="X151" s="1"/>
      <c r="Y151" s="1"/>
      <c r="Z151" s="1"/>
      <c r="AA151" s="1"/>
      <c r="AB151" s="1" t="s">
        <v>6196</v>
      </c>
      <c r="AC151" s="1"/>
      <c r="AD151" s="1"/>
      <c r="AE151" s="1" t="s">
        <v>6197</v>
      </c>
      <c r="AF151" s="1"/>
      <c r="AG151" s="1"/>
      <c r="AH151" s="1" t="s">
        <v>6198</v>
      </c>
      <c r="AI151" s="1"/>
      <c r="AJ151" s="1" t="s">
        <v>54</v>
      </c>
      <c r="AK151" s="1" t="s">
        <v>514</v>
      </c>
      <c r="AL151" s="1"/>
      <c r="AM151" s="1" t="s">
        <v>6190</v>
      </c>
      <c r="AN151" s="1" t="s">
        <v>514</v>
      </c>
      <c r="AO151" s="1"/>
      <c r="AP151" s="2" t="s">
        <v>6199</v>
      </c>
      <c r="AQ151" s="2" t="s">
        <v>1077</v>
      </c>
      <c r="AR151" s="1" t="s">
        <v>286</v>
      </c>
      <c r="AS151" s="1"/>
      <c r="AT151" s="1" t="s">
        <v>5</v>
      </c>
    </row>
    <row r="152" spans="1:46" hidden="1" x14ac:dyDescent="0.4">
      <c r="A152" s="1" t="s">
        <v>2622</v>
      </c>
      <c r="B152" s="10"/>
      <c r="C152" s="1" t="s">
        <v>0</v>
      </c>
      <c r="D152" s="1" t="s">
        <v>2211</v>
      </c>
      <c r="E152" s="1" t="s">
        <v>13</v>
      </c>
      <c r="F152" s="1" t="s">
        <v>14</v>
      </c>
      <c r="G152" s="1" t="s">
        <v>1</v>
      </c>
      <c r="H152" s="1" t="s">
        <v>6</v>
      </c>
      <c r="I152" s="1" t="s">
        <v>2</v>
      </c>
      <c r="J152" s="1" t="s">
        <v>3</v>
      </c>
      <c r="K152" s="1" t="s">
        <v>2623</v>
      </c>
      <c r="L152" s="1" t="s">
        <v>7</v>
      </c>
      <c r="M152" s="1" t="s">
        <v>9</v>
      </c>
      <c r="N152" s="1" t="s">
        <v>2624</v>
      </c>
      <c r="O152" s="1" t="s">
        <v>15</v>
      </c>
      <c r="P152" s="1"/>
      <c r="Q152" s="1"/>
      <c r="R152" s="1" t="s">
        <v>11</v>
      </c>
      <c r="S152" s="1"/>
      <c r="T152" s="1"/>
      <c r="U152" s="1"/>
      <c r="V152" s="1"/>
      <c r="W152" s="1"/>
      <c r="X152" s="1"/>
      <c r="Y152" s="1"/>
      <c r="Z152" s="1"/>
      <c r="AA152" s="1"/>
      <c r="AB152" s="1" t="s">
        <v>2625</v>
      </c>
      <c r="AC152" s="1"/>
      <c r="AD152" s="1"/>
      <c r="AE152" s="1"/>
      <c r="AF152" s="1"/>
      <c r="AG152" s="1"/>
      <c r="AH152" s="1" t="s">
        <v>2626</v>
      </c>
      <c r="AI152" s="1"/>
      <c r="AJ152" s="1" t="s">
        <v>2627</v>
      </c>
      <c r="AK152" s="1" t="s">
        <v>2628</v>
      </c>
      <c r="AL152" s="1"/>
      <c r="AM152" s="1" t="s">
        <v>2629</v>
      </c>
      <c r="AN152" s="1" t="s">
        <v>2628</v>
      </c>
      <c r="AO152" s="1" t="s">
        <v>2630</v>
      </c>
      <c r="AP152" s="2" t="s">
        <v>2631</v>
      </c>
      <c r="AQ152" s="2" t="s">
        <v>1155</v>
      </c>
      <c r="AR152" s="1"/>
      <c r="AS152" s="1"/>
      <c r="AT152" s="1" t="s">
        <v>5</v>
      </c>
    </row>
    <row r="153" spans="1:46" hidden="1" x14ac:dyDescent="0.4">
      <c r="A153" s="1" t="s">
        <v>3109</v>
      </c>
      <c r="B153" s="10"/>
      <c r="C153" s="1" t="s">
        <v>2675</v>
      </c>
      <c r="D153" s="1" t="s">
        <v>2211</v>
      </c>
      <c r="E153" s="1" t="s">
        <v>13</v>
      </c>
      <c r="F153" s="1" t="s">
        <v>14</v>
      </c>
      <c r="G153" s="1" t="s">
        <v>1</v>
      </c>
      <c r="H153" s="1" t="s">
        <v>6</v>
      </c>
      <c r="I153" s="1" t="s">
        <v>2</v>
      </c>
      <c r="J153" s="1" t="s">
        <v>2450</v>
      </c>
      <c r="K153" s="1" t="s">
        <v>3110</v>
      </c>
      <c r="L153" s="1" t="s">
        <v>7</v>
      </c>
      <c r="M153" s="1" t="s">
        <v>9</v>
      </c>
      <c r="N153" s="1" t="s">
        <v>3111</v>
      </c>
      <c r="O153" s="1" t="s">
        <v>15</v>
      </c>
      <c r="P153" s="1"/>
      <c r="Q153" s="1"/>
      <c r="R153" s="1" t="s">
        <v>11</v>
      </c>
      <c r="S153" s="1"/>
      <c r="T153" s="1"/>
      <c r="U153" s="1"/>
      <c r="V153" s="1"/>
      <c r="W153" s="1" t="s">
        <v>3112</v>
      </c>
      <c r="X153" s="1" t="s">
        <v>3113</v>
      </c>
      <c r="Y153" s="1"/>
      <c r="Z153" s="1"/>
      <c r="AA153" s="1"/>
      <c r="AB153" s="1" t="s">
        <v>3114</v>
      </c>
      <c r="AC153" s="1"/>
      <c r="AD153" s="1"/>
      <c r="AE153" s="1"/>
      <c r="AF153" s="1"/>
      <c r="AG153" s="1"/>
      <c r="AH153" s="1" t="s">
        <v>3115</v>
      </c>
      <c r="AI153" s="1"/>
      <c r="AJ153" s="1" t="s">
        <v>3105</v>
      </c>
      <c r="AK153" s="1" t="s">
        <v>3106</v>
      </c>
      <c r="AL153" s="1" t="s">
        <v>3107</v>
      </c>
      <c r="AM153" s="1" t="s">
        <v>3105</v>
      </c>
      <c r="AN153" s="1" t="s">
        <v>3106</v>
      </c>
      <c r="AO153" s="1" t="s">
        <v>3107</v>
      </c>
      <c r="AP153" s="2" t="s">
        <v>3116</v>
      </c>
      <c r="AQ153" s="2" t="s">
        <v>1155</v>
      </c>
      <c r="AR153" s="1"/>
      <c r="AS153" s="1"/>
      <c r="AT153" s="1" t="s">
        <v>5</v>
      </c>
    </row>
    <row r="154" spans="1:46" hidden="1" x14ac:dyDescent="0.4">
      <c r="A154" s="1" t="s">
        <v>4769</v>
      </c>
      <c r="B154" s="10"/>
      <c r="C154" s="1" t="s">
        <v>3626</v>
      </c>
      <c r="D154" s="1" t="s">
        <v>2211</v>
      </c>
      <c r="E154" s="1" t="s">
        <v>2078</v>
      </c>
      <c r="F154" s="1" t="s">
        <v>14</v>
      </c>
      <c r="G154" s="1" t="s">
        <v>1</v>
      </c>
      <c r="H154" s="1" t="s">
        <v>6</v>
      </c>
      <c r="I154" s="1" t="s">
        <v>2</v>
      </c>
      <c r="J154" s="1" t="s">
        <v>3514</v>
      </c>
      <c r="K154" s="1" t="s">
        <v>4770</v>
      </c>
      <c r="L154" s="1" t="s">
        <v>7</v>
      </c>
      <c r="M154" s="1" t="s">
        <v>9</v>
      </c>
      <c r="N154" s="1" t="s">
        <v>4771</v>
      </c>
      <c r="O154" s="1" t="s">
        <v>2258</v>
      </c>
      <c r="P154" s="1"/>
      <c r="Q154" s="1"/>
      <c r="R154" s="1" t="s">
        <v>11</v>
      </c>
      <c r="S154" s="1"/>
      <c r="T154" s="1"/>
      <c r="U154" s="1"/>
      <c r="V154" s="1"/>
      <c r="W154" s="1" t="s">
        <v>4772</v>
      </c>
      <c r="X154" s="1" t="s">
        <v>4773</v>
      </c>
      <c r="Y154" s="1"/>
      <c r="Z154" s="1"/>
      <c r="AA154" s="1"/>
      <c r="AB154" s="1" t="s">
        <v>4774</v>
      </c>
      <c r="AC154" s="1"/>
      <c r="AD154" s="1"/>
      <c r="AE154" s="1" t="s">
        <v>4775</v>
      </c>
      <c r="AF154" s="1"/>
      <c r="AG154" s="1"/>
      <c r="AH154" s="1" t="s">
        <v>4776</v>
      </c>
      <c r="AI154" s="1"/>
      <c r="AJ154" s="1" t="s">
        <v>4777</v>
      </c>
      <c r="AK154" s="1" t="s">
        <v>4035</v>
      </c>
      <c r="AL154" s="1" t="s">
        <v>4778</v>
      </c>
      <c r="AM154" s="1" t="s">
        <v>4777</v>
      </c>
      <c r="AN154" s="1" t="s">
        <v>4035</v>
      </c>
      <c r="AO154" s="1" t="s">
        <v>4778</v>
      </c>
      <c r="AP154" s="2" t="s">
        <v>4779</v>
      </c>
      <c r="AQ154" s="2" t="s">
        <v>1153</v>
      </c>
      <c r="AR154" s="1" t="s">
        <v>286</v>
      </c>
      <c r="AS154" s="1"/>
      <c r="AT154" s="1" t="s">
        <v>5</v>
      </c>
    </row>
    <row r="155" spans="1:46" hidden="1" x14ac:dyDescent="0.4">
      <c r="A155" s="1" t="s">
        <v>6469</v>
      </c>
      <c r="B155" s="10"/>
      <c r="C155" s="1" t="s">
        <v>0</v>
      </c>
      <c r="D155" s="1" t="s">
        <v>2211</v>
      </c>
      <c r="E155" s="1" t="s">
        <v>2078</v>
      </c>
      <c r="F155" s="1" t="s">
        <v>14</v>
      </c>
      <c r="G155" s="1" t="s">
        <v>1</v>
      </c>
      <c r="H155" s="1" t="s">
        <v>6</v>
      </c>
      <c r="I155" s="1" t="s">
        <v>2</v>
      </c>
      <c r="J155" s="1" t="s">
        <v>3</v>
      </c>
      <c r="K155" s="1" t="s">
        <v>6470</v>
      </c>
      <c r="L155" s="1" t="s">
        <v>7</v>
      </c>
      <c r="M155" s="1" t="s">
        <v>9</v>
      </c>
      <c r="N155" s="1" t="s">
        <v>6471</v>
      </c>
      <c r="O155" s="1" t="s">
        <v>15</v>
      </c>
      <c r="P155" s="1"/>
      <c r="Q155" s="1"/>
      <c r="R155" s="1" t="s">
        <v>11</v>
      </c>
      <c r="S155" s="1"/>
      <c r="T155" s="1"/>
      <c r="U155" s="1"/>
      <c r="V155" s="1"/>
      <c r="W155" s="1"/>
      <c r="X155" s="1" t="s">
        <v>6472</v>
      </c>
      <c r="Y155" s="1"/>
      <c r="Z155" s="1"/>
      <c r="AA155" s="1"/>
      <c r="AB155" s="1" t="s">
        <v>6473</v>
      </c>
      <c r="AC155" s="1"/>
      <c r="AD155" s="1"/>
      <c r="AE155" s="1" t="s">
        <v>6474</v>
      </c>
      <c r="AF155" s="1"/>
      <c r="AG155" s="1"/>
      <c r="AH155" s="1" t="s">
        <v>6475</v>
      </c>
      <c r="AI155" s="1"/>
      <c r="AJ155" s="1" t="s">
        <v>59</v>
      </c>
      <c r="AK155" s="1" t="s">
        <v>598</v>
      </c>
      <c r="AL155" s="1" t="s">
        <v>126</v>
      </c>
      <c r="AM155" s="1" t="s">
        <v>597</v>
      </c>
      <c r="AN155" s="1" t="s">
        <v>598</v>
      </c>
      <c r="AO155" s="1" t="s">
        <v>599</v>
      </c>
      <c r="AP155" s="2" t="s">
        <v>6476</v>
      </c>
      <c r="AQ155" s="2" t="s">
        <v>1155</v>
      </c>
      <c r="AR155" s="1" t="s">
        <v>286</v>
      </c>
      <c r="AS155" s="1"/>
      <c r="AT155" s="1" t="s">
        <v>5</v>
      </c>
    </row>
    <row r="156" spans="1:46" hidden="1" x14ac:dyDescent="0.4">
      <c r="A156" s="1" t="s">
        <v>11446</v>
      </c>
      <c r="B156" s="10"/>
      <c r="C156" s="1" t="s">
        <v>2841</v>
      </c>
      <c r="D156" s="1" t="s">
        <v>2211</v>
      </c>
      <c r="E156" s="1" t="s">
        <v>2078</v>
      </c>
      <c r="F156" s="1" t="s">
        <v>14</v>
      </c>
      <c r="G156" s="1" t="s">
        <v>1</v>
      </c>
      <c r="H156" s="1" t="s">
        <v>6</v>
      </c>
      <c r="I156" s="1" t="s">
        <v>2</v>
      </c>
      <c r="J156" s="1" t="s">
        <v>2842</v>
      </c>
      <c r="K156" s="1" t="s">
        <v>11447</v>
      </c>
      <c r="L156" s="1" t="s">
        <v>7</v>
      </c>
      <c r="M156" s="1"/>
      <c r="N156" s="1" t="s">
        <v>11448</v>
      </c>
      <c r="O156" s="1" t="s">
        <v>15</v>
      </c>
      <c r="P156" s="1"/>
      <c r="Q156" s="1"/>
      <c r="R156" s="1" t="s">
        <v>11</v>
      </c>
      <c r="S156" s="1"/>
      <c r="T156" s="1"/>
      <c r="U156" s="1"/>
      <c r="V156" s="1"/>
      <c r="W156" s="1" t="s">
        <v>11449</v>
      </c>
      <c r="X156" s="1" t="s">
        <v>11450</v>
      </c>
      <c r="Y156" s="1"/>
      <c r="Z156" s="1"/>
      <c r="AA156" s="1"/>
      <c r="AB156" s="1" t="s">
        <v>11451</v>
      </c>
      <c r="AC156" s="1"/>
      <c r="AD156" s="1"/>
      <c r="AE156" s="1" t="s">
        <v>11452</v>
      </c>
      <c r="AF156" s="1"/>
      <c r="AG156" s="1"/>
      <c r="AH156" s="1" t="s">
        <v>11453</v>
      </c>
      <c r="AI156" s="1"/>
      <c r="AJ156" s="1" t="s">
        <v>4327</v>
      </c>
      <c r="AK156" s="1" t="s">
        <v>8473</v>
      </c>
      <c r="AL156" s="1" t="s">
        <v>4328</v>
      </c>
      <c r="AM156" s="1" t="s">
        <v>4327</v>
      </c>
      <c r="AN156" s="1" t="s">
        <v>8473</v>
      </c>
      <c r="AO156" s="1" t="s">
        <v>4328</v>
      </c>
      <c r="AP156" s="2" t="s">
        <v>11454</v>
      </c>
      <c r="AQ156" s="2" t="s">
        <v>1155</v>
      </c>
      <c r="AR156" s="1" t="s">
        <v>286</v>
      </c>
      <c r="AS156" s="1" t="s">
        <v>11455</v>
      </c>
      <c r="AT156" s="1" t="s">
        <v>5</v>
      </c>
    </row>
    <row r="157" spans="1:46" hidden="1" x14ac:dyDescent="0.4">
      <c r="A157" s="1" t="s">
        <v>11456</v>
      </c>
      <c r="B157" s="10"/>
      <c r="C157" s="1" t="s">
        <v>2841</v>
      </c>
      <c r="D157" s="1" t="s">
        <v>2211</v>
      </c>
      <c r="E157" s="1" t="s">
        <v>2078</v>
      </c>
      <c r="F157" s="1" t="s">
        <v>14</v>
      </c>
      <c r="G157" s="1" t="s">
        <v>1</v>
      </c>
      <c r="H157" s="1" t="s">
        <v>6</v>
      </c>
      <c r="I157" s="1" t="s">
        <v>2</v>
      </c>
      <c r="J157" s="1" t="s">
        <v>2842</v>
      </c>
      <c r="K157" s="1" t="s">
        <v>11457</v>
      </c>
      <c r="L157" s="1" t="s">
        <v>7</v>
      </c>
      <c r="M157" s="1"/>
      <c r="N157" s="1" t="s">
        <v>11458</v>
      </c>
      <c r="O157" s="1" t="s">
        <v>15</v>
      </c>
      <c r="P157" s="1" t="s">
        <v>11459</v>
      </c>
      <c r="Q157" s="1"/>
      <c r="R157" s="1" t="s">
        <v>11</v>
      </c>
      <c r="S157" s="1"/>
      <c r="T157" s="1"/>
      <c r="U157" s="1"/>
      <c r="V157" s="1"/>
      <c r="W157" s="1" t="s">
        <v>11449</v>
      </c>
      <c r="X157" s="1" t="s">
        <v>11450</v>
      </c>
      <c r="Y157" s="1"/>
      <c r="Z157" s="1"/>
      <c r="AA157" s="1"/>
      <c r="AB157" s="1" t="s">
        <v>11460</v>
      </c>
      <c r="AC157" s="1"/>
      <c r="AD157" s="1"/>
      <c r="AE157" s="1" t="s">
        <v>11452</v>
      </c>
      <c r="AF157" s="1"/>
      <c r="AG157" s="1"/>
      <c r="AH157" s="1" t="s">
        <v>11461</v>
      </c>
      <c r="AI157" s="1"/>
      <c r="AJ157" s="1" t="s">
        <v>4327</v>
      </c>
      <c r="AK157" s="1" t="s">
        <v>8473</v>
      </c>
      <c r="AL157" s="1" t="s">
        <v>4328</v>
      </c>
      <c r="AM157" s="1" t="s">
        <v>4327</v>
      </c>
      <c r="AN157" s="1" t="s">
        <v>8473</v>
      </c>
      <c r="AO157" s="1" t="s">
        <v>4328</v>
      </c>
      <c r="AP157" s="2" t="s">
        <v>11462</v>
      </c>
      <c r="AQ157" s="2" t="s">
        <v>1155</v>
      </c>
      <c r="AR157" s="1" t="s">
        <v>286</v>
      </c>
      <c r="AS157" s="1" t="s">
        <v>11463</v>
      </c>
      <c r="AT157" s="1" t="s">
        <v>5</v>
      </c>
    </row>
    <row r="158" spans="1:46" hidden="1" x14ac:dyDescent="0.4">
      <c r="A158" s="1" t="s">
        <v>11464</v>
      </c>
      <c r="B158" s="10"/>
      <c r="C158" s="1" t="s">
        <v>2841</v>
      </c>
      <c r="D158" s="1" t="s">
        <v>2211</v>
      </c>
      <c r="E158" s="1" t="s">
        <v>2078</v>
      </c>
      <c r="F158" s="1" t="s">
        <v>14</v>
      </c>
      <c r="G158" s="1" t="s">
        <v>1</v>
      </c>
      <c r="H158" s="1" t="s">
        <v>6</v>
      </c>
      <c r="I158" s="1" t="s">
        <v>2</v>
      </c>
      <c r="J158" s="1" t="s">
        <v>2842</v>
      </c>
      <c r="K158" s="1" t="s">
        <v>11465</v>
      </c>
      <c r="L158" s="1" t="s">
        <v>7</v>
      </c>
      <c r="M158" s="1"/>
      <c r="N158" s="1" t="s">
        <v>11466</v>
      </c>
      <c r="O158" s="1" t="s">
        <v>15</v>
      </c>
      <c r="P158" s="1" t="s">
        <v>11467</v>
      </c>
      <c r="Q158" s="1"/>
      <c r="R158" s="1" t="s">
        <v>11</v>
      </c>
      <c r="S158" s="1"/>
      <c r="T158" s="1"/>
      <c r="U158" s="1"/>
      <c r="V158" s="1"/>
      <c r="W158" s="1" t="s">
        <v>11449</v>
      </c>
      <c r="X158" s="1" t="s">
        <v>11450</v>
      </c>
      <c r="Y158" s="1"/>
      <c r="Z158" s="1"/>
      <c r="AA158" s="1"/>
      <c r="AB158" s="1" t="s">
        <v>11468</v>
      </c>
      <c r="AC158" s="1"/>
      <c r="AD158" s="1"/>
      <c r="AE158" s="1" t="s">
        <v>11452</v>
      </c>
      <c r="AF158" s="1"/>
      <c r="AG158" s="1"/>
      <c r="AH158" s="1" t="s">
        <v>11469</v>
      </c>
      <c r="AI158" s="1"/>
      <c r="AJ158" s="1" t="s">
        <v>4327</v>
      </c>
      <c r="AK158" s="1" t="s">
        <v>8473</v>
      </c>
      <c r="AL158" s="1" t="s">
        <v>4328</v>
      </c>
      <c r="AM158" s="1" t="s">
        <v>4327</v>
      </c>
      <c r="AN158" s="1" t="s">
        <v>8473</v>
      </c>
      <c r="AO158" s="1" t="s">
        <v>4328</v>
      </c>
      <c r="AP158" s="2" t="s">
        <v>11470</v>
      </c>
      <c r="AQ158" s="2" t="s">
        <v>1155</v>
      </c>
      <c r="AR158" s="1" t="s">
        <v>286</v>
      </c>
      <c r="AS158" s="1" t="s">
        <v>11463</v>
      </c>
      <c r="AT158" s="1" t="s">
        <v>5</v>
      </c>
    </row>
    <row r="159" spans="1:46" hidden="1" x14ac:dyDescent="0.4">
      <c r="A159" s="1" t="s">
        <v>8766</v>
      </c>
      <c r="B159" s="10"/>
      <c r="C159" s="1" t="s">
        <v>2841</v>
      </c>
      <c r="D159" s="1" t="s">
        <v>2211</v>
      </c>
      <c r="E159" s="1" t="s">
        <v>2078</v>
      </c>
      <c r="F159" s="1" t="s">
        <v>14</v>
      </c>
      <c r="G159" s="1" t="s">
        <v>1</v>
      </c>
      <c r="H159" s="1" t="s">
        <v>6</v>
      </c>
      <c r="I159" s="1" t="s">
        <v>2</v>
      </c>
      <c r="J159" s="1" t="s">
        <v>2842</v>
      </c>
      <c r="K159" s="1" t="s">
        <v>8767</v>
      </c>
      <c r="L159" s="1" t="s">
        <v>7</v>
      </c>
      <c r="M159" s="1"/>
      <c r="N159" s="1" t="s">
        <v>8768</v>
      </c>
      <c r="O159" s="1" t="s">
        <v>15</v>
      </c>
      <c r="P159" s="1"/>
      <c r="Q159" s="1"/>
      <c r="R159" s="1" t="s">
        <v>11</v>
      </c>
      <c r="S159" s="1"/>
      <c r="T159" s="1"/>
      <c r="U159" s="1"/>
      <c r="V159" s="1"/>
      <c r="W159" s="1" t="s">
        <v>8769</v>
      </c>
      <c r="X159" s="1" t="s">
        <v>8770</v>
      </c>
      <c r="Y159" s="1"/>
      <c r="Z159" s="1"/>
      <c r="AA159" s="1"/>
      <c r="AB159" s="1" t="s">
        <v>8771</v>
      </c>
      <c r="AC159" s="1"/>
      <c r="AD159" s="1"/>
      <c r="AE159" s="1" t="s">
        <v>8772</v>
      </c>
      <c r="AF159" s="1"/>
      <c r="AG159" s="1"/>
      <c r="AH159" s="1" t="s">
        <v>8773</v>
      </c>
      <c r="AI159" s="1" t="s">
        <v>8774</v>
      </c>
      <c r="AJ159" s="1" t="s">
        <v>4327</v>
      </c>
      <c r="AK159" s="1" t="s">
        <v>8473</v>
      </c>
      <c r="AL159" s="1" t="s">
        <v>4328</v>
      </c>
      <c r="AM159" s="1" t="s">
        <v>4327</v>
      </c>
      <c r="AN159" s="1" t="s">
        <v>8473</v>
      </c>
      <c r="AO159" s="1" t="s">
        <v>4328</v>
      </c>
      <c r="AP159" s="2" t="s">
        <v>8775</v>
      </c>
      <c r="AQ159" s="2" t="s">
        <v>1154</v>
      </c>
      <c r="AR159" s="1" t="s">
        <v>286</v>
      </c>
      <c r="AS159" s="1"/>
      <c r="AT159" s="1" t="s">
        <v>5</v>
      </c>
    </row>
    <row r="160" spans="1:46" hidden="1" x14ac:dyDescent="0.4">
      <c r="A160" s="1" t="s">
        <v>7794</v>
      </c>
      <c r="B160" s="10"/>
      <c r="C160" s="1" t="s">
        <v>2454</v>
      </c>
      <c r="D160" s="1" t="s">
        <v>2827</v>
      </c>
      <c r="E160" s="1" t="s">
        <v>2078</v>
      </c>
      <c r="F160" s="1" t="s">
        <v>14</v>
      </c>
      <c r="G160" s="1" t="s">
        <v>1</v>
      </c>
      <c r="H160" s="1" t="s">
        <v>6</v>
      </c>
      <c r="I160" s="1" t="s">
        <v>2</v>
      </c>
      <c r="J160" s="1" t="s">
        <v>3676</v>
      </c>
      <c r="K160" s="1" t="s">
        <v>7795</v>
      </c>
      <c r="L160" s="1" t="s">
        <v>7</v>
      </c>
      <c r="M160" s="1"/>
      <c r="N160" s="1" t="s">
        <v>7796</v>
      </c>
      <c r="O160" s="1" t="s">
        <v>7725</v>
      </c>
      <c r="P160" s="1"/>
      <c r="Q160" s="1"/>
      <c r="R160" s="1" t="s">
        <v>11</v>
      </c>
      <c r="S160" s="1"/>
      <c r="T160" s="1"/>
      <c r="U160" s="1"/>
      <c r="V160" s="1"/>
      <c r="W160" s="1" t="s">
        <v>7797</v>
      </c>
      <c r="X160" s="1"/>
      <c r="Y160" s="1"/>
      <c r="Z160" s="1"/>
      <c r="AA160" s="1"/>
      <c r="AB160" s="1" t="s">
        <v>7798</v>
      </c>
      <c r="AC160" s="1"/>
      <c r="AD160" s="1"/>
      <c r="AE160" s="1"/>
      <c r="AF160" s="1"/>
      <c r="AG160" s="1"/>
      <c r="AH160" s="1" t="s">
        <v>7799</v>
      </c>
      <c r="AI160" s="1"/>
      <c r="AJ160" s="1" t="s">
        <v>4657</v>
      </c>
      <c r="AK160" s="1" t="s">
        <v>2822</v>
      </c>
      <c r="AL160" s="1" t="s">
        <v>4658</v>
      </c>
      <c r="AM160" s="1" t="s">
        <v>4657</v>
      </c>
      <c r="AN160" s="1" t="s">
        <v>2822</v>
      </c>
      <c r="AO160" s="1" t="s">
        <v>4658</v>
      </c>
      <c r="AP160" s="2" t="s">
        <v>7800</v>
      </c>
      <c r="AQ160" s="2" t="s">
        <v>1154</v>
      </c>
      <c r="AR160" s="1" t="s">
        <v>286</v>
      </c>
      <c r="AS160" s="1"/>
      <c r="AT160" s="1" t="s">
        <v>5</v>
      </c>
    </row>
    <row r="161" spans="1:46" hidden="1" x14ac:dyDescent="0.4">
      <c r="A161" s="1" t="s">
        <v>9446</v>
      </c>
      <c r="B161" s="10"/>
      <c r="C161" s="1" t="s">
        <v>93</v>
      </c>
      <c r="D161" s="1" t="s">
        <v>2211</v>
      </c>
      <c r="E161" s="1" t="s">
        <v>2078</v>
      </c>
      <c r="F161" s="1" t="s">
        <v>14</v>
      </c>
      <c r="G161" s="1" t="s">
        <v>1</v>
      </c>
      <c r="H161" s="1" t="s">
        <v>6</v>
      </c>
      <c r="I161" s="1" t="s">
        <v>2</v>
      </c>
      <c r="J161" s="1" t="s">
        <v>3</v>
      </c>
      <c r="K161" s="1" t="s">
        <v>9447</v>
      </c>
      <c r="L161" s="1" t="s">
        <v>7</v>
      </c>
      <c r="M161" s="1"/>
      <c r="N161" s="1" t="s">
        <v>9448</v>
      </c>
      <c r="O161" s="1" t="s">
        <v>15</v>
      </c>
      <c r="P161" s="1"/>
      <c r="Q161" s="1"/>
      <c r="R161" s="1" t="s">
        <v>11</v>
      </c>
      <c r="S161" s="1"/>
      <c r="T161" s="1"/>
      <c r="U161" s="1"/>
      <c r="V161" s="1"/>
      <c r="W161" s="1" t="s">
        <v>9449</v>
      </c>
      <c r="X161" s="1"/>
      <c r="Y161" s="1"/>
      <c r="Z161" s="1"/>
      <c r="AA161" s="1"/>
      <c r="AB161" s="1" t="s">
        <v>9450</v>
      </c>
      <c r="AC161" s="1"/>
      <c r="AD161" s="1"/>
      <c r="AE161" s="1" t="s">
        <v>20</v>
      </c>
      <c r="AF161" s="1"/>
      <c r="AG161" s="1"/>
      <c r="AH161" s="1" t="s">
        <v>9451</v>
      </c>
      <c r="AI161" s="1"/>
      <c r="AJ161" s="1" t="s">
        <v>3932</v>
      </c>
      <c r="AK161" s="1" t="s">
        <v>3933</v>
      </c>
      <c r="AL161" s="1" t="s">
        <v>3934</v>
      </c>
      <c r="AM161" s="1" t="s">
        <v>3932</v>
      </c>
      <c r="AN161" s="1" t="s">
        <v>3933</v>
      </c>
      <c r="AO161" s="1" t="s">
        <v>3934</v>
      </c>
      <c r="AP161" s="2" t="s">
        <v>9452</v>
      </c>
      <c r="AQ161" s="2" t="s">
        <v>1154</v>
      </c>
      <c r="AR161" s="1" t="s">
        <v>286</v>
      </c>
      <c r="AS161" s="1" t="s">
        <v>9453</v>
      </c>
      <c r="AT161" s="1" t="s">
        <v>5</v>
      </c>
    </row>
    <row r="162" spans="1:46" hidden="1" x14ac:dyDescent="0.4">
      <c r="A162" s="1" t="s">
        <v>9454</v>
      </c>
      <c r="B162" s="10"/>
      <c r="C162" s="1" t="s">
        <v>93</v>
      </c>
      <c r="D162" s="1" t="s">
        <v>2211</v>
      </c>
      <c r="E162" s="1" t="s">
        <v>2078</v>
      </c>
      <c r="F162" s="1" t="s">
        <v>14</v>
      </c>
      <c r="G162" s="1" t="s">
        <v>1</v>
      </c>
      <c r="H162" s="1" t="s">
        <v>6</v>
      </c>
      <c r="I162" s="1" t="s">
        <v>2</v>
      </c>
      <c r="J162" s="1" t="s">
        <v>3</v>
      </c>
      <c r="K162" s="1" t="s">
        <v>9455</v>
      </c>
      <c r="L162" s="1" t="s">
        <v>7</v>
      </c>
      <c r="M162" s="1" t="s">
        <v>9</v>
      </c>
      <c r="N162" s="1" t="s">
        <v>9456</v>
      </c>
      <c r="O162" s="1" t="s">
        <v>15</v>
      </c>
      <c r="P162" s="1"/>
      <c r="Q162" s="1"/>
      <c r="R162" s="1" t="s">
        <v>11</v>
      </c>
      <c r="S162" s="1"/>
      <c r="T162" s="1"/>
      <c r="U162" s="1"/>
      <c r="V162" s="1"/>
      <c r="W162" s="1" t="s">
        <v>9457</v>
      </c>
      <c r="X162" s="1"/>
      <c r="Y162" s="1"/>
      <c r="Z162" s="1"/>
      <c r="AA162" s="1"/>
      <c r="AB162" s="1" t="s">
        <v>9458</v>
      </c>
      <c r="AC162" s="1"/>
      <c r="AD162" s="1"/>
      <c r="AE162" s="1" t="s">
        <v>20</v>
      </c>
      <c r="AF162" s="1"/>
      <c r="AG162" s="1"/>
      <c r="AH162" s="1" t="s">
        <v>9459</v>
      </c>
      <c r="AI162" s="1"/>
      <c r="AJ162" s="1" t="s">
        <v>3932</v>
      </c>
      <c r="AK162" s="1" t="s">
        <v>3933</v>
      </c>
      <c r="AL162" s="1" t="s">
        <v>3934</v>
      </c>
      <c r="AM162" s="1" t="s">
        <v>3932</v>
      </c>
      <c r="AN162" s="1" t="s">
        <v>3933</v>
      </c>
      <c r="AO162" s="1" t="s">
        <v>3934</v>
      </c>
      <c r="AP162" s="2" t="s">
        <v>9460</v>
      </c>
      <c r="AQ162" s="2" t="s">
        <v>1154</v>
      </c>
      <c r="AR162" s="1" t="s">
        <v>286</v>
      </c>
      <c r="AS162" s="1" t="s">
        <v>9461</v>
      </c>
      <c r="AT162" s="1" t="s">
        <v>5</v>
      </c>
    </row>
    <row r="163" spans="1:46" hidden="1" x14ac:dyDescent="0.4">
      <c r="A163" s="1" t="s">
        <v>9436</v>
      </c>
      <c r="B163" s="10"/>
      <c r="C163" s="1" t="s">
        <v>3626</v>
      </c>
      <c r="D163" s="1" t="s">
        <v>2211</v>
      </c>
      <c r="E163" s="1" t="s">
        <v>2078</v>
      </c>
      <c r="F163" s="1" t="s">
        <v>14</v>
      </c>
      <c r="G163" s="1" t="s">
        <v>1</v>
      </c>
      <c r="H163" s="1" t="s">
        <v>6</v>
      </c>
      <c r="I163" s="1" t="s">
        <v>2</v>
      </c>
      <c r="J163" s="1" t="s">
        <v>3514</v>
      </c>
      <c r="K163" s="1" t="s">
        <v>9437</v>
      </c>
      <c r="L163" s="1" t="s">
        <v>4</v>
      </c>
      <c r="M163" s="1" t="s">
        <v>9</v>
      </c>
      <c r="N163" s="1" t="s">
        <v>9438</v>
      </c>
      <c r="O163" s="1" t="s">
        <v>2214</v>
      </c>
      <c r="P163" s="1"/>
      <c r="Q163" s="1"/>
      <c r="R163" s="1" t="s">
        <v>11</v>
      </c>
      <c r="S163" s="1"/>
      <c r="T163" s="1"/>
      <c r="U163" s="1"/>
      <c r="V163" s="1"/>
      <c r="W163" s="1"/>
      <c r="X163" s="1" t="s">
        <v>9439</v>
      </c>
      <c r="Y163" s="1"/>
      <c r="Z163" s="1"/>
      <c r="AA163" s="1" t="s">
        <v>9440</v>
      </c>
      <c r="AB163" s="1" t="s">
        <v>9441</v>
      </c>
      <c r="AC163" s="1"/>
      <c r="AD163" s="1"/>
      <c r="AE163" s="1"/>
      <c r="AF163" s="1"/>
      <c r="AG163" s="1"/>
      <c r="AH163" s="1" t="s">
        <v>9442</v>
      </c>
      <c r="AI163" s="1"/>
      <c r="AJ163" s="1" t="s">
        <v>9443</v>
      </c>
      <c r="AK163" s="1" t="s">
        <v>4128</v>
      </c>
      <c r="AL163" s="1" t="s">
        <v>9444</v>
      </c>
      <c r="AM163" s="1" t="s">
        <v>9443</v>
      </c>
      <c r="AN163" s="1" t="s">
        <v>4128</v>
      </c>
      <c r="AO163" s="1" t="s">
        <v>9444</v>
      </c>
      <c r="AP163" s="2" t="s">
        <v>9445</v>
      </c>
      <c r="AQ163" s="2" t="s">
        <v>1154</v>
      </c>
      <c r="AR163" s="1" t="s">
        <v>286</v>
      </c>
      <c r="AS163" s="1"/>
      <c r="AT163" s="1" t="s">
        <v>5</v>
      </c>
    </row>
    <row r="164" spans="1:46" hidden="1" x14ac:dyDescent="0.4">
      <c r="A164" s="1" t="s">
        <v>4759</v>
      </c>
      <c r="B164" s="10"/>
      <c r="C164" s="1" t="s">
        <v>1664</v>
      </c>
      <c r="D164" s="1" t="s">
        <v>2157</v>
      </c>
      <c r="E164" s="1" t="s">
        <v>2078</v>
      </c>
      <c r="F164" s="1" t="s">
        <v>14</v>
      </c>
      <c r="G164" s="1" t="s">
        <v>1</v>
      </c>
      <c r="H164" s="1" t="s">
        <v>6</v>
      </c>
      <c r="I164" s="1" t="s">
        <v>2</v>
      </c>
      <c r="J164" s="1" t="s">
        <v>3</v>
      </c>
      <c r="K164" s="1" t="s">
        <v>4760</v>
      </c>
      <c r="L164" s="1" t="s">
        <v>7</v>
      </c>
      <c r="M164" s="1" t="s">
        <v>9</v>
      </c>
      <c r="N164" s="1" t="s">
        <v>4761</v>
      </c>
      <c r="O164" s="1" t="s">
        <v>4762</v>
      </c>
      <c r="P164" s="1"/>
      <c r="Q164" s="1"/>
      <c r="R164" s="1" t="s">
        <v>11</v>
      </c>
      <c r="S164" s="1"/>
      <c r="T164" s="1"/>
      <c r="U164" s="1"/>
      <c r="V164" s="1"/>
      <c r="W164" s="1" t="s">
        <v>4763</v>
      </c>
      <c r="X164" s="1" t="s">
        <v>4764</v>
      </c>
      <c r="Y164" s="1"/>
      <c r="Z164" s="1"/>
      <c r="AA164" s="1"/>
      <c r="AB164" s="1" t="s">
        <v>4765</v>
      </c>
      <c r="AC164" s="1"/>
      <c r="AD164" s="1"/>
      <c r="AE164" s="1" t="s">
        <v>4766</v>
      </c>
      <c r="AF164" s="1"/>
      <c r="AG164" s="1"/>
      <c r="AH164" s="1" t="s">
        <v>4767</v>
      </c>
      <c r="AI164" s="1"/>
      <c r="AJ164" s="1" t="s">
        <v>2586</v>
      </c>
      <c r="AK164" s="1" t="s">
        <v>2587</v>
      </c>
      <c r="AL164" s="1" t="s">
        <v>2588</v>
      </c>
      <c r="AM164" s="1" t="s">
        <v>2586</v>
      </c>
      <c r="AN164" s="1" t="s">
        <v>2587</v>
      </c>
      <c r="AO164" s="1" t="s">
        <v>2588</v>
      </c>
      <c r="AP164" s="2" t="s">
        <v>4768</v>
      </c>
      <c r="AQ164" s="2" t="s">
        <v>1153</v>
      </c>
      <c r="AR164" s="1" t="s">
        <v>286</v>
      </c>
      <c r="AS164" s="1"/>
      <c r="AT164" s="1" t="s">
        <v>5</v>
      </c>
    </row>
    <row r="165" spans="1:46" hidden="1" x14ac:dyDescent="0.4">
      <c r="A165" s="1" t="s">
        <v>11549</v>
      </c>
      <c r="B165" s="10"/>
      <c r="C165" s="1" t="s">
        <v>3626</v>
      </c>
      <c r="D165" s="1" t="s">
        <v>2211</v>
      </c>
      <c r="E165" s="1" t="s">
        <v>2078</v>
      </c>
      <c r="F165" s="1" t="s">
        <v>14</v>
      </c>
      <c r="G165" s="1" t="s">
        <v>1</v>
      </c>
      <c r="H165" s="1" t="s">
        <v>6</v>
      </c>
      <c r="I165" s="1" t="s">
        <v>2</v>
      </c>
      <c r="J165" s="1" t="s">
        <v>3514</v>
      </c>
      <c r="K165" s="1" t="s">
        <v>11550</v>
      </c>
      <c r="L165" s="1" t="s">
        <v>7</v>
      </c>
      <c r="M165" s="1" t="s">
        <v>9</v>
      </c>
      <c r="N165" s="1" t="s">
        <v>11551</v>
      </c>
      <c r="O165" s="1" t="s">
        <v>11552</v>
      </c>
      <c r="P165" s="1" t="s">
        <v>11553</v>
      </c>
      <c r="Q165" s="1" t="s">
        <v>12</v>
      </c>
      <c r="R165" s="1" t="s">
        <v>11</v>
      </c>
      <c r="S165" s="1"/>
      <c r="T165" s="1" t="s">
        <v>12</v>
      </c>
      <c r="U165" s="1" t="s">
        <v>11</v>
      </c>
      <c r="V165" s="1"/>
      <c r="W165" s="1"/>
      <c r="X165" s="1"/>
      <c r="Y165" s="1"/>
      <c r="Z165" s="1"/>
      <c r="AA165" s="1"/>
      <c r="AB165" s="1" t="s">
        <v>11554</v>
      </c>
      <c r="AC165" s="1"/>
      <c r="AD165" s="1"/>
      <c r="AE165" s="1"/>
      <c r="AF165" s="1"/>
      <c r="AG165" s="1"/>
      <c r="AH165" s="1" t="s">
        <v>11555</v>
      </c>
      <c r="AI165" s="1"/>
      <c r="AJ165" s="1" t="s">
        <v>11556</v>
      </c>
      <c r="AK165" s="1" t="s">
        <v>2587</v>
      </c>
      <c r="AL165" s="1" t="s">
        <v>11557</v>
      </c>
      <c r="AM165" s="1" t="s">
        <v>11556</v>
      </c>
      <c r="AN165" s="1" t="s">
        <v>2587</v>
      </c>
      <c r="AO165" s="1" t="s">
        <v>11557</v>
      </c>
      <c r="AP165" s="2" t="s">
        <v>11558</v>
      </c>
      <c r="AQ165" s="2" t="s">
        <v>1155</v>
      </c>
      <c r="AR165" s="1" t="s">
        <v>286</v>
      </c>
      <c r="AS165" s="1" t="s">
        <v>11559</v>
      </c>
      <c r="AT165" s="1" t="s">
        <v>5</v>
      </c>
    </row>
    <row r="166" spans="1:46" hidden="1" x14ac:dyDescent="0.4">
      <c r="A166" s="1" t="s">
        <v>3473</v>
      </c>
      <c r="B166" s="10"/>
      <c r="C166" s="1" t="s">
        <v>2491</v>
      </c>
      <c r="D166" s="1" t="s">
        <v>2211</v>
      </c>
      <c r="E166" s="1" t="s">
        <v>2078</v>
      </c>
      <c r="F166" s="1" t="s">
        <v>14</v>
      </c>
      <c r="G166" s="1" t="s">
        <v>1</v>
      </c>
      <c r="H166" s="1" t="s">
        <v>6</v>
      </c>
      <c r="I166" s="1" t="s">
        <v>2</v>
      </c>
      <c r="J166" s="1" t="s">
        <v>2492</v>
      </c>
      <c r="K166" s="1" t="s">
        <v>3474</v>
      </c>
      <c r="L166" s="1" t="s">
        <v>7</v>
      </c>
      <c r="M166" s="1"/>
      <c r="N166" s="1" t="s">
        <v>3475</v>
      </c>
      <c r="O166" s="1" t="s">
        <v>3476</v>
      </c>
      <c r="P166" s="1"/>
      <c r="Q166" s="1"/>
      <c r="R166" s="1" t="s">
        <v>11</v>
      </c>
      <c r="S166" s="1"/>
      <c r="T166" s="1"/>
      <c r="U166" s="1"/>
      <c r="V166" s="1"/>
      <c r="W166" s="1" t="s">
        <v>3477</v>
      </c>
      <c r="X166" s="1" t="s">
        <v>3478</v>
      </c>
      <c r="Y166" s="1"/>
      <c r="Z166" s="1"/>
      <c r="AA166" s="1"/>
      <c r="AB166" s="1" t="s">
        <v>3479</v>
      </c>
      <c r="AC166" s="1"/>
      <c r="AD166" s="1"/>
      <c r="AE166" s="1"/>
      <c r="AF166" s="1"/>
      <c r="AG166" s="1"/>
      <c r="AH166" s="1" t="s">
        <v>3480</v>
      </c>
      <c r="AI166" s="1"/>
      <c r="AJ166" s="1" t="s">
        <v>3481</v>
      </c>
      <c r="AK166" s="1" t="s">
        <v>3482</v>
      </c>
      <c r="AL166" s="1" t="s">
        <v>3483</v>
      </c>
      <c r="AM166" s="1" t="s">
        <v>3481</v>
      </c>
      <c r="AN166" s="1" t="s">
        <v>3482</v>
      </c>
      <c r="AO166" s="1" t="s">
        <v>3483</v>
      </c>
      <c r="AP166" s="2" t="s">
        <v>3484</v>
      </c>
      <c r="AQ166" s="2" t="s">
        <v>1077</v>
      </c>
      <c r="AR166" s="1" t="s">
        <v>287</v>
      </c>
      <c r="AS166" s="1" t="s">
        <v>3485</v>
      </c>
      <c r="AT166" s="1" t="s">
        <v>5</v>
      </c>
    </row>
    <row r="167" spans="1:46" hidden="1" x14ac:dyDescent="0.4">
      <c r="A167" s="1" t="s">
        <v>3098</v>
      </c>
      <c r="B167" s="10"/>
      <c r="C167" s="1" t="s">
        <v>2544</v>
      </c>
      <c r="D167" s="1" t="s">
        <v>2211</v>
      </c>
      <c r="E167" s="1" t="s">
        <v>13</v>
      </c>
      <c r="F167" s="1" t="s">
        <v>14</v>
      </c>
      <c r="G167" s="1" t="s">
        <v>1</v>
      </c>
      <c r="H167" s="1" t="s">
        <v>6</v>
      </c>
      <c r="I167" s="1" t="s">
        <v>2</v>
      </c>
      <c r="J167" s="1" t="s">
        <v>2451</v>
      </c>
      <c r="K167" s="1" t="s">
        <v>3099</v>
      </c>
      <c r="L167" s="1" t="s">
        <v>7</v>
      </c>
      <c r="M167" s="1" t="s">
        <v>9</v>
      </c>
      <c r="N167" s="1" t="s">
        <v>3100</v>
      </c>
      <c r="O167" s="1" t="s">
        <v>15</v>
      </c>
      <c r="P167" s="1"/>
      <c r="Q167" s="1"/>
      <c r="R167" s="1" t="s">
        <v>11</v>
      </c>
      <c r="S167" s="1"/>
      <c r="T167" s="1"/>
      <c r="U167" s="1"/>
      <c r="V167" s="1"/>
      <c r="W167" s="1" t="s">
        <v>3101</v>
      </c>
      <c r="X167" s="1" t="s">
        <v>3102</v>
      </c>
      <c r="Y167" s="1"/>
      <c r="Z167" s="1"/>
      <c r="AA167" s="1"/>
      <c r="AB167" s="1" t="s">
        <v>3103</v>
      </c>
      <c r="AC167" s="1"/>
      <c r="AD167" s="1"/>
      <c r="AE167" s="1"/>
      <c r="AF167" s="1"/>
      <c r="AG167" s="1"/>
      <c r="AH167" s="1" t="s">
        <v>3104</v>
      </c>
      <c r="AI167" s="1"/>
      <c r="AJ167" s="1" t="s">
        <v>3105</v>
      </c>
      <c r="AK167" s="1" t="s">
        <v>3106</v>
      </c>
      <c r="AL167" s="1" t="s">
        <v>3107</v>
      </c>
      <c r="AM167" s="1" t="s">
        <v>3105</v>
      </c>
      <c r="AN167" s="1" t="s">
        <v>3106</v>
      </c>
      <c r="AO167" s="1" t="s">
        <v>3107</v>
      </c>
      <c r="AP167" s="2" t="s">
        <v>3108</v>
      </c>
      <c r="AQ167" s="2" t="s">
        <v>1155</v>
      </c>
      <c r="AR167" s="1"/>
      <c r="AS167" s="1"/>
      <c r="AT167" s="1" t="s">
        <v>5</v>
      </c>
    </row>
    <row r="168" spans="1:46" hidden="1" x14ac:dyDescent="0.4">
      <c r="A168" s="1" t="s">
        <v>6826</v>
      </c>
      <c r="B168" s="10"/>
      <c r="C168" s="1" t="s">
        <v>93</v>
      </c>
      <c r="D168" s="1" t="s">
        <v>2211</v>
      </c>
      <c r="E168" s="1" t="s">
        <v>2078</v>
      </c>
      <c r="F168" s="1" t="s">
        <v>14</v>
      </c>
      <c r="G168" s="1" t="s">
        <v>1</v>
      </c>
      <c r="H168" s="1" t="s">
        <v>6</v>
      </c>
      <c r="I168" s="1" t="s">
        <v>2</v>
      </c>
      <c r="J168" s="1" t="s">
        <v>3</v>
      </c>
      <c r="K168" s="1" t="s">
        <v>6827</v>
      </c>
      <c r="L168" s="1" t="s">
        <v>7</v>
      </c>
      <c r="M168" s="1"/>
      <c r="N168" s="1" t="s">
        <v>6828</v>
      </c>
      <c r="O168" s="1" t="s">
        <v>5256</v>
      </c>
      <c r="P168" s="1"/>
      <c r="Q168" s="1"/>
      <c r="R168" s="1" t="s">
        <v>11</v>
      </c>
      <c r="S168" s="1"/>
      <c r="T168" s="1"/>
      <c r="U168" s="1"/>
      <c r="V168" s="1"/>
      <c r="W168" s="1" t="s">
        <v>6829</v>
      </c>
      <c r="X168" s="1"/>
      <c r="Y168" s="1"/>
      <c r="Z168" s="1"/>
      <c r="AA168" s="1"/>
      <c r="AB168" s="1" t="s">
        <v>6830</v>
      </c>
      <c r="AC168" s="1"/>
      <c r="AD168" s="1"/>
      <c r="AE168" s="1" t="s">
        <v>6831</v>
      </c>
      <c r="AF168" s="1"/>
      <c r="AG168" s="1"/>
      <c r="AH168" s="1" t="s">
        <v>6832</v>
      </c>
      <c r="AI168" s="1" t="s">
        <v>6833</v>
      </c>
      <c r="AJ168" s="1" t="s">
        <v>6822</v>
      </c>
      <c r="AK168" s="1" t="s">
        <v>6275</v>
      </c>
      <c r="AL168" s="1" t="s">
        <v>6823</v>
      </c>
      <c r="AM168" s="1" t="s">
        <v>6822</v>
      </c>
      <c r="AN168" s="1" t="s">
        <v>6275</v>
      </c>
      <c r="AO168" s="1" t="s">
        <v>6823</v>
      </c>
      <c r="AP168" s="2" t="s">
        <v>6834</v>
      </c>
      <c r="AQ168" s="2" t="s">
        <v>1077</v>
      </c>
      <c r="AR168" s="1" t="s">
        <v>286</v>
      </c>
      <c r="AS168" s="1" t="s">
        <v>6825</v>
      </c>
      <c r="AT168" s="1" t="s">
        <v>5</v>
      </c>
    </row>
    <row r="169" spans="1:46" hidden="1" x14ac:dyDescent="0.4">
      <c r="A169" s="1" t="s">
        <v>5264</v>
      </c>
      <c r="B169" s="10"/>
      <c r="C169" s="1" t="s">
        <v>93</v>
      </c>
      <c r="D169" s="1" t="s">
        <v>2211</v>
      </c>
      <c r="E169" s="1" t="s">
        <v>2078</v>
      </c>
      <c r="F169" s="1" t="s">
        <v>14</v>
      </c>
      <c r="G169" s="1" t="s">
        <v>1</v>
      </c>
      <c r="H169" s="1" t="s">
        <v>6</v>
      </c>
      <c r="I169" s="1" t="s">
        <v>2</v>
      </c>
      <c r="J169" s="1" t="s">
        <v>3</v>
      </c>
      <c r="K169" s="1" t="s">
        <v>5265</v>
      </c>
      <c r="L169" s="1" t="s">
        <v>7</v>
      </c>
      <c r="M169" s="1"/>
      <c r="N169" s="1" t="s">
        <v>5266</v>
      </c>
      <c r="O169" s="1" t="s">
        <v>5256</v>
      </c>
      <c r="P169" s="1"/>
      <c r="Q169" s="1"/>
      <c r="R169" s="1" t="s">
        <v>11</v>
      </c>
      <c r="S169" s="1"/>
      <c r="T169" s="1"/>
      <c r="U169" s="1"/>
      <c r="V169" s="1"/>
      <c r="W169" s="1"/>
      <c r="X169" s="1"/>
      <c r="Y169" s="1"/>
      <c r="Z169" s="1"/>
      <c r="AA169" s="1"/>
      <c r="AB169" s="1" t="s">
        <v>5267</v>
      </c>
      <c r="AC169" s="1"/>
      <c r="AD169" s="1"/>
      <c r="AE169" s="1"/>
      <c r="AF169" s="1"/>
      <c r="AG169" s="1"/>
      <c r="AH169" s="1" t="s">
        <v>5268</v>
      </c>
      <c r="AI169" s="1"/>
      <c r="AJ169" s="1" t="s">
        <v>5259</v>
      </c>
      <c r="AK169" s="1" t="s">
        <v>5260</v>
      </c>
      <c r="AL169" s="1" t="s">
        <v>5261</v>
      </c>
      <c r="AM169" s="1" t="s">
        <v>5259</v>
      </c>
      <c r="AN169" s="1" t="s">
        <v>5260</v>
      </c>
      <c r="AO169" s="1" t="s">
        <v>5261</v>
      </c>
      <c r="AP169" s="2" t="s">
        <v>5269</v>
      </c>
      <c r="AQ169" s="2" t="s">
        <v>1077</v>
      </c>
      <c r="AR169" s="1" t="s">
        <v>286</v>
      </c>
      <c r="AS169" s="1" t="s">
        <v>5270</v>
      </c>
      <c r="AT169" s="1" t="s">
        <v>5</v>
      </c>
    </row>
    <row r="170" spans="1:46" hidden="1" x14ac:dyDescent="0.4">
      <c r="A170" s="1" t="s">
        <v>8507</v>
      </c>
      <c r="B170" s="10"/>
      <c r="C170" s="1" t="s">
        <v>93</v>
      </c>
      <c r="D170" s="1" t="s">
        <v>2211</v>
      </c>
      <c r="E170" s="1" t="s">
        <v>2078</v>
      </c>
      <c r="F170" s="1" t="s">
        <v>14</v>
      </c>
      <c r="G170" s="1" t="s">
        <v>1</v>
      </c>
      <c r="H170" s="1" t="s">
        <v>6</v>
      </c>
      <c r="I170" s="1" t="s">
        <v>2</v>
      </c>
      <c r="J170" s="1" t="s">
        <v>3</v>
      </c>
      <c r="K170" s="1" t="s">
        <v>8508</v>
      </c>
      <c r="L170" s="1" t="s">
        <v>7</v>
      </c>
      <c r="M170" s="1"/>
      <c r="N170" s="1" t="s">
        <v>8509</v>
      </c>
      <c r="O170" s="1" t="s">
        <v>15</v>
      </c>
      <c r="P170" s="1"/>
      <c r="Q170" s="1"/>
      <c r="R170" s="1" t="s">
        <v>11</v>
      </c>
      <c r="S170" s="1"/>
      <c r="T170" s="1"/>
      <c r="U170" s="1"/>
      <c r="V170" s="1"/>
      <c r="W170" s="1" t="s">
        <v>8510</v>
      </c>
      <c r="X170" s="1"/>
      <c r="Y170" s="1"/>
      <c r="Z170" s="1"/>
      <c r="AA170" s="1"/>
      <c r="AB170" s="1" t="s">
        <v>8511</v>
      </c>
      <c r="AC170" s="1"/>
      <c r="AD170" s="1"/>
      <c r="AE170" s="1" t="s">
        <v>20</v>
      </c>
      <c r="AF170" s="1"/>
      <c r="AG170" s="1"/>
      <c r="AH170" s="1" t="s">
        <v>8512</v>
      </c>
      <c r="AI170" s="1"/>
      <c r="AJ170" s="1" t="s">
        <v>5935</v>
      </c>
      <c r="AK170" s="1" t="s">
        <v>1787</v>
      </c>
      <c r="AL170" s="1" t="s">
        <v>5936</v>
      </c>
      <c r="AM170" s="1" t="s">
        <v>8513</v>
      </c>
      <c r="AN170" s="1" t="s">
        <v>1787</v>
      </c>
      <c r="AO170" s="1" t="s">
        <v>8514</v>
      </c>
      <c r="AP170" s="2" t="s">
        <v>8515</v>
      </c>
      <c r="AQ170" s="2" t="s">
        <v>1154</v>
      </c>
      <c r="AR170" s="1" t="s">
        <v>286</v>
      </c>
      <c r="AS170" s="1" t="s">
        <v>8516</v>
      </c>
      <c r="AT170" s="1" t="s">
        <v>5</v>
      </c>
    </row>
    <row r="171" spans="1:46" hidden="1" x14ac:dyDescent="0.4">
      <c r="A171" s="1" t="s">
        <v>9008</v>
      </c>
      <c r="B171" s="10"/>
      <c r="C171" s="1" t="s">
        <v>2675</v>
      </c>
      <c r="D171" s="1" t="s">
        <v>2157</v>
      </c>
      <c r="E171" s="1" t="s">
        <v>2078</v>
      </c>
      <c r="F171" s="1" t="s">
        <v>14</v>
      </c>
      <c r="G171" s="1" t="s">
        <v>1</v>
      </c>
      <c r="H171" s="1" t="s">
        <v>6</v>
      </c>
      <c r="I171" s="1" t="s">
        <v>2</v>
      </c>
      <c r="J171" s="1" t="s">
        <v>2450</v>
      </c>
      <c r="K171" s="1" t="s">
        <v>9009</v>
      </c>
      <c r="L171" s="1" t="s">
        <v>4</v>
      </c>
      <c r="M171" s="1"/>
      <c r="N171" s="1" t="s">
        <v>9010</v>
      </c>
      <c r="O171" s="1" t="s">
        <v>8996</v>
      </c>
      <c r="P171" s="1"/>
      <c r="Q171" s="1"/>
      <c r="R171" s="1" t="s">
        <v>11</v>
      </c>
      <c r="S171" s="1"/>
      <c r="T171" s="1"/>
      <c r="U171" s="1"/>
      <c r="V171" s="1"/>
      <c r="W171" s="1"/>
      <c r="X171" s="1" t="s">
        <v>8997</v>
      </c>
      <c r="Y171" s="1"/>
      <c r="Z171" s="1"/>
      <c r="AA171" s="1"/>
      <c r="AB171" s="1" t="s">
        <v>9011</v>
      </c>
      <c r="AC171" s="1"/>
      <c r="AD171" s="1"/>
      <c r="AE171" s="1" t="s">
        <v>8999</v>
      </c>
      <c r="AF171" s="1"/>
      <c r="AG171" s="1"/>
      <c r="AH171" s="1" t="s">
        <v>9012</v>
      </c>
      <c r="AI171" s="1"/>
      <c r="AJ171" s="1" t="s">
        <v>8238</v>
      </c>
      <c r="AK171" s="1" t="s">
        <v>8239</v>
      </c>
      <c r="AL171" s="1" t="s">
        <v>8240</v>
      </c>
      <c r="AM171" s="1" t="s">
        <v>8238</v>
      </c>
      <c r="AN171" s="1" t="s">
        <v>8239</v>
      </c>
      <c r="AO171" s="1" t="s">
        <v>8240</v>
      </c>
      <c r="AP171" s="2" t="s">
        <v>9013</v>
      </c>
      <c r="AQ171" s="2" t="s">
        <v>1154</v>
      </c>
      <c r="AR171" s="1" t="s">
        <v>286</v>
      </c>
      <c r="AS171" s="1"/>
      <c r="AT171" s="1" t="s">
        <v>5</v>
      </c>
    </row>
    <row r="172" spans="1:46" hidden="1" x14ac:dyDescent="0.4">
      <c r="A172" s="1" t="s">
        <v>9608</v>
      </c>
      <c r="B172" s="10"/>
      <c r="C172" s="1" t="s">
        <v>2705</v>
      </c>
      <c r="D172" s="1" t="s">
        <v>2211</v>
      </c>
      <c r="E172" s="1" t="s">
        <v>2078</v>
      </c>
      <c r="F172" s="1" t="s">
        <v>14</v>
      </c>
      <c r="G172" s="1" t="s">
        <v>1</v>
      </c>
      <c r="H172" s="1" t="s">
        <v>6</v>
      </c>
      <c r="I172" s="1" t="s">
        <v>2</v>
      </c>
      <c r="J172" s="1" t="s">
        <v>2450</v>
      </c>
      <c r="K172" s="1" t="s">
        <v>9609</v>
      </c>
      <c r="L172" s="1" t="s">
        <v>4</v>
      </c>
      <c r="M172" s="1" t="s">
        <v>9</v>
      </c>
      <c r="N172" s="1" t="s">
        <v>9610</v>
      </c>
      <c r="O172" s="1" t="s">
        <v>9611</v>
      </c>
      <c r="P172" s="1"/>
      <c r="Q172" s="1"/>
      <c r="R172" s="1" t="s">
        <v>11</v>
      </c>
      <c r="S172" s="1"/>
      <c r="T172" s="1"/>
      <c r="U172" s="1"/>
      <c r="V172" s="1"/>
      <c r="W172" s="1"/>
      <c r="X172" s="1" t="s">
        <v>9475</v>
      </c>
      <c r="Y172" s="1"/>
      <c r="Z172" s="1"/>
      <c r="AA172" s="1"/>
      <c r="AB172" s="1" t="s">
        <v>9612</v>
      </c>
      <c r="AC172" s="1"/>
      <c r="AD172" s="1"/>
      <c r="AE172" s="1" t="s">
        <v>9477</v>
      </c>
      <c r="AF172" s="1"/>
      <c r="AG172" s="1"/>
      <c r="AH172" s="1" t="s">
        <v>9613</v>
      </c>
      <c r="AI172" s="1"/>
      <c r="AJ172" s="1" t="s">
        <v>9479</v>
      </c>
      <c r="AK172" s="1" t="s">
        <v>9480</v>
      </c>
      <c r="AL172" s="1" t="s">
        <v>9481</v>
      </c>
      <c r="AM172" s="1" t="s">
        <v>9479</v>
      </c>
      <c r="AN172" s="1" t="s">
        <v>9480</v>
      </c>
      <c r="AO172" s="1" t="s">
        <v>9481</v>
      </c>
      <c r="AP172" s="2" t="s">
        <v>9614</v>
      </c>
      <c r="AQ172" s="2" t="s">
        <v>1155</v>
      </c>
      <c r="AR172" s="1" t="s">
        <v>286</v>
      </c>
      <c r="AS172" s="1"/>
      <c r="AT172" s="1" t="s">
        <v>5</v>
      </c>
    </row>
    <row r="173" spans="1:46" hidden="1" x14ac:dyDescent="0.4">
      <c r="A173" s="1" t="s">
        <v>6855</v>
      </c>
      <c r="B173" s="10"/>
      <c r="C173" s="1" t="s">
        <v>2480</v>
      </c>
      <c r="D173" s="1" t="s">
        <v>2211</v>
      </c>
      <c r="E173" s="1" t="s">
        <v>2078</v>
      </c>
      <c r="F173" s="1" t="s">
        <v>14</v>
      </c>
      <c r="G173" s="1" t="s">
        <v>1</v>
      </c>
      <c r="H173" s="1" t="s">
        <v>6</v>
      </c>
      <c r="I173" s="1" t="s">
        <v>2</v>
      </c>
      <c r="J173" s="1" t="s">
        <v>3</v>
      </c>
      <c r="K173" s="1" t="s">
        <v>6856</v>
      </c>
      <c r="L173" s="1" t="s">
        <v>7</v>
      </c>
      <c r="M173" s="1"/>
      <c r="N173" s="1" t="s">
        <v>6194</v>
      </c>
      <c r="O173" s="1" t="s">
        <v>6195</v>
      </c>
      <c r="P173" s="1"/>
      <c r="Q173" s="1"/>
      <c r="R173" s="1" t="s">
        <v>11</v>
      </c>
      <c r="S173" s="1"/>
      <c r="T173" s="1"/>
      <c r="U173" s="1"/>
      <c r="V173" s="1"/>
      <c r="W173" s="1"/>
      <c r="X173" s="1"/>
      <c r="Y173" s="1"/>
      <c r="Z173" s="1"/>
      <c r="AA173" s="1"/>
      <c r="AB173" s="1" t="s">
        <v>6857</v>
      </c>
      <c r="AC173" s="1"/>
      <c r="AD173" s="1"/>
      <c r="AE173" s="1" t="s">
        <v>6858</v>
      </c>
      <c r="AF173" s="1"/>
      <c r="AG173" s="1"/>
      <c r="AH173" s="1" t="s">
        <v>6859</v>
      </c>
      <c r="AI173" s="1"/>
      <c r="AJ173" s="1" t="s">
        <v>6860</v>
      </c>
      <c r="AK173" s="1" t="s">
        <v>6861</v>
      </c>
      <c r="AL173" s="1" t="s">
        <v>6862</v>
      </c>
      <c r="AM173" s="1" t="s">
        <v>6863</v>
      </c>
      <c r="AN173" s="1" t="s">
        <v>3404</v>
      </c>
      <c r="AO173" s="1" t="s">
        <v>6864</v>
      </c>
      <c r="AP173" s="2" t="s">
        <v>6865</v>
      </c>
      <c r="AQ173" s="2" t="s">
        <v>1077</v>
      </c>
      <c r="AR173" s="1" t="s">
        <v>286</v>
      </c>
      <c r="AS173" s="1"/>
      <c r="AT173" s="1" t="s">
        <v>5</v>
      </c>
    </row>
    <row r="174" spans="1:46" hidden="1" x14ac:dyDescent="0.4">
      <c r="A174" s="1" t="s">
        <v>7073</v>
      </c>
      <c r="B174" s="10"/>
      <c r="C174" s="1" t="s">
        <v>93</v>
      </c>
      <c r="D174" s="1" t="s">
        <v>2076</v>
      </c>
      <c r="E174" s="1" t="s">
        <v>13</v>
      </c>
      <c r="F174" s="1" t="s">
        <v>14</v>
      </c>
      <c r="G174" s="1" t="s">
        <v>1</v>
      </c>
      <c r="H174" s="1" t="s">
        <v>6</v>
      </c>
      <c r="I174" s="1" t="s">
        <v>2</v>
      </c>
      <c r="J174" s="1" t="s">
        <v>3</v>
      </c>
      <c r="K174" s="1" t="s">
        <v>7074</v>
      </c>
      <c r="L174" s="1" t="s">
        <v>7</v>
      </c>
      <c r="M174" s="1"/>
      <c r="N174" s="1" t="s">
        <v>7075</v>
      </c>
      <c r="O174" s="1" t="s">
        <v>7076</v>
      </c>
      <c r="P174" s="1"/>
      <c r="Q174" s="1"/>
      <c r="R174" s="1" t="s">
        <v>11</v>
      </c>
      <c r="S174" s="1"/>
      <c r="T174" s="1"/>
      <c r="U174" s="1"/>
      <c r="V174" s="1"/>
      <c r="W174" s="1" t="s">
        <v>7077</v>
      </c>
      <c r="X174" s="1"/>
      <c r="Y174" s="1"/>
      <c r="Z174" s="1"/>
      <c r="AA174" s="1"/>
      <c r="AB174" s="1" t="s">
        <v>7078</v>
      </c>
      <c r="AC174" s="1"/>
      <c r="AD174" s="1"/>
      <c r="AE174" s="1"/>
      <c r="AF174" s="1"/>
      <c r="AG174" s="1"/>
      <c r="AH174" s="1" t="s">
        <v>7079</v>
      </c>
      <c r="AI174" s="1"/>
      <c r="AJ174" s="1" t="s">
        <v>6930</v>
      </c>
      <c r="AK174" s="1" t="s">
        <v>6931</v>
      </c>
      <c r="AL174" s="1" t="s">
        <v>6932</v>
      </c>
      <c r="AM174" s="1" t="s">
        <v>6930</v>
      </c>
      <c r="AN174" s="1" t="s">
        <v>6931</v>
      </c>
      <c r="AO174" s="1" t="s">
        <v>6932</v>
      </c>
      <c r="AP174" s="2" t="s">
        <v>7080</v>
      </c>
      <c r="AQ174" s="2" t="s">
        <v>1077</v>
      </c>
      <c r="AR174" s="1" t="s">
        <v>286</v>
      </c>
      <c r="AS174" s="1"/>
      <c r="AT174" s="1" t="s">
        <v>5</v>
      </c>
    </row>
    <row r="175" spans="1:46" hidden="1" x14ac:dyDescent="0.4">
      <c r="A175" s="1" t="s">
        <v>10689</v>
      </c>
      <c r="B175" s="10"/>
      <c r="C175" s="1" t="s">
        <v>0</v>
      </c>
      <c r="D175" s="1" t="s">
        <v>2157</v>
      </c>
      <c r="E175" s="1" t="s">
        <v>2078</v>
      </c>
      <c r="F175" s="1" t="s">
        <v>14</v>
      </c>
      <c r="G175" s="1" t="s">
        <v>1</v>
      </c>
      <c r="H175" s="1" t="s">
        <v>6</v>
      </c>
      <c r="I175" s="1" t="s">
        <v>2</v>
      </c>
      <c r="J175" s="1" t="s">
        <v>3</v>
      </c>
      <c r="K175" s="1" t="s">
        <v>10690</v>
      </c>
      <c r="L175" s="1" t="s">
        <v>7</v>
      </c>
      <c r="M175" s="1" t="s">
        <v>9</v>
      </c>
      <c r="N175" s="1" t="s">
        <v>10691</v>
      </c>
      <c r="O175" s="1" t="s">
        <v>15</v>
      </c>
      <c r="P175" s="1"/>
      <c r="Q175" s="1"/>
      <c r="R175" s="1" t="s">
        <v>11</v>
      </c>
      <c r="S175" s="1"/>
      <c r="T175" s="1"/>
      <c r="U175" s="1"/>
      <c r="V175" s="1"/>
      <c r="W175" s="1" t="s">
        <v>10692</v>
      </c>
      <c r="X175" s="1"/>
      <c r="Y175" s="1"/>
      <c r="Z175" s="1"/>
      <c r="AA175" s="1"/>
      <c r="AB175" s="1" t="s">
        <v>10693</v>
      </c>
      <c r="AC175" s="1"/>
      <c r="AD175" s="1"/>
      <c r="AE175" s="1" t="s">
        <v>20</v>
      </c>
      <c r="AF175" s="1"/>
      <c r="AG175" s="1"/>
      <c r="AH175" s="1" t="s">
        <v>10694</v>
      </c>
      <c r="AI175" s="1"/>
      <c r="AJ175" s="1" t="s">
        <v>10695</v>
      </c>
      <c r="AK175" s="1" t="s">
        <v>10696</v>
      </c>
      <c r="AL175" s="1" t="s">
        <v>10697</v>
      </c>
      <c r="AM175" s="1" t="s">
        <v>10698</v>
      </c>
      <c r="AN175" s="1" t="s">
        <v>10696</v>
      </c>
      <c r="AO175" s="1" t="s">
        <v>10699</v>
      </c>
      <c r="AP175" s="2" t="s">
        <v>10700</v>
      </c>
      <c r="AQ175" s="2" t="s">
        <v>1155</v>
      </c>
      <c r="AR175" s="1" t="s">
        <v>286</v>
      </c>
      <c r="AS175" s="1" t="s">
        <v>970</v>
      </c>
      <c r="AT175" s="1" t="s">
        <v>5</v>
      </c>
    </row>
    <row r="176" spans="1:46" hidden="1" x14ac:dyDescent="0.4">
      <c r="A176" s="1" t="s">
        <v>8676</v>
      </c>
      <c r="B176" s="10"/>
      <c r="C176" s="1" t="s">
        <v>93</v>
      </c>
      <c r="D176" s="1" t="s">
        <v>2076</v>
      </c>
      <c r="E176" s="1" t="s">
        <v>2078</v>
      </c>
      <c r="F176" s="1" t="s">
        <v>14</v>
      </c>
      <c r="G176" s="1" t="s">
        <v>1</v>
      </c>
      <c r="H176" s="1" t="s">
        <v>6</v>
      </c>
      <c r="I176" s="1" t="s">
        <v>2</v>
      </c>
      <c r="J176" s="1" t="s">
        <v>3</v>
      </c>
      <c r="K176" s="1" t="s">
        <v>8677</v>
      </c>
      <c r="L176" s="1" t="s">
        <v>7</v>
      </c>
      <c r="M176" s="1"/>
      <c r="N176" s="1" t="s">
        <v>8678</v>
      </c>
      <c r="O176" s="1" t="s">
        <v>7507</v>
      </c>
      <c r="P176" s="1"/>
      <c r="Q176" s="1"/>
      <c r="R176" s="1" t="s">
        <v>11</v>
      </c>
      <c r="S176" s="1"/>
      <c r="T176" s="1"/>
      <c r="U176" s="1"/>
      <c r="V176" s="1"/>
      <c r="W176" s="1"/>
      <c r="X176" s="1"/>
      <c r="Y176" s="1"/>
      <c r="Z176" s="1"/>
      <c r="AA176" s="1"/>
      <c r="AB176" s="1" t="s">
        <v>8679</v>
      </c>
      <c r="AC176" s="1"/>
      <c r="AD176" s="1"/>
      <c r="AE176" s="1" t="s">
        <v>8680</v>
      </c>
      <c r="AF176" s="1"/>
      <c r="AG176" s="1"/>
      <c r="AH176" s="1" t="s">
        <v>8681</v>
      </c>
      <c r="AI176" s="1"/>
      <c r="AJ176" s="1" t="s">
        <v>8395</v>
      </c>
      <c r="AK176" s="1" t="s">
        <v>8396</v>
      </c>
      <c r="AL176" s="1" t="s">
        <v>8397</v>
      </c>
      <c r="AM176" s="1" t="s">
        <v>8395</v>
      </c>
      <c r="AN176" s="1" t="s">
        <v>8396</v>
      </c>
      <c r="AO176" s="1" t="s">
        <v>8397</v>
      </c>
      <c r="AP176" s="2" t="s">
        <v>8682</v>
      </c>
      <c r="AQ176" s="2" t="s">
        <v>1154</v>
      </c>
      <c r="AR176" s="1" t="s">
        <v>286</v>
      </c>
      <c r="AS176" s="1" t="s">
        <v>8683</v>
      </c>
      <c r="AT176" s="1" t="s">
        <v>5</v>
      </c>
    </row>
    <row r="177" spans="1:46" hidden="1" x14ac:dyDescent="0.4">
      <c r="A177" s="1" t="s">
        <v>3179</v>
      </c>
      <c r="B177" s="10"/>
      <c r="C177" s="1" t="s">
        <v>2841</v>
      </c>
      <c r="D177" s="1" t="s">
        <v>2157</v>
      </c>
      <c r="E177" s="1" t="s">
        <v>2078</v>
      </c>
      <c r="F177" s="1" t="s">
        <v>14</v>
      </c>
      <c r="G177" s="1" t="s">
        <v>1</v>
      </c>
      <c r="H177" s="1" t="s">
        <v>6</v>
      </c>
      <c r="I177" s="1" t="s">
        <v>2</v>
      </c>
      <c r="J177" s="1" t="s">
        <v>2842</v>
      </c>
      <c r="K177" s="1" t="s">
        <v>3180</v>
      </c>
      <c r="L177" s="1" t="s">
        <v>7</v>
      </c>
      <c r="M177" s="1"/>
      <c r="N177" s="1" t="s">
        <v>3181</v>
      </c>
      <c r="O177" s="1" t="s">
        <v>3182</v>
      </c>
      <c r="P177" s="1"/>
      <c r="Q177" s="1"/>
      <c r="R177" s="1" t="s">
        <v>11</v>
      </c>
      <c r="S177" s="1"/>
      <c r="T177" s="1"/>
      <c r="U177" s="1"/>
      <c r="V177" s="1"/>
      <c r="W177" s="1"/>
      <c r="X177" s="1" t="s">
        <v>3183</v>
      </c>
      <c r="Y177" s="1"/>
      <c r="Z177" s="1"/>
      <c r="AA177" s="1"/>
      <c r="AB177" s="1" t="s">
        <v>3184</v>
      </c>
      <c r="AC177" s="1"/>
      <c r="AD177" s="1"/>
      <c r="AE177" s="1"/>
      <c r="AF177" s="1"/>
      <c r="AG177" s="1"/>
      <c r="AH177" s="1" t="s">
        <v>3185</v>
      </c>
      <c r="AI177" s="1"/>
      <c r="AJ177" s="1" t="s">
        <v>2851</v>
      </c>
      <c r="AK177" s="1" t="s">
        <v>3186</v>
      </c>
      <c r="AL177" s="1"/>
      <c r="AM177" s="1" t="s">
        <v>2851</v>
      </c>
      <c r="AN177" s="1" t="s">
        <v>3186</v>
      </c>
      <c r="AO177" s="1"/>
      <c r="AP177" s="2" t="s">
        <v>3187</v>
      </c>
      <c r="AQ177" s="2" t="s">
        <v>1153</v>
      </c>
      <c r="AR177" s="1"/>
      <c r="AS177" s="1"/>
      <c r="AT177" s="1" t="s">
        <v>5</v>
      </c>
    </row>
    <row r="178" spans="1:46" hidden="1" x14ac:dyDescent="0.4">
      <c r="A178" s="1" t="s">
        <v>3625</v>
      </c>
      <c r="B178" s="10"/>
      <c r="C178" s="1" t="s">
        <v>3626</v>
      </c>
      <c r="D178" s="1" t="s">
        <v>2157</v>
      </c>
      <c r="E178" s="1" t="s">
        <v>2078</v>
      </c>
      <c r="F178" s="1" t="s">
        <v>14</v>
      </c>
      <c r="G178" s="1" t="s">
        <v>1</v>
      </c>
      <c r="H178" s="1" t="s">
        <v>6</v>
      </c>
      <c r="I178" s="1" t="s">
        <v>2</v>
      </c>
      <c r="J178" s="1" t="s">
        <v>3514</v>
      </c>
      <c r="K178" s="1" t="s">
        <v>3627</v>
      </c>
      <c r="L178" s="1" t="s">
        <v>7</v>
      </c>
      <c r="M178" s="1" t="s">
        <v>9</v>
      </c>
      <c r="N178" s="1" t="s">
        <v>3628</v>
      </c>
      <c r="O178" s="1" t="s">
        <v>2238</v>
      </c>
      <c r="P178" s="1"/>
      <c r="Q178" s="1"/>
      <c r="R178" s="1" t="s">
        <v>11</v>
      </c>
      <c r="S178" s="1"/>
      <c r="T178" s="1"/>
      <c r="U178" s="1"/>
      <c r="V178" s="1"/>
      <c r="W178" s="1" t="s">
        <v>3629</v>
      </c>
      <c r="X178" s="1" t="s">
        <v>3630</v>
      </c>
      <c r="Y178" s="1"/>
      <c r="Z178" s="1"/>
      <c r="AA178" s="1"/>
      <c r="AB178" s="1" t="s">
        <v>3631</v>
      </c>
      <c r="AC178" s="1"/>
      <c r="AD178" s="1"/>
      <c r="AE178" s="1" t="s">
        <v>3632</v>
      </c>
      <c r="AF178" s="1"/>
      <c r="AG178" s="1"/>
      <c r="AH178" s="1" t="s">
        <v>3633</v>
      </c>
      <c r="AI178" s="1"/>
      <c r="AJ178" s="1" t="s">
        <v>193</v>
      </c>
      <c r="AK178" s="1" t="s">
        <v>207</v>
      </c>
      <c r="AL178" s="1"/>
      <c r="AM178" s="1" t="s">
        <v>193</v>
      </c>
      <c r="AN178" s="1" t="s">
        <v>207</v>
      </c>
      <c r="AO178" s="1"/>
      <c r="AP178" s="2" t="s">
        <v>3634</v>
      </c>
      <c r="AQ178" s="2" t="s">
        <v>1153</v>
      </c>
      <c r="AR178" s="1" t="s">
        <v>287</v>
      </c>
      <c r="AS178" s="1"/>
      <c r="AT178" s="1" t="s">
        <v>5</v>
      </c>
    </row>
    <row r="179" spans="1:46" hidden="1" x14ac:dyDescent="0.4">
      <c r="A179" s="1" t="s">
        <v>11288</v>
      </c>
      <c r="B179" s="10"/>
      <c r="C179" s="1" t="s">
        <v>0</v>
      </c>
      <c r="D179" s="1" t="s">
        <v>2827</v>
      </c>
      <c r="E179" s="1" t="s">
        <v>2078</v>
      </c>
      <c r="F179" s="1" t="s">
        <v>14</v>
      </c>
      <c r="G179" s="1" t="s">
        <v>1</v>
      </c>
      <c r="H179" s="1" t="s">
        <v>6</v>
      </c>
      <c r="I179" s="1" t="s">
        <v>2</v>
      </c>
      <c r="J179" s="1" t="s">
        <v>3</v>
      </c>
      <c r="K179" s="1" t="s">
        <v>11289</v>
      </c>
      <c r="L179" s="1" t="s">
        <v>7</v>
      </c>
      <c r="M179" s="1" t="s">
        <v>9</v>
      </c>
      <c r="N179" s="1" t="s">
        <v>11290</v>
      </c>
      <c r="O179" s="1" t="s">
        <v>2238</v>
      </c>
      <c r="P179" s="1"/>
      <c r="Q179" s="1"/>
      <c r="R179" s="1" t="s">
        <v>11</v>
      </c>
      <c r="S179" s="1"/>
      <c r="T179" s="1"/>
      <c r="U179" s="1"/>
      <c r="V179" s="1"/>
      <c r="W179" s="1"/>
      <c r="X179" s="1" t="s">
        <v>11291</v>
      </c>
      <c r="Y179" s="1"/>
      <c r="Z179" s="1"/>
      <c r="AA179" s="1"/>
      <c r="AB179" s="1" t="s">
        <v>11292</v>
      </c>
      <c r="AC179" s="1"/>
      <c r="AD179" s="1"/>
      <c r="AE179" s="1" t="s">
        <v>7566</v>
      </c>
      <c r="AF179" s="1"/>
      <c r="AG179" s="1"/>
      <c r="AH179" s="1" t="s">
        <v>11293</v>
      </c>
      <c r="AI179" s="1"/>
      <c r="AJ179" s="1" t="s">
        <v>11282</v>
      </c>
      <c r="AK179" s="1" t="s">
        <v>2837</v>
      </c>
      <c r="AL179" s="1" t="s">
        <v>11283</v>
      </c>
      <c r="AM179" s="1" t="s">
        <v>11284</v>
      </c>
      <c r="AN179" s="1" t="s">
        <v>2837</v>
      </c>
      <c r="AO179" s="1" t="s">
        <v>11285</v>
      </c>
      <c r="AP179" s="2" t="s">
        <v>11294</v>
      </c>
      <c r="AQ179" s="2" t="s">
        <v>1155</v>
      </c>
      <c r="AR179" s="1" t="s">
        <v>286</v>
      </c>
      <c r="AS179" s="1" t="s">
        <v>11287</v>
      </c>
      <c r="AT179" s="1" t="s">
        <v>5</v>
      </c>
    </row>
    <row r="180" spans="1:46" hidden="1" x14ac:dyDescent="0.4">
      <c r="A180" s="1" t="s">
        <v>11276</v>
      </c>
      <c r="B180" s="10"/>
      <c r="C180" s="1" t="s">
        <v>0</v>
      </c>
      <c r="D180" s="1" t="s">
        <v>2827</v>
      </c>
      <c r="E180" s="1" t="s">
        <v>2078</v>
      </c>
      <c r="F180" s="1" t="s">
        <v>14</v>
      </c>
      <c r="G180" s="1" t="s">
        <v>1</v>
      </c>
      <c r="H180" s="1" t="s">
        <v>6</v>
      </c>
      <c r="I180" s="1" t="s">
        <v>2</v>
      </c>
      <c r="J180" s="1" t="s">
        <v>3</v>
      </c>
      <c r="K180" s="1" t="s">
        <v>11277</v>
      </c>
      <c r="L180" s="1" t="s">
        <v>7</v>
      </c>
      <c r="M180" s="1" t="s">
        <v>9</v>
      </c>
      <c r="N180" s="1" t="s">
        <v>11278</v>
      </c>
      <c r="O180" s="1" t="s">
        <v>2238</v>
      </c>
      <c r="P180" s="1"/>
      <c r="Q180" s="1"/>
      <c r="R180" s="1" t="s">
        <v>11</v>
      </c>
      <c r="S180" s="1"/>
      <c r="T180" s="1"/>
      <c r="U180" s="1"/>
      <c r="V180" s="1"/>
      <c r="W180" s="1"/>
      <c r="X180" s="1" t="s">
        <v>11279</v>
      </c>
      <c r="Y180" s="1"/>
      <c r="Z180" s="1"/>
      <c r="AA180" s="1"/>
      <c r="AB180" s="1" t="s">
        <v>11280</v>
      </c>
      <c r="AC180" s="1"/>
      <c r="AD180" s="1"/>
      <c r="AE180" s="1" t="s">
        <v>7566</v>
      </c>
      <c r="AF180" s="1"/>
      <c r="AG180" s="1"/>
      <c r="AH180" s="1" t="s">
        <v>11281</v>
      </c>
      <c r="AI180" s="1"/>
      <c r="AJ180" s="1" t="s">
        <v>11282</v>
      </c>
      <c r="AK180" s="1" t="s">
        <v>2837</v>
      </c>
      <c r="AL180" s="1" t="s">
        <v>11283</v>
      </c>
      <c r="AM180" s="1" t="s">
        <v>11284</v>
      </c>
      <c r="AN180" s="1" t="s">
        <v>2837</v>
      </c>
      <c r="AO180" s="1" t="s">
        <v>11285</v>
      </c>
      <c r="AP180" s="2" t="s">
        <v>11286</v>
      </c>
      <c r="AQ180" s="2" t="s">
        <v>1155</v>
      </c>
      <c r="AR180" s="1" t="s">
        <v>286</v>
      </c>
      <c r="AS180" s="1" t="s">
        <v>11287</v>
      </c>
      <c r="AT180" s="1" t="s">
        <v>5</v>
      </c>
    </row>
    <row r="181" spans="1:46" hidden="1" x14ac:dyDescent="0.4">
      <c r="A181" s="1" t="s">
        <v>7562</v>
      </c>
      <c r="B181" s="10"/>
      <c r="C181" s="1" t="s">
        <v>0</v>
      </c>
      <c r="D181" s="1" t="s">
        <v>2827</v>
      </c>
      <c r="E181" s="1" t="s">
        <v>2078</v>
      </c>
      <c r="F181" s="1" t="s">
        <v>14</v>
      </c>
      <c r="G181" s="1" t="s">
        <v>1</v>
      </c>
      <c r="H181" s="1" t="s">
        <v>6</v>
      </c>
      <c r="I181" s="1" t="s">
        <v>2</v>
      </c>
      <c r="J181" s="1" t="s">
        <v>3</v>
      </c>
      <c r="K181" s="1" t="s">
        <v>7563</v>
      </c>
      <c r="L181" s="1" t="s">
        <v>7</v>
      </c>
      <c r="M181" s="1" t="s">
        <v>9</v>
      </c>
      <c r="N181" s="1" t="s">
        <v>7564</v>
      </c>
      <c r="O181" s="1" t="s">
        <v>2238</v>
      </c>
      <c r="P181" s="1"/>
      <c r="Q181" s="1"/>
      <c r="R181" s="1" t="s">
        <v>11</v>
      </c>
      <c r="S181" s="1"/>
      <c r="T181" s="1"/>
      <c r="U181" s="1"/>
      <c r="V181" s="1"/>
      <c r="W181" s="1"/>
      <c r="X181" s="1"/>
      <c r="Y181" s="1"/>
      <c r="Z181" s="1"/>
      <c r="AA181" s="1"/>
      <c r="AB181" s="1" t="s">
        <v>7565</v>
      </c>
      <c r="AC181" s="1"/>
      <c r="AD181" s="1"/>
      <c r="AE181" s="1" t="s">
        <v>7566</v>
      </c>
      <c r="AF181" s="1"/>
      <c r="AG181" s="1"/>
      <c r="AH181" s="1" t="s">
        <v>7567</v>
      </c>
      <c r="AI181" s="1"/>
      <c r="AJ181" s="1" t="s">
        <v>7568</v>
      </c>
      <c r="AK181" s="1" t="s">
        <v>285</v>
      </c>
      <c r="AL181" s="1"/>
      <c r="AM181" s="1" t="s">
        <v>7569</v>
      </c>
      <c r="AN181" s="1" t="s">
        <v>280</v>
      </c>
      <c r="AO181" s="1" t="s">
        <v>7570</v>
      </c>
      <c r="AP181" s="2" t="s">
        <v>7571</v>
      </c>
      <c r="AQ181" s="2" t="s">
        <v>1154</v>
      </c>
      <c r="AR181" s="1" t="s">
        <v>286</v>
      </c>
      <c r="AS181" s="1" t="s">
        <v>7572</v>
      </c>
      <c r="AT181" s="1" t="s">
        <v>5</v>
      </c>
    </row>
    <row r="182" spans="1:46" hidden="1" x14ac:dyDescent="0.4">
      <c r="A182" s="1" t="s">
        <v>7088</v>
      </c>
      <c r="B182" s="10"/>
      <c r="C182" s="1" t="s">
        <v>93</v>
      </c>
      <c r="D182" s="1" t="s">
        <v>2827</v>
      </c>
      <c r="E182" s="1" t="s">
        <v>2078</v>
      </c>
      <c r="F182" s="1" t="s">
        <v>14</v>
      </c>
      <c r="G182" s="1" t="s">
        <v>1</v>
      </c>
      <c r="H182" s="1" t="s">
        <v>6</v>
      </c>
      <c r="I182" s="1" t="s">
        <v>2</v>
      </c>
      <c r="J182" s="1" t="s">
        <v>3</v>
      </c>
      <c r="K182" s="1" t="s">
        <v>7089</v>
      </c>
      <c r="L182" s="1" t="s">
        <v>4</v>
      </c>
      <c r="M182" s="1"/>
      <c r="N182" s="1" t="s">
        <v>7090</v>
      </c>
      <c r="O182" s="1" t="s">
        <v>2399</v>
      </c>
      <c r="P182" s="1"/>
      <c r="Q182" s="1"/>
      <c r="R182" s="1" t="s">
        <v>11</v>
      </c>
      <c r="S182" s="1"/>
      <c r="T182" s="1"/>
      <c r="U182" s="1"/>
      <c r="V182" s="1"/>
      <c r="W182" s="1"/>
      <c r="X182" s="1"/>
      <c r="Y182" s="1"/>
      <c r="Z182" s="1"/>
      <c r="AA182" s="1"/>
      <c r="AB182" s="1" t="s">
        <v>7091</v>
      </c>
      <c r="AC182" s="1"/>
      <c r="AD182" s="1"/>
      <c r="AE182" s="1" t="s">
        <v>7092</v>
      </c>
      <c r="AF182" s="1"/>
      <c r="AG182" s="1"/>
      <c r="AH182" s="1" t="s">
        <v>7093</v>
      </c>
      <c r="AI182" s="1"/>
      <c r="AJ182" s="1" t="s">
        <v>7094</v>
      </c>
      <c r="AK182" s="1" t="s">
        <v>7095</v>
      </c>
      <c r="AL182" s="1" t="s">
        <v>7096</v>
      </c>
      <c r="AM182" s="1" t="s">
        <v>7097</v>
      </c>
      <c r="AN182" s="1" t="s">
        <v>7098</v>
      </c>
      <c r="AO182" s="1" t="s">
        <v>7099</v>
      </c>
      <c r="AP182" s="2" t="s">
        <v>7100</v>
      </c>
      <c r="AQ182" s="2" t="s">
        <v>1077</v>
      </c>
      <c r="AR182" s="1" t="s">
        <v>286</v>
      </c>
      <c r="AS182" s="1"/>
      <c r="AT182" s="1" t="s">
        <v>5</v>
      </c>
    </row>
    <row r="183" spans="1:46" hidden="1" x14ac:dyDescent="0.4">
      <c r="A183" s="1" t="s">
        <v>9398</v>
      </c>
      <c r="B183" s="10"/>
      <c r="C183" s="1" t="s">
        <v>2544</v>
      </c>
      <c r="D183" s="1" t="s">
        <v>2211</v>
      </c>
      <c r="E183" s="1" t="s">
        <v>2078</v>
      </c>
      <c r="F183" s="1" t="s">
        <v>14</v>
      </c>
      <c r="G183" s="1" t="s">
        <v>1</v>
      </c>
      <c r="H183" s="1" t="s">
        <v>6</v>
      </c>
      <c r="I183" s="1" t="s">
        <v>2</v>
      </c>
      <c r="J183" s="1" t="s">
        <v>2451</v>
      </c>
      <c r="K183" s="1" t="s">
        <v>9399</v>
      </c>
      <c r="L183" s="1" t="s">
        <v>7</v>
      </c>
      <c r="M183" s="1" t="s">
        <v>9</v>
      </c>
      <c r="N183" s="1" t="s">
        <v>9400</v>
      </c>
      <c r="O183" s="1" t="s">
        <v>15</v>
      </c>
      <c r="P183" s="1"/>
      <c r="Q183" s="1"/>
      <c r="R183" s="1" t="s">
        <v>11</v>
      </c>
      <c r="S183" s="1"/>
      <c r="T183" s="1"/>
      <c r="U183" s="1"/>
      <c r="V183" s="1"/>
      <c r="W183" s="1" t="s">
        <v>9401</v>
      </c>
      <c r="X183" s="1" t="s">
        <v>9402</v>
      </c>
      <c r="Y183" s="1"/>
      <c r="Z183" s="1"/>
      <c r="AA183" s="1"/>
      <c r="AB183" s="1" t="s">
        <v>9403</v>
      </c>
      <c r="AC183" s="1"/>
      <c r="AD183" s="1"/>
      <c r="AE183" s="1" t="s">
        <v>9404</v>
      </c>
      <c r="AF183" s="1"/>
      <c r="AG183" s="1"/>
      <c r="AH183" s="1" t="s">
        <v>9405</v>
      </c>
      <c r="AI183" s="1" t="s">
        <v>9406</v>
      </c>
      <c r="AJ183" s="1" t="s">
        <v>9407</v>
      </c>
      <c r="AK183" s="1" t="s">
        <v>9408</v>
      </c>
      <c r="AL183" s="1" t="s">
        <v>9409</v>
      </c>
      <c r="AM183" s="1" t="s">
        <v>9407</v>
      </c>
      <c r="AN183" s="1" t="s">
        <v>9408</v>
      </c>
      <c r="AO183" s="1" t="s">
        <v>9409</v>
      </c>
      <c r="AP183" s="2" t="s">
        <v>9410</v>
      </c>
      <c r="AQ183" s="2" t="s">
        <v>1154</v>
      </c>
      <c r="AR183" s="1" t="s">
        <v>286</v>
      </c>
      <c r="AS183" s="1"/>
      <c r="AT183" s="1" t="s">
        <v>5</v>
      </c>
    </row>
    <row r="184" spans="1:46" hidden="1" x14ac:dyDescent="0.4">
      <c r="A184" s="1" t="s">
        <v>8313</v>
      </c>
      <c r="B184" s="10"/>
      <c r="C184" s="1" t="s">
        <v>93</v>
      </c>
      <c r="D184" s="1" t="s">
        <v>2211</v>
      </c>
      <c r="E184" s="1" t="s">
        <v>2078</v>
      </c>
      <c r="F184" s="1" t="s">
        <v>14</v>
      </c>
      <c r="G184" s="1" t="s">
        <v>1</v>
      </c>
      <c r="H184" s="1" t="s">
        <v>6</v>
      </c>
      <c r="I184" s="1" t="s">
        <v>2</v>
      </c>
      <c r="J184" s="1" t="s">
        <v>3</v>
      </c>
      <c r="K184" s="1" t="s">
        <v>8314</v>
      </c>
      <c r="L184" s="1" t="s">
        <v>4</v>
      </c>
      <c r="M184" s="1"/>
      <c r="N184" s="1" t="s">
        <v>8315</v>
      </c>
      <c r="O184" s="1" t="s">
        <v>19</v>
      </c>
      <c r="P184" s="1"/>
      <c r="Q184" s="1"/>
      <c r="R184" s="1" t="s">
        <v>11</v>
      </c>
      <c r="S184" s="1"/>
      <c r="T184" s="1"/>
      <c r="U184" s="1"/>
      <c r="V184" s="1"/>
      <c r="W184" s="1" t="s">
        <v>8316</v>
      </c>
      <c r="X184" s="1"/>
      <c r="Y184" s="1"/>
      <c r="Z184" s="1"/>
      <c r="AA184" s="1"/>
      <c r="AB184" s="1" t="s">
        <v>8317</v>
      </c>
      <c r="AC184" s="1"/>
      <c r="AD184" s="1"/>
      <c r="AE184" s="1" t="s">
        <v>8318</v>
      </c>
      <c r="AF184" s="1"/>
      <c r="AG184" s="1"/>
      <c r="AH184" s="1" t="s">
        <v>8319</v>
      </c>
      <c r="AI184" s="1"/>
      <c r="AJ184" s="1" t="s">
        <v>5110</v>
      </c>
      <c r="AK184" s="1" t="s">
        <v>5111</v>
      </c>
      <c r="AL184" s="1" t="s">
        <v>5112</v>
      </c>
      <c r="AM184" s="1" t="s">
        <v>5110</v>
      </c>
      <c r="AN184" s="1" t="s">
        <v>5111</v>
      </c>
      <c r="AO184" s="1" t="s">
        <v>5112</v>
      </c>
      <c r="AP184" s="2" t="s">
        <v>8320</v>
      </c>
      <c r="AQ184" s="2" t="s">
        <v>1154</v>
      </c>
      <c r="AR184" s="1" t="s">
        <v>286</v>
      </c>
      <c r="AS184" s="1" t="s">
        <v>8321</v>
      </c>
      <c r="AT184" s="1" t="s">
        <v>5</v>
      </c>
    </row>
    <row r="185" spans="1:46" hidden="1" x14ac:dyDescent="0.4">
      <c r="A185" s="1" t="s">
        <v>10090</v>
      </c>
      <c r="B185" s="10"/>
      <c r="C185" s="1" t="s">
        <v>93</v>
      </c>
      <c r="D185" s="1" t="s">
        <v>2211</v>
      </c>
      <c r="E185" s="1" t="s">
        <v>2078</v>
      </c>
      <c r="F185" s="1" t="s">
        <v>14</v>
      </c>
      <c r="G185" s="1" t="s">
        <v>1</v>
      </c>
      <c r="H185" s="1" t="s">
        <v>6</v>
      </c>
      <c r="I185" s="1" t="s">
        <v>2</v>
      </c>
      <c r="J185" s="1" t="s">
        <v>3</v>
      </c>
      <c r="K185" s="1" t="s">
        <v>10091</v>
      </c>
      <c r="L185" s="1" t="s">
        <v>7</v>
      </c>
      <c r="M185" s="1"/>
      <c r="N185" s="1" t="s">
        <v>10092</v>
      </c>
      <c r="O185" s="1" t="s">
        <v>19</v>
      </c>
      <c r="P185" s="1"/>
      <c r="Q185" s="1"/>
      <c r="R185" s="1" t="s">
        <v>11</v>
      </c>
      <c r="S185" s="1"/>
      <c r="T185" s="1"/>
      <c r="U185" s="1"/>
      <c r="V185" s="1"/>
      <c r="W185" s="1"/>
      <c r="X185" s="1"/>
      <c r="Y185" s="1"/>
      <c r="Z185" s="1"/>
      <c r="AA185" s="1"/>
      <c r="AB185" s="1" t="s">
        <v>10093</v>
      </c>
      <c r="AC185" s="1"/>
      <c r="AD185" s="1"/>
      <c r="AE185" s="1" t="s">
        <v>9416</v>
      </c>
      <c r="AF185" s="1"/>
      <c r="AG185" s="1"/>
      <c r="AH185" s="1" t="s">
        <v>10094</v>
      </c>
      <c r="AI185" s="1"/>
      <c r="AJ185" s="1" t="s">
        <v>10079</v>
      </c>
      <c r="AK185" s="1" t="s">
        <v>8396</v>
      </c>
      <c r="AL185" s="1" t="s">
        <v>10080</v>
      </c>
      <c r="AM185" s="1" t="s">
        <v>10079</v>
      </c>
      <c r="AN185" s="1" t="s">
        <v>8396</v>
      </c>
      <c r="AO185" s="1" t="s">
        <v>10080</v>
      </c>
      <c r="AP185" s="2" t="s">
        <v>10095</v>
      </c>
      <c r="AQ185" s="2" t="s">
        <v>1155</v>
      </c>
      <c r="AR185" s="1" t="s">
        <v>286</v>
      </c>
      <c r="AS185" s="1" t="s">
        <v>10096</v>
      </c>
      <c r="AT185" s="1" t="s">
        <v>5</v>
      </c>
    </row>
    <row r="186" spans="1:46" hidden="1" x14ac:dyDescent="0.4">
      <c r="A186" s="1" t="s">
        <v>5103</v>
      </c>
      <c r="B186" s="10"/>
      <c r="C186" s="1" t="s">
        <v>93</v>
      </c>
      <c r="D186" s="1" t="s">
        <v>2211</v>
      </c>
      <c r="E186" s="1" t="s">
        <v>2078</v>
      </c>
      <c r="F186" s="1" t="s">
        <v>14</v>
      </c>
      <c r="G186" s="1" t="s">
        <v>1</v>
      </c>
      <c r="H186" s="1" t="s">
        <v>6</v>
      </c>
      <c r="I186" s="1" t="s">
        <v>2</v>
      </c>
      <c r="J186" s="1" t="s">
        <v>3</v>
      </c>
      <c r="K186" s="1" t="s">
        <v>5104</v>
      </c>
      <c r="L186" s="1" t="s">
        <v>4</v>
      </c>
      <c r="M186" s="1"/>
      <c r="N186" s="1" t="s">
        <v>5105</v>
      </c>
      <c r="O186" s="1" t="s">
        <v>19</v>
      </c>
      <c r="P186" s="1"/>
      <c r="Q186" s="1"/>
      <c r="R186" s="1" t="s">
        <v>11</v>
      </c>
      <c r="S186" s="1"/>
      <c r="T186" s="1"/>
      <c r="U186" s="1"/>
      <c r="V186" s="1"/>
      <c r="W186" s="1" t="s">
        <v>5106</v>
      </c>
      <c r="X186" s="1"/>
      <c r="Y186" s="1"/>
      <c r="Z186" s="1"/>
      <c r="AA186" s="1"/>
      <c r="AB186" s="1" t="s">
        <v>5107</v>
      </c>
      <c r="AC186" s="1"/>
      <c r="AD186" s="1"/>
      <c r="AE186" s="1" t="s">
        <v>5108</v>
      </c>
      <c r="AF186" s="1"/>
      <c r="AG186" s="1"/>
      <c r="AH186" s="1" t="s">
        <v>5109</v>
      </c>
      <c r="AI186" s="1"/>
      <c r="AJ186" s="1" t="s">
        <v>5110</v>
      </c>
      <c r="AK186" s="1" t="s">
        <v>5111</v>
      </c>
      <c r="AL186" s="1" t="s">
        <v>5112</v>
      </c>
      <c r="AM186" s="1" t="s">
        <v>5110</v>
      </c>
      <c r="AN186" s="1" t="s">
        <v>5111</v>
      </c>
      <c r="AO186" s="1" t="s">
        <v>5112</v>
      </c>
      <c r="AP186" s="2" t="s">
        <v>5113</v>
      </c>
      <c r="AQ186" s="2" t="s">
        <v>1153</v>
      </c>
      <c r="AR186" s="1" t="s">
        <v>286</v>
      </c>
      <c r="AS186" s="1"/>
      <c r="AT186" s="1" t="s">
        <v>5</v>
      </c>
    </row>
    <row r="187" spans="1:46" hidden="1" x14ac:dyDescent="0.4">
      <c r="A187" s="1" t="s">
        <v>10170</v>
      </c>
      <c r="B187" s="10"/>
      <c r="C187" s="1" t="s">
        <v>93</v>
      </c>
      <c r="D187" s="1" t="s">
        <v>2157</v>
      </c>
      <c r="E187" s="1" t="s">
        <v>2078</v>
      </c>
      <c r="F187" s="1" t="s">
        <v>14</v>
      </c>
      <c r="G187" s="1" t="s">
        <v>1</v>
      </c>
      <c r="H187" s="1" t="s">
        <v>6</v>
      </c>
      <c r="I187" s="1" t="s">
        <v>2</v>
      </c>
      <c r="J187" s="1" t="s">
        <v>3</v>
      </c>
      <c r="K187" s="1" t="s">
        <v>10171</v>
      </c>
      <c r="L187" s="1" t="s">
        <v>4</v>
      </c>
      <c r="M187" s="1"/>
      <c r="N187" s="1" t="s">
        <v>10172</v>
      </c>
      <c r="O187" s="1" t="s">
        <v>19</v>
      </c>
      <c r="P187" s="1"/>
      <c r="Q187" s="1"/>
      <c r="R187" s="1" t="s">
        <v>11</v>
      </c>
      <c r="S187" s="1"/>
      <c r="T187" s="1"/>
      <c r="U187" s="1"/>
      <c r="V187" s="1"/>
      <c r="W187" s="1" t="s">
        <v>10173</v>
      </c>
      <c r="X187" s="1"/>
      <c r="Y187" s="1"/>
      <c r="Z187" s="1"/>
      <c r="AA187" s="1"/>
      <c r="AB187" s="1" t="s">
        <v>10174</v>
      </c>
      <c r="AC187" s="1"/>
      <c r="AD187" s="1"/>
      <c r="AE187" s="1" t="s">
        <v>7871</v>
      </c>
      <c r="AF187" s="1"/>
      <c r="AG187" s="1"/>
      <c r="AH187" s="1" t="s">
        <v>10175</v>
      </c>
      <c r="AI187" s="1"/>
      <c r="AJ187" s="1" t="s">
        <v>7874</v>
      </c>
      <c r="AK187" s="1" t="s">
        <v>5668</v>
      </c>
      <c r="AL187" s="1" t="s">
        <v>7875</v>
      </c>
      <c r="AM187" s="1" t="s">
        <v>7874</v>
      </c>
      <c r="AN187" s="1" t="s">
        <v>5668</v>
      </c>
      <c r="AO187" s="1" t="s">
        <v>7875</v>
      </c>
      <c r="AP187" s="2" t="s">
        <v>10176</v>
      </c>
      <c r="AQ187" s="2" t="s">
        <v>1155</v>
      </c>
      <c r="AR187" s="1" t="s">
        <v>286</v>
      </c>
      <c r="AS187" s="1" t="s">
        <v>10177</v>
      </c>
      <c r="AT187" s="1" t="s">
        <v>5</v>
      </c>
    </row>
    <row r="188" spans="1:46" hidden="1" x14ac:dyDescent="0.4">
      <c r="A188" s="1" t="s">
        <v>10083</v>
      </c>
      <c r="B188" s="10"/>
      <c r="C188" s="1" t="s">
        <v>93</v>
      </c>
      <c r="D188" s="1" t="s">
        <v>2211</v>
      </c>
      <c r="E188" s="1" t="s">
        <v>2078</v>
      </c>
      <c r="F188" s="1" t="s">
        <v>14</v>
      </c>
      <c r="G188" s="1" t="s">
        <v>1</v>
      </c>
      <c r="H188" s="1" t="s">
        <v>6</v>
      </c>
      <c r="I188" s="1" t="s">
        <v>2</v>
      </c>
      <c r="J188" s="1" t="s">
        <v>3</v>
      </c>
      <c r="K188" s="1" t="s">
        <v>10084</v>
      </c>
      <c r="L188" s="1" t="s">
        <v>7</v>
      </c>
      <c r="M188" s="1"/>
      <c r="N188" s="1" t="s">
        <v>10085</v>
      </c>
      <c r="O188" s="1" t="s">
        <v>19</v>
      </c>
      <c r="P188" s="1"/>
      <c r="Q188" s="1"/>
      <c r="R188" s="1" t="s">
        <v>11</v>
      </c>
      <c r="S188" s="1"/>
      <c r="T188" s="1"/>
      <c r="U188" s="1"/>
      <c r="V188" s="1"/>
      <c r="W188" s="1"/>
      <c r="X188" s="1"/>
      <c r="Y188" s="1"/>
      <c r="Z188" s="1"/>
      <c r="AA188" s="1"/>
      <c r="AB188" s="1" t="s">
        <v>10086</v>
      </c>
      <c r="AC188" s="1"/>
      <c r="AD188" s="1"/>
      <c r="AE188" s="1" t="s">
        <v>9416</v>
      </c>
      <c r="AF188" s="1"/>
      <c r="AG188" s="1"/>
      <c r="AH188" s="1" t="s">
        <v>10087</v>
      </c>
      <c r="AI188" s="1"/>
      <c r="AJ188" s="1" t="s">
        <v>10079</v>
      </c>
      <c r="AK188" s="1" t="s">
        <v>8396</v>
      </c>
      <c r="AL188" s="1" t="s">
        <v>10080</v>
      </c>
      <c r="AM188" s="1" t="s">
        <v>10079</v>
      </c>
      <c r="AN188" s="1" t="s">
        <v>8396</v>
      </c>
      <c r="AO188" s="1" t="s">
        <v>10080</v>
      </c>
      <c r="AP188" s="2" t="s">
        <v>10088</v>
      </c>
      <c r="AQ188" s="2" t="s">
        <v>1155</v>
      </c>
      <c r="AR188" s="1" t="s">
        <v>286</v>
      </c>
      <c r="AS188" s="1" t="s">
        <v>10089</v>
      </c>
      <c r="AT188" s="1" t="s">
        <v>5</v>
      </c>
    </row>
    <row r="189" spans="1:46" hidden="1" x14ac:dyDescent="0.4">
      <c r="A189" s="1" t="s">
        <v>10074</v>
      </c>
      <c r="B189" s="10"/>
      <c r="C189" s="1" t="s">
        <v>93</v>
      </c>
      <c r="D189" s="1" t="s">
        <v>2211</v>
      </c>
      <c r="E189" s="1" t="s">
        <v>2078</v>
      </c>
      <c r="F189" s="1" t="s">
        <v>14</v>
      </c>
      <c r="G189" s="1" t="s">
        <v>1</v>
      </c>
      <c r="H189" s="1" t="s">
        <v>6</v>
      </c>
      <c r="I189" s="1" t="s">
        <v>2</v>
      </c>
      <c r="J189" s="1" t="s">
        <v>3</v>
      </c>
      <c r="K189" s="1" t="s">
        <v>10075</v>
      </c>
      <c r="L189" s="1" t="s">
        <v>7</v>
      </c>
      <c r="M189" s="1"/>
      <c r="N189" s="1" t="s">
        <v>10076</v>
      </c>
      <c r="O189" s="1" t="s">
        <v>19</v>
      </c>
      <c r="P189" s="1"/>
      <c r="Q189" s="1"/>
      <c r="R189" s="1" t="s">
        <v>11</v>
      </c>
      <c r="S189" s="1"/>
      <c r="T189" s="1"/>
      <c r="U189" s="1"/>
      <c r="V189" s="1"/>
      <c r="W189" s="1"/>
      <c r="X189" s="1"/>
      <c r="Y189" s="1"/>
      <c r="Z189" s="1"/>
      <c r="AA189" s="1"/>
      <c r="AB189" s="1" t="s">
        <v>10077</v>
      </c>
      <c r="AC189" s="1"/>
      <c r="AD189" s="1"/>
      <c r="AE189" s="1" t="s">
        <v>9416</v>
      </c>
      <c r="AF189" s="1"/>
      <c r="AG189" s="1"/>
      <c r="AH189" s="1" t="s">
        <v>10078</v>
      </c>
      <c r="AI189" s="1"/>
      <c r="AJ189" s="1" t="s">
        <v>10079</v>
      </c>
      <c r="AK189" s="1" t="s">
        <v>8396</v>
      </c>
      <c r="AL189" s="1" t="s">
        <v>10080</v>
      </c>
      <c r="AM189" s="1" t="s">
        <v>10079</v>
      </c>
      <c r="AN189" s="1" t="s">
        <v>8396</v>
      </c>
      <c r="AO189" s="1" t="s">
        <v>10080</v>
      </c>
      <c r="AP189" s="2" t="s">
        <v>10081</v>
      </c>
      <c r="AQ189" s="2" t="s">
        <v>1155</v>
      </c>
      <c r="AR189" s="1" t="s">
        <v>286</v>
      </c>
      <c r="AS189" s="1" t="s">
        <v>10082</v>
      </c>
      <c r="AT189" s="1" t="s">
        <v>5</v>
      </c>
    </row>
    <row r="190" spans="1:46" hidden="1" x14ac:dyDescent="0.4">
      <c r="A190" s="1" t="s">
        <v>5593</v>
      </c>
      <c r="B190" s="10"/>
      <c r="C190" s="1" t="s">
        <v>5198</v>
      </c>
      <c r="D190" s="1" t="s">
        <v>2076</v>
      </c>
      <c r="E190" s="1" t="s">
        <v>2078</v>
      </c>
      <c r="F190" s="1" t="s">
        <v>14</v>
      </c>
      <c r="G190" s="1" t="s">
        <v>1</v>
      </c>
      <c r="H190" s="1" t="s">
        <v>6</v>
      </c>
      <c r="I190" s="1" t="s">
        <v>2</v>
      </c>
      <c r="J190" s="1" t="s">
        <v>5199</v>
      </c>
      <c r="K190" s="1" t="s">
        <v>5594</v>
      </c>
      <c r="L190" s="1" t="s">
        <v>7</v>
      </c>
      <c r="M190" s="1"/>
      <c r="N190" s="1" t="s">
        <v>5595</v>
      </c>
      <c r="O190" s="1" t="s">
        <v>5596</v>
      </c>
      <c r="P190" s="1"/>
      <c r="Q190" s="1"/>
      <c r="R190" s="1" t="s">
        <v>11</v>
      </c>
      <c r="S190" s="1"/>
      <c r="T190" s="1"/>
      <c r="U190" s="1"/>
      <c r="V190" s="1"/>
      <c r="W190" s="1"/>
      <c r="X190" s="1" t="s">
        <v>5597</v>
      </c>
      <c r="Y190" s="1"/>
      <c r="Z190" s="1"/>
      <c r="AA190" s="1"/>
      <c r="AB190" s="1" t="s">
        <v>5598</v>
      </c>
      <c r="AC190" s="1"/>
      <c r="AD190" s="1"/>
      <c r="AE190" s="1"/>
      <c r="AF190" s="1"/>
      <c r="AG190" s="1"/>
      <c r="AH190" s="1" t="s">
        <v>5599</v>
      </c>
      <c r="AI190" s="1"/>
      <c r="AJ190" s="1" t="s">
        <v>5448</v>
      </c>
      <c r="AK190" s="1" t="s">
        <v>5449</v>
      </c>
      <c r="AL190" s="1" t="s">
        <v>5450</v>
      </c>
      <c r="AM190" s="1" t="s">
        <v>5451</v>
      </c>
      <c r="AN190" s="1" t="s">
        <v>5452</v>
      </c>
      <c r="AO190" s="1" t="s">
        <v>5453</v>
      </c>
      <c r="AP190" s="2" t="s">
        <v>5600</v>
      </c>
      <c r="AQ190" s="2" t="s">
        <v>1077</v>
      </c>
      <c r="AR190" s="1" t="s">
        <v>286</v>
      </c>
      <c r="AS190" s="1"/>
      <c r="AT190" s="1" t="s">
        <v>5</v>
      </c>
    </row>
    <row r="191" spans="1:46" hidden="1" x14ac:dyDescent="0.4">
      <c r="A191" s="1" t="s">
        <v>6585</v>
      </c>
      <c r="B191" s="10"/>
      <c r="C191" s="1" t="s">
        <v>6443</v>
      </c>
      <c r="D191" s="1" t="s">
        <v>2211</v>
      </c>
      <c r="E191" s="1" t="s">
        <v>2078</v>
      </c>
      <c r="F191" s="1" t="s">
        <v>14</v>
      </c>
      <c r="G191" s="1" t="s">
        <v>1</v>
      </c>
      <c r="H191" s="1" t="s">
        <v>6</v>
      </c>
      <c r="I191" s="1" t="s">
        <v>2</v>
      </c>
      <c r="J191" s="1" t="s">
        <v>3</v>
      </c>
      <c r="K191" s="1" t="s">
        <v>6586</v>
      </c>
      <c r="L191" s="1" t="s">
        <v>7</v>
      </c>
      <c r="M191" s="1"/>
      <c r="N191" s="1" t="s">
        <v>6587</v>
      </c>
      <c r="O191" s="1" t="s">
        <v>6580</v>
      </c>
      <c r="P191" s="1"/>
      <c r="Q191" s="1"/>
      <c r="R191" s="1" t="s">
        <v>11</v>
      </c>
      <c r="S191" s="1"/>
      <c r="T191" s="1"/>
      <c r="U191" s="1"/>
      <c r="V191" s="1"/>
      <c r="W191" s="1"/>
      <c r="X191" s="1"/>
      <c r="Y191" s="1"/>
      <c r="Z191" s="1"/>
      <c r="AA191" s="1"/>
      <c r="AB191" s="1" t="s">
        <v>6588</v>
      </c>
      <c r="AC191" s="1"/>
      <c r="AD191" s="1"/>
      <c r="AE191" s="1" t="s">
        <v>6582</v>
      </c>
      <c r="AF191" s="1"/>
      <c r="AG191" s="1"/>
      <c r="AH191" s="1" t="s">
        <v>6589</v>
      </c>
      <c r="AI191" s="1"/>
      <c r="AJ191" s="1" t="s">
        <v>6451</v>
      </c>
      <c r="AK191" s="1" t="s">
        <v>6452</v>
      </c>
      <c r="AL191" s="1" t="s">
        <v>6453</v>
      </c>
      <c r="AM191" s="1" t="s">
        <v>6451</v>
      </c>
      <c r="AN191" s="1" t="s">
        <v>6452</v>
      </c>
      <c r="AO191" s="1" t="s">
        <v>6453</v>
      </c>
      <c r="AP191" s="2" t="s">
        <v>6590</v>
      </c>
      <c r="AQ191" s="2" t="s">
        <v>1077</v>
      </c>
      <c r="AR191" s="1" t="s">
        <v>287</v>
      </c>
      <c r="AS191" s="1"/>
      <c r="AT191" s="1" t="s">
        <v>5</v>
      </c>
    </row>
    <row r="192" spans="1:46" hidden="1" x14ac:dyDescent="0.4">
      <c r="A192" s="1" t="s">
        <v>6602</v>
      </c>
      <c r="B192" s="10"/>
      <c r="C192" s="1" t="s">
        <v>6443</v>
      </c>
      <c r="D192" s="1" t="s">
        <v>2211</v>
      </c>
      <c r="E192" s="1" t="s">
        <v>2478</v>
      </c>
      <c r="F192" s="1" t="s">
        <v>14</v>
      </c>
      <c r="G192" s="1" t="s">
        <v>1</v>
      </c>
      <c r="H192" s="1" t="s">
        <v>6</v>
      </c>
      <c r="I192" s="1" t="s">
        <v>2</v>
      </c>
      <c r="J192" s="1" t="s">
        <v>3</v>
      </c>
      <c r="K192" s="1" t="s">
        <v>6603</v>
      </c>
      <c r="L192" s="1" t="s">
        <v>7</v>
      </c>
      <c r="M192" s="1"/>
      <c r="N192" s="1" t="s">
        <v>6604</v>
      </c>
      <c r="O192" s="1" t="s">
        <v>6580</v>
      </c>
      <c r="P192" s="1"/>
      <c r="Q192" s="1"/>
      <c r="R192" s="1" t="s">
        <v>11</v>
      </c>
      <c r="S192" s="1"/>
      <c r="T192" s="1"/>
      <c r="U192" s="1"/>
      <c r="V192" s="1"/>
      <c r="W192" s="1"/>
      <c r="X192" s="1"/>
      <c r="Y192" s="1"/>
      <c r="Z192" s="1"/>
      <c r="AA192" s="1"/>
      <c r="AB192" s="1" t="s">
        <v>6605</v>
      </c>
      <c r="AC192" s="1"/>
      <c r="AD192" s="1"/>
      <c r="AE192" s="1" t="s">
        <v>6582</v>
      </c>
      <c r="AF192" s="1"/>
      <c r="AG192" s="1"/>
      <c r="AH192" s="1" t="s">
        <v>6606</v>
      </c>
      <c r="AI192" s="1"/>
      <c r="AJ192" s="1" t="s">
        <v>6451</v>
      </c>
      <c r="AK192" s="1" t="s">
        <v>6452</v>
      </c>
      <c r="AL192" s="1" t="s">
        <v>6453</v>
      </c>
      <c r="AM192" s="1" t="s">
        <v>6451</v>
      </c>
      <c r="AN192" s="1" t="s">
        <v>6452</v>
      </c>
      <c r="AO192" s="1" t="s">
        <v>6453</v>
      </c>
      <c r="AP192" s="2" t="s">
        <v>6596</v>
      </c>
      <c r="AQ192" s="2" t="s">
        <v>1077</v>
      </c>
      <c r="AR192" s="1"/>
      <c r="AS192" s="1"/>
      <c r="AT192" s="1" t="s">
        <v>5</v>
      </c>
    </row>
    <row r="193" spans="1:46" hidden="1" x14ac:dyDescent="0.4">
      <c r="A193" s="1" t="s">
        <v>6628</v>
      </c>
      <c r="B193" s="10"/>
      <c r="C193" s="1" t="s">
        <v>6443</v>
      </c>
      <c r="D193" s="1" t="s">
        <v>2211</v>
      </c>
      <c r="E193" s="1" t="s">
        <v>2478</v>
      </c>
      <c r="F193" s="1" t="s">
        <v>14</v>
      </c>
      <c r="G193" s="1" t="s">
        <v>1</v>
      </c>
      <c r="H193" s="1" t="s">
        <v>6</v>
      </c>
      <c r="I193" s="1" t="s">
        <v>2</v>
      </c>
      <c r="J193" s="1" t="s">
        <v>3</v>
      </c>
      <c r="K193" s="1" t="s">
        <v>6629</v>
      </c>
      <c r="L193" s="1" t="s">
        <v>7</v>
      </c>
      <c r="M193" s="1"/>
      <c r="N193" s="1" t="s">
        <v>6630</v>
      </c>
      <c r="O193" s="1" t="s">
        <v>6580</v>
      </c>
      <c r="P193" s="1"/>
      <c r="Q193" s="1"/>
      <c r="R193" s="1" t="s">
        <v>11</v>
      </c>
      <c r="S193" s="1"/>
      <c r="T193" s="1"/>
      <c r="U193" s="1"/>
      <c r="V193" s="1"/>
      <c r="W193" s="1"/>
      <c r="X193" s="1"/>
      <c r="Y193" s="1"/>
      <c r="Z193" s="1"/>
      <c r="AA193" s="1"/>
      <c r="AB193" s="1" t="s">
        <v>6631</v>
      </c>
      <c r="AC193" s="1"/>
      <c r="AD193" s="1"/>
      <c r="AE193" s="1" t="s">
        <v>6582</v>
      </c>
      <c r="AF193" s="1"/>
      <c r="AG193" s="1"/>
      <c r="AH193" s="1" t="s">
        <v>6632</v>
      </c>
      <c r="AI193" s="1"/>
      <c r="AJ193" s="1" t="s">
        <v>6451</v>
      </c>
      <c r="AK193" s="1" t="s">
        <v>6452</v>
      </c>
      <c r="AL193" s="1" t="s">
        <v>6453</v>
      </c>
      <c r="AM193" s="1" t="s">
        <v>6451</v>
      </c>
      <c r="AN193" s="1" t="s">
        <v>6452</v>
      </c>
      <c r="AO193" s="1" t="s">
        <v>6453</v>
      </c>
      <c r="AP193" s="2" t="s">
        <v>6617</v>
      </c>
      <c r="AQ193" s="2" t="s">
        <v>1077</v>
      </c>
      <c r="AR193" s="1"/>
      <c r="AS193" s="1"/>
      <c r="AT193" s="1" t="s">
        <v>5</v>
      </c>
    </row>
    <row r="194" spans="1:46" hidden="1" x14ac:dyDescent="0.4">
      <c r="A194" s="1" t="s">
        <v>6633</v>
      </c>
      <c r="B194" s="10"/>
      <c r="C194" s="1" t="s">
        <v>6443</v>
      </c>
      <c r="D194" s="1" t="s">
        <v>2211</v>
      </c>
      <c r="E194" s="1" t="s">
        <v>2478</v>
      </c>
      <c r="F194" s="1" t="s">
        <v>14</v>
      </c>
      <c r="G194" s="1" t="s">
        <v>1</v>
      </c>
      <c r="H194" s="1" t="s">
        <v>6</v>
      </c>
      <c r="I194" s="1" t="s">
        <v>2</v>
      </c>
      <c r="J194" s="1" t="s">
        <v>3</v>
      </c>
      <c r="K194" s="1" t="s">
        <v>6634</v>
      </c>
      <c r="L194" s="1" t="s">
        <v>7</v>
      </c>
      <c r="M194" s="1"/>
      <c r="N194" s="1" t="s">
        <v>6635</v>
      </c>
      <c r="O194" s="1" t="s">
        <v>6580</v>
      </c>
      <c r="P194" s="1"/>
      <c r="Q194" s="1"/>
      <c r="R194" s="1" t="s">
        <v>11</v>
      </c>
      <c r="S194" s="1"/>
      <c r="T194" s="1"/>
      <c r="U194" s="1"/>
      <c r="V194" s="1"/>
      <c r="W194" s="1"/>
      <c r="X194" s="1"/>
      <c r="Y194" s="1"/>
      <c r="Z194" s="1"/>
      <c r="AA194" s="1"/>
      <c r="AB194" s="1" t="s">
        <v>6636</v>
      </c>
      <c r="AC194" s="1"/>
      <c r="AD194" s="1"/>
      <c r="AE194" s="1" t="s">
        <v>6582</v>
      </c>
      <c r="AF194" s="1"/>
      <c r="AG194" s="1"/>
      <c r="AH194" s="1" t="s">
        <v>6637</v>
      </c>
      <c r="AI194" s="1"/>
      <c r="AJ194" s="1" t="s">
        <v>6451</v>
      </c>
      <c r="AK194" s="1" t="s">
        <v>6452</v>
      </c>
      <c r="AL194" s="1" t="s">
        <v>6453</v>
      </c>
      <c r="AM194" s="1" t="s">
        <v>6451</v>
      </c>
      <c r="AN194" s="1" t="s">
        <v>6452</v>
      </c>
      <c r="AO194" s="1" t="s">
        <v>6453</v>
      </c>
      <c r="AP194" s="2" t="s">
        <v>6617</v>
      </c>
      <c r="AQ194" s="2" t="s">
        <v>1077</v>
      </c>
      <c r="AR194" s="1"/>
      <c r="AS194" s="1"/>
      <c r="AT194" s="1" t="s">
        <v>5</v>
      </c>
    </row>
    <row r="195" spans="1:46" hidden="1" x14ac:dyDescent="0.4">
      <c r="A195" s="1" t="s">
        <v>6623</v>
      </c>
      <c r="B195" s="10"/>
      <c r="C195" s="1" t="s">
        <v>6443</v>
      </c>
      <c r="D195" s="1" t="s">
        <v>2211</v>
      </c>
      <c r="E195" s="1" t="s">
        <v>2478</v>
      </c>
      <c r="F195" s="1" t="s">
        <v>14</v>
      </c>
      <c r="G195" s="1" t="s">
        <v>1</v>
      </c>
      <c r="H195" s="1" t="s">
        <v>6</v>
      </c>
      <c r="I195" s="1" t="s">
        <v>2</v>
      </c>
      <c r="J195" s="1" t="s">
        <v>3</v>
      </c>
      <c r="K195" s="1" t="s">
        <v>6624</v>
      </c>
      <c r="L195" s="1" t="s">
        <v>7</v>
      </c>
      <c r="M195" s="1"/>
      <c r="N195" s="1" t="s">
        <v>6625</v>
      </c>
      <c r="O195" s="1" t="s">
        <v>6580</v>
      </c>
      <c r="P195" s="1"/>
      <c r="Q195" s="1"/>
      <c r="R195" s="1" t="s">
        <v>11</v>
      </c>
      <c r="S195" s="1"/>
      <c r="T195" s="1"/>
      <c r="U195" s="1"/>
      <c r="V195" s="1"/>
      <c r="W195" s="1"/>
      <c r="X195" s="1"/>
      <c r="Y195" s="1"/>
      <c r="Z195" s="1"/>
      <c r="AA195" s="1"/>
      <c r="AB195" s="1" t="s">
        <v>6626</v>
      </c>
      <c r="AC195" s="1"/>
      <c r="AD195" s="1"/>
      <c r="AE195" s="1" t="s">
        <v>6582</v>
      </c>
      <c r="AF195" s="1"/>
      <c r="AG195" s="1"/>
      <c r="AH195" s="1" t="s">
        <v>6627</v>
      </c>
      <c r="AI195" s="1"/>
      <c r="AJ195" s="1" t="s">
        <v>6451</v>
      </c>
      <c r="AK195" s="1" t="s">
        <v>6452</v>
      </c>
      <c r="AL195" s="1" t="s">
        <v>6453</v>
      </c>
      <c r="AM195" s="1" t="s">
        <v>6451</v>
      </c>
      <c r="AN195" s="1" t="s">
        <v>6452</v>
      </c>
      <c r="AO195" s="1" t="s">
        <v>6453</v>
      </c>
      <c r="AP195" s="2" t="s">
        <v>6617</v>
      </c>
      <c r="AQ195" s="2" t="s">
        <v>1077</v>
      </c>
      <c r="AR195" s="1"/>
      <c r="AS195" s="1"/>
      <c r="AT195" s="1" t="s">
        <v>5</v>
      </c>
    </row>
    <row r="196" spans="1:46" hidden="1" x14ac:dyDescent="0.4">
      <c r="A196" s="1" t="s">
        <v>6612</v>
      </c>
      <c r="B196" s="10"/>
      <c r="C196" s="1" t="s">
        <v>6443</v>
      </c>
      <c r="D196" s="1" t="s">
        <v>2211</v>
      </c>
      <c r="E196" s="1" t="s">
        <v>2478</v>
      </c>
      <c r="F196" s="1" t="s">
        <v>14</v>
      </c>
      <c r="G196" s="1" t="s">
        <v>1</v>
      </c>
      <c r="H196" s="1" t="s">
        <v>6</v>
      </c>
      <c r="I196" s="1" t="s">
        <v>2</v>
      </c>
      <c r="J196" s="1" t="s">
        <v>3</v>
      </c>
      <c r="K196" s="1" t="s">
        <v>6613</v>
      </c>
      <c r="L196" s="1" t="s">
        <v>7</v>
      </c>
      <c r="M196" s="1"/>
      <c r="N196" s="1" t="s">
        <v>6614</v>
      </c>
      <c r="O196" s="1" t="s">
        <v>6580</v>
      </c>
      <c r="P196" s="1"/>
      <c r="Q196" s="1"/>
      <c r="R196" s="1" t="s">
        <v>11</v>
      </c>
      <c r="S196" s="1"/>
      <c r="T196" s="1"/>
      <c r="U196" s="1"/>
      <c r="V196" s="1"/>
      <c r="W196" s="1"/>
      <c r="X196" s="1"/>
      <c r="Y196" s="1"/>
      <c r="Z196" s="1"/>
      <c r="AA196" s="1"/>
      <c r="AB196" s="1" t="s">
        <v>6615</v>
      </c>
      <c r="AC196" s="1"/>
      <c r="AD196" s="1"/>
      <c r="AE196" s="1" t="s">
        <v>6582</v>
      </c>
      <c r="AF196" s="1"/>
      <c r="AG196" s="1"/>
      <c r="AH196" s="1" t="s">
        <v>6616</v>
      </c>
      <c r="AI196" s="1"/>
      <c r="AJ196" s="1" t="s">
        <v>6451</v>
      </c>
      <c r="AK196" s="1" t="s">
        <v>6452</v>
      </c>
      <c r="AL196" s="1" t="s">
        <v>6453</v>
      </c>
      <c r="AM196" s="1" t="s">
        <v>6451</v>
      </c>
      <c r="AN196" s="1" t="s">
        <v>6452</v>
      </c>
      <c r="AO196" s="1" t="s">
        <v>6453</v>
      </c>
      <c r="AP196" s="2" t="s">
        <v>6617</v>
      </c>
      <c r="AQ196" s="2" t="s">
        <v>1077</v>
      </c>
      <c r="AR196" s="1"/>
      <c r="AS196" s="1"/>
      <c r="AT196" s="1" t="s">
        <v>5</v>
      </c>
    </row>
    <row r="197" spans="1:46" hidden="1" x14ac:dyDescent="0.4">
      <c r="A197" s="1" t="s">
        <v>6618</v>
      </c>
      <c r="B197" s="10"/>
      <c r="C197" s="1" t="s">
        <v>6443</v>
      </c>
      <c r="D197" s="1" t="s">
        <v>2211</v>
      </c>
      <c r="E197" s="1" t="s">
        <v>2478</v>
      </c>
      <c r="F197" s="1" t="s">
        <v>14</v>
      </c>
      <c r="G197" s="1" t="s">
        <v>1</v>
      </c>
      <c r="H197" s="1" t="s">
        <v>6</v>
      </c>
      <c r="I197" s="1" t="s">
        <v>2</v>
      </c>
      <c r="J197" s="1" t="s">
        <v>3</v>
      </c>
      <c r="K197" s="1" t="s">
        <v>6619</v>
      </c>
      <c r="L197" s="1" t="s">
        <v>7</v>
      </c>
      <c r="M197" s="1"/>
      <c r="N197" s="1" t="s">
        <v>6620</v>
      </c>
      <c r="O197" s="1" t="s">
        <v>6580</v>
      </c>
      <c r="P197" s="1"/>
      <c r="Q197" s="1"/>
      <c r="R197" s="1" t="s">
        <v>11</v>
      </c>
      <c r="S197" s="1"/>
      <c r="T197" s="1"/>
      <c r="U197" s="1"/>
      <c r="V197" s="1"/>
      <c r="W197" s="1"/>
      <c r="X197" s="1"/>
      <c r="Y197" s="1"/>
      <c r="Z197" s="1"/>
      <c r="AA197" s="1"/>
      <c r="AB197" s="1" t="s">
        <v>6621</v>
      </c>
      <c r="AC197" s="1"/>
      <c r="AD197" s="1"/>
      <c r="AE197" s="1" t="s">
        <v>6582</v>
      </c>
      <c r="AF197" s="1"/>
      <c r="AG197" s="1"/>
      <c r="AH197" s="1" t="s">
        <v>6622</v>
      </c>
      <c r="AI197" s="1"/>
      <c r="AJ197" s="1" t="s">
        <v>6451</v>
      </c>
      <c r="AK197" s="1" t="s">
        <v>6452</v>
      </c>
      <c r="AL197" s="1" t="s">
        <v>6453</v>
      </c>
      <c r="AM197" s="1" t="s">
        <v>6451</v>
      </c>
      <c r="AN197" s="1" t="s">
        <v>6452</v>
      </c>
      <c r="AO197" s="1" t="s">
        <v>6453</v>
      </c>
      <c r="AP197" s="2" t="s">
        <v>6617</v>
      </c>
      <c r="AQ197" s="2" t="s">
        <v>1077</v>
      </c>
      <c r="AR197" s="1"/>
      <c r="AS197" s="1"/>
      <c r="AT197" s="1" t="s">
        <v>5</v>
      </c>
    </row>
    <row r="198" spans="1:46" hidden="1" x14ac:dyDescent="0.4">
      <c r="A198" s="1" t="s">
        <v>6607</v>
      </c>
      <c r="B198" s="10"/>
      <c r="C198" s="1" t="s">
        <v>6443</v>
      </c>
      <c r="D198" s="1" t="s">
        <v>2211</v>
      </c>
      <c r="E198" s="1" t="s">
        <v>2478</v>
      </c>
      <c r="F198" s="1" t="s">
        <v>14</v>
      </c>
      <c r="G198" s="1" t="s">
        <v>1</v>
      </c>
      <c r="H198" s="1" t="s">
        <v>6</v>
      </c>
      <c r="I198" s="1" t="s">
        <v>2</v>
      </c>
      <c r="J198" s="1" t="s">
        <v>3</v>
      </c>
      <c r="K198" s="1" t="s">
        <v>6608</v>
      </c>
      <c r="L198" s="1" t="s">
        <v>7</v>
      </c>
      <c r="M198" s="1"/>
      <c r="N198" s="1" t="s">
        <v>6609</v>
      </c>
      <c r="O198" s="1" t="s">
        <v>6580</v>
      </c>
      <c r="P198" s="1"/>
      <c r="Q198" s="1"/>
      <c r="R198" s="1" t="s">
        <v>11</v>
      </c>
      <c r="S198" s="1"/>
      <c r="T198" s="1"/>
      <c r="U198" s="1"/>
      <c r="V198" s="1"/>
      <c r="W198" s="1"/>
      <c r="X198" s="1"/>
      <c r="Y198" s="1"/>
      <c r="Z198" s="1"/>
      <c r="AA198" s="1"/>
      <c r="AB198" s="1" t="s">
        <v>6610</v>
      </c>
      <c r="AC198" s="1"/>
      <c r="AD198" s="1"/>
      <c r="AE198" s="1" t="s">
        <v>6582</v>
      </c>
      <c r="AF198" s="1"/>
      <c r="AG198" s="1"/>
      <c r="AH198" s="1" t="s">
        <v>6611</v>
      </c>
      <c r="AI198" s="1"/>
      <c r="AJ198" s="1" t="s">
        <v>6451</v>
      </c>
      <c r="AK198" s="1" t="s">
        <v>6452</v>
      </c>
      <c r="AL198" s="1" t="s">
        <v>6453</v>
      </c>
      <c r="AM198" s="1" t="s">
        <v>6451</v>
      </c>
      <c r="AN198" s="1" t="s">
        <v>6452</v>
      </c>
      <c r="AO198" s="1" t="s">
        <v>6453</v>
      </c>
      <c r="AP198" s="2" t="s">
        <v>6596</v>
      </c>
      <c r="AQ198" s="2" t="s">
        <v>1077</v>
      </c>
      <c r="AR198" s="1"/>
      <c r="AS198" s="1"/>
      <c r="AT198" s="1" t="s">
        <v>5</v>
      </c>
    </row>
    <row r="199" spans="1:46" hidden="1" x14ac:dyDescent="0.4">
      <c r="A199" s="1" t="s">
        <v>6597</v>
      </c>
      <c r="B199" s="10"/>
      <c r="C199" s="1" t="s">
        <v>6443</v>
      </c>
      <c r="D199" s="1" t="s">
        <v>2211</v>
      </c>
      <c r="E199" s="1" t="s">
        <v>2478</v>
      </c>
      <c r="F199" s="1" t="s">
        <v>14</v>
      </c>
      <c r="G199" s="1" t="s">
        <v>1</v>
      </c>
      <c r="H199" s="1" t="s">
        <v>6</v>
      </c>
      <c r="I199" s="1" t="s">
        <v>2</v>
      </c>
      <c r="J199" s="1" t="s">
        <v>3</v>
      </c>
      <c r="K199" s="1" t="s">
        <v>6598</v>
      </c>
      <c r="L199" s="1" t="s">
        <v>7</v>
      </c>
      <c r="M199" s="1"/>
      <c r="N199" s="1" t="s">
        <v>6599</v>
      </c>
      <c r="O199" s="1" t="s">
        <v>6580</v>
      </c>
      <c r="P199" s="1"/>
      <c r="Q199" s="1"/>
      <c r="R199" s="1" t="s">
        <v>11</v>
      </c>
      <c r="S199" s="1"/>
      <c r="T199" s="1"/>
      <c r="U199" s="1"/>
      <c r="V199" s="1"/>
      <c r="W199" s="1"/>
      <c r="X199" s="1"/>
      <c r="Y199" s="1"/>
      <c r="Z199" s="1"/>
      <c r="AA199" s="1"/>
      <c r="AB199" s="1" t="s">
        <v>6600</v>
      </c>
      <c r="AC199" s="1"/>
      <c r="AD199" s="1"/>
      <c r="AE199" s="1" t="s">
        <v>6582</v>
      </c>
      <c r="AF199" s="1"/>
      <c r="AG199" s="1"/>
      <c r="AH199" s="1" t="s">
        <v>6601</v>
      </c>
      <c r="AI199" s="1"/>
      <c r="AJ199" s="1" t="s">
        <v>6451</v>
      </c>
      <c r="AK199" s="1" t="s">
        <v>6452</v>
      </c>
      <c r="AL199" s="1" t="s">
        <v>6453</v>
      </c>
      <c r="AM199" s="1" t="s">
        <v>6451</v>
      </c>
      <c r="AN199" s="1" t="s">
        <v>6452</v>
      </c>
      <c r="AO199" s="1" t="s">
        <v>6453</v>
      </c>
      <c r="AP199" s="2" t="s">
        <v>6596</v>
      </c>
      <c r="AQ199" s="2" t="s">
        <v>1077</v>
      </c>
      <c r="AR199" s="1"/>
      <c r="AS199" s="1"/>
      <c r="AT199" s="1" t="s">
        <v>5</v>
      </c>
    </row>
    <row r="200" spans="1:46" hidden="1" x14ac:dyDescent="0.4">
      <c r="A200" s="1" t="s">
        <v>6591</v>
      </c>
      <c r="B200" s="10"/>
      <c r="C200" s="1" t="s">
        <v>6443</v>
      </c>
      <c r="D200" s="1" t="s">
        <v>2211</v>
      </c>
      <c r="E200" s="1" t="s">
        <v>2478</v>
      </c>
      <c r="F200" s="1" t="s">
        <v>14</v>
      </c>
      <c r="G200" s="1" t="s">
        <v>1</v>
      </c>
      <c r="H200" s="1" t="s">
        <v>6</v>
      </c>
      <c r="I200" s="1" t="s">
        <v>2</v>
      </c>
      <c r="J200" s="1" t="s">
        <v>3</v>
      </c>
      <c r="K200" s="1" t="s">
        <v>6592</v>
      </c>
      <c r="L200" s="1" t="s">
        <v>7</v>
      </c>
      <c r="M200" s="1"/>
      <c r="N200" s="1" t="s">
        <v>6593</v>
      </c>
      <c r="O200" s="1" t="s">
        <v>6580</v>
      </c>
      <c r="P200" s="1"/>
      <c r="Q200" s="1"/>
      <c r="R200" s="1" t="s">
        <v>11</v>
      </c>
      <c r="S200" s="1"/>
      <c r="T200" s="1"/>
      <c r="U200" s="1"/>
      <c r="V200" s="1"/>
      <c r="W200" s="1"/>
      <c r="X200" s="1"/>
      <c r="Y200" s="1"/>
      <c r="Z200" s="1"/>
      <c r="AA200" s="1"/>
      <c r="AB200" s="1" t="s">
        <v>6594</v>
      </c>
      <c r="AC200" s="1"/>
      <c r="AD200" s="1"/>
      <c r="AE200" s="1" t="s">
        <v>6582</v>
      </c>
      <c r="AF200" s="1"/>
      <c r="AG200" s="1"/>
      <c r="AH200" s="1" t="s">
        <v>6595</v>
      </c>
      <c r="AI200" s="1"/>
      <c r="AJ200" s="1" t="s">
        <v>6451</v>
      </c>
      <c r="AK200" s="1" t="s">
        <v>6452</v>
      </c>
      <c r="AL200" s="1" t="s">
        <v>6453</v>
      </c>
      <c r="AM200" s="1" t="s">
        <v>6451</v>
      </c>
      <c r="AN200" s="1" t="s">
        <v>6452</v>
      </c>
      <c r="AO200" s="1" t="s">
        <v>6453</v>
      </c>
      <c r="AP200" s="2" t="s">
        <v>6596</v>
      </c>
      <c r="AQ200" s="2" t="s">
        <v>1077</v>
      </c>
      <c r="AR200" s="1"/>
      <c r="AS200" s="1"/>
      <c r="AT200" s="1" t="s">
        <v>5</v>
      </c>
    </row>
    <row r="201" spans="1:46" hidden="1" x14ac:dyDescent="0.4">
      <c r="A201" s="1" t="s">
        <v>5564</v>
      </c>
      <c r="B201" s="10"/>
      <c r="C201" s="1" t="s">
        <v>2494</v>
      </c>
      <c r="D201" s="1" t="s">
        <v>2211</v>
      </c>
      <c r="E201" s="1" t="s">
        <v>2078</v>
      </c>
      <c r="F201" s="1" t="s">
        <v>14</v>
      </c>
      <c r="G201" s="1" t="s">
        <v>1</v>
      </c>
      <c r="H201" s="1" t="s">
        <v>6</v>
      </c>
      <c r="I201" s="1" t="s">
        <v>2</v>
      </c>
      <c r="J201" s="1" t="s">
        <v>2450</v>
      </c>
      <c r="K201" s="1" t="s">
        <v>5565</v>
      </c>
      <c r="L201" s="1" t="s">
        <v>7</v>
      </c>
      <c r="M201" s="1" t="s">
        <v>9</v>
      </c>
      <c r="N201" s="1" t="s">
        <v>5566</v>
      </c>
      <c r="O201" s="1" t="s">
        <v>5495</v>
      </c>
      <c r="P201" s="1"/>
      <c r="Q201" s="1"/>
      <c r="R201" s="1" t="s">
        <v>11</v>
      </c>
      <c r="S201" s="1"/>
      <c r="T201" s="1"/>
      <c r="U201" s="1"/>
      <c r="V201" s="1"/>
      <c r="W201" s="1" t="s">
        <v>5567</v>
      </c>
      <c r="X201" s="1" t="s">
        <v>5568</v>
      </c>
      <c r="Y201" s="1"/>
      <c r="Z201" s="1"/>
      <c r="AA201" s="1" t="s">
        <v>5569</v>
      </c>
      <c r="AB201" s="1" t="s">
        <v>5570</v>
      </c>
      <c r="AC201" s="1"/>
      <c r="AD201" s="1"/>
      <c r="AE201" s="1" t="s">
        <v>5571</v>
      </c>
      <c r="AF201" s="1"/>
      <c r="AG201" s="1"/>
      <c r="AH201" s="1" t="s">
        <v>5572</v>
      </c>
      <c r="AI201" s="1"/>
      <c r="AJ201" s="1" t="s">
        <v>5502</v>
      </c>
      <c r="AK201" s="1" t="s">
        <v>3575</v>
      </c>
      <c r="AL201" s="1" t="s">
        <v>5503</v>
      </c>
      <c r="AM201" s="1" t="s">
        <v>3577</v>
      </c>
      <c r="AN201" s="1" t="s">
        <v>3575</v>
      </c>
      <c r="AO201" s="1" t="s">
        <v>3578</v>
      </c>
      <c r="AP201" s="2" t="s">
        <v>5573</v>
      </c>
      <c r="AQ201" s="2" t="s">
        <v>1077</v>
      </c>
      <c r="AR201" s="1" t="s">
        <v>286</v>
      </c>
      <c r="AS201" s="1" t="s">
        <v>5574</v>
      </c>
      <c r="AT201" s="1" t="s">
        <v>5</v>
      </c>
    </row>
    <row r="202" spans="1:46" hidden="1" x14ac:dyDescent="0.4">
      <c r="A202" s="1" t="s">
        <v>5575</v>
      </c>
      <c r="B202" s="10"/>
      <c r="C202" s="1" t="s">
        <v>2494</v>
      </c>
      <c r="D202" s="1" t="s">
        <v>2211</v>
      </c>
      <c r="E202" s="1" t="s">
        <v>2078</v>
      </c>
      <c r="F202" s="1" t="s">
        <v>14</v>
      </c>
      <c r="G202" s="1" t="s">
        <v>1</v>
      </c>
      <c r="H202" s="1" t="s">
        <v>6</v>
      </c>
      <c r="I202" s="1" t="s">
        <v>2</v>
      </c>
      <c r="J202" s="1" t="s">
        <v>2450</v>
      </c>
      <c r="K202" s="1" t="s">
        <v>5576</v>
      </c>
      <c r="L202" s="1" t="s">
        <v>7</v>
      </c>
      <c r="M202" s="1" t="s">
        <v>9</v>
      </c>
      <c r="N202" s="1" t="s">
        <v>5577</v>
      </c>
      <c r="O202" s="1" t="s">
        <v>5495</v>
      </c>
      <c r="P202" s="1"/>
      <c r="Q202" s="1"/>
      <c r="R202" s="1" t="s">
        <v>11</v>
      </c>
      <c r="S202" s="1"/>
      <c r="T202" s="1"/>
      <c r="U202" s="1"/>
      <c r="V202" s="1"/>
      <c r="W202" s="1" t="s">
        <v>5578</v>
      </c>
      <c r="X202" s="1" t="s">
        <v>5579</v>
      </c>
      <c r="Y202" s="1"/>
      <c r="Z202" s="1"/>
      <c r="AA202" s="1" t="s">
        <v>5580</v>
      </c>
      <c r="AB202" s="1" t="s">
        <v>5581</v>
      </c>
      <c r="AC202" s="1"/>
      <c r="AD202" s="1"/>
      <c r="AE202" s="1" t="s">
        <v>5582</v>
      </c>
      <c r="AF202" s="1"/>
      <c r="AG202" s="1"/>
      <c r="AH202" s="1" t="s">
        <v>5583</v>
      </c>
      <c r="AI202" s="1"/>
      <c r="AJ202" s="1" t="s">
        <v>5502</v>
      </c>
      <c r="AK202" s="1" t="s">
        <v>3575</v>
      </c>
      <c r="AL202" s="1" t="s">
        <v>5503</v>
      </c>
      <c r="AM202" s="1" t="s">
        <v>3577</v>
      </c>
      <c r="AN202" s="1" t="s">
        <v>3575</v>
      </c>
      <c r="AO202" s="1" t="s">
        <v>3578</v>
      </c>
      <c r="AP202" s="2" t="s">
        <v>5584</v>
      </c>
      <c r="AQ202" s="2" t="s">
        <v>1077</v>
      </c>
      <c r="AR202" s="1" t="s">
        <v>286</v>
      </c>
      <c r="AS202" s="1" t="s">
        <v>5574</v>
      </c>
      <c r="AT202" s="1" t="s">
        <v>5</v>
      </c>
    </row>
    <row r="203" spans="1:46" hidden="1" x14ac:dyDescent="0.4">
      <c r="A203" s="1" t="s">
        <v>5492</v>
      </c>
      <c r="B203" s="10"/>
      <c r="C203" s="1" t="s">
        <v>2494</v>
      </c>
      <c r="D203" s="1" t="s">
        <v>2211</v>
      </c>
      <c r="E203" s="1" t="s">
        <v>2078</v>
      </c>
      <c r="F203" s="1" t="s">
        <v>14</v>
      </c>
      <c r="G203" s="1" t="s">
        <v>1</v>
      </c>
      <c r="H203" s="1" t="s">
        <v>6</v>
      </c>
      <c r="I203" s="1" t="s">
        <v>2</v>
      </c>
      <c r="J203" s="1" t="s">
        <v>2450</v>
      </c>
      <c r="K203" s="1" t="s">
        <v>5493</v>
      </c>
      <c r="L203" s="1" t="s">
        <v>7</v>
      </c>
      <c r="M203" s="1" t="s">
        <v>9</v>
      </c>
      <c r="N203" s="1" t="s">
        <v>5494</v>
      </c>
      <c r="O203" s="1" t="s">
        <v>5495</v>
      </c>
      <c r="P203" s="1"/>
      <c r="Q203" s="1"/>
      <c r="R203" s="1" t="s">
        <v>11</v>
      </c>
      <c r="S203" s="1"/>
      <c r="T203" s="1"/>
      <c r="U203" s="1"/>
      <c r="V203" s="1"/>
      <c r="W203" s="1" t="s">
        <v>5496</v>
      </c>
      <c r="X203" s="1" t="s">
        <v>5497</v>
      </c>
      <c r="Y203" s="1"/>
      <c r="Z203" s="1"/>
      <c r="AA203" s="1" t="s">
        <v>5498</v>
      </c>
      <c r="AB203" s="1" t="s">
        <v>5499</v>
      </c>
      <c r="AC203" s="1"/>
      <c r="AD203" s="1"/>
      <c r="AE203" s="1" t="s">
        <v>5500</v>
      </c>
      <c r="AF203" s="1"/>
      <c r="AG203" s="1"/>
      <c r="AH203" s="1" t="s">
        <v>5501</v>
      </c>
      <c r="AI203" s="1"/>
      <c r="AJ203" s="1" t="s">
        <v>5502</v>
      </c>
      <c r="AK203" s="1" t="s">
        <v>3575</v>
      </c>
      <c r="AL203" s="1" t="s">
        <v>5503</v>
      </c>
      <c r="AM203" s="1" t="s">
        <v>5502</v>
      </c>
      <c r="AN203" s="1" t="s">
        <v>3575</v>
      </c>
      <c r="AO203" s="1" t="s">
        <v>5503</v>
      </c>
      <c r="AP203" s="2" t="s">
        <v>5504</v>
      </c>
      <c r="AQ203" s="2" t="s">
        <v>1077</v>
      </c>
      <c r="AR203" s="1" t="s">
        <v>286</v>
      </c>
      <c r="AS203" s="1"/>
      <c r="AT203" s="1" t="s">
        <v>5</v>
      </c>
    </row>
    <row r="204" spans="1:46" hidden="1" x14ac:dyDescent="0.4">
      <c r="A204" s="1" t="s">
        <v>8377</v>
      </c>
      <c r="B204" s="10"/>
      <c r="C204" s="1" t="s">
        <v>93</v>
      </c>
      <c r="D204" s="1" t="s">
        <v>2290</v>
      </c>
      <c r="E204" s="1" t="s">
        <v>2291</v>
      </c>
      <c r="F204" s="1" t="s">
        <v>14</v>
      </c>
      <c r="G204" s="1" t="s">
        <v>1</v>
      </c>
      <c r="H204" s="1" t="s">
        <v>6</v>
      </c>
      <c r="I204" s="1" t="s">
        <v>2</v>
      </c>
      <c r="J204" s="1" t="s">
        <v>3</v>
      </c>
      <c r="K204" s="1" t="s">
        <v>8378</v>
      </c>
      <c r="L204" s="1" t="s">
        <v>7</v>
      </c>
      <c r="M204" s="1"/>
      <c r="N204" s="1" t="s">
        <v>8379</v>
      </c>
      <c r="O204" s="1" t="s">
        <v>6367</v>
      </c>
      <c r="P204" s="1"/>
      <c r="Q204" s="1"/>
      <c r="R204" s="1" t="s">
        <v>11</v>
      </c>
      <c r="S204" s="1"/>
      <c r="T204" s="1"/>
      <c r="U204" s="1"/>
      <c r="V204" s="1"/>
      <c r="W204" s="1"/>
      <c r="X204" s="1"/>
      <c r="Y204" s="1"/>
      <c r="Z204" s="1"/>
      <c r="AA204" s="1"/>
      <c r="AB204" s="1" t="s">
        <v>8380</v>
      </c>
      <c r="AC204" s="1"/>
      <c r="AD204" s="1"/>
      <c r="AE204" s="1" t="s">
        <v>8381</v>
      </c>
      <c r="AF204" s="1"/>
      <c r="AG204" s="1"/>
      <c r="AH204" s="1" t="s">
        <v>8382</v>
      </c>
      <c r="AI204" s="1"/>
      <c r="AJ204" s="1" t="s">
        <v>8383</v>
      </c>
      <c r="AK204" s="1" t="s">
        <v>1787</v>
      </c>
      <c r="AL204" s="1" t="s">
        <v>8384</v>
      </c>
      <c r="AM204" s="1" t="s">
        <v>8385</v>
      </c>
      <c r="AN204" s="1" t="s">
        <v>1787</v>
      </c>
      <c r="AO204" s="1" t="s">
        <v>8386</v>
      </c>
      <c r="AP204" s="2" t="s">
        <v>8387</v>
      </c>
      <c r="AQ204" s="2" t="s">
        <v>1154</v>
      </c>
      <c r="AR204" s="1" t="s">
        <v>286</v>
      </c>
      <c r="AS204" s="1"/>
      <c r="AT204" s="1" t="s">
        <v>5</v>
      </c>
    </row>
    <row r="205" spans="1:46" hidden="1" x14ac:dyDescent="0.4">
      <c r="A205" s="1" t="s">
        <v>6364</v>
      </c>
      <c r="B205" s="10"/>
      <c r="C205" s="1" t="s">
        <v>93</v>
      </c>
      <c r="D205" s="1" t="s">
        <v>2290</v>
      </c>
      <c r="E205" s="1" t="s">
        <v>2291</v>
      </c>
      <c r="F205" s="1" t="s">
        <v>14</v>
      </c>
      <c r="G205" s="1" t="s">
        <v>1</v>
      </c>
      <c r="H205" s="1" t="s">
        <v>6</v>
      </c>
      <c r="I205" s="1" t="s">
        <v>2</v>
      </c>
      <c r="J205" s="1" t="s">
        <v>3</v>
      </c>
      <c r="K205" s="1" t="s">
        <v>6365</v>
      </c>
      <c r="L205" s="1" t="s">
        <v>7</v>
      </c>
      <c r="M205" s="1"/>
      <c r="N205" s="1" t="s">
        <v>6366</v>
      </c>
      <c r="O205" s="1" t="s">
        <v>6367</v>
      </c>
      <c r="P205" s="1"/>
      <c r="Q205" s="1"/>
      <c r="R205" s="1" t="s">
        <v>11</v>
      </c>
      <c r="S205" s="1"/>
      <c r="T205" s="1"/>
      <c r="U205" s="1"/>
      <c r="V205" s="1"/>
      <c r="W205" s="1"/>
      <c r="X205" s="1"/>
      <c r="Y205" s="1"/>
      <c r="Z205" s="1"/>
      <c r="AA205" s="1"/>
      <c r="AB205" s="1" t="s">
        <v>6368</v>
      </c>
      <c r="AC205" s="1"/>
      <c r="AD205" s="1"/>
      <c r="AE205" s="1" t="s">
        <v>6369</v>
      </c>
      <c r="AF205" s="1"/>
      <c r="AG205" s="1"/>
      <c r="AH205" s="1" t="s">
        <v>6370</v>
      </c>
      <c r="AI205" s="1"/>
      <c r="AJ205" s="1" t="s">
        <v>1786</v>
      </c>
      <c r="AK205" s="1" t="s">
        <v>1787</v>
      </c>
      <c r="AL205" s="1" t="s">
        <v>1788</v>
      </c>
      <c r="AM205" s="1" t="s">
        <v>1786</v>
      </c>
      <c r="AN205" s="1" t="s">
        <v>1787</v>
      </c>
      <c r="AO205" s="1" t="s">
        <v>1788</v>
      </c>
      <c r="AP205" s="2" t="s">
        <v>6371</v>
      </c>
      <c r="AQ205" s="2" t="s">
        <v>1077</v>
      </c>
      <c r="AR205" s="1" t="s">
        <v>287</v>
      </c>
      <c r="AS205" s="1"/>
      <c r="AT205" s="1" t="s">
        <v>5</v>
      </c>
    </row>
    <row r="206" spans="1:46" hidden="1" x14ac:dyDescent="0.4">
      <c r="A206" s="1" t="s">
        <v>6382</v>
      </c>
      <c r="B206" s="10"/>
      <c r="C206" s="1" t="s">
        <v>93</v>
      </c>
      <c r="D206" s="1" t="s">
        <v>2290</v>
      </c>
      <c r="E206" s="1" t="s">
        <v>2291</v>
      </c>
      <c r="F206" s="1" t="s">
        <v>14</v>
      </c>
      <c r="G206" s="1" t="s">
        <v>1</v>
      </c>
      <c r="H206" s="1" t="s">
        <v>6</v>
      </c>
      <c r="I206" s="1" t="s">
        <v>2</v>
      </c>
      <c r="J206" s="1" t="s">
        <v>3</v>
      </c>
      <c r="K206" s="1" t="s">
        <v>6383</v>
      </c>
      <c r="L206" s="1" t="s">
        <v>7</v>
      </c>
      <c r="M206" s="1"/>
      <c r="N206" s="1" t="s">
        <v>6384</v>
      </c>
      <c r="O206" s="1" t="s">
        <v>6367</v>
      </c>
      <c r="P206" s="1"/>
      <c r="Q206" s="1"/>
      <c r="R206" s="1" t="s">
        <v>11</v>
      </c>
      <c r="S206" s="1"/>
      <c r="T206" s="1"/>
      <c r="U206" s="1"/>
      <c r="V206" s="1"/>
      <c r="W206" s="1" t="s">
        <v>6385</v>
      </c>
      <c r="X206" s="1"/>
      <c r="Y206" s="1"/>
      <c r="Z206" s="1"/>
      <c r="AA206" s="1"/>
      <c r="AB206" s="1" t="s">
        <v>6386</v>
      </c>
      <c r="AC206" s="1"/>
      <c r="AD206" s="1"/>
      <c r="AE206" s="1" t="s">
        <v>6387</v>
      </c>
      <c r="AF206" s="1"/>
      <c r="AG206" s="1"/>
      <c r="AH206" s="1" t="s">
        <v>6388</v>
      </c>
      <c r="AI206" s="1"/>
      <c r="AJ206" s="1" t="s">
        <v>1786</v>
      </c>
      <c r="AK206" s="1" t="s">
        <v>1787</v>
      </c>
      <c r="AL206" s="1" t="s">
        <v>1788</v>
      </c>
      <c r="AM206" s="1" t="s">
        <v>1786</v>
      </c>
      <c r="AN206" s="1" t="s">
        <v>1787</v>
      </c>
      <c r="AO206" s="1" t="s">
        <v>1788</v>
      </c>
      <c r="AP206" s="2" t="s">
        <v>6389</v>
      </c>
      <c r="AQ206" s="2" t="s">
        <v>1077</v>
      </c>
      <c r="AR206" s="1" t="s">
        <v>287</v>
      </c>
      <c r="AS206" s="1"/>
      <c r="AT206" s="1" t="s">
        <v>5</v>
      </c>
    </row>
    <row r="207" spans="1:46" hidden="1" x14ac:dyDescent="0.4">
      <c r="A207" s="1" t="s">
        <v>8517</v>
      </c>
      <c r="B207" s="10"/>
      <c r="C207" s="1" t="s">
        <v>93</v>
      </c>
      <c r="D207" s="1" t="s">
        <v>2290</v>
      </c>
      <c r="E207" s="1" t="s">
        <v>2291</v>
      </c>
      <c r="F207" s="1" t="s">
        <v>14</v>
      </c>
      <c r="G207" s="1" t="s">
        <v>1</v>
      </c>
      <c r="H207" s="1" t="s">
        <v>6</v>
      </c>
      <c r="I207" s="1" t="s">
        <v>2</v>
      </c>
      <c r="J207" s="1" t="s">
        <v>3</v>
      </c>
      <c r="K207" s="1" t="s">
        <v>8518</v>
      </c>
      <c r="L207" s="1" t="s">
        <v>7</v>
      </c>
      <c r="M207" s="1"/>
      <c r="N207" s="1" t="s">
        <v>8519</v>
      </c>
      <c r="O207" s="1" t="s">
        <v>6367</v>
      </c>
      <c r="P207" s="1"/>
      <c r="Q207" s="1"/>
      <c r="R207" s="1" t="s">
        <v>11</v>
      </c>
      <c r="S207" s="1"/>
      <c r="T207" s="1"/>
      <c r="U207" s="1"/>
      <c r="V207" s="1"/>
      <c r="W207" s="1" t="s">
        <v>8520</v>
      </c>
      <c r="X207" s="1"/>
      <c r="Y207" s="1"/>
      <c r="Z207" s="1"/>
      <c r="AA207" s="1"/>
      <c r="AB207" s="1" t="s">
        <v>8521</v>
      </c>
      <c r="AC207" s="1"/>
      <c r="AD207" s="1"/>
      <c r="AE207" s="1" t="s">
        <v>6387</v>
      </c>
      <c r="AF207" s="1"/>
      <c r="AG207" s="1"/>
      <c r="AH207" s="1" t="s">
        <v>8522</v>
      </c>
      <c r="AI207" s="1"/>
      <c r="AJ207" s="1" t="s">
        <v>5935</v>
      </c>
      <c r="AK207" s="1" t="s">
        <v>1787</v>
      </c>
      <c r="AL207" s="1" t="s">
        <v>5936</v>
      </c>
      <c r="AM207" s="1" t="s">
        <v>5935</v>
      </c>
      <c r="AN207" s="1" t="s">
        <v>1787</v>
      </c>
      <c r="AO207" s="1" t="s">
        <v>5936</v>
      </c>
      <c r="AP207" s="2" t="s">
        <v>8523</v>
      </c>
      <c r="AQ207" s="2" t="s">
        <v>1154</v>
      </c>
      <c r="AR207" s="1" t="s">
        <v>286</v>
      </c>
      <c r="AS207" s="1" t="s">
        <v>8524</v>
      </c>
      <c r="AT207" s="1" t="s">
        <v>5</v>
      </c>
    </row>
    <row r="208" spans="1:46" hidden="1" x14ac:dyDescent="0.4">
      <c r="A208" s="1" t="s">
        <v>8532</v>
      </c>
      <c r="B208" s="10"/>
      <c r="C208" s="1" t="s">
        <v>93</v>
      </c>
      <c r="D208" s="1" t="s">
        <v>2290</v>
      </c>
      <c r="E208" s="1" t="s">
        <v>2291</v>
      </c>
      <c r="F208" s="1" t="s">
        <v>14</v>
      </c>
      <c r="G208" s="1" t="s">
        <v>1</v>
      </c>
      <c r="H208" s="1" t="s">
        <v>6</v>
      </c>
      <c r="I208" s="1" t="s">
        <v>2</v>
      </c>
      <c r="J208" s="1" t="s">
        <v>3</v>
      </c>
      <c r="K208" s="1" t="s">
        <v>8533</v>
      </c>
      <c r="L208" s="1" t="s">
        <v>7</v>
      </c>
      <c r="M208" s="1"/>
      <c r="N208" s="1" t="s">
        <v>8534</v>
      </c>
      <c r="O208" s="1" t="s">
        <v>6367</v>
      </c>
      <c r="P208" s="1"/>
      <c r="Q208" s="1"/>
      <c r="R208" s="1" t="s">
        <v>11</v>
      </c>
      <c r="S208" s="1"/>
      <c r="T208" s="1"/>
      <c r="U208" s="1"/>
      <c r="V208" s="1"/>
      <c r="W208" s="1" t="s">
        <v>8520</v>
      </c>
      <c r="X208" s="1"/>
      <c r="Y208" s="1"/>
      <c r="Z208" s="1"/>
      <c r="AA208" s="1"/>
      <c r="AB208" s="1" t="s">
        <v>8535</v>
      </c>
      <c r="AC208" s="1"/>
      <c r="AD208" s="1"/>
      <c r="AE208" s="1" t="s">
        <v>6387</v>
      </c>
      <c r="AF208" s="1"/>
      <c r="AG208" s="1"/>
      <c r="AH208" s="1" t="s">
        <v>8536</v>
      </c>
      <c r="AI208" s="1"/>
      <c r="AJ208" s="1" t="s">
        <v>5935</v>
      </c>
      <c r="AK208" s="1" t="s">
        <v>1787</v>
      </c>
      <c r="AL208" s="1" t="s">
        <v>5936</v>
      </c>
      <c r="AM208" s="1" t="s">
        <v>5935</v>
      </c>
      <c r="AN208" s="1" t="s">
        <v>1787</v>
      </c>
      <c r="AO208" s="1" t="s">
        <v>5936</v>
      </c>
      <c r="AP208" s="2" t="s">
        <v>8537</v>
      </c>
      <c r="AQ208" s="2" t="s">
        <v>1154</v>
      </c>
      <c r="AR208" s="1" t="s">
        <v>286</v>
      </c>
      <c r="AS208" s="1" t="s">
        <v>8538</v>
      </c>
      <c r="AT208" s="1" t="s">
        <v>5</v>
      </c>
    </row>
    <row r="209" spans="1:46" hidden="1" x14ac:dyDescent="0.4">
      <c r="A209" s="1" t="s">
        <v>8525</v>
      </c>
      <c r="B209" s="10"/>
      <c r="C209" s="1" t="s">
        <v>93</v>
      </c>
      <c r="D209" s="1" t="s">
        <v>2290</v>
      </c>
      <c r="E209" s="1" t="s">
        <v>2291</v>
      </c>
      <c r="F209" s="1" t="s">
        <v>14</v>
      </c>
      <c r="G209" s="1" t="s">
        <v>1</v>
      </c>
      <c r="H209" s="1" t="s">
        <v>6</v>
      </c>
      <c r="I209" s="1" t="s">
        <v>2</v>
      </c>
      <c r="J209" s="1" t="s">
        <v>3</v>
      </c>
      <c r="K209" s="1" t="s">
        <v>8526</v>
      </c>
      <c r="L209" s="1" t="s">
        <v>7</v>
      </c>
      <c r="M209" s="1"/>
      <c r="N209" s="1" t="s">
        <v>8527</v>
      </c>
      <c r="O209" s="1" t="s">
        <v>6367</v>
      </c>
      <c r="P209" s="1"/>
      <c r="Q209" s="1"/>
      <c r="R209" s="1" t="s">
        <v>11</v>
      </c>
      <c r="S209" s="1"/>
      <c r="T209" s="1"/>
      <c r="U209" s="1"/>
      <c r="V209" s="1"/>
      <c r="W209" s="1" t="s">
        <v>8520</v>
      </c>
      <c r="X209" s="1"/>
      <c r="Y209" s="1"/>
      <c r="Z209" s="1"/>
      <c r="AA209" s="1"/>
      <c r="AB209" s="1" t="s">
        <v>8528</v>
      </c>
      <c r="AC209" s="1"/>
      <c r="AD209" s="1"/>
      <c r="AE209" s="1" t="s">
        <v>6387</v>
      </c>
      <c r="AF209" s="1"/>
      <c r="AG209" s="1"/>
      <c r="AH209" s="1" t="s">
        <v>8529</v>
      </c>
      <c r="AI209" s="1"/>
      <c r="AJ209" s="1" t="s">
        <v>5935</v>
      </c>
      <c r="AK209" s="1" t="s">
        <v>1787</v>
      </c>
      <c r="AL209" s="1" t="s">
        <v>5936</v>
      </c>
      <c r="AM209" s="1" t="s">
        <v>5935</v>
      </c>
      <c r="AN209" s="1" t="s">
        <v>1787</v>
      </c>
      <c r="AO209" s="1" t="s">
        <v>5936</v>
      </c>
      <c r="AP209" s="2" t="s">
        <v>8530</v>
      </c>
      <c r="AQ209" s="2" t="s">
        <v>1154</v>
      </c>
      <c r="AR209" s="1" t="s">
        <v>286</v>
      </c>
      <c r="AS209" s="1" t="s">
        <v>8531</v>
      </c>
      <c r="AT209" s="1" t="s">
        <v>5</v>
      </c>
    </row>
    <row r="210" spans="1:46" hidden="1" x14ac:dyDescent="0.4">
      <c r="A210" s="1" t="s">
        <v>6442</v>
      </c>
      <c r="B210" s="10"/>
      <c r="C210" s="1" t="s">
        <v>6443</v>
      </c>
      <c r="D210" s="1" t="s">
        <v>2157</v>
      </c>
      <c r="E210" s="1" t="s">
        <v>2078</v>
      </c>
      <c r="F210" s="1" t="s">
        <v>14</v>
      </c>
      <c r="G210" s="1" t="s">
        <v>1</v>
      </c>
      <c r="H210" s="1" t="s">
        <v>6</v>
      </c>
      <c r="I210" s="1" t="s">
        <v>2</v>
      </c>
      <c r="J210" s="1" t="s">
        <v>3</v>
      </c>
      <c r="K210" s="1" t="s">
        <v>6444</v>
      </c>
      <c r="L210" s="1" t="s">
        <v>7</v>
      </c>
      <c r="M210" s="1"/>
      <c r="N210" s="1" t="s">
        <v>6445</v>
      </c>
      <c r="O210" s="1" t="s">
        <v>6446</v>
      </c>
      <c r="P210" s="1"/>
      <c r="Q210" s="1"/>
      <c r="R210" s="1" t="s">
        <v>11</v>
      </c>
      <c r="S210" s="1"/>
      <c r="T210" s="1"/>
      <c r="U210" s="1"/>
      <c r="V210" s="1"/>
      <c r="W210" s="1"/>
      <c r="X210" s="1" t="s">
        <v>6447</v>
      </c>
      <c r="Y210" s="1"/>
      <c r="Z210" s="1"/>
      <c r="AA210" s="1"/>
      <c r="AB210" s="1" t="s">
        <v>6448</v>
      </c>
      <c r="AC210" s="1"/>
      <c r="AD210" s="1"/>
      <c r="AE210" s="1" t="s">
        <v>6449</v>
      </c>
      <c r="AF210" s="1"/>
      <c r="AG210" s="1"/>
      <c r="AH210" s="1" t="s">
        <v>6450</v>
      </c>
      <c r="AI210" s="1"/>
      <c r="AJ210" s="1" t="s">
        <v>6451</v>
      </c>
      <c r="AK210" s="1" t="s">
        <v>6452</v>
      </c>
      <c r="AL210" s="1" t="s">
        <v>6453</v>
      </c>
      <c r="AM210" s="1" t="s">
        <v>6451</v>
      </c>
      <c r="AN210" s="1" t="s">
        <v>6452</v>
      </c>
      <c r="AO210" s="1" t="s">
        <v>6453</v>
      </c>
      <c r="AP210" s="2" t="s">
        <v>6454</v>
      </c>
      <c r="AQ210" s="2" t="s">
        <v>1077</v>
      </c>
      <c r="AR210" s="1" t="s">
        <v>286</v>
      </c>
      <c r="AS210" s="1"/>
      <c r="AT210" s="1" t="s">
        <v>5</v>
      </c>
    </row>
    <row r="211" spans="1:46" hidden="1" x14ac:dyDescent="0.4">
      <c r="A211" s="1" t="s">
        <v>11540</v>
      </c>
      <c r="B211" s="10"/>
      <c r="C211" s="1" t="s">
        <v>0</v>
      </c>
      <c r="D211" s="1" t="s">
        <v>2157</v>
      </c>
      <c r="E211" s="1" t="s">
        <v>2078</v>
      </c>
      <c r="F211" s="1" t="s">
        <v>14</v>
      </c>
      <c r="G211" s="1" t="s">
        <v>1</v>
      </c>
      <c r="H211" s="1" t="s">
        <v>6</v>
      </c>
      <c r="I211" s="1" t="s">
        <v>2</v>
      </c>
      <c r="J211" s="1" t="s">
        <v>3</v>
      </c>
      <c r="K211" s="1" t="s">
        <v>11541</v>
      </c>
      <c r="L211" s="1" t="s">
        <v>7</v>
      </c>
      <c r="M211" s="1" t="s">
        <v>9</v>
      </c>
      <c r="N211" s="1" t="s">
        <v>11542</v>
      </c>
      <c r="O211" s="1" t="s">
        <v>5614</v>
      </c>
      <c r="P211" s="1"/>
      <c r="Q211" s="1" t="s">
        <v>12</v>
      </c>
      <c r="R211" s="1" t="s">
        <v>11</v>
      </c>
      <c r="S211" s="1"/>
      <c r="T211" s="1" t="s">
        <v>12</v>
      </c>
      <c r="U211" s="1" t="s">
        <v>11</v>
      </c>
      <c r="V211" s="1"/>
      <c r="W211" s="1"/>
      <c r="X211" s="1"/>
      <c r="Y211" s="1"/>
      <c r="Z211" s="1"/>
      <c r="AA211" s="1"/>
      <c r="AB211" s="1" t="s">
        <v>11543</v>
      </c>
      <c r="AC211" s="1"/>
      <c r="AD211" s="1"/>
      <c r="AE211" s="1" t="s">
        <v>11544</v>
      </c>
      <c r="AF211" s="1"/>
      <c r="AG211" s="1"/>
      <c r="AH211" s="1" t="s">
        <v>11545</v>
      </c>
      <c r="AI211" s="1"/>
      <c r="AJ211" s="1" t="s">
        <v>1647</v>
      </c>
      <c r="AK211" s="1" t="s">
        <v>1648</v>
      </c>
      <c r="AL211" s="1"/>
      <c r="AM211" s="1" t="s">
        <v>11546</v>
      </c>
      <c r="AN211" s="1" t="s">
        <v>1648</v>
      </c>
      <c r="AO211" s="1" t="s">
        <v>11547</v>
      </c>
      <c r="AP211" s="2" t="s">
        <v>11548</v>
      </c>
      <c r="AQ211" s="2" t="s">
        <v>1155</v>
      </c>
      <c r="AR211" s="1" t="s">
        <v>286</v>
      </c>
      <c r="AS211" s="1" t="s">
        <v>1076</v>
      </c>
      <c r="AT211" s="1" t="s">
        <v>5</v>
      </c>
    </row>
    <row r="212" spans="1:46" hidden="1" x14ac:dyDescent="0.4">
      <c r="A212" s="1" t="s">
        <v>6390</v>
      </c>
      <c r="B212" s="10"/>
      <c r="C212" s="1" t="s">
        <v>93</v>
      </c>
      <c r="D212" s="1" t="s">
        <v>2290</v>
      </c>
      <c r="E212" s="1" t="s">
        <v>2291</v>
      </c>
      <c r="F212" s="1" t="s">
        <v>14</v>
      </c>
      <c r="G212" s="1" t="s">
        <v>1</v>
      </c>
      <c r="H212" s="1" t="s">
        <v>6</v>
      </c>
      <c r="I212" s="1" t="s">
        <v>2</v>
      </c>
      <c r="J212" s="1" t="s">
        <v>3</v>
      </c>
      <c r="K212" s="1" t="s">
        <v>6391</v>
      </c>
      <c r="L212" s="1" t="s">
        <v>7</v>
      </c>
      <c r="M212" s="1"/>
      <c r="N212" s="1" t="s">
        <v>6392</v>
      </c>
      <c r="O212" s="1" t="s">
        <v>6367</v>
      </c>
      <c r="P212" s="1"/>
      <c r="Q212" s="1"/>
      <c r="R212" s="1" t="s">
        <v>11</v>
      </c>
      <c r="S212" s="1"/>
      <c r="T212" s="1"/>
      <c r="U212" s="1"/>
      <c r="V212" s="1"/>
      <c r="W212" s="1"/>
      <c r="X212" s="1"/>
      <c r="Y212" s="1"/>
      <c r="Z212" s="1"/>
      <c r="AA212" s="1"/>
      <c r="AB212" s="1" t="s">
        <v>6393</v>
      </c>
      <c r="AC212" s="1"/>
      <c r="AD212" s="1"/>
      <c r="AE212" s="1" t="s">
        <v>6394</v>
      </c>
      <c r="AF212" s="1"/>
      <c r="AG212" s="1"/>
      <c r="AH212" s="1" t="s">
        <v>6395</v>
      </c>
      <c r="AI212" s="1"/>
      <c r="AJ212" s="1" t="s">
        <v>1786</v>
      </c>
      <c r="AK212" s="1" t="s">
        <v>1787</v>
      </c>
      <c r="AL212" s="1" t="s">
        <v>1788</v>
      </c>
      <c r="AM212" s="1" t="s">
        <v>1786</v>
      </c>
      <c r="AN212" s="1" t="s">
        <v>1787</v>
      </c>
      <c r="AO212" s="1" t="s">
        <v>1788</v>
      </c>
      <c r="AP212" s="2" t="s">
        <v>6396</v>
      </c>
      <c r="AQ212" s="2" t="s">
        <v>1077</v>
      </c>
      <c r="AR212" s="1" t="s">
        <v>287</v>
      </c>
      <c r="AS212" s="1"/>
      <c r="AT212" s="1" t="s">
        <v>5</v>
      </c>
    </row>
    <row r="213" spans="1:46" hidden="1" x14ac:dyDescent="0.4">
      <c r="A213" s="1" t="s">
        <v>6770</v>
      </c>
      <c r="B213" s="10"/>
      <c r="C213" s="1" t="s">
        <v>0</v>
      </c>
      <c r="D213" s="1" t="s">
        <v>2157</v>
      </c>
      <c r="E213" s="1" t="s">
        <v>2078</v>
      </c>
      <c r="F213" s="1" t="s">
        <v>14</v>
      </c>
      <c r="G213" s="1" t="s">
        <v>1</v>
      </c>
      <c r="H213" s="1" t="s">
        <v>6</v>
      </c>
      <c r="I213" s="1" t="s">
        <v>2</v>
      </c>
      <c r="J213" s="1" t="s">
        <v>3</v>
      </c>
      <c r="K213" s="1" t="s">
        <v>6771</v>
      </c>
      <c r="L213" s="1" t="s">
        <v>7</v>
      </c>
      <c r="M213" s="1"/>
      <c r="N213" s="1" t="s">
        <v>6772</v>
      </c>
      <c r="O213" s="1" t="s">
        <v>3155</v>
      </c>
      <c r="P213" s="1"/>
      <c r="Q213" s="1"/>
      <c r="R213" s="1" t="s">
        <v>11</v>
      </c>
      <c r="S213" s="1"/>
      <c r="T213" s="1"/>
      <c r="U213" s="1"/>
      <c r="V213" s="1"/>
      <c r="W213" s="1"/>
      <c r="X213" s="1" t="s">
        <v>6773</v>
      </c>
      <c r="Y213" s="1"/>
      <c r="Z213" s="1"/>
      <c r="AA213" s="1"/>
      <c r="AB213" s="1" t="s">
        <v>6774</v>
      </c>
      <c r="AC213" s="1"/>
      <c r="AD213" s="1"/>
      <c r="AE213" s="1" t="s">
        <v>6775</v>
      </c>
      <c r="AF213" s="1"/>
      <c r="AG213" s="1"/>
      <c r="AH213" s="1" t="s">
        <v>6776</v>
      </c>
      <c r="AI213" s="1"/>
      <c r="AJ213" s="1" t="s">
        <v>81</v>
      </c>
      <c r="AK213" s="1" t="s">
        <v>279</v>
      </c>
      <c r="AL213" s="1"/>
      <c r="AM213" s="1" t="s">
        <v>6777</v>
      </c>
      <c r="AN213" s="1" t="s">
        <v>279</v>
      </c>
      <c r="AO213" s="1" t="s">
        <v>6778</v>
      </c>
      <c r="AP213" s="2" t="s">
        <v>6779</v>
      </c>
      <c r="AQ213" s="2" t="s">
        <v>1077</v>
      </c>
      <c r="AR213" s="1" t="s">
        <v>286</v>
      </c>
      <c r="AS213" s="1" t="s">
        <v>6780</v>
      </c>
      <c r="AT213" s="1" t="s">
        <v>5</v>
      </c>
    </row>
    <row r="214" spans="1:46" hidden="1" x14ac:dyDescent="0.4">
      <c r="A214" s="1" t="s">
        <v>2704</v>
      </c>
      <c r="B214" s="10"/>
      <c r="C214" s="1" t="s">
        <v>2705</v>
      </c>
      <c r="D214" s="1" t="s">
        <v>2157</v>
      </c>
      <c r="E214" s="1" t="s">
        <v>2078</v>
      </c>
      <c r="F214" s="1" t="s">
        <v>14</v>
      </c>
      <c r="G214" s="1" t="s">
        <v>1</v>
      </c>
      <c r="H214" s="1" t="s">
        <v>6</v>
      </c>
      <c r="I214" s="1" t="s">
        <v>2</v>
      </c>
      <c r="J214" s="1" t="s">
        <v>2450</v>
      </c>
      <c r="K214" s="1" t="s">
        <v>2706</v>
      </c>
      <c r="L214" s="1" t="s">
        <v>7</v>
      </c>
      <c r="M214" s="1" t="s">
        <v>9</v>
      </c>
      <c r="N214" s="1" t="s">
        <v>2707</v>
      </c>
      <c r="O214" s="1" t="s">
        <v>2708</v>
      </c>
      <c r="P214" s="1"/>
      <c r="Q214" s="1"/>
      <c r="R214" s="1" t="s">
        <v>11</v>
      </c>
      <c r="S214" s="1"/>
      <c r="T214" s="1"/>
      <c r="U214" s="1"/>
      <c r="V214" s="1"/>
      <c r="W214" s="1" t="s">
        <v>2709</v>
      </c>
      <c r="X214" s="1"/>
      <c r="Y214" s="1"/>
      <c r="Z214" s="1"/>
      <c r="AA214" s="1" t="s">
        <v>2710</v>
      </c>
      <c r="AB214" s="1" t="s">
        <v>2711</v>
      </c>
      <c r="AC214" s="1"/>
      <c r="AD214" s="1"/>
      <c r="AE214" s="1"/>
      <c r="AF214" s="1"/>
      <c r="AG214" s="1"/>
      <c r="AH214" s="1" t="s">
        <v>2712</v>
      </c>
      <c r="AI214" s="1"/>
      <c r="AJ214" s="1" t="s">
        <v>2502</v>
      </c>
      <c r="AK214" s="1"/>
      <c r="AL214" s="1" t="s">
        <v>2503</v>
      </c>
      <c r="AM214" s="1" t="s">
        <v>2619</v>
      </c>
      <c r="AN214" s="1" t="s">
        <v>2713</v>
      </c>
      <c r="AO214" s="1" t="s">
        <v>2506</v>
      </c>
      <c r="AP214" s="2" t="s">
        <v>2714</v>
      </c>
      <c r="AQ214" s="2" t="s">
        <v>1153</v>
      </c>
      <c r="AR214" s="1"/>
      <c r="AS214" s="1"/>
      <c r="AT214" s="1" t="s">
        <v>5</v>
      </c>
    </row>
    <row r="215" spans="1:46" hidden="1" x14ac:dyDescent="0.4">
      <c r="A215" s="1" t="s">
        <v>10412</v>
      </c>
      <c r="B215" s="10"/>
      <c r="C215" s="1" t="s">
        <v>0</v>
      </c>
      <c r="D215" s="1" t="s">
        <v>2211</v>
      </c>
      <c r="E215" s="1" t="s">
        <v>2078</v>
      </c>
      <c r="F215" s="1" t="s">
        <v>14</v>
      </c>
      <c r="G215" s="1" t="s">
        <v>1</v>
      </c>
      <c r="H215" s="1" t="s">
        <v>6</v>
      </c>
      <c r="I215" s="1" t="s">
        <v>2</v>
      </c>
      <c r="J215" s="1" t="s">
        <v>3</v>
      </c>
      <c r="K215" s="1" t="s">
        <v>10413</v>
      </c>
      <c r="L215" s="1" t="s">
        <v>7</v>
      </c>
      <c r="M215" s="1" t="s">
        <v>9</v>
      </c>
      <c r="N215" s="1" t="s">
        <v>10414</v>
      </c>
      <c r="O215" s="1" t="s">
        <v>10415</v>
      </c>
      <c r="P215" s="1"/>
      <c r="Q215" s="1"/>
      <c r="R215" s="1" t="s">
        <v>11</v>
      </c>
      <c r="S215" s="1"/>
      <c r="T215" s="1"/>
      <c r="U215" s="1"/>
      <c r="V215" s="1"/>
      <c r="W215" s="1"/>
      <c r="X215" s="1"/>
      <c r="Y215" s="1"/>
      <c r="Z215" s="1"/>
      <c r="AA215" s="1"/>
      <c r="AB215" s="1" t="s">
        <v>10416</v>
      </c>
      <c r="AC215" s="1"/>
      <c r="AD215" s="1"/>
      <c r="AE215" s="1" t="s">
        <v>10417</v>
      </c>
      <c r="AF215" s="1"/>
      <c r="AG215" s="1"/>
      <c r="AH215" s="1" t="s">
        <v>10418</v>
      </c>
      <c r="AI215" s="1"/>
      <c r="AJ215" s="1" t="s">
        <v>1835</v>
      </c>
      <c r="AK215" s="1" t="s">
        <v>1836</v>
      </c>
      <c r="AL215" s="1" t="s">
        <v>1837</v>
      </c>
      <c r="AM215" s="1" t="s">
        <v>10419</v>
      </c>
      <c r="AN215" s="1" t="s">
        <v>1839</v>
      </c>
      <c r="AO215" s="1" t="s">
        <v>10420</v>
      </c>
      <c r="AP215" s="2" t="s">
        <v>10421</v>
      </c>
      <c r="AQ215" s="2" t="s">
        <v>1155</v>
      </c>
      <c r="AR215" s="1" t="s">
        <v>286</v>
      </c>
      <c r="AS215" s="1" t="s">
        <v>970</v>
      </c>
      <c r="AT215" s="1" t="s">
        <v>5</v>
      </c>
    </row>
    <row r="216" spans="1:46" hidden="1" x14ac:dyDescent="0.4">
      <c r="A216" s="1" t="s">
        <v>7801</v>
      </c>
      <c r="B216" s="10"/>
      <c r="C216" s="1" t="s">
        <v>0</v>
      </c>
      <c r="D216" s="1" t="s">
        <v>2157</v>
      </c>
      <c r="E216" s="1" t="s">
        <v>2078</v>
      </c>
      <c r="F216" s="1" t="s">
        <v>14</v>
      </c>
      <c r="G216" s="1" t="s">
        <v>1</v>
      </c>
      <c r="H216" s="1" t="s">
        <v>6</v>
      </c>
      <c r="I216" s="1" t="s">
        <v>2</v>
      </c>
      <c r="J216" s="1" t="s">
        <v>3</v>
      </c>
      <c r="K216" s="1" t="s">
        <v>7802</v>
      </c>
      <c r="L216" s="1" t="s">
        <v>7</v>
      </c>
      <c r="M216" s="1" t="s">
        <v>9</v>
      </c>
      <c r="N216" s="1" t="s">
        <v>7803</v>
      </c>
      <c r="O216" s="1" t="s">
        <v>7804</v>
      </c>
      <c r="P216" s="1"/>
      <c r="Q216" s="1"/>
      <c r="R216" s="1" t="s">
        <v>11</v>
      </c>
      <c r="S216" s="1"/>
      <c r="T216" s="1"/>
      <c r="U216" s="1"/>
      <c r="V216" s="1"/>
      <c r="W216" s="1" t="s">
        <v>7805</v>
      </c>
      <c r="X216" s="1"/>
      <c r="Y216" s="1"/>
      <c r="Z216" s="1"/>
      <c r="AA216" s="1"/>
      <c r="AB216" s="1" t="s">
        <v>7806</v>
      </c>
      <c r="AC216" s="1"/>
      <c r="AD216" s="1"/>
      <c r="AE216" s="1" t="s">
        <v>7807</v>
      </c>
      <c r="AF216" s="1"/>
      <c r="AG216" s="1"/>
      <c r="AH216" s="1" t="s">
        <v>7808</v>
      </c>
      <c r="AI216" s="1"/>
      <c r="AJ216" s="1" t="s">
        <v>7809</v>
      </c>
      <c r="AK216" s="1" t="s">
        <v>7300</v>
      </c>
      <c r="AL216" s="1" t="s">
        <v>7810</v>
      </c>
      <c r="AM216" s="1" t="s">
        <v>3837</v>
      </c>
      <c r="AN216" s="1" t="s">
        <v>7300</v>
      </c>
      <c r="AO216" s="1" t="s">
        <v>3838</v>
      </c>
      <c r="AP216" s="2" t="s">
        <v>7811</v>
      </c>
      <c r="AQ216" s="2" t="s">
        <v>1154</v>
      </c>
      <c r="AR216" s="1" t="s">
        <v>286</v>
      </c>
      <c r="AS216" s="1"/>
      <c r="AT216" s="1" t="s">
        <v>5</v>
      </c>
    </row>
    <row r="217" spans="1:46" hidden="1" x14ac:dyDescent="0.4">
      <c r="A217" s="1" t="s">
        <v>5998</v>
      </c>
      <c r="B217" s="10"/>
      <c r="C217" s="1" t="s">
        <v>5198</v>
      </c>
      <c r="D217" s="1" t="s">
        <v>2076</v>
      </c>
      <c r="E217" s="1" t="s">
        <v>2078</v>
      </c>
      <c r="F217" s="1" t="s">
        <v>14</v>
      </c>
      <c r="G217" s="1" t="s">
        <v>1</v>
      </c>
      <c r="H217" s="1" t="s">
        <v>6</v>
      </c>
      <c r="I217" s="1" t="s">
        <v>2</v>
      </c>
      <c r="J217" s="1" t="s">
        <v>5199</v>
      </c>
      <c r="K217" s="1" t="s">
        <v>5999</v>
      </c>
      <c r="L217" s="1" t="s">
        <v>7</v>
      </c>
      <c r="M217" s="1"/>
      <c r="N217" s="1" t="s">
        <v>6000</v>
      </c>
      <c r="O217" s="1" t="s">
        <v>5551</v>
      </c>
      <c r="P217" s="1"/>
      <c r="Q217" s="1"/>
      <c r="R217" s="1" t="s">
        <v>11</v>
      </c>
      <c r="S217" s="1"/>
      <c r="T217" s="1"/>
      <c r="U217" s="1"/>
      <c r="V217" s="1"/>
      <c r="W217" s="1" t="s">
        <v>5829</v>
      </c>
      <c r="X217" s="1" t="s">
        <v>6001</v>
      </c>
      <c r="Y217" s="1"/>
      <c r="Z217" s="1"/>
      <c r="AA217" s="1"/>
      <c r="AB217" s="1" t="s">
        <v>6002</v>
      </c>
      <c r="AC217" s="1"/>
      <c r="AD217" s="1"/>
      <c r="AE217" s="1" t="s">
        <v>6003</v>
      </c>
      <c r="AF217" s="1"/>
      <c r="AG217" s="1"/>
      <c r="AH217" s="1" t="s">
        <v>6004</v>
      </c>
      <c r="AI217" s="1"/>
      <c r="AJ217" s="1" t="s">
        <v>5448</v>
      </c>
      <c r="AK217" s="1" t="s">
        <v>5449</v>
      </c>
      <c r="AL217" s="1" t="s">
        <v>5450</v>
      </c>
      <c r="AM217" s="1" t="s">
        <v>5451</v>
      </c>
      <c r="AN217" s="1" t="s">
        <v>5452</v>
      </c>
      <c r="AO217" s="1" t="s">
        <v>5453</v>
      </c>
      <c r="AP217" s="2" t="s">
        <v>6005</v>
      </c>
      <c r="AQ217" s="2" t="s">
        <v>1077</v>
      </c>
      <c r="AR217" s="1" t="s">
        <v>286</v>
      </c>
      <c r="AS217" s="1"/>
      <c r="AT217" s="1" t="s">
        <v>5</v>
      </c>
    </row>
    <row r="218" spans="1:46" hidden="1" x14ac:dyDescent="0.4">
      <c r="A218" s="1" t="s">
        <v>11077</v>
      </c>
      <c r="B218" s="10"/>
      <c r="C218" s="1" t="s">
        <v>93</v>
      </c>
      <c r="D218" s="1" t="s">
        <v>2688</v>
      </c>
      <c r="E218" s="1" t="s">
        <v>3289</v>
      </c>
      <c r="F218" s="1" t="s">
        <v>2690</v>
      </c>
      <c r="G218" s="1" t="s">
        <v>1</v>
      </c>
      <c r="H218" s="1" t="s">
        <v>6</v>
      </c>
      <c r="I218" s="1" t="s">
        <v>2</v>
      </c>
      <c r="J218" s="1" t="s">
        <v>3</v>
      </c>
      <c r="K218" s="1" t="s">
        <v>11078</v>
      </c>
      <c r="L218" s="1" t="s">
        <v>4</v>
      </c>
      <c r="M218" s="1"/>
      <c r="N218" s="1" t="s">
        <v>11079</v>
      </c>
      <c r="O218" s="1" t="s">
        <v>4185</v>
      </c>
      <c r="P218" s="1"/>
      <c r="Q218" s="1"/>
      <c r="R218" s="1" t="s">
        <v>11</v>
      </c>
      <c r="S218" s="1"/>
      <c r="T218" s="1"/>
      <c r="U218" s="1"/>
      <c r="V218" s="1"/>
      <c r="W218" s="1"/>
      <c r="X218" s="1" t="s">
        <v>9219</v>
      </c>
      <c r="Y218" s="1"/>
      <c r="Z218" s="1"/>
      <c r="AA218" s="1"/>
      <c r="AB218" s="1" t="s">
        <v>11080</v>
      </c>
      <c r="AC218" s="1"/>
      <c r="AD218" s="1"/>
      <c r="AE218" s="1"/>
      <c r="AF218" s="1"/>
      <c r="AG218" s="1"/>
      <c r="AH218" s="1" t="s">
        <v>11081</v>
      </c>
      <c r="AI218" s="1"/>
      <c r="AJ218" s="1" t="s">
        <v>9087</v>
      </c>
      <c r="AK218" s="1" t="s">
        <v>3947</v>
      </c>
      <c r="AL218" s="1" t="s">
        <v>9088</v>
      </c>
      <c r="AM218" s="1" t="s">
        <v>9087</v>
      </c>
      <c r="AN218" s="1" t="s">
        <v>3947</v>
      </c>
      <c r="AO218" s="1" t="s">
        <v>9088</v>
      </c>
      <c r="AP218" s="2" t="s">
        <v>11082</v>
      </c>
      <c r="AQ218" s="2" t="s">
        <v>1155</v>
      </c>
      <c r="AR218" s="1" t="s">
        <v>286</v>
      </c>
      <c r="AS218" s="1" t="s">
        <v>11083</v>
      </c>
      <c r="AT218" s="1" t="s">
        <v>5</v>
      </c>
    </row>
    <row r="219" spans="1:46" hidden="1" x14ac:dyDescent="0.4">
      <c r="A219" s="1" t="s">
        <v>11084</v>
      </c>
      <c r="B219" s="10"/>
      <c r="C219" s="1" t="s">
        <v>93</v>
      </c>
      <c r="D219" s="1" t="s">
        <v>2688</v>
      </c>
      <c r="E219" s="1" t="s">
        <v>3289</v>
      </c>
      <c r="F219" s="1" t="s">
        <v>2690</v>
      </c>
      <c r="G219" s="1" t="s">
        <v>1</v>
      </c>
      <c r="H219" s="1" t="s">
        <v>6</v>
      </c>
      <c r="I219" s="1" t="s">
        <v>2</v>
      </c>
      <c r="J219" s="1" t="s">
        <v>3</v>
      </c>
      <c r="K219" s="1" t="s">
        <v>11085</v>
      </c>
      <c r="L219" s="1" t="s">
        <v>4</v>
      </c>
      <c r="M219" s="1"/>
      <c r="N219" s="1" t="s">
        <v>11086</v>
      </c>
      <c r="O219" s="1" t="s">
        <v>4185</v>
      </c>
      <c r="P219" s="1"/>
      <c r="Q219" s="1"/>
      <c r="R219" s="1" t="s">
        <v>11</v>
      </c>
      <c r="S219" s="1"/>
      <c r="T219" s="1"/>
      <c r="U219" s="1"/>
      <c r="V219" s="1"/>
      <c r="W219" s="1"/>
      <c r="X219" s="1" t="s">
        <v>9219</v>
      </c>
      <c r="Y219" s="1"/>
      <c r="Z219" s="1"/>
      <c r="AA219" s="1"/>
      <c r="AB219" s="1" t="s">
        <v>11087</v>
      </c>
      <c r="AC219" s="1"/>
      <c r="AD219" s="1"/>
      <c r="AE219" s="1"/>
      <c r="AF219" s="1"/>
      <c r="AG219" s="1"/>
      <c r="AH219" s="1" t="s">
        <v>11088</v>
      </c>
      <c r="AI219" s="1"/>
      <c r="AJ219" s="1" t="s">
        <v>9087</v>
      </c>
      <c r="AK219" s="1" t="s">
        <v>3947</v>
      </c>
      <c r="AL219" s="1" t="s">
        <v>9088</v>
      </c>
      <c r="AM219" s="1" t="s">
        <v>9087</v>
      </c>
      <c r="AN219" s="1" t="s">
        <v>3947</v>
      </c>
      <c r="AO219" s="1" t="s">
        <v>9088</v>
      </c>
      <c r="AP219" s="2" t="s">
        <v>11089</v>
      </c>
      <c r="AQ219" s="2" t="s">
        <v>1155</v>
      </c>
      <c r="AR219" s="1" t="s">
        <v>286</v>
      </c>
      <c r="AS219" s="1" t="s">
        <v>11090</v>
      </c>
      <c r="AT219" s="1" t="s">
        <v>5</v>
      </c>
    </row>
    <row r="220" spans="1:46" hidden="1" x14ac:dyDescent="0.4">
      <c r="A220" s="1" t="s">
        <v>9174</v>
      </c>
      <c r="B220" s="10"/>
      <c r="C220" s="1" t="s">
        <v>0</v>
      </c>
      <c r="D220" s="1" t="s">
        <v>2688</v>
      </c>
      <c r="E220" s="1" t="s">
        <v>3289</v>
      </c>
      <c r="F220" s="1" t="s">
        <v>2690</v>
      </c>
      <c r="G220" s="1" t="s">
        <v>1</v>
      </c>
      <c r="H220" s="1" t="s">
        <v>6</v>
      </c>
      <c r="I220" s="1" t="s">
        <v>2</v>
      </c>
      <c r="J220" s="1" t="s">
        <v>3</v>
      </c>
      <c r="K220" s="1" t="s">
        <v>9175</v>
      </c>
      <c r="L220" s="1" t="s">
        <v>4</v>
      </c>
      <c r="M220" s="1" t="s">
        <v>9</v>
      </c>
      <c r="N220" s="1" t="s">
        <v>9176</v>
      </c>
      <c r="O220" s="1" t="s">
        <v>9177</v>
      </c>
      <c r="P220" s="1"/>
      <c r="Q220" s="1"/>
      <c r="R220" s="1" t="s">
        <v>11</v>
      </c>
      <c r="S220" s="1"/>
      <c r="T220" s="1"/>
      <c r="U220" s="1"/>
      <c r="V220" s="1"/>
      <c r="W220" s="1"/>
      <c r="X220" s="1"/>
      <c r="Y220" s="1"/>
      <c r="Z220" s="1"/>
      <c r="AA220" s="1"/>
      <c r="AB220" s="1" t="s">
        <v>9178</v>
      </c>
      <c r="AC220" s="1"/>
      <c r="AD220" s="1"/>
      <c r="AE220" s="1" t="s">
        <v>9179</v>
      </c>
      <c r="AF220" s="1"/>
      <c r="AG220" s="1"/>
      <c r="AH220" s="1" t="s">
        <v>9180</v>
      </c>
      <c r="AI220" s="1"/>
      <c r="AJ220" s="1" t="s">
        <v>202</v>
      </c>
      <c r="AK220" s="1" t="s">
        <v>518</v>
      </c>
      <c r="AL220" s="1" t="s">
        <v>203</v>
      </c>
      <c r="AM220" s="1" t="s">
        <v>7578</v>
      </c>
      <c r="AN220" s="1" t="s">
        <v>518</v>
      </c>
      <c r="AO220" s="1" t="s">
        <v>7579</v>
      </c>
      <c r="AP220" s="2" t="s">
        <v>9181</v>
      </c>
      <c r="AQ220" s="2" t="s">
        <v>1154</v>
      </c>
      <c r="AR220" s="1" t="s">
        <v>287</v>
      </c>
      <c r="AS220" s="1"/>
      <c r="AT220" s="1" t="s">
        <v>5</v>
      </c>
    </row>
    <row r="221" spans="1:46" hidden="1" x14ac:dyDescent="0.4">
      <c r="A221" s="1" t="s">
        <v>9496</v>
      </c>
      <c r="B221" s="10"/>
      <c r="C221" s="1" t="s">
        <v>0</v>
      </c>
      <c r="D221" s="1" t="s">
        <v>2827</v>
      </c>
      <c r="E221" s="1" t="s">
        <v>2078</v>
      </c>
      <c r="F221" s="1" t="s">
        <v>14</v>
      </c>
      <c r="G221" s="1" t="s">
        <v>1</v>
      </c>
      <c r="H221" s="1" t="s">
        <v>6</v>
      </c>
      <c r="I221" s="1" t="s">
        <v>2</v>
      </c>
      <c r="J221" s="1" t="s">
        <v>3</v>
      </c>
      <c r="K221" s="1" t="s">
        <v>9497</v>
      </c>
      <c r="L221" s="1" t="s">
        <v>4</v>
      </c>
      <c r="M221" s="1" t="s">
        <v>9</v>
      </c>
      <c r="N221" s="1" t="s">
        <v>9498</v>
      </c>
      <c r="O221" s="1" t="s">
        <v>2238</v>
      </c>
      <c r="P221" s="1"/>
      <c r="Q221" s="1"/>
      <c r="R221" s="1" t="s">
        <v>11</v>
      </c>
      <c r="S221" s="1"/>
      <c r="T221" s="1"/>
      <c r="U221" s="1"/>
      <c r="V221" s="1"/>
      <c r="W221" s="1"/>
      <c r="X221" s="1" t="s">
        <v>9499</v>
      </c>
      <c r="Y221" s="1"/>
      <c r="Z221" s="1"/>
      <c r="AA221" s="1"/>
      <c r="AB221" s="1" t="s">
        <v>9500</v>
      </c>
      <c r="AC221" s="1"/>
      <c r="AD221" s="1"/>
      <c r="AE221" s="1" t="s">
        <v>9501</v>
      </c>
      <c r="AF221" s="1"/>
      <c r="AG221" s="1"/>
      <c r="AH221" s="1" t="s">
        <v>9502</v>
      </c>
      <c r="AI221" s="1"/>
      <c r="AJ221" s="1" t="s">
        <v>79</v>
      </c>
      <c r="AK221" s="1" t="s">
        <v>503</v>
      </c>
      <c r="AL221" s="1" t="s">
        <v>121</v>
      </c>
      <c r="AM221" s="1" t="s">
        <v>9503</v>
      </c>
      <c r="AN221" s="1" t="s">
        <v>503</v>
      </c>
      <c r="AO221" s="1" t="s">
        <v>9504</v>
      </c>
      <c r="AP221" s="2" t="s">
        <v>9505</v>
      </c>
      <c r="AQ221" s="2" t="s">
        <v>1154</v>
      </c>
      <c r="AR221" s="1" t="s">
        <v>286</v>
      </c>
      <c r="AS221" s="1" t="s">
        <v>9506</v>
      </c>
      <c r="AT221" s="1" t="s">
        <v>5</v>
      </c>
    </row>
    <row r="222" spans="1:46" hidden="1" x14ac:dyDescent="0.4">
      <c r="A222" s="1" t="s">
        <v>2130</v>
      </c>
      <c r="B222" s="10"/>
      <c r="C222" s="1" t="s">
        <v>0</v>
      </c>
      <c r="D222" s="1" t="s">
        <v>2076</v>
      </c>
      <c r="E222" s="1" t="s">
        <v>2078</v>
      </c>
      <c r="F222" s="1" t="s">
        <v>14</v>
      </c>
      <c r="G222" s="1" t="s">
        <v>1</v>
      </c>
      <c r="H222" s="1" t="s">
        <v>6</v>
      </c>
      <c r="I222" s="1" t="s">
        <v>2</v>
      </c>
      <c r="J222" s="1" t="s">
        <v>3</v>
      </c>
      <c r="K222" s="1" t="s">
        <v>2131</v>
      </c>
      <c r="L222" s="1" t="s">
        <v>7</v>
      </c>
      <c r="M222" s="1" t="s">
        <v>9</v>
      </c>
      <c r="N222" s="1" t="s">
        <v>11610</v>
      </c>
      <c r="O222" s="1" t="s">
        <v>4311</v>
      </c>
      <c r="P222" s="1"/>
      <c r="Q222" s="1" t="s">
        <v>12</v>
      </c>
      <c r="R222" s="1" t="s">
        <v>11</v>
      </c>
      <c r="S222" s="1"/>
      <c r="T222" s="1" t="s">
        <v>12</v>
      </c>
      <c r="U222" s="1" t="s">
        <v>11</v>
      </c>
      <c r="V222" s="1"/>
      <c r="W222" s="1"/>
      <c r="X222" s="1" t="s">
        <v>11611</v>
      </c>
      <c r="Y222" s="1"/>
      <c r="Z222" s="1"/>
      <c r="AA222" s="1"/>
      <c r="AB222" s="1" t="s">
        <v>11612</v>
      </c>
      <c r="AC222" s="1"/>
      <c r="AD222" s="1"/>
      <c r="AE222" s="1" t="s">
        <v>2132</v>
      </c>
      <c r="AF222" s="1"/>
      <c r="AG222" s="1"/>
      <c r="AH222" s="1" t="s">
        <v>11613</v>
      </c>
      <c r="AI222" s="1"/>
      <c r="AJ222" s="1" t="s">
        <v>2124</v>
      </c>
      <c r="AK222" s="1" t="s">
        <v>5322</v>
      </c>
      <c r="AL222" s="1" t="s">
        <v>10434</v>
      </c>
      <c r="AM222" s="1" t="s">
        <v>11438</v>
      </c>
      <c r="AN222" s="1" t="s">
        <v>5322</v>
      </c>
      <c r="AO222" s="1" t="s">
        <v>11439</v>
      </c>
      <c r="AP222" s="2" t="s">
        <v>11614</v>
      </c>
      <c r="AQ222" s="2" t="s">
        <v>1155</v>
      </c>
      <c r="AR222" s="1" t="s">
        <v>286</v>
      </c>
      <c r="AS222" s="1" t="s">
        <v>11615</v>
      </c>
      <c r="AT222" s="1" t="s">
        <v>5</v>
      </c>
    </row>
    <row r="223" spans="1:46" hidden="1" x14ac:dyDescent="0.4">
      <c r="A223" s="1" t="s">
        <v>6560</v>
      </c>
      <c r="B223" s="10"/>
      <c r="C223" s="1" t="s">
        <v>2705</v>
      </c>
      <c r="D223" s="1" t="s">
        <v>2157</v>
      </c>
      <c r="E223" s="1" t="s">
        <v>2078</v>
      </c>
      <c r="F223" s="1" t="s">
        <v>14</v>
      </c>
      <c r="G223" s="1" t="s">
        <v>1</v>
      </c>
      <c r="H223" s="1" t="s">
        <v>6</v>
      </c>
      <c r="I223" s="1" t="s">
        <v>2</v>
      </c>
      <c r="J223" s="1" t="s">
        <v>2450</v>
      </c>
      <c r="K223" s="1" t="s">
        <v>6561</v>
      </c>
      <c r="L223" s="1" t="s">
        <v>7</v>
      </c>
      <c r="M223" s="1" t="s">
        <v>9</v>
      </c>
      <c r="N223" s="1" t="s">
        <v>6562</v>
      </c>
      <c r="O223" s="1" t="s">
        <v>4944</v>
      </c>
      <c r="P223" s="1"/>
      <c r="Q223" s="1"/>
      <c r="R223" s="1" t="s">
        <v>11</v>
      </c>
      <c r="S223" s="1"/>
      <c r="T223" s="1"/>
      <c r="U223" s="1"/>
      <c r="V223" s="1"/>
      <c r="W223" s="1"/>
      <c r="X223" s="1" t="s">
        <v>6563</v>
      </c>
      <c r="Y223" s="1"/>
      <c r="Z223" s="1"/>
      <c r="AA223" s="1"/>
      <c r="AB223" s="1" t="s">
        <v>6564</v>
      </c>
      <c r="AC223" s="1"/>
      <c r="AD223" s="1"/>
      <c r="AE223" s="1" t="s">
        <v>6565</v>
      </c>
      <c r="AF223" s="1"/>
      <c r="AG223" s="1"/>
      <c r="AH223" s="1" t="s">
        <v>6566</v>
      </c>
      <c r="AI223" s="1"/>
      <c r="AJ223" s="1" t="s">
        <v>6567</v>
      </c>
      <c r="AK223" s="1" t="s">
        <v>6568</v>
      </c>
      <c r="AL223" s="1" t="s">
        <v>6569</v>
      </c>
      <c r="AM223" s="1" t="s">
        <v>6567</v>
      </c>
      <c r="AN223" s="1" t="s">
        <v>6568</v>
      </c>
      <c r="AO223" s="1" t="s">
        <v>6569</v>
      </c>
      <c r="AP223" s="2" t="s">
        <v>6570</v>
      </c>
      <c r="AQ223" s="2" t="s">
        <v>1077</v>
      </c>
      <c r="AR223" s="1" t="s">
        <v>287</v>
      </c>
      <c r="AS223" s="1"/>
      <c r="AT223" s="1" t="s">
        <v>5</v>
      </c>
    </row>
    <row r="224" spans="1:46" hidden="1" x14ac:dyDescent="0.4">
      <c r="A224" s="1" t="s">
        <v>6512</v>
      </c>
      <c r="B224" s="10"/>
      <c r="C224" s="1" t="s">
        <v>2705</v>
      </c>
      <c r="D224" s="1" t="s">
        <v>2220</v>
      </c>
      <c r="E224" s="1" t="s">
        <v>2078</v>
      </c>
      <c r="F224" s="1" t="s">
        <v>14</v>
      </c>
      <c r="G224" s="1" t="s">
        <v>1</v>
      </c>
      <c r="H224" s="1" t="s">
        <v>6</v>
      </c>
      <c r="I224" s="1" t="s">
        <v>2</v>
      </c>
      <c r="J224" s="1" t="s">
        <v>2813</v>
      </c>
      <c r="K224" s="1" t="s">
        <v>6513</v>
      </c>
      <c r="L224" s="1" t="s">
        <v>7</v>
      </c>
      <c r="M224" s="1" t="s">
        <v>8</v>
      </c>
      <c r="N224" s="1" t="s">
        <v>6514</v>
      </c>
      <c r="O224" s="1" t="s">
        <v>6515</v>
      </c>
      <c r="P224" s="1"/>
      <c r="Q224" s="1"/>
      <c r="R224" s="1" t="s">
        <v>11</v>
      </c>
      <c r="S224" s="1"/>
      <c r="T224" s="1"/>
      <c r="U224" s="1"/>
      <c r="V224" s="1"/>
      <c r="W224" s="1"/>
      <c r="X224" s="1" t="s">
        <v>6516</v>
      </c>
      <c r="Y224" s="1"/>
      <c r="Z224" s="1"/>
      <c r="AA224" s="1"/>
      <c r="AB224" s="1" t="s">
        <v>6517</v>
      </c>
      <c r="AC224" s="1"/>
      <c r="AD224" s="1"/>
      <c r="AE224" s="1"/>
      <c r="AF224" s="1"/>
      <c r="AG224" s="1"/>
      <c r="AH224" s="1" t="s">
        <v>6518</v>
      </c>
      <c r="AI224" s="1"/>
      <c r="AJ224" s="1" t="s">
        <v>6519</v>
      </c>
      <c r="AK224" s="1" t="s">
        <v>6520</v>
      </c>
      <c r="AL224" s="1" t="s">
        <v>6521</v>
      </c>
      <c r="AM224" s="1" t="s">
        <v>6519</v>
      </c>
      <c r="AN224" s="1" t="s">
        <v>6520</v>
      </c>
      <c r="AO224" s="1" t="s">
        <v>6521</v>
      </c>
      <c r="AP224" s="2" t="s">
        <v>6522</v>
      </c>
      <c r="AQ224" s="2" t="s">
        <v>1077</v>
      </c>
      <c r="AR224" s="1" t="s">
        <v>287</v>
      </c>
      <c r="AS224" s="1" t="s">
        <v>6523</v>
      </c>
      <c r="AT224" s="1" t="s">
        <v>5</v>
      </c>
    </row>
    <row r="225" spans="1:46" hidden="1" x14ac:dyDescent="0.4">
      <c r="A225" s="1" t="s">
        <v>11597</v>
      </c>
      <c r="B225" s="10"/>
      <c r="C225" s="1" t="s">
        <v>0</v>
      </c>
      <c r="D225" s="1" t="s">
        <v>2396</v>
      </c>
      <c r="E225" s="1" t="s">
        <v>2078</v>
      </c>
      <c r="F225" s="1" t="s">
        <v>14</v>
      </c>
      <c r="G225" s="1" t="s">
        <v>1</v>
      </c>
      <c r="H225" s="1" t="s">
        <v>6</v>
      </c>
      <c r="I225" s="1" t="s">
        <v>2</v>
      </c>
      <c r="J225" s="1" t="s">
        <v>3</v>
      </c>
      <c r="K225" s="1" t="s">
        <v>11598</v>
      </c>
      <c r="L225" s="1" t="s">
        <v>7</v>
      </c>
      <c r="M225" s="1" t="s">
        <v>9</v>
      </c>
      <c r="N225" s="1" t="s">
        <v>11599</v>
      </c>
      <c r="O225" s="1" t="s">
        <v>6762</v>
      </c>
      <c r="P225" s="1"/>
      <c r="Q225" s="1" t="s">
        <v>12</v>
      </c>
      <c r="R225" s="1" t="s">
        <v>11</v>
      </c>
      <c r="S225" s="1"/>
      <c r="T225" s="1" t="s">
        <v>12</v>
      </c>
      <c r="U225" s="1" t="s">
        <v>11</v>
      </c>
      <c r="V225" s="1"/>
      <c r="W225" s="1" t="s">
        <v>11600</v>
      </c>
      <c r="X225" s="1"/>
      <c r="Y225" s="1"/>
      <c r="Z225" s="1"/>
      <c r="AA225" s="1"/>
      <c r="AB225" s="1" t="s">
        <v>11601</v>
      </c>
      <c r="AC225" s="1"/>
      <c r="AD225" s="1"/>
      <c r="AE225" s="1" t="s">
        <v>11602</v>
      </c>
      <c r="AF225" s="1"/>
      <c r="AG225" s="1"/>
      <c r="AH225" s="1" t="s">
        <v>11603</v>
      </c>
      <c r="AI225" s="1"/>
      <c r="AJ225" s="1" t="s">
        <v>11604</v>
      </c>
      <c r="AK225" s="1" t="s">
        <v>6102</v>
      </c>
      <c r="AL225" s="1" t="s">
        <v>11605</v>
      </c>
      <c r="AM225" s="1" t="s">
        <v>11606</v>
      </c>
      <c r="AN225" s="1" t="s">
        <v>6102</v>
      </c>
      <c r="AO225" s="1" t="s">
        <v>11607</v>
      </c>
      <c r="AP225" s="2" t="s">
        <v>11608</v>
      </c>
      <c r="AQ225" s="2" t="s">
        <v>1155</v>
      </c>
      <c r="AR225" s="1" t="s">
        <v>286</v>
      </c>
      <c r="AS225" s="1" t="s">
        <v>11609</v>
      </c>
      <c r="AT225" s="1" t="s">
        <v>5</v>
      </c>
    </row>
    <row r="226" spans="1:46" hidden="1" x14ac:dyDescent="0.4">
      <c r="A226" s="1" t="s">
        <v>4554</v>
      </c>
      <c r="B226" s="10"/>
      <c r="C226" s="1" t="s">
        <v>0</v>
      </c>
      <c r="D226" s="1" t="s">
        <v>2211</v>
      </c>
      <c r="E226" s="1" t="s">
        <v>2078</v>
      </c>
      <c r="F226" s="1" t="s">
        <v>14</v>
      </c>
      <c r="G226" s="1" t="s">
        <v>1</v>
      </c>
      <c r="H226" s="1" t="s">
        <v>6</v>
      </c>
      <c r="I226" s="1" t="s">
        <v>2</v>
      </c>
      <c r="J226" s="1" t="s">
        <v>3</v>
      </c>
      <c r="K226" s="1" t="s">
        <v>4555</v>
      </c>
      <c r="L226" s="1" t="s">
        <v>7</v>
      </c>
      <c r="M226" s="1" t="s">
        <v>9</v>
      </c>
      <c r="N226" s="1" t="s">
        <v>4556</v>
      </c>
      <c r="O226" s="1" t="s">
        <v>4185</v>
      </c>
      <c r="P226" s="1"/>
      <c r="Q226" s="1"/>
      <c r="R226" s="1" t="s">
        <v>11</v>
      </c>
      <c r="S226" s="1"/>
      <c r="T226" s="1"/>
      <c r="U226" s="1"/>
      <c r="V226" s="1"/>
      <c r="W226" s="1"/>
      <c r="X226" s="1" t="s">
        <v>4557</v>
      </c>
      <c r="Y226" s="1"/>
      <c r="Z226" s="1"/>
      <c r="AA226" s="1"/>
      <c r="AB226" s="1" t="s">
        <v>4558</v>
      </c>
      <c r="AC226" s="1"/>
      <c r="AD226" s="1"/>
      <c r="AE226" s="1" t="s">
        <v>4559</v>
      </c>
      <c r="AF226" s="1"/>
      <c r="AG226" s="1"/>
      <c r="AH226" s="1" t="s">
        <v>4560</v>
      </c>
      <c r="AI226" s="1"/>
      <c r="AJ226" s="1" t="s">
        <v>4561</v>
      </c>
      <c r="AK226" s="1" t="s">
        <v>285</v>
      </c>
      <c r="AL226" s="1" t="s">
        <v>4562</v>
      </c>
      <c r="AM226" s="1" t="s">
        <v>4563</v>
      </c>
      <c r="AN226" s="1" t="s">
        <v>4564</v>
      </c>
      <c r="AO226" s="1" t="s">
        <v>4565</v>
      </c>
      <c r="AP226" s="2" t="s">
        <v>4566</v>
      </c>
      <c r="AQ226" s="2" t="s">
        <v>1153</v>
      </c>
      <c r="AR226" s="1" t="s">
        <v>286</v>
      </c>
      <c r="AS226" s="1" t="s">
        <v>4567</v>
      </c>
      <c r="AT226" s="1" t="s">
        <v>5</v>
      </c>
    </row>
    <row r="227" spans="1:46" hidden="1" x14ac:dyDescent="0.4">
      <c r="A227" s="1" t="s">
        <v>3523</v>
      </c>
      <c r="B227" s="10"/>
      <c r="C227" s="1" t="s">
        <v>2491</v>
      </c>
      <c r="D227" s="1" t="s">
        <v>2211</v>
      </c>
      <c r="E227" s="1" t="s">
        <v>13</v>
      </c>
      <c r="F227" s="1" t="s">
        <v>14</v>
      </c>
      <c r="G227" s="1" t="s">
        <v>1</v>
      </c>
      <c r="H227" s="1" t="s">
        <v>6</v>
      </c>
      <c r="I227" s="1" t="s">
        <v>2</v>
      </c>
      <c r="J227" s="1" t="s">
        <v>2492</v>
      </c>
      <c r="K227" s="1" t="s">
        <v>3524</v>
      </c>
      <c r="L227" s="1" t="s">
        <v>4</v>
      </c>
      <c r="M227" s="1" t="s">
        <v>9</v>
      </c>
      <c r="N227" s="1" t="s">
        <v>3525</v>
      </c>
      <c r="O227" s="1" t="s">
        <v>15</v>
      </c>
      <c r="P227" s="1"/>
      <c r="Q227" s="1"/>
      <c r="R227" s="1" t="s">
        <v>11</v>
      </c>
      <c r="S227" s="1"/>
      <c r="T227" s="1"/>
      <c r="U227" s="1"/>
      <c r="V227" s="1"/>
      <c r="W227" s="1" t="s">
        <v>3526</v>
      </c>
      <c r="X227" s="1" t="s">
        <v>3527</v>
      </c>
      <c r="Y227" s="1"/>
      <c r="Z227" s="1"/>
      <c r="AA227" s="1"/>
      <c r="AB227" s="1" t="s">
        <v>3528</v>
      </c>
      <c r="AC227" s="1"/>
      <c r="AD227" s="1"/>
      <c r="AE227" s="1"/>
      <c r="AF227" s="1"/>
      <c r="AG227" s="1"/>
      <c r="AH227" s="1" t="s">
        <v>3529</v>
      </c>
      <c r="AI227" s="1"/>
      <c r="AJ227" s="1" t="s">
        <v>3530</v>
      </c>
      <c r="AK227" s="1" t="s">
        <v>3106</v>
      </c>
      <c r="AL227" s="1" t="s">
        <v>3531</v>
      </c>
      <c r="AM227" s="1" t="s">
        <v>3530</v>
      </c>
      <c r="AN227" s="1" t="s">
        <v>3106</v>
      </c>
      <c r="AO227" s="1" t="s">
        <v>3531</v>
      </c>
      <c r="AP227" s="2" t="s">
        <v>3532</v>
      </c>
      <c r="AQ227" s="2" t="s">
        <v>1155</v>
      </c>
      <c r="AR227" s="1" t="s">
        <v>286</v>
      </c>
      <c r="AS227" s="1"/>
      <c r="AT227" s="1" t="s">
        <v>5</v>
      </c>
    </row>
    <row r="228" spans="1:46" hidden="1" x14ac:dyDescent="0.4">
      <c r="A228" s="1" t="s">
        <v>7292</v>
      </c>
      <c r="B228" s="10"/>
      <c r="C228" s="1" t="s">
        <v>0</v>
      </c>
      <c r="D228" s="1" t="s">
        <v>2157</v>
      </c>
      <c r="E228" s="1" t="s">
        <v>2078</v>
      </c>
      <c r="F228" s="1" t="s">
        <v>14</v>
      </c>
      <c r="G228" s="1" t="s">
        <v>1</v>
      </c>
      <c r="H228" s="1" t="s">
        <v>6</v>
      </c>
      <c r="I228" s="1" t="s">
        <v>2</v>
      </c>
      <c r="J228" s="1" t="s">
        <v>3</v>
      </c>
      <c r="K228" s="1" t="s">
        <v>7293</v>
      </c>
      <c r="L228" s="1" t="s">
        <v>7</v>
      </c>
      <c r="M228" s="1" t="s">
        <v>9</v>
      </c>
      <c r="N228" s="1" t="s">
        <v>7294</v>
      </c>
      <c r="O228" s="1" t="s">
        <v>7295</v>
      </c>
      <c r="P228" s="1"/>
      <c r="Q228" s="1"/>
      <c r="R228" s="1" t="s">
        <v>11</v>
      </c>
      <c r="S228" s="1"/>
      <c r="T228" s="1"/>
      <c r="U228" s="1"/>
      <c r="V228" s="1"/>
      <c r="W228" s="1" t="s">
        <v>7296</v>
      </c>
      <c r="X228" s="1"/>
      <c r="Y228" s="1"/>
      <c r="Z228" s="1"/>
      <c r="AA228" s="1"/>
      <c r="AB228" s="1" t="s">
        <v>7297</v>
      </c>
      <c r="AC228" s="1"/>
      <c r="AD228" s="1"/>
      <c r="AE228" s="1" t="s">
        <v>7298</v>
      </c>
      <c r="AF228" s="1"/>
      <c r="AG228" s="1"/>
      <c r="AH228" s="1" t="s">
        <v>7299</v>
      </c>
      <c r="AI228" s="1"/>
      <c r="AJ228" s="1" t="s">
        <v>3835</v>
      </c>
      <c r="AK228" s="1" t="s">
        <v>7300</v>
      </c>
      <c r="AL228" s="1"/>
      <c r="AM228" s="1" t="s">
        <v>7301</v>
      </c>
      <c r="AN228" s="1" t="s">
        <v>7300</v>
      </c>
      <c r="AO228" s="1" t="s">
        <v>7302</v>
      </c>
      <c r="AP228" s="2" t="s">
        <v>7303</v>
      </c>
      <c r="AQ228" s="2" t="s">
        <v>1077</v>
      </c>
      <c r="AR228" s="1" t="s">
        <v>286</v>
      </c>
      <c r="AS228" s="1" t="s">
        <v>7304</v>
      </c>
      <c r="AT228" s="1" t="s">
        <v>5</v>
      </c>
    </row>
    <row r="229" spans="1:46" hidden="1" x14ac:dyDescent="0.4">
      <c r="A229" s="1" t="s">
        <v>6577</v>
      </c>
      <c r="B229" s="10"/>
      <c r="C229" s="1" t="s">
        <v>6443</v>
      </c>
      <c r="D229" s="1" t="s">
        <v>2211</v>
      </c>
      <c r="E229" s="1" t="s">
        <v>2078</v>
      </c>
      <c r="F229" s="1" t="s">
        <v>14</v>
      </c>
      <c r="G229" s="1" t="s">
        <v>1</v>
      </c>
      <c r="H229" s="1" t="s">
        <v>6</v>
      </c>
      <c r="I229" s="1" t="s">
        <v>2</v>
      </c>
      <c r="J229" s="1" t="s">
        <v>3</v>
      </c>
      <c r="K229" s="1" t="s">
        <v>6578</v>
      </c>
      <c r="L229" s="1" t="s">
        <v>7</v>
      </c>
      <c r="M229" s="1"/>
      <c r="N229" s="1" t="s">
        <v>6579</v>
      </c>
      <c r="O229" s="1" t="s">
        <v>6580</v>
      </c>
      <c r="P229" s="1"/>
      <c r="Q229" s="1"/>
      <c r="R229" s="1" t="s">
        <v>11</v>
      </c>
      <c r="S229" s="1"/>
      <c r="T229" s="1"/>
      <c r="U229" s="1"/>
      <c r="V229" s="1"/>
      <c r="W229" s="1"/>
      <c r="X229" s="1"/>
      <c r="Y229" s="1"/>
      <c r="Z229" s="1"/>
      <c r="AA229" s="1"/>
      <c r="AB229" s="1" t="s">
        <v>6581</v>
      </c>
      <c r="AC229" s="1"/>
      <c r="AD229" s="1"/>
      <c r="AE229" s="1" t="s">
        <v>6582</v>
      </c>
      <c r="AF229" s="1"/>
      <c r="AG229" s="1"/>
      <c r="AH229" s="1" t="s">
        <v>6583</v>
      </c>
      <c r="AI229" s="1"/>
      <c r="AJ229" s="1" t="s">
        <v>6451</v>
      </c>
      <c r="AK229" s="1" t="s">
        <v>6452</v>
      </c>
      <c r="AL229" s="1" t="s">
        <v>6453</v>
      </c>
      <c r="AM229" s="1" t="s">
        <v>6451</v>
      </c>
      <c r="AN229" s="1" t="s">
        <v>6452</v>
      </c>
      <c r="AO229" s="1" t="s">
        <v>6453</v>
      </c>
      <c r="AP229" s="2" t="s">
        <v>6584</v>
      </c>
      <c r="AQ229" s="2" t="s">
        <v>1077</v>
      </c>
      <c r="AR229" s="1" t="s">
        <v>287</v>
      </c>
      <c r="AS229" s="1"/>
      <c r="AT229" s="1" t="s">
        <v>5</v>
      </c>
    </row>
    <row r="230" spans="1:46" hidden="1" x14ac:dyDescent="0.4">
      <c r="A230" s="1" t="s">
        <v>7360</v>
      </c>
      <c r="B230" s="10"/>
      <c r="C230" s="1" t="s">
        <v>93</v>
      </c>
      <c r="D230" s="1" t="s">
        <v>2211</v>
      </c>
      <c r="E230" s="1" t="s">
        <v>2478</v>
      </c>
      <c r="F230" s="1" t="s">
        <v>14</v>
      </c>
      <c r="G230" s="1" t="s">
        <v>1</v>
      </c>
      <c r="H230" s="1" t="s">
        <v>6</v>
      </c>
      <c r="I230" s="1" t="s">
        <v>2</v>
      </c>
      <c r="J230" s="1" t="s">
        <v>3</v>
      </c>
      <c r="K230" s="1" t="s">
        <v>7361</v>
      </c>
      <c r="L230" s="1" t="s">
        <v>7</v>
      </c>
      <c r="M230" s="1"/>
      <c r="N230" s="1" t="s">
        <v>7362</v>
      </c>
      <c r="O230" s="1" t="s">
        <v>5188</v>
      </c>
      <c r="P230" s="1"/>
      <c r="Q230" s="1"/>
      <c r="R230" s="1" t="s">
        <v>11</v>
      </c>
      <c r="S230" s="1"/>
      <c r="T230" s="1"/>
      <c r="U230" s="1"/>
      <c r="V230" s="1"/>
      <c r="W230" s="1" t="s">
        <v>7363</v>
      </c>
      <c r="X230" s="1"/>
      <c r="Y230" s="1"/>
      <c r="Z230" s="1"/>
      <c r="AA230" s="1"/>
      <c r="AB230" s="1" t="s">
        <v>7364</v>
      </c>
      <c r="AC230" s="1"/>
      <c r="AD230" s="1"/>
      <c r="AE230" s="1" t="s">
        <v>7320</v>
      </c>
      <c r="AF230" s="1"/>
      <c r="AG230" s="1"/>
      <c r="AH230" s="1" t="s">
        <v>7365</v>
      </c>
      <c r="AI230" s="1"/>
      <c r="AJ230" s="1" t="s">
        <v>3932</v>
      </c>
      <c r="AK230" s="1" t="s">
        <v>3933</v>
      </c>
      <c r="AL230" s="1" t="s">
        <v>3934</v>
      </c>
      <c r="AM230" s="1" t="s">
        <v>3932</v>
      </c>
      <c r="AN230" s="1" t="s">
        <v>3933</v>
      </c>
      <c r="AO230" s="1" t="s">
        <v>3934</v>
      </c>
      <c r="AP230" s="2" t="s">
        <v>7366</v>
      </c>
      <c r="AQ230" s="2" t="s">
        <v>1077</v>
      </c>
      <c r="AR230" s="1" t="s">
        <v>286</v>
      </c>
      <c r="AS230" s="1"/>
      <c r="AT230" s="1" t="s">
        <v>5</v>
      </c>
    </row>
    <row r="231" spans="1:46" hidden="1" x14ac:dyDescent="0.4">
      <c r="A231" s="1" t="s">
        <v>7367</v>
      </c>
      <c r="B231" s="10"/>
      <c r="C231" s="1" t="s">
        <v>93</v>
      </c>
      <c r="D231" s="1" t="s">
        <v>2211</v>
      </c>
      <c r="E231" s="1" t="s">
        <v>2478</v>
      </c>
      <c r="F231" s="1" t="s">
        <v>14</v>
      </c>
      <c r="G231" s="1" t="s">
        <v>1</v>
      </c>
      <c r="H231" s="1" t="s">
        <v>6</v>
      </c>
      <c r="I231" s="1" t="s">
        <v>2</v>
      </c>
      <c r="J231" s="1" t="s">
        <v>3</v>
      </c>
      <c r="K231" s="1" t="s">
        <v>7368</v>
      </c>
      <c r="L231" s="1" t="s">
        <v>7</v>
      </c>
      <c r="M231" s="1"/>
      <c r="N231" s="1" t="s">
        <v>7369</v>
      </c>
      <c r="O231" s="1" t="s">
        <v>5188</v>
      </c>
      <c r="P231" s="1"/>
      <c r="Q231" s="1"/>
      <c r="R231" s="1" t="s">
        <v>11</v>
      </c>
      <c r="S231" s="1"/>
      <c r="T231" s="1"/>
      <c r="U231" s="1"/>
      <c r="V231" s="1"/>
      <c r="W231" s="1" t="s">
        <v>7370</v>
      </c>
      <c r="X231" s="1"/>
      <c r="Y231" s="1"/>
      <c r="Z231" s="1"/>
      <c r="AA231" s="1"/>
      <c r="AB231" s="1" t="s">
        <v>7371</v>
      </c>
      <c r="AC231" s="1"/>
      <c r="AD231" s="1"/>
      <c r="AE231" s="1" t="s">
        <v>7320</v>
      </c>
      <c r="AF231" s="1"/>
      <c r="AG231" s="1"/>
      <c r="AH231" s="1" t="s">
        <v>7372</v>
      </c>
      <c r="AI231" s="1"/>
      <c r="AJ231" s="1" t="s">
        <v>3932</v>
      </c>
      <c r="AK231" s="1" t="s">
        <v>3933</v>
      </c>
      <c r="AL231" s="1" t="s">
        <v>3934</v>
      </c>
      <c r="AM231" s="1" t="s">
        <v>3932</v>
      </c>
      <c r="AN231" s="1" t="s">
        <v>3933</v>
      </c>
      <c r="AO231" s="1" t="s">
        <v>3934</v>
      </c>
      <c r="AP231" s="2" t="s">
        <v>7373</v>
      </c>
      <c r="AQ231" s="2" t="s">
        <v>1077</v>
      </c>
      <c r="AR231" s="1" t="s">
        <v>286</v>
      </c>
      <c r="AS231" s="1"/>
      <c r="AT231" s="1" t="s">
        <v>5</v>
      </c>
    </row>
    <row r="232" spans="1:46" hidden="1" x14ac:dyDescent="0.4">
      <c r="A232" s="1" t="s">
        <v>7374</v>
      </c>
      <c r="B232" s="10"/>
      <c r="C232" s="1" t="s">
        <v>93</v>
      </c>
      <c r="D232" s="1" t="s">
        <v>2211</v>
      </c>
      <c r="E232" s="1" t="s">
        <v>2078</v>
      </c>
      <c r="F232" s="1" t="s">
        <v>14</v>
      </c>
      <c r="G232" s="1" t="s">
        <v>1</v>
      </c>
      <c r="H232" s="1" t="s">
        <v>6</v>
      </c>
      <c r="I232" s="1" t="s">
        <v>2</v>
      </c>
      <c r="J232" s="1" t="s">
        <v>3</v>
      </c>
      <c r="K232" s="1" t="s">
        <v>7375</v>
      </c>
      <c r="L232" s="1" t="s">
        <v>7</v>
      </c>
      <c r="M232" s="1"/>
      <c r="N232" s="1" t="s">
        <v>7376</v>
      </c>
      <c r="O232" s="1" t="s">
        <v>5188</v>
      </c>
      <c r="P232" s="1"/>
      <c r="Q232" s="1"/>
      <c r="R232" s="1" t="s">
        <v>11</v>
      </c>
      <c r="S232" s="1"/>
      <c r="T232" s="1"/>
      <c r="U232" s="1"/>
      <c r="V232" s="1"/>
      <c r="W232" s="1" t="s">
        <v>7377</v>
      </c>
      <c r="X232" s="1"/>
      <c r="Y232" s="1"/>
      <c r="Z232" s="1"/>
      <c r="AA232" s="1"/>
      <c r="AB232" s="1" t="s">
        <v>7378</v>
      </c>
      <c r="AC232" s="1"/>
      <c r="AD232" s="1"/>
      <c r="AE232" s="1" t="s">
        <v>7320</v>
      </c>
      <c r="AF232" s="1"/>
      <c r="AG232" s="1"/>
      <c r="AH232" s="1" t="s">
        <v>7379</v>
      </c>
      <c r="AI232" s="1"/>
      <c r="AJ232" s="1" t="s">
        <v>3932</v>
      </c>
      <c r="AK232" s="1" t="s">
        <v>3933</v>
      </c>
      <c r="AL232" s="1" t="s">
        <v>3934</v>
      </c>
      <c r="AM232" s="1" t="s">
        <v>3932</v>
      </c>
      <c r="AN232" s="1" t="s">
        <v>3933</v>
      </c>
      <c r="AO232" s="1" t="s">
        <v>3934</v>
      </c>
      <c r="AP232" s="2" t="s">
        <v>7380</v>
      </c>
      <c r="AQ232" s="2" t="s">
        <v>1077</v>
      </c>
      <c r="AR232" s="1" t="s">
        <v>286</v>
      </c>
      <c r="AS232" s="1"/>
      <c r="AT232" s="1" t="s">
        <v>5</v>
      </c>
    </row>
    <row r="233" spans="1:46" hidden="1" x14ac:dyDescent="0.4">
      <c r="A233" s="1" t="s">
        <v>7346</v>
      </c>
      <c r="B233" s="10"/>
      <c r="C233" s="1" t="s">
        <v>93</v>
      </c>
      <c r="D233" s="1" t="s">
        <v>2211</v>
      </c>
      <c r="E233" s="1" t="s">
        <v>2478</v>
      </c>
      <c r="F233" s="1" t="s">
        <v>14</v>
      </c>
      <c r="G233" s="1" t="s">
        <v>1</v>
      </c>
      <c r="H233" s="1" t="s">
        <v>6</v>
      </c>
      <c r="I233" s="1" t="s">
        <v>2</v>
      </c>
      <c r="J233" s="1" t="s">
        <v>3</v>
      </c>
      <c r="K233" s="1" t="s">
        <v>7347</v>
      </c>
      <c r="L233" s="1" t="s">
        <v>7</v>
      </c>
      <c r="M233" s="1"/>
      <c r="N233" s="1" t="s">
        <v>7348</v>
      </c>
      <c r="O233" s="1" t="s">
        <v>5188</v>
      </c>
      <c r="P233" s="1"/>
      <c r="Q233" s="1"/>
      <c r="R233" s="1" t="s">
        <v>11</v>
      </c>
      <c r="S233" s="1"/>
      <c r="T233" s="1"/>
      <c r="U233" s="1"/>
      <c r="V233" s="1"/>
      <c r="W233" s="1" t="s">
        <v>7349</v>
      </c>
      <c r="X233" s="1"/>
      <c r="Y233" s="1"/>
      <c r="Z233" s="1"/>
      <c r="AA233" s="1"/>
      <c r="AB233" s="1" t="s">
        <v>7350</v>
      </c>
      <c r="AC233" s="1"/>
      <c r="AD233" s="1"/>
      <c r="AE233" s="1" t="s">
        <v>7320</v>
      </c>
      <c r="AF233" s="1"/>
      <c r="AG233" s="1"/>
      <c r="AH233" s="1" t="s">
        <v>7351</v>
      </c>
      <c r="AI233" s="1"/>
      <c r="AJ233" s="1" t="s">
        <v>3932</v>
      </c>
      <c r="AK233" s="1" t="s">
        <v>3933</v>
      </c>
      <c r="AL233" s="1" t="s">
        <v>3934</v>
      </c>
      <c r="AM233" s="1" t="s">
        <v>3932</v>
      </c>
      <c r="AN233" s="1" t="s">
        <v>3933</v>
      </c>
      <c r="AO233" s="1" t="s">
        <v>3934</v>
      </c>
      <c r="AP233" s="2" t="s">
        <v>7352</v>
      </c>
      <c r="AQ233" s="2" t="s">
        <v>1077</v>
      </c>
      <c r="AR233" s="1" t="s">
        <v>286</v>
      </c>
      <c r="AS233" s="1"/>
      <c r="AT233" s="1" t="s">
        <v>5</v>
      </c>
    </row>
    <row r="234" spans="1:46" hidden="1" x14ac:dyDescent="0.4">
      <c r="A234" s="1" t="s">
        <v>7315</v>
      </c>
      <c r="B234" s="10"/>
      <c r="C234" s="1" t="s">
        <v>93</v>
      </c>
      <c r="D234" s="1" t="s">
        <v>2211</v>
      </c>
      <c r="E234" s="1" t="s">
        <v>2478</v>
      </c>
      <c r="F234" s="1" t="s">
        <v>14</v>
      </c>
      <c r="G234" s="1" t="s">
        <v>1</v>
      </c>
      <c r="H234" s="1" t="s">
        <v>6</v>
      </c>
      <c r="I234" s="1" t="s">
        <v>2</v>
      </c>
      <c r="J234" s="1" t="s">
        <v>3</v>
      </c>
      <c r="K234" s="1" t="s">
        <v>7316</v>
      </c>
      <c r="L234" s="1" t="s">
        <v>7</v>
      </c>
      <c r="M234" s="1"/>
      <c r="N234" s="1" t="s">
        <v>7317</v>
      </c>
      <c r="O234" s="1" t="s">
        <v>5188</v>
      </c>
      <c r="P234" s="1"/>
      <c r="Q234" s="1"/>
      <c r="R234" s="1" t="s">
        <v>11</v>
      </c>
      <c r="S234" s="1"/>
      <c r="T234" s="1"/>
      <c r="U234" s="1"/>
      <c r="V234" s="1"/>
      <c r="W234" s="1" t="s">
        <v>7318</v>
      </c>
      <c r="X234" s="1"/>
      <c r="Y234" s="1"/>
      <c r="Z234" s="1"/>
      <c r="AA234" s="1"/>
      <c r="AB234" s="1" t="s">
        <v>7319</v>
      </c>
      <c r="AC234" s="1"/>
      <c r="AD234" s="1"/>
      <c r="AE234" s="1" t="s">
        <v>7320</v>
      </c>
      <c r="AF234" s="1"/>
      <c r="AG234" s="1"/>
      <c r="AH234" s="1" t="s">
        <v>7321</v>
      </c>
      <c r="AI234" s="1"/>
      <c r="AJ234" s="1" t="s">
        <v>3932</v>
      </c>
      <c r="AK234" s="1" t="s">
        <v>3933</v>
      </c>
      <c r="AL234" s="1" t="s">
        <v>3934</v>
      </c>
      <c r="AM234" s="1" t="s">
        <v>3932</v>
      </c>
      <c r="AN234" s="1" t="s">
        <v>3933</v>
      </c>
      <c r="AO234" s="1" t="s">
        <v>3934</v>
      </c>
      <c r="AP234" s="2" t="s">
        <v>7322</v>
      </c>
      <c r="AQ234" s="2" t="s">
        <v>1077</v>
      </c>
      <c r="AR234" s="1" t="s">
        <v>286</v>
      </c>
      <c r="AS234" s="1" t="s">
        <v>7323</v>
      </c>
      <c r="AT234" s="1" t="s">
        <v>5</v>
      </c>
    </row>
    <row r="235" spans="1:46" hidden="1" x14ac:dyDescent="0.4">
      <c r="A235" s="1" t="s">
        <v>7401</v>
      </c>
      <c r="B235" s="10"/>
      <c r="C235" s="1" t="s">
        <v>93</v>
      </c>
      <c r="D235" s="1" t="s">
        <v>2211</v>
      </c>
      <c r="E235" s="1" t="s">
        <v>2078</v>
      </c>
      <c r="F235" s="1" t="s">
        <v>14</v>
      </c>
      <c r="G235" s="1" t="s">
        <v>1</v>
      </c>
      <c r="H235" s="1" t="s">
        <v>6</v>
      </c>
      <c r="I235" s="1" t="s">
        <v>2</v>
      </c>
      <c r="J235" s="1" t="s">
        <v>3</v>
      </c>
      <c r="K235" s="1" t="s">
        <v>7402</v>
      </c>
      <c r="L235" s="1" t="s">
        <v>7</v>
      </c>
      <c r="M235" s="1"/>
      <c r="N235" s="1" t="s">
        <v>7403</v>
      </c>
      <c r="O235" s="1" t="s">
        <v>5188</v>
      </c>
      <c r="P235" s="1"/>
      <c r="Q235" s="1"/>
      <c r="R235" s="1" t="s">
        <v>11</v>
      </c>
      <c r="S235" s="1"/>
      <c r="T235" s="1"/>
      <c r="U235" s="1"/>
      <c r="V235" s="1"/>
      <c r="W235" s="1" t="s">
        <v>7404</v>
      </c>
      <c r="X235" s="1"/>
      <c r="Y235" s="1"/>
      <c r="Z235" s="1"/>
      <c r="AA235" s="1"/>
      <c r="AB235" s="1" t="s">
        <v>7405</v>
      </c>
      <c r="AC235" s="1"/>
      <c r="AD235" s="1"/>
      <c r="AE235" s="1" t="s">
        <v>7320</v>
      </c>
      <c r="AF235" s="1"/>
      <c r="AG235" s="1"/>
      <c r="AH235" s="1" t="s">
        <v>7406</v>
      </c>
      <c r="AI235" s="1"/>
      <c r="AJ235" s="1" t="s">
        <v>3932</v>
      </c>
      <c r="AK235" s="1" t="s">
        <v>3933</v>
      </c>
      <c r="AL235" s="1" t="s">
        <v>3934</v>
      </c>
      <c r="AM235" s="1" t="s">
        <v>3932</v>
      </c>
      <c r="AN235" s="1" t="s">
        <v>3933</v>
      </c>
      <c r="AO235" s="1" t="s">
        <v>3934</v>
      </c>
      <c r="AP235" s="2" t="s">
        <v>7407</v>
      </c>
      <c r="AQ235" s="2" t="s">
        <v>1077</v>
      </c>
      <c r="AR235" s="1" t="s">
        <v>286</v>
      </c>
      <c r="AS235" s="1"/>
      <c r="AT235" s="1" t="s">
        <v>5</v>
      </c>
    </row>
    <row r="236" spans="1:46" hidden="1" x14ac:dyDescent="0.4">
      <c r="A236" s="1" t="s">
        <v>8969</v>
      </c>
      <c r="B236" s="10"/>
      <c r="C236" s="1" t="s">
        <v>93</v>
      </c>
      <c r="D236" s="1" t="s">
        <v>2211</v>
      </c>
      <c r="E236" s="1" t="s">
        <v>2078</v>
      </c>
      <c r="F236" s="1" t="s">
        <v>14</v>
      </c>
      <c r="G236" s="1" t="s">
        <v>1</v>
      </c>
      <c r="H236" s="1" t="s">
        <v>6</v>
      </c>
      <c r="I236" s="1" t="s">
        <v>2</v>
      </c>
      <c r="J236" s="1" t="s">
        <v>3</v>
      </c>
      <c r="K236" s="1" t="s">
        <v>8970</v>
      </c>
      <c r="L236" s="1" t="s">
        <v>7</v>
      </c>
      <c r="M236" s="1"/>
      <c r="N236" s="1" t="s">
        <v>8971</v>
      </c>
      <c r="O236" s="1" t="s">
        <v>5188</v>
      </c>
      <c r="P236" s="1"/>
      <c r="Q236" s="1"/>
      <c r="R236" s="1" t="s">
        <v>11</v>
      </c>
      <c r="S236" s="1"/>
      <c r="T236" s="1"/>
      <c r="U236" s="1"/>
      <c r="V236" s="1"/>
      <c r="W236" s="1" t="s">
        <v>8972</v>
      </c>
      <c r="X236" s="1"/>
      <c r="Y236" s="1"/>
      <c r="Z236" s="1"/>
      <c r="AA236" s="1"/>
      <c r="AB236" s="1" t="s">
        <v>8973</v>
      </c>
      <c r="AC236" s="1"/>
      <c r="AD236" s="1"/>
      <c r="AE236" s="1" t="s">
        <v>7320</v>
      </c>
      <c r="AF236" s="1"/>
      <c r="AG236" s="1"/>
      <c r="AH236" s="1" t="s">
        <v>8974</v>
      </c>
      <c r="AI236" s="1"/>
      <c r="AJ236" s="1" t="s">
        <v>3932</v>
      </c>
      <c r="AK236" s="1" t="s">
        <v>3933</v>
      </c>
      <c r="AL236" s="1" t="s">
        <v>3934</v>
      </c>
      <c r="AM236" s="1" t="s">
        <v>3932</v>
      </c>
      <c r="AN236" s="1" t="s">
        <v>3933</v>
      </c>
      <c r="AO236" s="1" t="s">
        <v>3934</v>
      </c>
      <c r="AP236" s="2" t="s">
        <v>8975</v>
      </c>
      <c r="AQ236" s="2" t="s">
        <v>1154</v>
      </c>
      <c r="AR236" s="1" t="s">
        <v>286</v>
      </c>
      <c r="AS236" s="1" t="s">
        <v>8976</v>
      </c>
      <c r="AT236" s="1" t="s">
        <v>5</v>
      </c>
    </row>
    <row r="237" spans="1:46" hidden="1" x14ac:dyDescent="0.4">
      <c r="A237" s="1" t="s">
        <v>8985</v>
      </c>
      <c r="B237" s="10"/>
      <c r="C237" s="1" t="s">
        <v>93</v>
      </c>
      <c r="D237" s="1" t="s">
        <v>2211</v>
      </c>
      <c r="E237" s="1" t="s">
        <v>2078</v>
      </c>
      <c r="F237" s="1" t="s">
        <v>14</v>
      </c>
      <c r="G237" s="1" t="s">
        <v>1</v>
      </c>
      <c r="H237" s="1" t="s">
        <v>6</v>
      </c>
      <c r="I237" s="1" t="s">
        <v>2</v>
      </c>
      <c r="J237" s="1" t="s">
        <v>3</v>
      </c>
      <c r="K237" s="1" t="s">
        <v>8986</v>
      </c>
      <c r="L237" s="1" t="s">
        <v>7</v>
      </c>
      <c r="M237" s="1"/>
      <c r="N237" s="1" t="s">
        <v>8987</v>
      </c>
      <c r="O237" s="1" t="s">
        <v>5188</v>
      </c>
      <c r="P237" s="1"/>
      <c r="Q237" s="1"/>
      <c r="R237" s="1" t="s">
        <v>11</v>
      </c>
      <c r="S237" s="1"/>
      <c r="T237" s="1"/>
      <c r="U237" s="1"/>
      <c r="V237" s="1"/>
      <c r="W237" s="1" t="s">
        <v>8988</v>
      </c>
      <c r="X237" s="1"/>
      <c r="Y237" s="1"/>
      <c r="Z237" s="1"/>
      <c r="AA237" s="1"/>
      <c r="AB237" s="1" t="s">
        <v>8989</v>
      </c>
      <c r="AC237" s="1"/>
      <c r="AD237" s="1"/>
      <c r="AE237" s="1" t="s">
        <v>7320</v>
      </c>
      <c r="AF237" s="1"/>
      <c r="AG237" s="1"/>
      <c r="AH237" s="1" t="s">
        <v>8990</v>
      </c>
      <c r="AI237" s="1"/>
      <c r="AJ237" s="1" t="s">
        <v>3932</v>
      </c>
      <c r="AK237" s="1" t="s">
        <v>3933</v>
      </c>
      <c r="AL237" s="1" t="s">
        <v>3934</v>
      </c>
      <c r="AM237" s="1" t="s">
        <v>3932</v>
      </c>
      <c r="AN237" s="1" t="s">
        <v>3933</v>
      </c>
      <c r="AO237" s="1" t="s">
        <v>3934</v>
      </c>
      <c r="AP237" s="2" t="s">
        <v>8991</v>
      </c>
      <c r="AQ237" s="2" t="s">
        <v>1154</v>
      </c>
      <c r="AR237" s="1" t="s">
        <v>286</v>
      </c>
      <c r="AS237" s="1" t="s">
        <v>8992</v>
      </c>
      <c r="AT237" s="1" t="s">
        <v>5</v>
      </c>
    </row>
    <row r="238" spans="1:46" hidden="1" x14ac:dyDescent="0.4">
      <c r="A238" s="1" t="s">
        <v>8977</v>
      </c>
      <c r="B238" s="10"/>
      <c r="C238" s="1" t="s">
        <v>93</v>
      </c>
      <c r="D238" s="1" t="s">
        <v>2211</v>
      </c>
      <c r="E238" s="1" t="s">
        <v>2078</v>
      </c>
      <c r="F238" s="1" t="s">
        <v>14</v>
      </c>
      <c r="G238" s="1" t="s">
        <v>1</v>
      </c>
      <c r="H238" s="1" t="s">
        <v>6</v>
      </c>
      <c r="I238" s="1" t="s">
        <v>2</v>
      </c>
      <c r="J238" s="1" t="s">
        <v>3</v>
      </c>
      <c r="K238" s="1" t="s">
        <v>8978</v>
      </c>
      <c r="L238" s="1" t="s">
        <v>7</v>
      </c>
      <c r="M238" s="1"/>
      <c r="N238" s="1" t="s">
        <v>8979</v>
      </c>
      <c r="O238" s="1" t="s">
        <v>5188</v>
      </c>
      <c r="P238" s="1"/>
      <c r="Q238" s="1"/>
      <c r="R238" s="1" t="s">
        <v>11</v>
      </c>
      <c r="S238" s="1"/>
      <c r="T238" s="1"/>
      <c r="U238" s="1"/>
      <c r="V238" s="1"/>
      <c r="W238" s="1" t="s">
        <v>8980</v>
      </c>
      <c r="X238" s="1"/>
      <c r="Y238" s="1"/>
      <c r="Z238" s="1"/>
      <c r="AA238" s="1"/>
      <c r="AB238" s="1" t="s">
        <v>8981</v>
      </c>
      <c r="AC238" s="1"/>
      <c r="AD238" s="1"/>
      <c r="AE238" s="1" t="s">
        <v>7320</v>
      </c>
      <c r="AF238" s="1"/>
      <c r="AG238" s="1"/>
      <c r="AH238" s="1" t="s">
        <v>8982</v>
      </c>
      <c r="AI238" s="1"/>
      <c r="AJ238" s="1" t="s">
        <v>3932</v>
      </c>
      <c r="AK238" s="1" t="s">
        <v>3933</v>
      </c>
      <c r="AL238" s="1" t="s">
        <v>3934</v>
      </c>
      <c r="AM238" s="1" t="s">
        <v>3932</v>
      </c>
      <c r="AN238" s="1" t="s">
        <v>3933</v>
      </c>
      <c r="AO238" s="1" t="s">
        <v>3934</v>
      </c>
      <c r="AP238" s="2" t="s">
        <v>8983</v>
      </c>
      <c r="AQ238" s="2" t="s">
        <v>1154</v>
      </c>
      <c r="AR238" s="1" t="s">
        <v>286</v>
      </c>
      <c r="AS238" s="1" t="s">
        <v>8984</v>
      </c>
      <c r="AT238" s="1" t="s">
        <v>5</v>
      </c>
    </row>
    <row r="239" spans="1:46" hidden="1" x14ac:dyDescent="0.4">
      <c r="A239" s="1" t="s">
        <v>3227</v>
      </c>
      <c r="B239" s="10"/>
      <c r="C239" s="1" t="s">
        <v>93</v>
      </c>
      <c r="D239" s="1" t="s">
        <v>2396</v>
      </c>
      <c r="E239" s="1" t="s">
        <v>2078</v>
      </c>
      <c r="F239" s="1" t="s">
        <v>14</v>
      </c>
      <c r="G239" s="1" t="s">
        <v>1</v>
      </c>
      <c r="H239" s="1" t="s">
        <v>6</v>
      </c>
      <c r="I239" s="1" t="s">
        <v>2</v>
      </c>
      <c r="J239" s="1" t="s">
        <v>3</v>
      </c>
      <c r="K239" s="1" t="s">
        <v>3228</v>
      </c>
      <c r="L239" s="1" t="s">
        <v>7</v>
      </c>
      <c r="M239" s="1"/>
      <c r="N239" s="1" t="s">
        <v>3229</v>
      </c>
      <c r="O239" s="1" t="s">
        <v>3230</v>
      </c>
      <c r="P239" s="1"/>
      <c r="Q239" s="1" t="s">
        <v>12</v>
      </c>
      <c r="R239" s="1" t="s">
        <v>11</v>
      </c>
      <c r="S239" s="1"/>
      <c r="T239" s="1" t="s">
        <v>12</v>
      </c>
      <c r="U239" s="1" t="s">
        <v>11</v>
      </c>
      <c r="V239" s="1"/>
      <c r="W239" s="1" t="s">
        <v>3231</v>
      </c>
      <c r="X239" s="1"/>
      <c r="Y239" s="1"/>
      <c r="Z239" s="1"/>
      <c r="AA239" s="1"/>
      <c r="AB239" s="1" t="s">
        <v>3232</v>
      </c>
      <c r="AC239" s="1"/>
      <c r="AD239" s="1"/>
      <c r="AE239" s="1" t="s">
        <v>3233</v>
      </c>
      <c r="AF239" s="1"/>
      <c r="AG239" s="1"/>
      <c r="AH239" s="1" t="s">
        <v>3234</v>
      </c>
      <c r="AI239" s="1"/>
      <c r="AJ239" s="1" t="s">
        <v>3235</v>
      </c>
      <c r="AK239" s="1" t="s">
        <v>3236</v>
      </c>
      <c r="AL239" s="1"/>
      <c r="AM239" s="1" t="s">
        <v>3237</v>
      </c>
      <c r="AN239" s="1" t="s">
        <v>3238</v>
      </c>
      <c r="AO239" s="1" t="s">
        <v>3239</v>
      </c>
      <c r="AP239" s="2" t="s">
        <v>3240</v>
      </c>
      <c r="AQ239" s="2" t="s">
        <v>1155</v>
      </c>
      <c r="AR239" s="1"/>
      <c r="AS239" s="1"/>
      <c r="AT239" s="1" t="s">
        <v>5</v>
      </c>
    </row>
    <row r="240" spans="1:46" hidden="1" x14ac:dyDescent="0.4">
      <c r="A240" s="1" t="s">
        <v>5179</v>
      </c>
      <c r="B240" s="10"/>
      <c r="C240" s="1" t="s">
        <v>2454</v>
      </c>
      <c r="D240" s="1" t="s">
        <v>2157</v>
      </c>
      <c r="E240" s="1" t="s">
        <v>2078</v>
      </c>
      <c r="F240" s="1" t="s">
        <v>14</v>
      </c>
      <c r="G240" s="1" t="s">
        <v>1</v>
      </c>
      <c r="H240" s="1" t="s">
        <v>6</v>
      </c>
      <c r="I240" s="1" t="s">
        <v>2</v>
      </c>
      <c r="J240" s="1" t="s">
        <v>3676</v>
      </c>
      <c r="K240" s="1" t="s">
        <v>5180</v>
      </c>
      <c r="L240" s="1" t="s">
        <v>7</v>
      </c>
      <c r="M240" s="1" t="s">
        <v>9</v>
      </c>
      <c r="N240" s="1" t="s">
        <v>5181</v>
      </c>
      <c r="O240" s="1" t="s">
        <v>2481</v>
      </c>
      <c r="P240" s="1"/>
      <c r="Q240" s="1"/>
      <c r="R240" s="1" t="s">
        <v>11</v>
      </c>
      <c r="S240" s="1"/>
      <c r="T240" s="1"/>
      <c r="U240" s="1"/>
      <c r="V240" s="1"/>
      <c r="W240" s="1" t="s">
        <v>5154</v>
      </c>
      <c r="X240" s="1"/>
      <c r="Y240" s="1"/>
      <c r="Z240" s="1"/>
      <c r="AA240" s="1"/>
      <c r="AB240" s="1" t="s">
        <v>5182</v>
      </c>
      <c r="AC240" s="1"/>
      <c r="AD240" s="1"/>
      <c r="AE240" s="1"/>
      <c r="AF240" s="1"/>
      <c r="AG240" s="1"/>
      <c r="AH240" s="1" t="s">
        <v>5183</v>
      </c>
      <c r="AI240" s="1"/>
      <c r="AJ240" s="1" t="s">
        <v>3682</v>
      </c>
      <c r="AK240" s="1" t="s">
        <v>3106</v>
      </c>
      <c r="AL240" s="1" t="s">
        <v>3683</v>
      </c>
      <c r="AM240" s="1" t="s">
        <v>3682</v>
      </c>
      <c r="AN240" s="1" t="s">
        <v>3106</v>
      </c>
      <c r="AO240" s="1" t="s">
        <v>3683</v>
      </c>
      <c r="AP240" s="2" t="s">
        <v>5184</v>
      </c>
      <c r="AQ240" s="2" t="s">
        <v>1153</v>
      </c>
      <c r="AR240" s="1" t="s">
        <v>287</v>
      </c>
      <c r="AS240" s="1" t="s">
        <v>5178</v>
      </c>
      <c r="AT240" s="1" t="s">
        <v>5</v>
      </c>
    </row>
    <row r="241" spans="1:46" hidden="1" x14ac:dyDescent="0.4">
      <c r="A241" s="1" t="s">
        <v>3592</v>
      </c>
      <c r="B241" s="10"/>
      <c r="C241" s="1" t="s">
        <v>93</v>
      </c>
      <c r="D241" s="1" t="s">
        <v>2157</v>
      </c>
      <c r="E241" s="1" t="s">
        <v>2078</v>
      </c>
      <c r="F241" s="1" t="s">
        <v>14</v>
      </c>
      <c r="G241" s="1" t="s">
        <v>1</v>
      </c>
      <c r="H241" s="1" t="s">
        <v>6</v>
      </c>
      <c r="I241" s="1" t="s">
        <v>2</v>
      </c>
      <c r="J241" s="1" t="s">
        <v>3</v>
      </c>
      <c r="K241" s="1" t="s">
        <v>3593</v>
      </c>
      <c r="L241" s="1" t="s">
        <v>7</v>
      </c>
      <c r="M241" s="1"/>
      <c r="N241" s="1" t="s">
        <v>3594</v>
      </c>
      <c r="O241" s="1" t="s">
        <v>3595</v>
      </c>
      <c r="P241" s="1"/>
      <c r="Q241" s="1"/>
      <c r="R241" s="1" t="s">
        <v>11</v>
      </c>
      <c r="S241" s="1"/>
      <c r="T241" s="1"/>
      <c r="U241" s="1"/>
      <c r="V241" s="1"/>
      <c r="W241" s="1"/>
      <c r="X241" s="1" t="s">
        <v>3596</v>
      </c>
      <c r="Y241" s="1"/>
      <c r="Z241" s="1"/>
      <c r="AA241" s="1"/>
      <c r="AB241" s="1" t="s">
        <v>3597</v>
      </c>
      <c r="AC241" s="1"/>
      <c r="AD241" s="1"/>
      <c r="AE241" s="1" t="s">
        <v>3598</v>
      </c>
      <c r="AF241" s="1"/>
      <c r="AG241" s="1"/>
      <c r="AH241" s="1" t="s">
        <v>3599</v>
      </c>
      <c r="AI241" s="1"/>
      <c r="AJ241" s="1" t="s">
        <v>3600</v>
      </c>
      <c r="AK241" s="1" t="s">
        <v>3601</v>
      </c>
      <c r="AL241" s="1" t="s">
        <v>3602</v>
      </c>
      <c r="AM241" s="1" t="s">
        <v>3603</v>
      </c>
      <c r="AN241" s="1" t="s">
        <v>3601</v>
      </c>
      <c r="AO241" s="1" t="s">
        <v>3604</v>
      </c>
      <c r="AP241" s="2" t="s">
        <v>3605</v>
      </c>
      <c r="AQ241" s="2" t="s">
        <v>1153</v>
      </c>
      <c r="AR241" s="1" t="s">
        <v>286</v>
      </c>
      <c r="AS241" s="1" t="s">
        <v>3606</v>
      </c>
      <c r="AT241" s="1" t="s">
        <v>5</v>
      </c>
    </row>
    <row r="242" spans="1:46" hidden="1" x14ac:dyDescent="0.4">
      <c r="A242" s="1" t="s">
        <v>9852</v>
      </c>
      <c r="B242" s="10"/>
      <c r="C242" s="1" t="s">
        <v>2544</v>
      </c>
      <c r="D242" s="1" t="s">
        <v>2396</v>
      </c>
      <c r="E242" s="1" t="s">
        <v>2078</v>
      </c>
      <c r="F242" s="1" t="s">
        <v>14</v>
      </c>
      <c r="G242" s="1" t="s">
        <v>1</v>
      </c>
      <c r="H242" s="1" t="s">
        <v>6</v>
      </c>
      <c r="I242" s="1" t="s">
        <v>2</v>
      </c>
      <c r="J242" s="1" t="s">
        <v>2451</v>
      </c>
      <c r="K242" s="1" t="s">
        <v>9853</v>
      </c>
      <c r="L242" s="1" t="s">
        <v>7</v>
      </c>
      <c r="M242" s="1" t="s">
        <v>9</v>
      </c>
      <c r="N242" s="1" t="s">
        <v>9854</v>
      </c>
      <c r="O242" s="1" t="s">
        <v>9855</v>
      </c>
      <c r="P242" s="1"/>
      <c r="Q242" s="1"/>
      <c r="R242" s="1" t="s">
        <v>11</v>
      </c>
      <c r="S242" s="1"/>
      <c r="T242" s="1"/>
      <c r="U242" s="1"/>
      <c r="V242" s="1"/>
      <c r="W242" s="1"/>
      <c r="X242" s="1"/>
      <c r="Y242" s="1"/>
      <c r="Z242" s="1"/>
      <c r="AA242" s="1"/>
      <c r="AB242" s="1" t="s">
        <v>9856</v>
      </c>
      <c r="AC242" s="1"/>
      <c r="AD242" s="1"/>
      <c r="AE242" s="1"/>
      <c r="AF242" s="1"/>
      <c r="AG242" s="1"/>
      <c r="AH242" s="1" t="s">
        <v>9857</v>
      </c>
      <c r="AI242" s="1"/>
      <c r="AJ242" s="1" t="s">
        <v>9858</v>
      </c>
      <c r="AK242" s="1" t="s">
        <v>9859</v>
      </c>
      <c r="AL242" s="1" t="s">
        <v>9860</v>
      </c>
      <c r="AM242" s="1" t="s">
        <v>9861</v>
      </c>
      <c r="AN242" s="1" t="s">
        <v>9862</v>
      </c>
      <c r="AO242" s="1" t="s">
        <v>9863</v>
      </c>
      <c r="AP242" s="2" t="s">
        <v>9864</v>
      </c>
      <c r="AQ242" s="2" t="s">
        <v>1155</v>
      </c>
      <c r="AR242" s="1" t="s">
        <v>286</v>
      </c>
      <c r="AS242" s="1"/>
      <c r="AT242" s="1" t="s">
        <v>5</v>
      </c>
    </row>
    <row r="243" spans="1:46" hidden="1" x14ac:dyDescent="0.4">
      <c r="A243" s="1" t="s">
        <v>4979</v>
      </c>
      <c r="B243" s="10"/>
      <c r="C243" s="1" t="s">
        <v>4980</v>
      </c>
      <c r="D243" s="1" t="s">
        <v>2157</v>
      </c>
      <c r="E243" s="1" t="s">
        <v>2078</v>
      </c>
      <c r="F243" s="1" t="s">
        <v>14</v>
      </c>
      <c r="G243" s="1" t="s">
        <v>1</v>
      </c>
      <c r="H243" s="1" t="s">
        <v>6</v>
      </c>
      <c r="I243" s="1" t="s">
        <v>2</v>
      </c>
      <c r="J243" s="1" t="s">
        <v>4519</v>
      </c>
      <c r="K243" s="1" t="s">
        <v>4981</v>
      </c>
      <c r="L243" s="1" t="s">
        <v>7</v>
      </c>
      <c r="M243" s="1"/>
      <c r="N243" s="1" t="s">
        <v>4982</v>
      </c>
      <c r="O243" s="1" t="s">
        <v>4983</v>
      </c>
      <c r="P243" s="1"/>
      <c r="Q243" s="1"/>
      <c r="R243" s="1" t="s">
        <v>11</v>
      </c>
      <c r="S243" s="1"/>
      <c r="T243" s="1"/>
      <c r="U243" s="1"/>
      <c r="V243" s="1"/>
      <c r="W243" s="1"/>
      <c r="X243" s="1" t="s">
        <v>4984</v>
      </c>
      <c r="Y243" s="1"/>
      <c r="Z243" s="1"/>
      <c r="AA243" s="1"/>
      <c r="AB243" s="1" t="s">
        <v>4985</v>
      </c>
      <c r="AC243" s="1"/>
      <c r="AD243" s="1"/>
      <c r="AE243" s="1" t="s">
        <v>4986</v>
      </c>
      <c r="AF243" s="1"/>
      <c r="AG243" s="1"/>
      <c r="AH243" s="1" t="s">
        <v>4987</v>
      </c>
      <c r="AI243" s="1"/>
      <c r="AJ243" s="1" t="s">
        <v>4988</v>
      </c>
      <c r="AK243" s="1" t="s">
        <v>3521</v>
      </c>
      <c r="AL243" s="1" t="s">
        <v>4989</v>
      </c>
      <c r="AM243" s="1" t="s">
        <v>4988</v>
      </c>
      <c r="AN243" s="1" t="s">
        <v>3521</v>
      </c>
      <c r="AO243" s="1" t="s">
        <v>4989</v>
      </c>
      <c r="AP243" s="2" t="s">
        <v>4990</v>
      </c>
      <c r="AQ243" s="2" t="s">
        <v>1153</v>
      </c>
      <c r="AR243" s="1" t="s">
        <v>286</v>
      </c>
      <c r="AS243" s="1"/>
      <c r="AT243" s="1" t="s">
        <v>5</v>
      </c>
    </row>
    <row r="244" spans="1:46" hidden="1" x14ac:dyDescent="0.4">
      <c r="A244" s="1" t="s">
        <v>4991</v>
      </c>
      <c r="B244" s="10"/>
      <c r="C244" s="1" t="s">
        <v>4980</v>
      </c>
      <c r="D244" s="1" t="s">
        <v>2157</v>
      </c>
      <c r="E244" s="1" t="s">
        <v>2078</v>
      </c>
      <c r="F244" s="1" t="s">
        <v>14</v>
      </c>
      <c r="G244" s="1" t="s">
        <v>1</v>
      </c>
      <c r="H244" s="1" t="s">
        <v>6</v>
      </c>
      <c r="I244" s="1" t="s">
        <v>2</v>
      </c>
      <c r="J244" s="1" t="s">
        <v>4519</v>
      </c>
      <c r="K244" s="1" t="s">
        <v>4992</v>
      </c>
      <c r="L244" s="1" t="s">
        <v>7</v>
      </c>
      <c r="M244" s="1"/>
      <c r="N244" s="1" t="s">
        <v>4993</v>
      </c>
      <c r="O244" s="1" t="s">
        <v>4983</v>
      </c>
      <c r="P244" s="1"/>
      <c r="Q244" s="1"/>
      <c r="R244" s="1" t="s">
        <v>11</v>
      </c>
      <c r="S244" s="1"/>
      <c r="T244" s="1"/>
      <c r="U244" s="1"/>
      <c r="V244" s="1"/>
      <c r="W244" s="1"/>
      <c r="X244" s="1" t="s">
        <v>4984</v>
      </c>
      <c r="Y244" s="1"/>
      <c r="Z244" s="1"/>
      <c r="AA244" s="1"/>
      <c r="AB244" s="1" t="s">
        <v>4994</v>
      </c>
      <c r="AC244" s="1"/>
      <c r="AD244" s="1"/>
      <c r="AE244" s="1" t="s">
        <v>4986</v>
      </c>
      <c r="AF244" s="1"/>
      <c r="AG244" s="1"/>
      <c r="AH244" s="1" t="s">
        <v>4995</v>
      </c>
      <c r="AI244" s="1"/>
      <c r="AJ244" s="1" t="s">
        <v>4988</v>
      </c>
      <c r="AK244" s="1" t="s">
        <v>3521</v>
      </c>
      <c r="AL244" s="1" t="s">
        <v>4989</v>
      </c>
      <c r="AM244" s="1" t="s">
        <v>4988</v>
      </c>
      <c r="AN244" s="1" t="s">
        <v>3521</v>
      </c>
      <c r="AO244" s="1" t="s">
        <v>4989</v>
      </c>
      <c r="AP244" s="2" t="s">
        <v>4996</v>
      </c>
      <c r="AQ244" s="2" t="s">
        <v>1153</v>
      </c>
      <c r="AR244" s="1" t="s">
        <v>286</v>
      </c>
      <c r="AS244" s="1"/>
      <c r="AT244" s="1" t="s">
        <v>5</v>
      </c>
    </row>
    <row r="245" spans="1:46" hidden="1" x14ac:dyDescent="0.4">
      <c r="A245" s="1" t="s">
        <v>3884</v>
      </c>
      <c r="B245" s="10"/>
      <c r="C245" s="1" t="s">
        <v>0</v>
      </c>
      <c r="D245" s="1" t="s">
        <v>2396</v>
      </c>
      <c r="E245" s="1" t="s">
        <v>2078</v>
      </c>
      <c r="F245" s="1" t="s">
        <v>14</v>
      </c>
      <c r="G245" s="1" t="s">
        <v>1</v>
      </c>
      <c r="H245" s="1" t="s">
        <v>6</v>
      </c>
      <c r="I245" s="1" t="s">
        <v>2</v>
      </c>
      <c r="J245" s="1" t="s">
        <v>3</v>
      </c>
      <c r="K245" s="1" t="s">
        <v>3885</v>
      </c>
      <c r="L245" s="1" t="s">
        <v>7</v>
      </c>
      <c r="M245" s="1" t="s">
        <v>9</v>
      </c>
      <c r="N245" s="1" t="s">
        <v>3886</v>
      </c>
      <c r="O245" s="1" t="s">
        <v>2160</v>
      </c>
      <c r="P245" s="1"/>
      <c r="Q245" s="1"/>
      <c r="R245" s="1" t="s">
        <v>11</v>
      </c>
      <c r="S245" s="1"/>
      <c r="T245" s="1"/>
      <c r="U245" s="1"/>
      <c r="V245" s="1"/>
      <c r="W245" s="1" t="s">
        <v>3887</v>
      </c>
      <c r="X245" s="1"/>
      <c r="Y245" s="1"/>
      <c r="Z245" s="1"/>
      <c r="AA245" s="1"/>
      <c r="AB245" s="1" t="s">
        <v>3888</v>
      </c>
      <c r="AC245" s="1"/>
      <c r="AD245" s="1"/>
      <c r="AE245" s="1"/>
      <c r="AF245" s="1"/>
      <c r="AG245" s="1"/>
      <c r="AH245" s="1" t="s">
        <v>3889</v>
      </c>
      <c r="AI245" s="1"/>
      <c r="AJ245" s="1" t="s">
        <v>211</v>
      </c>
      <c r="AK245" s="1" t="s">
        <v>247</v>
      </c>
      <c r="AL245" s="1" t="s">
        <v>212</v>
      </c>
      <c r="AM245" s="1" t="s">
        <v>3890</v>
      </c>
      <c r="AN245" s="1" t="s">
        <v>247</v>
      </c>
      <c r="AO245" s="1"/>
      <c r="AP245" s="2" t="s">
        <v>3891</v>
      </c>
      <c r="AQ245" s="2" t="s">
        <v>1153</v>
      </c>
      <c r="AR245" s="1" t="s">
        <v>286</v>
      </c>
      <c r="AS245" s="1"/>
      <c r="AT245" s="1" t="s">
        <v>5</v>
      </c>
    </row>
    <row r="246" spans="1:46" hidden="1" x14ac:dyDescent="0.4">
      <c r="A246" s="1" t="s">
        <v>2756</v>
      </c>
      <c r="B246" s="10"/>
      <c r="C246" s="1" t="s">
        <v>2494</v>
      </c>
      <c r="D246" s="1" t="s">
        <v>2211</v>
      </c>
      <c r="E246" s="1" t="s">
        <v>2078</v>
      </c>
      <c r="F246" s="1" t="s">
        <v>14</v>
      </c>
      <c r="G246" s="1" t="s">
        <v>1</v>
      </c>
      <c r="H246" s="1" t="s">
        <v>6</v>
      </c>
      <c r="I246" s="1" t="s">
        <v>2</v>
      </c>
      <c r="J246" s="1" t="s">
        <v>2450</v>
      </c>
      <c r="K246" s="1" t="s">
        <v>2757</v>
      </c>
      <c r="L246" s="1" t="s">
        <v>7</v>
      </c>
      <c r="M246" s="1" t="s">
        <v>9</v>
      </c>
      <c r="N246" s="1" t="s">
        <v>2758</v>
      </c>
      <c r="O246" s="1" t="s">
        <v>2759</v>
      </c>
      <c r="P246" s="1"/>
      <c r="Q246" s="1"/>
      <c r="R246" s="1" t="s">
        <v>11</v>
      </c>
      <c r="S246" s="1"/>
      <c r="T246" s="1"/>
      <c r="U246" s="1"/>
      <c r="V246" s="1"/>
      <c r="W246" s="1"/>
      <c r="X246" s="1" t="s">
        <v>2760</v>
      </c>
      <c r="Y246" s="1"/>
      <c r="Z246" s="1"/>
      <c r="AA246" s="1"/>
      <c r="AB246" s="1" t="s">
        <v>2761</v>
      </c>
      <c r="AC246" s="1"/>
      <c r="AD246" s="1"/>
      <c r="AE246" s="1"/>
      <c r="AF246" s="1"/>
      <c r="AG246" s="1"/>
      <c r="AH246" s="1" t="s">
        <v>2762</v>
      </c>
      <c r="AI246" s="1"/>
      <c r="AJ246" s="1" t="s">
        <v>2763</v>
      </c>
      <c r="AK246" s="1" t="s">
        <v>2764</v>
      </c>
      <c r="AL246" s="1"/>
      <c r="AM246" s="1" t="s">
        <v>2765</v>
      </c>
      <c r="AN246" s="1" t="s">
        <v>2766</v>
      </c>
      <c r="AO246" s="1"/>
      <c r="AP246" s="2" t="s">
        <v>2767</v>
      </c>
      <c r="AQ246" s="2" t="s">
        <v>1155</v>
      </c>
      <c r="AR246" s="1"/>
      <c r="AS246" s="1"/>
      <c r="AT246" s="1" t="s">
        <v>5</v>
      </c>
    </row>
    <row r="247" spans="1:46" hidden="1" x14ac:dyDescent="0.4">
      <c r="A247" s="1" t="s">
        <v>7036</v>
      </c>
      <c r="B247" s="10"/>
      <c r="C247" s="1" t="s">
        <v>93</v>
      </c>
      <c r="D247" s="1" t="s">
        <v>2157</v>
      </c>
      <c r="E247" s="1" t="s">
        <v>2078</v>
      </c>
      <c r="F247" s="1" t="s">
        <v>14</v>
      </c>
      <c r="G247" s="1" t="s">
        <v>1</v>
      </c>
      <c r="H247" s="1" t="s">
        <v>6</v>
      </c>
      <c r="I247" s="1" t="s">
        <v>2</v>
      </c>
      <c r="J247" s="1" t="s">
        <v>3</v>
      </c>
      <c r="K247" s="1" t="s">
        <v>7037</v>
      </c>
      <c r="L247" s="1" t="s">
        <v>7</v>
      </c>
      <c r="M247" s="1"/>
      <c r="N247" s="1" t="s">
        <v>7038</v>
      </c>
      <c r="O247" s="1" t="s">
        <v>7039</v>
      </c>
      <c r="P247" s="1"/>
      <c r="Q247" s="1"/>
      <c r="R247" s="1" t="s">
        <v>11</v>
      </c>
      <c r="S247" s="1"/>
      <c r="T247" s="1"/>
      <c r="U247" s="1"/>
      <c r="V247" s="1"/>
      <c r="W247" s="1"/>
      <c r="X247" s="1"/>
      <c r="Y247" s="1"/>
      <c r="Z247" s="1"/>
      <c r="AA247" s="1"/>
      <c r="AB247" s="1" t="s">
        <v>7040</v>
      </c>
      <c r="AC247" s="1"/>
      <c r="AD247" s="1"/>
      <c r="AE247" s="1" t="s">
        <v>7041</v>
      </c>
      <c r="AF247" s="1"/>
      <c r="AG247" s="1"/>
      <c r="AH247" s="1" t="s">
        <v>7042</v>
      </c>
      <c r="AI247" s="1"/>
      <c r="AJ247" s="1" t="s">
        <v>6930</v>
      </c>
      <c r="AK247" s="1" t="s">
        <v>6931</v>
      </c>
      <c r="AL247" s="1" t="s">
        <v>6932</v>
      </c>
      <c r="AM247" s="1" t="s">
        <v>6930</v>
      </c>
      <c r="AN247" s="1" t="s">
        <v>6931</v>
      </c>
      <c r="AO247" s="1" t="s">
        <v>6932</v>
      </c>
      <c r="AP247" s="2" t="s">
        <v>7043</v>
      </c>
      <c r="AQ247" s="2" t="s">
        <v>1077</v>
      </c>
      <c r="AR247" s="1" t="s">
        <v>286</v>
      </c>
      <c r="AS247" s="1"/>
      <c r="AT247" s="1" t="s">
        <v>5</v>
      </c>
    </row>
    <row r="248" spans="1:46" hidden="1" x14ac:dyDescent="0.4">
      <c r="A248" s="1" t="s">
        <v>7747</v>
      </c>
      <c r="B248" s="10"/>
      <c r="C248" s="1" t="s">
        <v>2705</v>
      </c>
      <c r="D248" s="1" t="s">
        <v>2290</v>
      </c>
      <c r="E248" s="1" t="s">
        <v>2291</v>
      </c>
      <c r="F248" s="1" t="s">
        <v>14</v>
      </c>
      <c r="G248" s="1" t="s">
        <v>1</v>
      </c>
      <c r="H248" s="1" t="s">
        <v>6</v>
      </c>
      <c r="I248" s="1" t="s">
        <v>2</v>
      </c>
      <c r="J248" s="1" t="s">
        <v>2813</v>
      </c>
      <c r="K248" s="1" t="s">
        <v>7748</v>
      </c>
      <c r="L248" s="1" t="s">
        <v>7</v>
      </c>
      <c r="M248" s="1" t="s">
        <v>9</v>
      </c>
      <c r="N248" s="1" t="s">
        <v>7749</v>
      </c>
      <c r="O248" s="1" t="s">
        <v>7750</v>
      </c>
      <c r="P248" s="1" t="s">
        <v>7751</v>
      </c>
      <c r="Q248" s="1"/>
      <c r="R248" s="1" t="s">
        <v>11</v>
      </c>
      <c r="S248" s="1"/>
      <c r="T248" s="1"/>
      <c r="U248" s="1"/>
      <c r="V248" s="1"/>
      <c r="W248" s="1" t="s">
        <v>5294</v>
      </c>
      <c r="X248" s="1"/>
      <c r="Y248" s="1"/>
      <c r="Z248" s="1"/>
      <c r="AA248" s="1"/>
      <c r="AB248" s="1" t="s">
        <v>7752</v>
      </c>
      <c r="AC248" s="1"/>
      <c r="AD248" s="1"/>
      <c r="AE248" s="1" t="s">
        <v>7753</v>
      </c>
      <c r="AF248" s="1"/>
      <c r="AG248" s="1"/>
      <c r="AH248" s="1" t="s">
        <v>7754</v>
      </c>
      <c r="AI248" s="1"/>
      <c r="AJ248" s="1" t="s">
        <v>7755</v>
      </c>
      <c r="AK248" s="1" t="s">
        <v>6568</v>
      </c>
      <c r="AL248" s="1" t="s">
        <v>7756</v>
      </c>
      <c r="AM248" s="1" t="s">
        <v>7755</v>
      </c>
      <c r="AN248" s="1" t="s">
        <v>6568</v>
      </c>
      <c r="AO248" s="1" t="s">
        <v>7756</v>
      </c>
      <c r="AP248" s="2" t="s">
        <v>7757</v>
      </c>
      <c r="AQ248" s="2" t="s">
        <v>1154</v>
      </c>
      <c r="AR248" s="1" t="s">
        <v>286</v>
      </c>
      <c r="AS248" s="1" t="s">
        <v>7758</v>
      </c>
      <c r="AT248" s="1" t="s">
        <v>5</v>
      </c>
    </row>
    <row r="249" spans="1:46" hidden="1" x14ac:dyDescent="0.4">
      <c r="A249" s="1" t="s">
        <v>6683</v>
      </c>
      <c r="B249" s="10"/>
      <c r="C249" s="1" t="s">
        <v>2494</v>
      </c>
      <c r="D249" s="1" t="s">
        <v>2157</v>
      </c>
      <c r="E249" s="1" t="s">
        <v>2078</v>
      </c>
      <c r="F249" s="1" t="s">
        <v>14</v>
      </c>
      <c r="G249" s="1" t="s">
        <v>1</v>
      </c>
      <c r="H249" s="1" t="s">
        <v>6</v>
      </c>
      <c r="I249" s="1" t="s">
        <v>2</v>
      </c>
      <c r="J249" s="1" t="s">
        <v>2450</v>
      </c>
      <c r="K249" s="1" t="s">
        <v>6684</v>
      </c>
      <c r="L249" s="1" t="s">
        <v>7</v>
      </c>
      <c r="M249" s="1" t="s">
        <v>8</v>
      </c>
      <c r="N249" s="1" t="s">
        <v>6685</v>
      </c>
      <c r="O249" s="1" t="s">
        <v>4783</v>
      </c>
      <c r="P249" s="1"/>
      <c r="Q249" s="1"/>
      <c r="R249" s="1" t="s">
        <v>11</v>
      </c>
      <c r="S249" s="1"/>
      <c r="T249" s="1"/>
      <c r="U249" s="1"/>
      <c r="V249" s="1"/>
      <c r="W249" s="1"/>
      <c r="X249" s="1" t="s">
        <v>6686</v>
      </c>
      <c r="Y249" s="1"/>
      <c r="Z249" s="1"/>
      <c r="AA249" s="1"/>
      <c r="AB249" s="1" t="s">
        <v>6687</v>
      </c>
      <c r="AC249" s="1"/>
      <c r="AD249" s="1"/>
      <c r="AE249" s="1" t="s">
        <v>6680</v>
      </c>
      <c r="AF249" s="1"/>
      <c r="AG249" s="1"/>
      <c r="AH249" s="1" t="s">
        <v>6688</v>
      </c>
      <c r="AI249" s="1"/>
      <c r="AJ249" s="1" t="s">
        <v>4788</v>
      </c>
      <c r="AK249" s="1" t="s">
        <v>4789</v>
      </c>
      <c r="AL249" s="1" t="s">
        <v>4790</v>
      </c>
      <c r="AM249" s="1" t="s">
        <v>4791</v>
      </c>
      <c r="AN249" s="1" t="s">
        <v>4789</v>
      </c>
      <c r="AO249" s="1" t="s">
        <v>4792</v>
      </c>
      <c r="AP249" s="2" t="s">
        <v>6689</v>
      </c>
      <c r="AQ249" s="2" t="s">
        <v>1077</v>
      </c>
      <c r="AR249" s="1" t="s">
        <v>287</v>
      </c>
      <c r="AS249" s="1"/>
      <c r="AT249" s="1" t="s">
        <v>5</v>
      </c>
    </row>
    <row r="250" spans="1:46" hidden="1" x14ac:dyDescent="0.4">
      <c r="A250" s="1" t="s">
        <v>6675</v>
      </c>
      <c r="B250" s="10"/>
      <c r="C250" s="1" t="s">
        <v>2494</v>
      </c>
      <c r="D250" s="1" t="s">
        <v>2157</v>
      </c>
      <c r="E250" s="1" t="s">
        <v>2078</v>
      </c>
      <c r="F250" s="1" t="s">
        <v>14</v>
      </c>
      <c r="G250" s="1" t="s">
        <v>1</v>
      </c>
      <c r="H250" s="1" t="s">
        <v>6</v>
      </c>
      <c r="I250" s="1" t="s">
        <v>2</v>
      </c>
      <c r="J250" s="1" t="s">
        <v>2450</v>
      </c>
      <c r="K250" s="1" t="s">
        <v>6676</v>
      </c>
      <c r="L250" s="1" t="s">
        <v>7</v>
      </c>
      <c r="M250" s="1" t="s">
        <v>8</v>
      </c>
      <c r="N250" s="1" t="s">
        <v>6677</v>
      </c>
      <c r="O250" s="1" t="s">
        <v>4783</v>
      </c>
      <c r="P250" s="1"/>
      <c r="Q250" s="1"/>
      <c r="R250" s="1" t="s">
        <v>11</v>
      </c>
      <c r="S250" s="1"/>
      <c r="T250" s="1"/>
      <c r="U250" s="1"/>
      <c r="V250" s="1"/>
      <c r="W250" s="1"/>
      <c r="X250" s="1" t="s">
        <v>6678</v>
      </c>
      <c r="Y250" s="1"/>
      <c r="Z250" s="1"/>
      <c r="AA250" s="1"/>
      <c r="AB250" s="1" t="s">
        <v>6679</v>
      </c>
      <c r="AC250" s="1"/>
      <c r="AD250" s="1"/>
      <c r="AE250" s="1" t="s">
        <v>6680</v>
      </c>
      <c r="AF250" s="1"/>
      <c r="AG250" s="1"/>
      <c r="AH250" s="1" t="s">
        <v>6681</v>
      </c>
      <c r="AI250" s="1"/>
      <c r="AJ250" s="1" t="s">
        <v>4788</v>
      </c>
      <c r="AK250" s="1" t="s">
        <v>4789</v>
      </c>
      <c r="AL250" s="1" t="s">
        <v>4790</v>
      </c>
      <c r="AM250" s="1" t="s">
        <v>4791</v>
      </c>
      <c r="AN250" s="1" t="s">
        <v>4789</v>
      </c>
      <c r="AO250" s="1" t="s">
        <v>4792</v>
      </c>
      <c r="AP250" s="2" t="s">
        <v>6682</v>
      </c>
      <c r="AQ250" s="2" t="s">
        <v>1077</v>
      </c>
      <c r="AR250" s="1" t="s">
        <v>287</v>
      </c>
      <c r="AS250" s="1"/>
      <c r="AT250" s="1" t="s">
        <v>5</v>
      </c>
    </row>
    <row r="251" spans="1:46" hidden="1" x14ac:dyDescent="0.4">
      <c r="A251" s="1" t="s">
        <v>4802</v>
      </c>
      <c r="B251" s="10"/>
      <c r="C251" s="1" t="s">
        <v>2494</v>
      </c>
      <c r="D251" s="1" t="s">
        <v>2157</v>
      </c>
      <c r="E251" s="1" t="s">
        <v>2078</v>
      </c>
      <c r="F251" s="1" t="s">
        <v>14</v>
      </c>
      <c r="G251" s="1" t="s">
        <v>1</v>
      </c>
      <c r="H251" s="1" t="s">
        <v>6</v>
      </c>
      <c r="I251" s="1" t="s">
        <v>2</v>
      </c>
      <c r="J251" s="1" t="s">
        <v>2450</v>
      </c>
      <c r="K251" s="1" t="s">
        <v>4803</v>
      </c>
      <c r="L251" s="1" t="s">
        <v>7</v>
      </c>
      <c r="M251" s="1" t="s">
        <v>8</v>
      </c>
      <c r="N251" s="1" t="s">
        <v>4804</v>
      </c>
      <c r="O251" s="1" t="s">
        <v>4783</v>
      </c>
      <c r="P251" s="1"/>
      <c r="Q251" s="1"/>
      <c r="R251" s="1" t="s">
        <v>11</v>
      </c>
      <c r="S251" s="1"/>
      <c r="T251" s="1"/>
      <c r="U251" s="1"/>
      <c r="V251" s="1"/>
      <c r="W251" s="1"/>
      <c r="X251" s="1" t="s">
        <v>4805</v>
      </c>
      <c r="Y251" s="1"/>
      <c r="Z251" s="1"/>
      <c r="AA251" s="1"/>
      <c r="AB251" s="1" t="s">
        <v>4806</v>
      </c>
      <c r="AC251" s="1"/>
      <c r="AD251" s="1"/>
      <c r="AE251" s="1" t="s">
        <v>4799</v>
      </c>
      <c r="AF251" s="1"/>
      <c r="AG251" s="1"/>
      <c r="AH251" s="1" t="s">
        <v>4807</v>
      </c>
      <c r="AI251" s="1"/>
      <c r="AJ251" s="1" t="s">
        <v>4788</v>
      </c>
      <c r="AK251" s="1" t="s">
        <v>4789</v>
      </c>
      <c r="AL251" s="1" t="s">
        <v>4790</v>
      </c>
      <c r="AM251" s="1" t="s">
        <v>4791</v>
      </c>
      <c r="AN251" s="1" t="s">
        <v>4789</v>
      </c>
      <c r="AO251" s="1" t="s">
        <v>4792</v>
      </c>
      <c r="AP251" s="2" t="s">
        <v>4808</v>
      </c>
      <c r="AQ251" s="2" t="s">
        <v>1153</v>
      </c>
      <c r="AR251" s="1" t="s">
        <v>286</v>
      </c>
      <c r="AS251" s="1"/>
      <c r="AT251" s="1" t="s">
        <v>5</v>
      </c>
    </row>
    <row r="252" spans="1:46" hidden="1" x14ac:dyDescent="0.4">
      <c r="A252" s="1" t="s">
        <v>4780</v>
      </c>
      <c r="B252" s="10"/>
      <c r="C252" s="1" t="s">
        <v>2494</v>
      </c>
      <c r="D252" s="1" t="s">
        <v>2157</v>
      </c>
      <c r="E252" s="1" t="s">
        <v>2078</v>
      </c>
      <c r="F252" s="1" t="s">
        <v>14</v>
      </c>
      <c r="G252" s="1" t="s">
        <v>1</v>
      </c>
      <c r="H252" s="1" t="s">
        <v>6</v>
      </c>
      <c r="I252" s="1" t="s">
        <v>2</v>
      </c>
      <c r="J252" s="1" t="s">
        <v>2450</v>
      </c>
      <c r="K252" s="1" t="s">
        <v>4781</v>
      </c>
      <c r="L252" s="1" t="s">
        <v>7</v>
      </c>
      <c r="M252" s="1" t="s">
        <v>9</v>
      </c>
      <c r="N252" s="1" t="s">
        <v>4782</v>
      </c>
      <c r="O252" s="1" t="s">
        <v>4783</v>
      </c>
      <c r="P252" s="1"/>
      <c r="Q252" s="1"/>
      <c r="R252" s="1" t="s">
        <v>11</v>
      </c>
      <c r="S252" s="1"/>
      <c r="T252" s="1"/>
      <c r="U252" s="1"/>
      <c r="V252" s="1"/>
      <c r="W252" s="1"/>
      <c r="X252" s="1" t="s">
        <v>4784</v>
      </c>
      <c r="Y252" s="1"/>
      <c r="Z252" s="1"/>
      <c r="AA252" s="1"/>
      <c r="AB252" s="1" t="s">
        <v>4785</v>
      </c>
      <c r="AC252" s="1"/>
      <c r="AD252" s="1"/>
      <c r="AE252" s="1" t="s">
        <v>4786</v>
      </c>
      <c r="AF252" s="1"/>
      <c r="AG252" s="1"/>
      <c r="AH252" s="1" t="s">
        <v>4787</v>
      </c>
      <c r="AI252" s="1"/>
      <c r="AJ252" s="1" t="s">
        <v>4788</v>
      </c>
      <c r="AK252" s="1" t="s">
        <v>4789</v>
      </c>
      <c r="AL252" s="1" t="s">
        <v>4790</v>
      </c>
      <c r="AM252" s="1" t="s">
        <v>4791</v>
      </c>
      <c r="AN252" s="1" t="s">
        <v>4789</v>
      </c>
      <c r="AO252" s="1" t="s">
        <v>4792</v>
      </c>
      <c r="AP252" s="2" t="s">
        <v>4793</v>
      </c>
      <c r="AQ252" s="2" t="s">
        <v>1153</v>
      </c>
      <c r="AR252" s="1" t="s">
        <v>286</v>
      </c>
      <c r="AS252" s="1"/>
      <c r="AT252" s="1" t="s">
        <v>5</v>
      </c>
    </row>
    <row r="253" spans="1:46" hidden="1" x14ac:dyDescent="0.4">
      <c r="A253" s="1" t="s">
        <v>4794</v>
      </c>
      <c r="B253" s="10"/>
      <c r="C253" s="1" t="s">
        <v>2494</v>
      </c>
      <c r="D253" s="1" t="s">
        <v>2157</v>
      </c>
      <c r="E253" s="1" t="s">
        <v>2078</v>
      </c>
      <c r="F253" s="1" t="s">
        <v>14</v>
      </c>
      <c r="G253" s="1" t="s">
        <v>1</v>
      </c>
      <c r="H253" s="1" t="s">
        <v>6</v>
      </c>
      <c r="I253" s="1" t="s">
        <v>2</v>
      </c>
      <c r="J253" s="1" t="s">
        <v>2450</v>
      </c>
      <c r="K253" s="1" t="s">
        <v>4795</v>
      </c>
      <c r="L253" s="1" t="s">
        <v>7</v>
      </c>
      <c r="M253" s="1" t="s">
        <v>9</v>
      </c>
      <c r="N253" s="1" t="s">
        <v>4796</v>
      </c>
      <c r="O253" s="1" t="s">
        <v>4783</v>
      </c>
      <c r="P253" s="1"/>
      <c r="Q253" s="1"/>
      <c r="R253" s="1" t="s">
        <v>11</v>
      </c>
      <c r="S253" s="1"/>
      <c r="T253" s="1"/>
      <c r="U253" s="1"/>
      <c r="V253" s="1"/>
      <c r="W253" s="1"/>
      <c r="X253" s="1" t="s">
        <v>4797</v>
      </c>
      <c r="Y253" s="1"/>
      <c r="Z253" s="1"/>
      <c r="AA253" s="1"/>
      <c r="AB253" s="1" t="s">
        <v>4798</v>
      </c>
      <c r="AC253" s="1"/>
      <c r="AD253" s="1"/>
      <c r="AE253" s="1" t="s">
        <v>4799</v>
      </c>
      <c r="AF253" s="1"/>
      <c r="AG253" s="1"/>
      <c r="AH253" s="1" t="s">
        <v>4800</v>
      </c>
      <c r="AI253" s="1"/>
      <c r="AJ253" s="1" t="s">
        <v>4788</v>
      </c>
      <c r="AK253" s="1" t="s">
        <v>4789</v>
      </c>
      <c r="AL253" s="1" t="s">
        <v>4790</v>
      </c>
      <c r="AM253" s="1" t="s">
        <v>4791</v>
      </c>
      <c r="AN253" s="1" t="s">
        <v>4789</v>
      </c>
      <c r="AO253" s="1" t="s">
        <v>4792</v>
      </c>
      <c r="AP253" s="2" t="s">
        <v>4801</v>
      </c>
      <c r="AQ253" s="2" t="s">
        <v>1153</v>
      </c>
      <c r="AR253" s="1" t="s">
        <v>286</v>
      </c>
      <c r="AS253" s="1"/>
      <c r="AT253" s="1" t="s">
        <v>5</v>
      </c>
    </row>
    <row r="254" spans="1:46" hidden="1" x14ac:dyDescent="0.4">
      <c r="A254" s="1" t="s">
        <v>6747</v>
      </c>
      <c r="B254" s="10"/>
      <c r="C254" s="1" t="s">
        <v>2449</v>
      </c>
      <c r="D254" s="1" t="s">
        <v>2396</v>
      </c>
      <c r="E254" s="1" t="s">
        <v>2078</v>
      </c>
      <c r="F254" s="1" t="s">
        <v>14</v>
      </c>
      <c r="G254" s="1" t="s">
        <v>1</v>
      </c>
      <c r="H254" s="1" t="s">
        <v>6</v>
      </c>
      <c r="I254" s="1" t="s">
        <v>2</v>
      </c>
      <c r="J254" s="1" t="s">
        <v>2451</v>
      </c>
      <c r="K254" s="1" t="s">
        <v>6748</v>
      </c>
      <c r="L254" s="1" t="s">
        <v>7</v>
      </c>
      <c r="M254" s="1" t="s">
        <v>9</v>
      </c>
      <c r="N254" s="1" t="s">
        <v>6749</v>
      </c>
      <c r="O254" s="1" t="s">
        <v>6750</v>
      </c>
      <c r="P254" s="1" t="s">
        <v>6751</v>
      </c>
      <c r="Q254" s="1"/>
      <c r="R254" s="1" t="s">
        <v>11</v>
      </c>
      <c r="S254" s="1"/>
      <c r="T254" s="1"/>
      <c r="U254" s="1"/>
      <c r="V254" s="1"/>
      <c r="W254" s="1"/>
      <c r="X254" s="1"/>
      <c r="Y254" s="1"/>
      <c r="Z254" s="1"/>
      <c r="AA254" s="1"/>
      <c r="AB254" s="1" t="s">
        <v>6752</v>
      </c>
      <c r="AC254" s="1"/>
      <c r="AD254" s="1"/>
      <c r="AE254" s="1" t="s">
        <v>6753</v>
      </c>
      <c r="AF254" s="1"/>
      <c r="AG254" s="1"/>
      <c r="AH254" s="1" t="s">
        <v>6754</v>
      </c>
      <c r="AI254" s="1"/>
      <c r="AJ254" s="1" t="s">
        <v>6755</v>
      </c>
      <c r="AK254" s="1" t="s">
        <v>6756</v>
      </c>
      <c r="AL254" s="1" t="s">
        <v>6757</v>
      </c>
      <c r="AM254" s="1" t="s">
        <v>6755</v>
      </c>
      <c r="AN254" s="1" t="s">
        <v>6756</v>
      </c>
      <c r="AO254" s="1" t="s">
        <v>6757</v>
      </c>
      <c r="AP254" s="2" t="s">
        <v>6758</v>
      </c>
      <c r="AQ254" s="2" t="s">
        <v>1077</v>
      </c>
      <c r="AR254" s="1" t="s">
        <v>287</v>
      </c>
      <c r="AS254" s="1"/>
      <c r="AT254" s="1" t="s">
        <v>5</v>
      </c>
    </row>
    <row r="255" spans="1:46" hidden="1" x14ac:dyDescent="0.4">
      <c r="A255" s="1" t="s">
        <v>9112</v>
      </c>
      <c r="B255" s="10"/>
      <c r="C255" s="1" t="s">
        <v>2449</v>
      </c>
      <c r="D255" s="1" t="s">
        <v>2211</v>
      </c>
      <c r="E255" s="1" t="s">
        <v>2078</v>
      </c>
      <c r="F255" s="1" t="s">
        <v>14</v>
      </c>
      <c r="G255" s="1" t="s">
        <v>1</v>
      </c>
      <c r="H255" s="1" t="s">
        <v>6</v>
      </c>
      <c r="I255" s="1" t="s">
        <v>2</v>
      </c>
      <c r="J255" s="1" t="s">
        <v>2451</v>
      </c>
      <c r="K255" s="1" t="s">
        <v>9113</v>
      </c>
      <c r="L255" s="1" t="s">
        <v>7</v>
      </c>
      <c r="M255" s="1" t="s">
        <v>9</v>
      </c>
      <c r="N255" s="1" t="s">
        <v>9114</v>
      </c>
      <c r="O255" s="1" t="s">
        <v>2258</v>
      </c>
      <c r="P255" s="1" t="s">
        <v>2245</v>
      </c>
      <c r="Q255" s="1"/>
      <c r="R255" s="1" t="s">
        <v>11</v>
      </c>
      <c r="S255" s="1"/>
      <c r="T255" s="1"/>
      <c r="U255" s="1"/>
      <c r="V255" s="1"/>
      <c r="W255" s="1"/>
      <c r="X255" s="1" t="s">
        <v>9115</v>
      </c>
      <c r="Y255" s="1"/>
      <c r="Z255" s="1"/>
      <c r="AA255" s="1" t="s">
        <v>9116</v>
      </c>
      <c r="AB255" s="1" t="s">
        <v>9117</v>
      </c>
      <c r="AC255" s="1"/>
      <c r="AD255" s="1"/>
      <c r="AE255" s="1" t="s">
        <v>9118</v>
      </c>
      <c r="AF255" s="1"/>
      <c r="AG255" s="1"/>
      <c r="AH255" s="1" t="s">
        <v>9119</v>
      </c>
      <c r="AI255" s="1"/>
      <c r="AJ255" s="1" t="s">
        <v>6755</v>
      </c>
      <c r="AK255" s="1" t="s">
        <v>6756</v>
      </c>
      <c r="AL255" s="1" t="s">
        <v>6757</v>
      </c>
      <c r="AM255" s="1" t="s">
        <v>6755</v>
      </c>
      <c r="AN255" s="1" t="s">
        <v>6756</v>
      </c>
      <c r="AO255" s="1" t="s">
        <v>6757</v>
      </c>
      <c r="AP255" s="2" t="s">
        <v>9120</v>
      </c>
      <c r="AQ255" s="2" t="s">
        <v>1154</v>
      </c>
      <c r="AR255" s="1" t="s">
        <v>286</v>
      </c>
      <c r="AS255" s="1"/>
      <c r="AT255" s="1" t="s">
        <v>5</v>
      </c>
    </row>
    <row r="256" spans="1:46" hidden="1" x14ac:dyDescent="0.4">
      <c r="A256" s="1" t="s">
        <v>7392</v>
      </c>
      <c r="B256" s="10"/>
      <c r="C256" s="1" t="s">
        <v>93</v>
      </c>
      <c r="D256" s="1" t="s">
        <v>2220</v>
      </c>
      <c r="E256" s="1" t="s">
        <v>2078</v>
      </c>
      <c r="F256" s="1" t="s">
        <v>14</v>
      </c>
      <c r="G256" s="1" t="s">
        <v>1</v>
      </c>
      <c r="H256" s="1" t="s">
        <v>6</v>
      </c>
      <c r="I256" s="1" t="s">
        <v>2</v>
      </c>
      <c r="J256" s="1" t="s">
        <v>3</v>
      </c>
      <c r="K256" s="1" t="s">
        <v>7393</v>
      </c>
      <c r="L256" s="1" t="s">
        <v>7</v>
      </c>
      <c r="M256" s="1"/>
      <c r="N256" s="1" t="s">
        <v>7394</v>
      </c>
      <c r="O256" s="1" t="s">
        <v>7395</v>
      </c>
      <c r="P256" s="1"/>
      <c r="Q256" s="1"/>
      <c r="R256" s="1" t="s">
        <v>11</v>
      </c>
      <c r="S256" s="1"/>
      <c r="T256" s="1"/>
      <c r="U256" s="1"/>
      <c r="V256" s="1"/>
      <c r="W256" s="1" t="s">
        <v>7396</v>
      </c>
      <c r="X256" s="1"/>
      <c r="Y256" s="1"/>
      <c r="Z256" s="1"/>
      <c r="AA256" s="1"/>
      <c r="AB256" s="1" t="s">
        <v>7397</v>
      </c>
      <c r="AC256" s="1"/>
      <c r="AD256" s="1"/>
      <c r="AE256" s="1" t="s">
        <v>7398</v>
      </c>
      <c r="AF256" s="1"/>
      <c r="AG256" s="1"/>
      <c r="AH256" s="1" t="s">
        <v>7399</v>
      </c>
      <c r="AI256" s="1"/>
      <c r="AJ256" s="1" t="s">
        <v>4502</v>
      </c>
      <c r="AK256" s="1" t="s">
        <v>4503</v>
      </c>
      <c r="AL256" s="1" t="s">
        <v>4504</v>
      </c>
      <c r="AM256" s="1" t="s">
        <v>4502</v>
      </c>
      <c r="AN256" s="1" t="s">
        <v>4503</v>
      </c>
      <c r="AO256" s="1" t="s">
        <v>4504</v>
      </c>
      <c r="AP256" s="2" t="s">
        <v>7400</v>
      </c>
      <c r="AQ256" s="2" t="s">
        <v>1077</v>
      </c>
      <c r="AR256" s="1" t="s">
        <v>286</v>
      </c>
      <c r="AS256" s="1"/>
      <c r="AT256" s="1" t="s">
        <v>5</v>
      </c>
    </row>
    <row r="257" spans="1:46" hidden="1" x14ac:dyDescent="0.4">
      <c r="A257" s="1" t="s">
        <v>10030</v>
      </c>
      <c r="B257" s="10"/>
      <c r="C257" s="1" t="s">
        <v>93</v>
      </c>
      <c r="D257" s="1" t="s">
        <v>2211</v>
      </c>
      <c r="E257" s="1" t="s">
        <v>2078</v>
      </c>
      <c r="F257" s="1" t="s">
        <v>14</v>
      </c>
      <c r="G257" s="1" t="s">
        <v>1</v>
      </c>
      <c r="H257" s="1" t="s">
        <v>6</v>
      </c>
      <c r="I257" s="1" t="s">
        <v>2</v>
      </c>
      <c r="J257" s="1" t="s">
        <v>3</v>
      </c>
      <c r="K257" s="1" t="s">
        <v>10031</v>
      </c>
      <c r="L257" s="1" t="s">
        <v>7</v>
      </c>
      <c r="M257" s="1"/>
      <c r="N257" s="1" t="s">
        <v>10032</v>
      </c>
      <c r="O257" s="1" t="s">
        <v>10033</v>
      </c>
      <c r="P257" s="1"/>
      <c r="Q257" s="1"/>
      <c r="R257" s="1" t="s">
        <v>11</v>
      </c>
      <c r="S257" s="1"/>
      <c r="T257" s="1"/>
      <c r="U257" s="1"/>
      <c r="V257" s="1"/>
      <c r="W257" s="1" t="s">
        <v>10034</v>
      </c>
      <c r="X257" s="1"/>
      <c r="Y257" s="1"/>
      <c r="Z257" s="1"/>
      <c r="AA257" s="1"/>
      <c r="AB257" s="1" t="s">
        <v>10035</v>
      </c>
      <c r="AC257" s="1"/>
      <c r="AD257" s="1"/>
      <c r="AE257" s="1" t="s">
        <v>7041</v>
      </c>
      <c r="AF257" s="1"/>
      <c r="AG257" s="1"/>
      <c r="AH257" s="1" t="s">
        <v>10036</v>
      </c>
      <c r="AI257" s="1"/>
      <c r="AJ257" s="1" t="s">
        <v>3932</v>
      </c>
      <c r="AK257" s="1" t="s">
        <v>3933</v>
      </c>
      <c r="AL257" s="1" t="s">
        <v>3934</v>
      </c>
      <c r="AM257" s="1" t="s">
        <v>3932</v>
      </c>
      <c r="AN257" s="1" t="s">
        <v>3933</v>
      </c>
      <c r="AO257" s="1" t="s">
        <v>3934</v>
      </c>
      <c r="AP257" s="2" t="s">
        <v>10037</v>
      </c>
      <c r="AQ257" s="2" t="s">
        <v>1155</v>
      </c>
      <c r="AR257" s="1" t="s">
        <v>286</v>
      </c>
      <c r="AS257" s="1" t="s">
        <v>10038</v>
      </c>
      <c r="AT257" s="1" t="s">
        <v>5</v>
      </c>
    </row>
    <row r="258" spans="1:46" hidden="1" x14ac:dyDescent="0.4">
      <c r="A258" s="1" t="s">
        <v>9691</v>
      </c>
      <c r="B258" s="10"/>
      <c r="C258" s="1" t="s">
        <v>0</v>
      </c>
      <c r="D258" s="1" t="s">
        <v>2157</v>
      </c>
      <c r="E258" s="1" t="s">
        <v>2078</v>
      </c>
      <c r="F258" s="1" t="s">
        <v>14</v>
      </c>
      <c r="G258" s="1" t="s">
        <v>1</v>
      </c>
      <c r="H258" s="1" t="s">
        <v>6</v>
      </c>
      <c r="I258" s="1" t="s">
        <v>2</v>
      </c>
      <c r="J258" s="1" t="s">
        <v>3</v>
      </c>
      <c r="K258" s="1" t="s">
        <v>9692</v>
      </c>
      <c r="L258" s="1" t="s">
        <v>7</v>
      </c>
      <c r="M258" s="1" t="s">
        <v>9</v>
      </c>
      <c r="N258" s="1" t="s">
        <v>9693</v>
      </c>
      <c r="O258" s="1" t="s">
        <v>9694</v>
      </c>
      <c r="P258" s="1"/>
      <c r="Q258" s="1"/>
      <c r="R258" s="1" t="s">
        <v>11</v>
      </c>
      <c r="S258" s="1"/>
      <c r="T258" s="1"/>
      <c r="U258" s="1"/>
      <c r="V258" s="1"/>
      <c r="W258" s="1" t="s">
        <v>9695</v>
      </c>
      <c r="X258" s="1"/>
      <c r="Y258" s="1"/>
      <c r="Z258" s="1"/>
      <c r="AA258" s="1"/>
      <c r="AB258" s="1" t="s">
        <v>9696</v>
      </c>
      <c r="AC258" s="1"/>
      <c r="AD258" s="1"/>
      <c r="AE258" s="1" t="s">
        <v>9697</v>
      </c>
      <c r="AF258" s="1"/>
      <c r="AG258" s="1"/>
      <c r="AH258" s="1" t="s">
        <v>9698</v>
      </c>
      <c r="AI258" s="1"/>
      <c r="AJ258" s="1" t="s">
        <v>9699</v>
      </c>
      <c r="AK258" s="1" t="s">
        <v>9700</v>
      </c>
      <c r="AL258" s="1" t="s">
        <v>9701</v>
      </c>
      <c r="AM258" s="1" t="s">
        <v>9702</v>
      </c>
      <c r="AN258" s="1" t="s">
        <v>9700</v>
      </c>
      <c r="AO258" s="1" t="s">
        <v>9703</v>
      </c>
      <c r="AP258" s="2" t="s">
        <v>9704</v>
      </c>
      <c r="AQ258" s="2" t="s">
        <v>1155</v>
      </c>
      <c r="AR258" s="1" t="s">
        <v>286</v>
      </c>
      <c r="AS258" s="1"/>
      <c r="AT258" s="1" t="s">
        <v>5</v>
      </c>
    </row>
    <row r="259" spans="1:46" hidden="1" x14ac:dyDescent="0.4">
      <c r="A259" s="1" t="s">
        <v>5740</v>
      </c>
      <c r="B259" s="10"/>
      <c r="C259" s="1" t="s">
        <v>2491</v>
      </c>
      <c r="D259" s="1" t="s">
        <v>2076</v>
      </c>
      <c r="E259" s="1" t="s">
        <v>2078</v>
      </c>
      <c r="F259" s="1" t="s">
        <v>14</v>
      </c>
      <c r="G259" s="1" t="s">
        <v>1</v>
      </c>
      <c r="H259" s="1" t="s">
        <v>6</v>
      </c>
      <c r="I259" s="1" t="s">
        <v>2</v>
      </c>
      <c r="J259" s="1" t="s">
        <v>2492</v>
      </c>
      <c r="K259" s="1" t="s">
        <v>5741</v>
      </c>
      <c r="L259" s="1" t="s">
        <v>4</v>
      </c>
      <c r="M259" s="1"/>
      <c r="N259" s="1" t="s">
        <v>5742</v>
      </c>
      <c r="O259" s="1" t="s">
        <v>2238</v>
      </c>
      <c r="P259" s="1"/>
      <c r="Q259" s="1"/>
      <c r="R259" s="1" t="s">
        <v>11</v>
      </c>
      <c r="S259" s="1"/>
      <c r="T259" s="1"/>
      <c r="U259" s="1"/>
      <c r="V259" s="1"/>
      <c r="W259" s="1"/>
      <c r="X259" s="1" t="s">
        <v>5743</v>
      </c>
      <c r="Y259" s="1"/>
      <c r="Z259" s="1"/>
      <c r="AA259" s="1"/>
      <c r="AB259" s="1" t="s">
        <v>5744</v>
      </c>
      <c r="AC259" s="1"/>
      <c r="AD259" s="1"/>
      <c r="AE259" s="1" t="s">
        <v>5745</v>
      </c>
      <c r="AF259" s="1"/>
      <c r="AG259" s="1"/>
      <c r="AH259" s="1" t="s">
        <v>5746</v>
      </c>
      <c r="AI259" s="1"/>
      <c r="AJ259" s="1" t="s">
        <v>5747</v>
      </c>
      <c r="AK259" s="1" t="s">
        <v>3494</v>
      </c>
      <c r="AL259" s="1" t="s">
        <v>5748</v>
      </c>
      <c r="AM259" s="1" t="s">
        <v>5749</v>
      </c>
      <c r="AN259" s="1" t="s">
        <v>3494</v>
      </c>
      <c r="AO259" s="1" t="s">
        <v>5750</v>
      </c>
      <c r="AP259" s="2" t="s">
        <v>5751</v>
      </c>
      <c r="AQ259" s="2" t="s">
        <v>1077</v>
      </c>
      <c r="AR259" s="1" t="s">
        <v>286</v>
      </c>
      <c r="AS259" s="1"/>
      <c r="AT259" s="1" t="s">
        <v>5</v>
      </c>
    </row>
    <row r="260" spans="1:46" hidden="1" x14ac:dyDescent="0.4">
      <c r="A260" s="1" t="s">
        <v>8388</v>
      </c>
      <c r="B260" s="10"/>
      <c r="C260" s="1" t="s">
        <v>93</v>
      </c>
      <c r="D260" s="1" t="s">
        <v>2211</v>
      </c>
      <c r="E260" s="1" t="s">
        <v>2078</v>
      </c>
      <c r="F260" s="1" t="s">
        <v>14</v>
      </c>
      <c r="G260" s="1" t="s">
        <v>1</v>
      </c>
      <c r="H260" s="1" t="s">
        <v>6</v>
      </c>
      <c r="I260" s="1" t="s">
        <v>2</v>
      </c>
      <c r="J260" s="1" t="s">
        <v>3</v>
      </c>
      <c r="K260" s="1" t="s">
        <v>8389</v>
      </c>
      <c r="L260" s="1" t="s">
        <v>7</v>
      </c>
      <c r="M260" s="1"/>
      <c r="N260" s="1" t="s">
        <v>8390</v>
      </c>
      <c r="O260" s="1" t="s">
        <v>6241</v>
      </c>
      <c r="P260" s="1"/>
      <c r="Q260" s="1"/>
      <c r="R260" s="1" t="s">
        <v>11</v>
      </c>
      <c r="S260" s="1"/>
      <c r="T260" s="1"/>
      <c r="U260" s="1"/>
      <c r="V260" s="1"/>
      <c r="W260" s="1"/>
      <c r="X260" s="1" t="s">
        <v>8391</v>
      </c>
      <c r="Y260" s="1"/>
      <c r="Z260" s="1"/>
      <c r="AA260" s="1"/>
      <c r="AB260" s="1" t="s">
        <v>8392</v>
      </c>
      <c r="AC260" s="1"/>
      <c r="AD260" s="1"/>
      <c r="AE260" s="1" t="s">
        <v>8393</v>
      </c>
      <c r="AF260" s="1"/>
      <c r="AG260" s="1"/>
      <c r="AH260" s="1" t="s">
        <v>8394</v>
      </c>
      <c r="AI260" s="1"/>
      <c r="AJ260" s="1" t="s">
        <v>8395</v>
      </c>
      <c r="AK260" s="1" t="s">
        <v>8396</v>
      </c>
      <c r="AL260" s="1" t="s">
        <v>8397</v>
      </c>
      <c r="AM260" s="1" t="s">
        <v>8395</v>
      </c>
      <c r="AN260" s="1" t="s">
        <v>8396</v>
      </c>
      <c r="AO260" s="1" t="s">
        <v>8397</v>
      </c>
      <c r="AP260" s="2" t="s">
        <v>8398</v>
      </c>
      <c r="AQ260" s="2" t="s">
        <v>1154</v>
      </c>
      <c r="AR260" s="1" t="s">
        <v>286</v>
      </c>
      <c r="AS260" s="1" t="s">
        <v>8399</v>
      </c>
      <c r="AT260" s="1" t="s">
        <v>5</v>
      </c>
    </row>
    <row r="261" spans="1:46" hidden="1" x14ac:dyDescent="0.4">
      <c r="A261" s="1" t="s">
        <v>2095</v>
      </c>
      <c r="B261" s="10"/>
      <c r="C261" s="1" t="s">
        <v>0</v>
      </c>
      <c r="D261" s="1" t="s">
        <v>2076</v>
      </c>
      <c r="E261" s="1" t="s">
        <v>2078</v>
      </c>
      <c r="F261" s="1" t="s">
        <v>14</v>
      </c>
      <c r="G261" s="1" t="s">
        <v>1</v>
      </c>
      <c r="H261" s="1" t="s">
        <v>6</v>
      </c>
      <c r="I261" s="1" t="s">
        <v>2</v>
      </c>
      <c r="J261" s="1" t="s">
        <v>3</v>
      </c>
      <c r="K261" s="1" t="s">
        <v>2096</v>
      </c>
      <c r="L261" s="1" t="s">
        <v>7</v>
      </c>
      <c r="M261" s="1" t="s">
        <v>9</v>
      </c>
      <c r="N261" s="1" t="s">
        <v>10487</v>
      </c>
      <c r="O261" s="1" t="s">
        <v>2238</v>
      </c>
      <c r="P261" s="1"/>
      <c r="Q261" s="1"/>
      <c r="R261" s="1" t="s">
        <v>11</v>
      </c>
      <c r="S261" s="1"/>
      <c r="T261" s="1"/>
      <c r="U261" s="1"/>
      <c r="V261" s="1"/>
      <c r="W261" s="1"/>
      <c r="X261" s="1" t="s">
        <v>10488</v>
      </c>
      <c r="Y261" s="1"/>
      <c r="Z261" s="1"/>
      <c r="AA261" s="1"/>
      <c r="AB261" s="1" t="s">
        <v>10489</v>
      </c>
      <c r="AC261" s="1"/>
      <c r="AD261" s="1"/>
      <c r="AE261" s="1" t="s">
        <v>2098</v>
      </c>
      <c r="AF261" s="1"/>
      <c r="AG261" s="1"/>
      <c r="AH261" s="1" t="s">
        <v>10490</v>
      </c>
      <c r="AI261" s="1"/>
      <c r="AJ261" s="1" t="s">
        <v>2097</v>
      </c>
      <c r="AK261" s="1" t="s">
        <v>511</v>
      </c>
      <c r="AL261" s="1" t="s">
        <v>10482</v>
      </c>
      <c r="AM261" s="1" t="s">
        <v>10491</v>
      </c>
      <c r="AN261" s="1" t="s">
        <v>511</v>
      </c>
      <c r="AO261" s="1" t="s">
        <v>10492</v>
      </c>
      <c r="AP261" s="2" t="s">
        <v>10493</v>
      </c>
      <c r="AQ261" s="2" t="s">
        <v>1155</v>
      </c>
      <c r="AR261" s="1" t="s">
        <v>286</v>
      </c>
      <c r="AS261" s="1" t="s">
        <v>970</v>
      </c>
      <c r="AT261" s="1" t="s">
        <v>5</v>
      </c>
    </row>
    <row r="262" spans="1:46" hidden="1" x14ac:dyDescent="0.4">
      <c r="A262" s="1" t="s">
        <v>2075</v>
      </c>
      <c r="B262" s="10"/>
      <c r="C262" s="1" t="s">
        <v>0</v>
      </c>
      <c r="D262" s="1" t="s">
        <v>2076</v>
      </c>
      <c r="E262" s="1" t="s">
        <v>2078</v>
      </c>
      <c r="F262" s="1" t="s">
        <v>14</v>
      </c>
      <c r="G262" s="1" t="s">
        <v>1</v>
      </c>
      <c r="H262" s="1" t="s">
        <v>6</v>
      </c>
      <c r="I262" s="1" t="s">
        <v>2</v>
      </c>
      <c r="J262" s="1" t="s">
        <v>3</v>
      </c>
      <c r="K262" s="1" t="s">
        <v>2077</v>
      </c>
      <c r="L262" s="1" t="s">
        <v>4</v>
      </c>
      <c r="M262" s="1" t="s">
        <v>9</v>
      </c>
      <c r="N262" s="1" t="s">
        <v>9895</v>
      </c>
      <c r="O262" s="1" t="s">
        <v>6241</v>
      </c>
      <c r="P262" s="1" t="s">
        <v>9896</v>
      </c>
      <c r="Q262" s="1"/>
      <c r="R262" s="1" t="s">
        <v>11</v>
      </c>
      <c r="S262" s="1"/>
      <c r="T262" s="1"/>
      <c r="U262" s="1"/>
      <c r="V262" s="1"/>
      <c r="W262" s="1" t="s">
        <v>8779</v>
      </c>
      <c r="X262" s="1" t="s">
        <v>9897</v>
      </c>
      <c r="Y262" s="1"/>
      <c r="Z262" s="1"/>
      <c r="AA262" s="1"/>
      <c r="AB262" s="1" t="s">
        <v>9898</v>
      </c>
      <c r="AC262" s="1"/>
      <c r="AD262" s="1"/>
      <c r="AE262" s="1" t="s">
        <v>2079</v>
      </c>
      <c r="AF262" s="1"/>
      <c r="AG262" s="1"/>
      <c r="AH262" s="1" t="s">
        <v>9899</v>
      </c>
      <c r="AI262" s="1"/>
      <c r="AJ262" s="1" t="s">
        <v>59</v>
      </c>
      <c r="AK262" s="1" t="s">
        <v>598</v>
      </c>
      <c r="AL262" s="1" t="s">
        <v>126</v>
      </c>
      <c r="AM262" s="1" t="s">
        <v>8783</v>
      </c>
      <c r="AN262" s="1" t="s">
        <v>598</v>
      </c>
      <c r="AO262" s="1" t="s">
        <v>8784</v>
      </c>
      <c r="AP262" s="2" t="s">
        <v>9900</v>
      </c>
      <c r="AQ262" s="2" t="s">
        <v>1155</v>
      </c>
      <c r="AR262" s="1" t="s">
        <v>286</v>
      </c>
      <c r="AS262" s="1" t="s">
        <v>9901</v>
      </c>
      <c r="AT262" s="1" t="s">
        <v>5</v>
      </c>
    </row>
    <row r="263" spans="1:46" hidden="1" x14ac:dyDescent="0.4">
      <c r="A263" s="1" t="s">
        <v>6238</v>
      </c>
      <c r="B263" s="10"/>
      <c r="C263" s="1" t="s">
        <v>0</v>
      </c>
      <c r="D263" s="1" t="s">
        <v>2827</v>
      </c>
      <c r="E263" s="1" t="s">
        <v>2078</v>
      </c>
      <c r="F263" s="1" t="s">
        <v>14</v>
      </c>
      <c r="G263" s="1" t="s">
        <v>1</v>
      </c>
      <c r="H263" s="1" t="s">
        <v>6</v>
      </c>
      <c r="I263" s="1" t="s">
        <v>2</v>
      </c>
      <c r="J263" s="1" t="s">
        <v>3</v>
      </c>
      <c r="K263" s="1" t="s">
        <v>6239</v>
      </c>
      <c r="L263" s="1" t="s">
        <v>7</v>
      </c>
      <c r="M263" s="1" t="s">
        <v>9</v>
      </c>
      <c r="N263" s="1" t="s">
        <v>6240</v>
      </c>
      <c r="O263" s="1" t="s">
        <v>6241</v>
      </c>
      <c r="P263" s="1"/>
      <c r="Q263" s="1"/>
      <c r="R263" s="1" t="s">
        <v>11</v>
      </c>
      <c r="S263" s="1"/>
      <c r="T263" s="1"/>
      <c r="U263" s="1"/>
      <c r="V263" s="1"/>
      <c r="W263" s="1"/>
      <c r="X263" s="1"/>
      <c r="Y263" s="1"/>
      <c r="Z263" s="1"/>
      <c r="AA263" s="1"/>
      <c r="AB263" s="1" t="s">
        <v>6242</v>
      </c>
      <c r="AC263" s="1"/>
      <c r="AD263" s="1"/>
      <c r="AE263" s="1" t="s">
        <v>2079</v>
      </c>
      <c r="AF263" s="1"/>
      <c r="AG263" s="1"/>
      <c r="AH263" s="1" t="s">
        <v>6243</v>
      </c>
      <c r="AI263" s="1"/>
      <c r="AJ263" s="1" t="s">
        <v>277</v>
      </c>
      <c r="AK263" s="1" t="s">
        <v>569</v>
      </c>
      <c r="AL263" s="1" t="s">
        <v>278</v>
      </c>
      <c r="AM263" s="1" t="s">
        <v>2059</v>
      </c>
      <c r="AN263" s="1" t="s">
        <v>569</v>
      </c>
      <c r="AO263" s="1" t="s">
        <v>2060</v>
      </c>
      <c r="AP263" s="2" t="s">
        <v>6244</v>
      </c>
      <c r="AQ263" s="2" t="s">
        <v>1077</v>
      </c>
      <c r="AR263" s="1" t="s">
        <v>286</v>
      </c>
      <c r="AS263" s="1"/>
      <c r="AT263" s="1" t="s">
        <v>5</v>
      </c>
    </row>
    <row r="264" spans="1:46" hidden="1" x14ac:dyDescent="0.4">
      <c r="A264" s="1" t="s">
        <v>11306</v>
      </c>
      <c r="B264" s="10"/>
      <c r="C264" s="1" t="s">
        <v>3626</v>
      </c>
      <c r="D264" s="1" t="s">
        <v>2220</v>
      </c>
      <c r="E264" s="1" t="s">
        <v>2078</v>
      </c>
      <c r="F264" s="1" t="s">
        <v>14</v>
      </c>
      <c r="G264" s="1" t="s">
        <v>1</v>
      </c>
      <c r="H264" s="1" t="s">
        <v>6</v>
      </c>
      <c r="I264" s="1" t="s">
        <v>2</v>
      </c>
      <c r="J264" s="1" t="s">
        <v>3514</v>
      </c>
      <c r="K264" s="1" t="s">
        <v>11307</v>
      </c>
      <c r="L264" s="1" t="s">
        <v>7</v>
      </c>
      <c r="M264" s="1"/>
      <c r="N264" s="1" t="s">
        <v>11308</v>
      </c>
      <c r="O264" s="1" t="s">
        <v>11309</v>
      </c>
      <c r="P264" s="1"/>
      <c r="Q264" s="1"/>
      <c r="R264" s="1" t="s">
        <v>11</v>
      </c>
      <c r="S264" s="1"/>
      <c r="T264" s="1"/>
      <c r="U264" s="1"/>
      <c r="V264" s="1"/>
      <c r="W264" s="1" t="s">
        <v>11310</v>
      </c>
      <c r="X264" s="1"/>
      <c r="Y264" s="1"/>
      <c r="Z264" s="1"/>
      <c r="AA264" s="1"/>
      <c r="AB264" s="1" t="s">
        <v>11311</v>
      </c>
      <c r="AC264" s="1"/>
      <c r="AD264" s="1"/>
      <c r="AE264" s="1"/>
      <c r="AF264" s="1"/>
      <c r="AG264" s="1"/>
      <c r="AH264" s="1" t="s">
        <v>11312</v>
      </c>
      <c r="AI264" s="1"/>
      <c r="AJ264" s="1" t="s">
        <v>5313</v>
      </c>
      <c r="AK264" s="1" t="s">
        <v>11313</v>
      </c>
      <c r="AL264" s="1" t="s">
        <v>5315</v>
      </c>
      <c r="AM264" s="1" t="s">
        <v>5313</v>
      </c>
      <c r="AN264" s="1" t="s">
        <v>11313</v>
      </c>
      <c r="AO264" s="1" t="s">
        <v>5315</v>
      </c>
      <c r="AP264" s="2" t="s">
        <v>11314</v>
      </c>
      <c r="AQ264" s="2" t="s">
        <v>1155</v>
      </c>
      <c r="AR264" s="1" t="s">
        <v>286</v>
      </c>
      <c r="AS264" s="1" t="s">
        <v>1068</v>
      </c>
      <c r="AT264" s="1" t="s">
        <v>5</v>
      </c>
    </row>
    <row r="265" spans="1:46" hidden="1" x14ac:dyDescent="0.4">
      <c r="A265" s="1" t="s">
        <v>11393</v>
      </c>
      <c r="B265" s="10"/>
      <c r="C265" s="1" t="s">
        <v>0</v>
      </c>
      <c r="D265" s="1" t="s">
        <v>2157</v>
      </c>
      <c r="E265" s="1" t="s">
        <v>2078</v>
      </c>
      <c r="F265" s="1" t="s">
        <v>14</v>
      </c>
      <c r="G265" s="1" t="s">
        <v>1</v>
      </c>
      <c r="H265" s="1" t="s">
        <v>6</v>
      </c>
      <c r="I265" s="1" t="s">
        <v>2</v>
      </c>
      <c r="J265" s="1" t="s">
        <v>3</v>
      </c>
      <c r="K265" s="1" t="s">
        <v>11394</v>
      </c>
      <c r="L265" s="1" t="s">
        <v>7</v>
      </c>
      <c r="M265" s="1" t="s">
        <v>9</v>
      </c>
      <c r="N265" s="1" t="s">
        <v>11395</v>
      </c>
      <c r="O265" s="1" t="s">
        <v>5542</v>
      </c>
      <c r="P265" s="1"/>
      <c r="Q265" s="1"/>
      <c r="R265" s="1" t="s">
        <v>11</v>
      </c>
      <c r="S265" s="1"/>
      <c r="T265" s="1"/>
      <c r="U265" s="1"/>
      <c r="V265" s="1"/>
      <c r="W265" s="1"/>
      <c r="X265" s="1" t="s">
        <v>11396</v>
      </c>
      <c r="Y265" s="1"/>
      <c r="Z265" s="1"/>
      <c r="AA265" s="1"/>
      <c r="AB265" s="1" t="s">
        <v>11397</v>
      </c>
      <c r="AC265" s="1"/>
      <c r="AD265" s="1"/>
      <c r="AE265" s="1" t="s">
        <v>11398</v>
      </c>
      <c r="AF265" s="1"/>
      <c r="AG265" s="1"/>
      <c r="AH265" s="1" t="s">
        <v>11399</v>
      </c>
      <c r="AI265" s="1"/>
      <c r="AJ265" s="1" t="s">
        <v>6411</v>
      </c>
      <c r="AK265" s="1" t="s">
        <v>6412</v>
      </c>
      <c r="AL265" s="1" t="s">
        <v>6413</v>
      </c>
      <c r="AM265" s="1" t="s">
        <v>6414</v>
      </c>
      <c r="AN265" s="1" t="s">
        <v>6412</v>
      </c>
      <c r="AO265" s="1" t="s">
        <v>6415</v>
      </c>
      <c r="AP265" s="2" t="s">
        <v>11400</v>
      </c>
      <c r="AQ265" s="2" t="s">
        <v>1155</v>
      </c>
      <c r="AR265" s="1" t="s">
        <v>286</v>
      </c>
      <c r="AS265" s="1" t="s">
        <v>11401</v>
      </c>
      <c r="AT265" s="1" t="s">
        <v>5</v>
      </c>
    </row>
    <row r="266" spans="1:46" hidden="1" x14ac:dyDescent="0.4">
      <c r="A266" s="1" t="s">
        <v>3668</v>
      </c>
      <c r="B266" s="10"/>
      <c r="C266" s="1" t="s">
        <v>2494</v>
      </c>
      <c r="D266" s="1" t="s">
        <v>2157</v>
      </c>
      <c r="E266" s="1" t="s">
        <v>2078</v>
      </c>
      <c r="F266" s="1" t="s">
        <v>14</v>
      </c>
      <c r="G266" s="1" t="s">
        <v>1</v>
      </c>
      <c r="H266" s="1" t="s">
        <v>6</v>
      </c>
      <c r="I266" s="1" t="s">
        <v>2</v>
      </c>
      <c r="J266" s="1" t="s">
        <v>2450</v>
      </c>
      <c r="K266" s="1" t="s">
        <v>3669</v>
      </c>
      <c r="L266" s="1" t="s">
        <v>7</v>
      </c>
      <c r="M266" s="1" t="s">
        <v>9</v>
      </c>
      <c r="N266" s="1" t="s">
        <v>3652</v>
      </c>
      <c r="O266" s="1" t="s">
        <v>3653</v>
      </c>
      <c r="P266" s="1"/>
      <c r="Q266" s="1"/>
      <c r="R266" s="1" t="s">
        <v>11</v>
      </c>
      <c r="S266" s="1"/>
      <c r="T266" s="1"/>
      <c r="U266" s="1"/>
      <c r="V266" s="1"/>
      <c r="W266" s="1" t="s">
        <v>3670</v>
      </c>
      <c r="X266" s="1"/>
      <c r="Y266" s="1"/>
      <c r="Z266" s="1"/>
      <c r="AA266" s="1" t="s">
        <v>3671</v>
      </c>
      <c r="AB266" s="1" t="s">
        <v>3672</v>
      </c>
      <c r="AC266" s="1"/>
      <c r="AD266" s="1"/>
      <c r="AE266" s="1" t="s">
        <v>3658</v>
      </c>
      <c r="AF266" s="1"/>
      <c r="AG266" s="1"/>
      <c r="AH266" s="1" t="s">
        <v>3673</v>
      </c>
      <c r="AI266" s="1"/>
      <c r="AJ266" s="1" t="s">
        <v>3661</v>
      </c>
      <c r="AK266" s="1" t="s">
        <v>3662</v>
      </c>
      <c r="AL266" s="1" t="s">
        <v>3663</v>
      </c>
      <c r="AM266" s="1" t="s">
        <v>3664</v>
      </c>
      <c r="AN266" s="1" t="s">
        <v>3665</v>
      </c>
      <c r="AO266" s="1" t="s">
        <v>3666</v>
      </c>
      <c r="AP266" s="2" t="s">
        <v>3674</v>
      </c>
      <c r="AQ266" s="2" t="s">
        <v>1153</v>
      </c>
      <c r="AR266" s="1" t="s">
        <v>287</v>
      </c>
      <c r="AS266" s="1"/>
      <c r="AT266" s="1" t="s">
        <v>5</v>
      </c>
    </row>
    <row r="267" spans="1:46" hidden="1" x14ac:dyDescent="0.4">
      <c r="A267" s="1" t="s">
        <v>6524</v>
      </c>
      <c r="B267" s="10"/>
      <c r="C267" s="1" t="s">
        <v>2454</v>
      </c>
      <c r="D267" s="1" t="s">
        <v>2157</v>
      </c>
      <c r="E267" s="1" t="s">
        <v>2078</v>
      </c>
      <c r="F267" s="1" t="s">
        <v>14</v>
      </c>
      <c r="G267" s="1" t="s">
        <v>1</v>
      </c>
      <c r="H267" s="1" t="s">
        <v>6</v>
      </c>
      <c r="I267" s="1" t="s">
        <v>2</v>
      </c>
      <c r="J267" s="1" t="s">
        <v>3676</v>
      </c>
      <c r="K267" s="1" t="s">
        <v>6525</v>
      </c>
      <c r="L267" s="1" t="s">
        <v>7</v>
      </c>
      <c r="M267" s="1"/>
      <c r="N267" s="1" t="s">
        <v>6526</v>
      </c>
      <c r="O267" s="1" t="s">
        <v>6527</v>
      </c>
      <c r="P267" s="1"/>
      <c r="Q267" s="1"/>
      <c r="R267" s="1" t="s">
        <v>11</v>
      </c>
      <c r="S267" s="1"/>
      <c r="T267" s="1"/>
      <c r="U267" s="1"/>
      <c r="V267" s="1"/>
      <c r="W267" s="1" t="s">
        <v>6528</v>
      </c>
      <c r="X267" s="1" t="s">
        <v>6529</v>
      </c>
      <c r="Y267" s="1"/>
      <c r="Z267" s="1"/>
      <c r="AA267" s="1"/>
      <c r="AB267" s="1" t="s">
        <v>6530</v>
      </c>
      <c r="AC267" s="1"/>
      <c r="AD267" s="1"/>
      <c r="AE267" s="1" t="s">
        <v>6531</v>
      </c>
      <c r="AF267" s="1"/>
      <c r="AG267" s="1"/>
      <c r="AH267" s="1" t="s">
        <v>6532</v>
      </c>
      <c r="AI267" s="1"/>
      <c r="AJ267" s="1" t="s">
        <v>3682</v>
      </c>
      <c r="AK267" s="1" t="s">
        <v>3106</v>
      </c>
      <c r="AL267" s="1" t="s">
        <v>3683</v>
      </c>
      <c r="AM267" s="1" t="s">
        <v>3682</v>
      </c>
      <c r="AN267" s="1" t="s">
        <v>3106</v>
      </c>
      <c r="AO267" s="1" t="s">
        <v>3683</v>
      </c>
      <c r="AP267" s="2" t="s">
        <v>6533</v>
      </c>
      <c r="AQ267" s="2" t="s">
        <v>1077</v>
      </c>
      <c r="AR267" s="1" t="s">
        <v>287</v>
      </c>
      <c r="AS267" s="1"/>
      <c r="AT267" s="1" t="s">
        <v>5</v>
      </c>
    </row>
    <row r="268" spans="1:46" hidden="1" x14ac:dyDescent="0.4">
      <c r="A268" s="1" t="s">
        <v>6542</v>
      </c>
      <c r="B268" s="10"/>
      <c r="C268" s="1" t="s">
        <v>2454</v>
      </c>
      <c r="D268" s="1" t="s">
        <v>2220</v>
      </c>
      <c r="E268" s="1" t="s">
        <v>2078</v>
      </c>
      <c r="F268" s="1" t="s">
        <v>14</v>
      </c>
      <c r="G268" s="1" t="s">
        <v>1</v>
      </c>
      <c r="H268" s="1" t="s">
        <v>6</v>
      </c>
      <c r="I268" s="1" t="s">
        <v>2</v>
      </c>
      <c r="J268" s="1" t="s">
        <v>3676</v>
      </c>
      <c r="K268" s="1" t="s">
        <v>6543</v>
      </c>
      <c r="L268" s="1" t="s">
        <v>4</v>
      </c>
      <c r="M268" s="1"/>
      <c r="N268" s="1" t="s">
        <v>6544</v>
      </c>
      <c r="O268" s="1" t="s">
        <v>6527</v>
      </c>
      <c r="P268" s="1"/>
      <c r="Q268" s="1"/>
      <c r="R268" s="1" t="s">
        <v>11</v>
      </c>
      <c r="S268" s="1"/>
      <c r="T268" s="1"/>
      <c r="U268" s="1"/>
      <c r="V268" s="1"/>
      <c r="W268" s="1" t="s">
        <v>6545</v>
      </c>
      <c r="X268" s="1" t="s">
        <v>6529</v>
      </c>
      <c r="Y268" s="1"/>
      <c r="Z268" s="1"/>
      <c r="AA268" s="1"/>
      <c r="AB268" s="1" t="s">
        <v>6546</v>
      </c>
      <c r="AC268" s="1"/>
      <c r="AD268" s="1"/>
      <c r="AE268" s="1" t="s">
        <v>6531</v>
      </c>
      <c r="AF268" s="1"/>
      <c r="AG268" s="1"/>
      <c r="AH268" s="1" t="s">
        <v>6547</v>
      </c>
      <c r="AI268" s="1"/>
      <c r="AJ268" s="1" t="s">
        <v>3682</v>
      </c>
      <c r="AK268" s="1" t="s">
        <v>3106</v>
      </c>
      <c r="AL268" s="1" t="s">
        <v>3683</v>
      </c>
      <c r="AM268" s="1" t="s">
        <v>3682</v>
      </c>
      <c r="AN268" s="1" t="s">
        <v>3106</v>
      </c>
      <c r="AO268" s="1" t="s">
        <v>3683</v>
      </c>
      <c r="AP268" s="2" t="s">
        <v>6548</v>
      </c>
      <c r="AQ268" s="2" t="s">
        <v>1077</v>
      </c>
      <c r="AR268" s="1" t="s">
        <v>287</v>
      </c>
      <c r="AS268" s="1"/>
      <c r="AT268" s="1" t="s">
        <v>5</v>
      </c>
    </row>
    <row r="269" spans="1:46" hidden="1" x14ac:dyDescent="0.4">
      <c r="A269" s="1" t="s">
        <v>6534</v>
      </c>
      <c r="B269" s="10"/>
      <c r="C269" s="1" t="s">
        <v>2454</v>
      </c>
      <c r="D269" s="1" t="s">
        <v>2157</v>
      </c>
      <c r="E269" s="1" t="s">
        <v>2078</v>
      </c>
      <c r="F269" s="1" t="s">
        <v>14</v>
      </c>
      <c r="G269" s="1" t="s">
        <v>1</v>
      </c>
      <c r="H269" s="1" t="s">
        <v>6</v>
      </c>
      <c r="I269" s="1" t="s">
        <v>2</v>
      </c>
      <c r="J269" s="1" t="s">
        <v>3676</v>
      </c>
      <c r="K269" s="1" t="s">
        <v>6535</v>
      </c>
      <c r="L269" s="1" t="s">
        <v>7</v>
      </c>
      <c r="M269" s="1"/>
      <c r="N269" s="1" t="s">
        <v>6536</v>
      </c>
      <c r="O269" s="1" t="s">
        <v>6527</v>
      </c>
      <c r="P269" s="1"/>
      <c r="Q269" s="1"/>
      <c r="R269" s="1" t="s">
        <v>11</v>
      </c>
      <c r="S269" s="1"/>
      <c r="T269" s="1"/>
      <c r="U269" s="1"/>
      <c r="V269" s="1"/>
      <c r="W269" s="1" t="s">
        <v>6537</v>
      </c>
      <c r="X269" s="1" t="s">
        <v>6529</v>
      </c>
      <c r="Y269" s="1"/>
      <c r="Z269" s="1"/>
      <c r="AA269" s="1"/>
      <c r="AB269" s="1" t="s">
        <v>6538</v>
      </c>
      <c r="AC269" s="1"/>
      <c r="AD269" s="1"/>
      <c r="AE269" s="1" t="s">
        <v>6539</v>
      </c>
      <c r="AF269" s="1"/>
      <c r="AG269" s="1"/>
      <c r="AH269" s="1" t="s">
        <v>6540</v>
      </c>
      <c r="AI269" s="1"/>
      <c r="AJ269" s="1" t="s">
        <v>3682</v>
      </c>
      <c r="AK269" s="1" t="s">
        <v>3106</v>
      </c>
      <c r="AL269" s="1" t="s">
        <v>3683</v>
      </c>
      <c r="AM269" s="1" t="s">
        <v>3682</v>
      </c>
      <c r="AN269" s="1" t="s">
        <v>3106</v>
      </c>
      <c r="AO269" s="1" t="s">
        <v>3683</v>
      </c>
      <c r="AP269" s="2" t="s">
        <v>6541</v>
      </c>
      <c r="AQ269" s="2" t="s">
        <v>1077</v>
      </c>
      <c r="AR269" s="1" t="s">
        <v>287</v>
      </c>
      <c r="AS269" s="1"/>
      <c r="AT269" s="1" t="s">
        <v>5</v>
      </c>
    </row>
    <row r="270" spans="1:46" hidden="1" x14ac:dyDescent="0.4">
      <c r="A270" s="1" t="s">
        <v>6245</v>
      </c>
      <c r="B270" s="10"/>
      <c r="C270" s="1" t="s">
        <v>6246</v>
      </c>
      <c r="D270" s="1" t="s">
        <v>2157</v>
      </c>
      <c r="E270" s="1" t="s">
        <v>2078</v>
      </c>
      <c r="F270" s="1" t="s">
        <v>14</v>
      </c>
      <c r="G270" s="1" t="s">
        <v>1</v>
      </c>
      <c r="H270" s="1" t="s">
        <v>6</v>
      </c>
      <c r="I270" s="1" t="s">
        <v>2</v>
      </c>
      <c r="J270" s="1" t="s">
        <v>3514</v>
      </c>
      <c r="K270" s="1" t="s">
        <v>6247</v>
      </c>
      <c r="L270" s="1" t="s">
        <v>7</v>
      </c>
      <c r="M270" s="1"/>
      <c r="N270" s="1" t="s">
        <v>6248</v>
      </c>
      <c r="O270" s="1" t="s">
        <v>4983</v>
      </c>
      <c r="P270" s="1" t="s">
        <v>6249</v>
      </c>
      <c r="Q270" s="1"/>
      <c r="R270" s="1" t="s">
        <v>11</v>
      </c>
      <c r="S270" s="1"/>
      <c r="T270" s="1"/>
      <c r="U270" s="1"/>
      <c r="V270" s="1"/>
      <c r="W270" s="1"/>
      <c r="X270" s="1" t="s">
        <v>6250</v>
      </c>
      <c r="Y270" s="1"/>
      <c r="Z270" s="1"/>
      <c r="AA270" s="1"/>
      <c r="AB270" s="1" t="s">
        <v>6251</v>
      </c>
      <c r="AC270" s="1"/>
      <c r="AD270" s="1"/>
      <c r="AE270" s="1" t="s">
        <v>6252</v>
      </c>
      <c r="AF270" s="1"/>
      <c r="AG270" s="1"/>
      <c r="AH270" s="1" t="s">
        <v>6253</v>
      </c>
      <c r="AI270" s="1"/>
      <c r="AJ270" s="1" t="s">
        <v>6254</v>
      </c>
      <c r="AK270" s="1" t="s">
        <v>6255</v>
      </c>
      <c r="AL270" s="1" t="s">
        <v>6256</v>
      </c>
      <c r="AM270" s="1" t="s">
        <v>6257</v>
      </c>
      <c r="AN270" s="1" t="s">
        <v>3521</v>
      </c>
      <c r="AO270" s="1"/>
      <c r="AP270" s="2" t="s">
        <v>6258</v>
      </c>
      <c r="AQ270" s="2" t="s">
        <v>1077</v>
      </c>
      <c r="AR270" s="1" t="s">
        <v>286</v>
      </c>
      <c r="AS270" s="1"/>
      <c r="AT270" s="1" t="s">
        <v>5</v>
      </c>
    </row>
    <row r="271" spans="1:46" hidden="1" x14ac:dyDescent="0.4">
      <c r="A271" s="1" t="s">
        <v>7026</v>
      </c>
      <c r="B271" s="10"/>
      <c r="C271" s="1" t="s">
        <v>93</v>
      </c>
      <c r="D271" s="1" t="s">
        <v>2220</v>
      </c>
      <c r="E271" s="1" t="s">
        <v>2078</v>
      </c>
      <c r="F271" s="1" t="s">
        <v>14</v>
      </c>
      <c r="G271" s="1" t="s">
        <v>1</v>
      </c>
      <c r="H271" s="1" t="s">
        <v>6</v>
      </c>
      <c r="I271" s="1" t="s">
        <v>2</v>
      </c>
      <c r="J271" s="1" t="s">
        <v>3</v>
      </c>
      <c r="K271" s="1" t="s">
        <v>7027</v>
      </c>
      <c r="L271" s="1" t="s">
        <v>7</v>
      </c>
      <c r="M271" s="1"/>
      <c r="N271" s="1" t="s">
        <v>7028</v>
      </c>
      <c r="O271" s="1" t="s">
        <v>7029</v>
      </c>
      <c r="P271" s="1"/>
      <c r="Q271" s="1"/>
      <c r="R271" s="1" t="s">
        <v>11</v>
      </c>
      <c r="S271" s="1"/>
      <c r="T271" s="1"/>
      <c r="U271" s="1"/>
      <c r="V271" s="1"/>
      <c r="W271" s="1" t="s">
        <v>7030</v>
      </c>
      <c r="X271" s="1"/>
      <c r="Y271" s="1"/>
      <c r="Z271" s="1"/>
      <c r="AA271" s="1"/>
      <c r="AB271" s="1" t="s">
        <v>7031</v>
      </c>
      <c r="AC271" s="1"/>
      <c r="AD271" s="1"/>
      <c r="AE271" s="1" t="s">
        <v>7032</v>
      </c>
      <c r="AF271" s="1"/>
      <c r="AG271" s="1"/>
      <c r="AH271" s="1" t="s">
        <v>7033</v>
      </c>
      <c r="AI271" s="1"/>
      <c r="AJ271" s="1" t="s">
        <v>5935</v>
      </c>
      <c r="AK271" s="1" t="s">
        <v>1787</v>
      </c>
      <c r="AL271" s="1" t="s">
        <v>5936</v>
      </c>
      <c r="AM271" s="1" t="s">
        <v>7034</v>
      </c>
      <c r="AN271" s="1" t="s">
        <v>1787</v>
      </c>
      <c r="AO271" s="1" t="s">
        <v>7035</v>
      </c>
      <c r="AP271" s="2" t="s">
        <v>7014</v>
      </c>
      <c r="AQ271" s="2" t="s">
        <v>1077</v>
      </c>
      <c r="AR271" s="1" t="s">
        <v>286</v>
      </c>
      <c r="AS271" s="1"/>
      <c r="AT271" s="1" t="s">
        <v>5</v>
      </c>
    </row>
    <row r="272" spans="1:46" hidden="1" x14ac:dyDescent="0.4">
      <c r="A272" s="1" t="s">
        <v>7051</v>
      </c>
      <c r="B272" s="10"/>
      <c r="C272" s="1" t="s">
        <v>93</v>
      </c>
      <c r="D272" s="1" t="s">
        <v>2220</v>
      </c>
      <c r="E272" s="1" t="s">
        <v>2078</v>
      </c>
      <c r="F272" s="1" t="s">
        <v>14</v>
      </c>
      <c r="G272" s="1" t="s">
        <v>1</v>
      </c>
      <c r="H272" s="1" t="s">
        <v>6</v>
      </c>
      <c r="I272" s="1" t="s">
        <v>2</v>
      </c>
      <c r="J272" s="1" t="s">
        <v>3</v>
      </c>
      <c r="K272" s="1" t="s">
        <v>7052</v>
      </c>
      <c r="L272" s="1" t="s">
        <v>7</v>
      </c>
      <c r="M272" s="1"/>
      <c r="N272" s="1" t="s">
        <v>7053</v>
      </c>
      <c r="O272" s="1" t="s">
        <v>7029</v>
      </c>
      <c r="P272" s="1"/>
      <c r="Q272" s="1"/>
      <c r="R272" s="1" t="s">
        <v>11</v>
      </c>
      <c r="S272" s="1"/>
      <c r="T272" s="1"/>
      <c r="U272" s="1"/>
      <c r="V272" s="1"/>
      <c r="W272" s="1" t="s">
        <v>7054</v>
      </c>
      <c r="X272" s="1"/>
      <c r="Y272" s="1"/>
      <c r="Z272" s="1"/>
      <c r="AA272" s="1"/>
      <c r="AB272" s="1" t="s">
        <v>7055</v>
      </c>
      <c r="AC272" s="1"/>
      <c r="AD272" s="1"/>
      <c r="AE272" s="1" t="s">
        <v>7032</v>
      </c>
      <c r="AF272" s="1"/>
      <c r="AG272" s="1"/>
      <c r="AH272" s="1" t="s">
        <v>7056</v>
      </c>
      <c r="AI272" s="1"/>
      <c r="AJ272" s="1" t="s">
        <v>5935</v>
      </c>
      <c r="AK272" s="1" t="s">
        <v>1787</v>
      </c>
      <c r="AL272" s="1" t="s">
        <v>5936</v>
      </c>
      <c r="AM272" s="1" t="s">
        <v>7034</v>
      </c>
      <c r="AN272" s="1" t="s">
        <v>1787</v>
      </c>
      <c r="AO272" s="1" t="s">
        <v>7035</v>
      </c>
      <c r="AP272" s="2" t="s">
        <v>7057</v>
      </c>
      <c r="AQ272" s="2" t="s">
        <v>1077</v>
      </c>
      <c r="AR272" s="1" t="s">
        <v>286</v>
      </c>
      <c r="AS272" s="1"/>
      <c r="AT272" s="1" t="s">
        <v>5</v>
      </c>
    </row>
    <row r="273" spans="1:46" hidden="1" x14ac:dyDescent="0.4">
      <c r="A273" s="1" t="s">
        <v>11191</v>
      </c>
      <c r="B273" s="10"/>
      <c r="C273" s="1" t="s">
        <v>93</v>
      </c>
      <c r="D273" s="1" t="s">
        <v>2220</v>
      </c>
      <c r="E273" s="1" t="s">
        <v>2078</v>
      </c>
      <c r="F273" s="1" t="s">
        <v>14</v>
      </c>
      <c r="G273" s="1" t="s">
        <v>1</v>
      </c>
      <c r="H273" s="1" t="s">
        <v>6</v>
      </c>
      <c r="I273" s="1" t="s">
        <v>2</v>
      </c>
      <c r="J273" s="1" t="s">
        <v>3</v>
      </c>
      <c r="K273" s="1" t="s">
        <v>11192</v>
      </c>
      <c r="L273" s="1" t="s">
        <v>7</v>
      </c>
      <c r="M273" s="1"/>
      <c r="N273" s="1" t="s">
        <v>11193</v>
      </c>
      <c r="O273" s="1" t="s">
        <v>7029</v>
      </c>
      <c r="P273" s="1" t="s">
        <v>11194</v>
      </c>
      <c r="Q273" s="1"/>
      <c r="R273" s="1" t="s">
        <v>11</v>
      </c>
      <c r="S273" s="1"/>
      <c r="T273" s="1"/>
      <c r="U273" s="1"/>
      <c r="V273" s="1"/>
      <c r="W273" s="1" t="s">
        <v>11195</v>
      </c>
      <c r="X273" s="1"/>
      <c r="Y273" s="1"/>
      <c r="Z273" s="1"/>
      <c r="AA273" s="1"/>
      <c r="AB273" s="1" t="s">
        <v>11196</v>
      </c>
      <c r="AC273" s="1"/>
      <c r="AD273" s="1"/>
      <c r="AE273" s="1" t="s">
        <v>7032</v>
      </c>
      <c r="AF273" s="1"/>
      <c r="AG273" s="1"/>
      <c r="AH273" s="1" t="s">
        <v>11197</v>
      </c>
      <c r="AI273" s="1"/>
      <c r="AJ273" s="1" t="s">
        <v>11187</v>
      </c>
      <c r="AK273" s="1" t="s">
        <v>11188</v>
      </c>
      <c r="AL273" s="1" t="s">
        <v>11189</v>
      </c>
      <c r="AM273" s="1" t="s">
        <v>11187</v>
      </c>
      <c r="AN273" s="1" t="s">
        <v>11188</v>
      </c>
      <c r="AO273" s="1" t="s">
        <v>11189</v>
      </c>
      <c r="AP273" s="2" t="s">
        <v>11198</v>
      </c>
      <c r="AQ273" s="2" t="s">
        <v>1155</v>
      </c>
      <c r="AR273" s="1" t="s">
        <v>286</v>
      </c>
      <c r="AS273" s="1" t="s">
        <v>1055</v>
      </c>
      <c r="AT273" s="1" t="s">
        <v>5</v>
      </c>
    </row>
    <row r="274" spans="1:46" hidden="1" x14ac:dyDescent="0.4">
      <c r="A274" s="1" t="s">
        <v>11199</v>
      </c>
      <c r="B274" s="10"/>
      <c r="C274" s="1" t="s">
        <v>93</v>
      </c>
      <c r="D274" s="1" t="s">
        <v>2220</v>
      </c>
      <c r="E274" s="1" t="s">
        <v>2078</v>
      </c>
      <c r="F274" s="1" t="s">
        <v>14</v>
      </c>
      <c r="G274" s="1" t="s">
        <v>1</v>
      </c>
      <c r="H274" s="1" t="s">
        <v>6</v>
      </c>
      <c r="I274" s="1" t="s">
        <v>2</v>
      </c>
      <c r="J274" s="1" t="s">
        <v>3</v>
      </c>
      <c r="K274" s="1" t="s">
        <v>11200</v>
      </c>
      <c r="L274" s="1" t="s">
        <v>7</v>
      </c>
      <c r="M274" s="1"/>
      <c r="N274" s="1" t="s">
        <v>11201</v>
      </c>
      <c r="O274" s="1" t="s">
        <v>7029</v>
      </c>
      <c r="P274" s="1" t="s">
        <v>11202</v>
      </c>
      <c r="Q274" s="1"/>
      <c r="R274" s="1" t="s">
        <v>11</v>
      </c>
      <c r="S274" s="1"/>
      <c r="T274" s="1"/>
      <c r="U274" s="1"/>
      <c r="V274" s="1"/>
      <c r="W274" s="1" t="s">
        <v>11203</v>
      </c>
      <c r="X274" s="1"/>
      <c r="Y274" s="1"/>
      <c r="Z274" s="1"/>
      <c r="AA274" s="1"/>
      <c r="AB274" s="1" t="s">
        <v>11204</v>
      </c>
      <c r="AC274" s="1"/>
      <c r="AD274" s="1"/>
      <c r="AE274" s="1" t="s">
        <v>7032</v>
      </c>
      <c r="AF274" s="1"/>
      <c r="AG274" s="1"/>
      <c r="AH274" s="1" t="s">
        <v>11205</v>
      </c>
      <c r="AI274" s="1"/>
      <c r="AJ274" s="1" t="s">
        <v>11187</v>
      </c>
      <c r="AK274" s="1" t="s">
        <v>11188</v>
      </c>
      <c r="AL274" s="1" t="s">
        <v>11189</v>
      </c>
      <c r="AM274" s="1" t="s">
        <v>11187</v>
      </c>
      <c r="AN274" s="1" t="s">
        <v>11188</v>
      </c>
      <c r="AO274" s="1" t="s">
        <v>11189</v>
      </c>
      <c r="AP274" s="2" t="s">
        <v>11206</v>
      </c>
      <c r="AQ274" s="2" t="s">
        <v>1155</v>
      </c>
      <c r="AR274" s="1" t="s">
        <v>286</v>
      </c>
      <c r="AS274" s="1" t="s">
        <v>1055</v>
      </c>
      <c r="AT274" s="1" t="s">
        <v>5</v>
      </c>
    </row>
    <row r="275" spans="1:46" hidden="1" x14ac:dyDescent="0.4">
      <c r="A275" s="1" t="s">
        <v>11471</v>
      </c>
      <c r="B275" s="10"/>
      <c r="C275" s="1" t="s">
        <v>2841</v>
      </c>
      <c r="D275" s="1" t="s">
        <v>2211</v>
      </c>
      <c r="E275" s="1" t="s">
        <v>2078</v>
      </c>
      <c r="F275" s="1" t="s">
        <v>14</v>
      </c>
      <c r="G275" s="1" t="s">
        <v>1</v>
      </c>
      <c r="H275" s="1" t="s">
        <v>6</v>
      </c>
      <c r="I275" s="1" t="s">
        <v>2</v>
      </c>
      <c r="J275" s="1" t="s">
        <v>2842</v>
      </c>
      <c r="K275" s="1" t="s">
        <v>11472</v>
      </c>
      <c r="L275" s="1" t="s">
        <v>7</v>
      </c>
      <c r="M275" s="1"/>
      <c r="N275" s="1" t="s">
        <v>11473</v>
      </c>
      <c r="O275" s="1" t="s">
        <v>15</v>
      </c>
      <c r="P275" s="1" t="s">
        <v>11474</v>
      </c>
      <c r="Q275" s="1"/>
      <c r="R275" s="1" t="s">
        <v>11</v>
      </c>
      <c r="S275" s="1"/>
      <c r="T275" s="1"/>
      <c r="U275" s="1"/>
      <c r="V275" s="1"/>
      <c r="W275" s="1" t="s">
        <v>11449</v>
      </c>
      <c r="X275" s="1" t="s">
        <v>11450</v>
      </c>
      <c r="Y275" s="1"/>
      <c r="Z275" s="1"/>
      <c r="AA275" s="1"/>
      <c r="AB275" s="1" t="s">
        <v>11475</v>
      </c>
      <c r="AC275" s="1"/>
      <c r="AD275" s="1"/>
      <c r="AE275" s="1"/>
      <c r="AF275" s="1"/>
      <c r="AG275" s="1"/>
      <c r="AH275" s="1" t="s">
        <v>11476</v>
      </c>
      <c r="AI275" s="1"/>
      <c r="AJ275" s="1" t="s">
        <v>4327</v>
      </c>
      <c r="AK275" s="1" t="s">
        <v>8473</v>
      </c>
      <c r="AL275" s="1" t="s">
        <v>4328</v>
      </c>
      <c r="AM275" s="1" t="s">
        <v>4327</v>
      </c>
      <c r="AN275" s="1" t="s">
        <v>8473</v>
      </c>
      <c r="AO275" s="1" t="s">
        <v>4328</v>
      </c>
      <c r="AP275" s="2" t="s">
        <v>11477</v>
      </c>
      <c r="AQ275" s="2" t="s">
        <v>1155</v>
      </c>
      <c r="AR275" s="1" t="s">
        <v>286</v>
      </c>
      <c r="AS275" s="1" t="s">
        <v>10227</v>
      </c>
      <c r="AT275" s="1" t="s">
        <v>5</v>
      </c>
    </row>
    <row r="276" spans="1:46" hidden="1" x14ac:dyDescent="0.4">
      <c r="A276" s="1" t="s">
        <v>10910</v>
      </c>
      <c r="B276" s="10"/>
      <c r="C276" s="1" t="s">
        <v>2705</v>
      </c>
      <c r="D276" s="1" t="s">
        <v>2290</v>
      </c>
      <c r="E276" s="1" t="s">
        <v>2291</v>
      </c>
      <c r="F276" s="1" t="s">
        <v>14</v>
      </c>
      <c r="G276" s="1" t="s">
        <v>1</v>
      </c>
      <c r="H276" s="1" t="s">
        <v>6</v>
      </c>
      <c r="I276" s="1" t="s">
        <v>2</v>
      </c>
      <c r="J276" s="1" t="s">
        <v>2813</v>
      </c>
      <c r="K276" s="1" t="s">
        <v>10911</v>
      </c>
      <c r="L276" s="1" t="s">
        <v>7</v>
      </c>
      <c r="M276" s="1" t="s">
        <v>9</v>
      </c>
      <c r="N276" s="1" t="s">
        <v>10912</v>
      </c>
      <c r="O276" s="1" t="s">
        <v>10711</v>
      </c>
      <c r="P276" s="1"/>
      <c r="Q276" s="1"/>
      <c r="R276" s="1" t="s">
        <v>11</v>
      </c>
      <c r="S276" s="1"/>
      <c r="T276" s="1"/>
      <c r="U276" s="1"/>
      <c r="V276" s="1"/>
      <c r="W276" s="1"/>
      <c r="X276" s="1"/>
      <c r="Y276" s="1"/>
      <c r="Z276" s="1"/>
      <c r="AA276" s="1"/>
      <c r="AB276" s="1" t="s">
        <v>10913</v>
      </c>
      <c r="AC276" s="1"/>
      <c r="AD276" s="1"/>
      <c r="AE276" s="1"/>
      <c r="AF276" s="1"/>
      <c r="AG276" s="1"/>
      <c r="AH276" s="1" t="s">
        <v>10914</v>
      </c>
      <c r="AI276" s="1"/>
      <c r="AJ276" s="1" t="s">
        <v>10865</v>
      </c>
      <c r="AK276" s="1" t="s">
        <v>6568</v>
      </c>
      <c r="AL276" s="1" t="s">
        <v>10866</v>
      </c>
      <c r="AM276" s="1" t="s">
        <v>10865</v>
      </c>
      <c r="AN276" s="1" t="s">
        <v>6568</v>
      </c>
      <c r="AO276" s="1" t="s">
        <v>10866</v>
      </c>
      <c r="AP276" s="2" t="s">
        <v>10915</v>
      </c>
      <c r="AQ276" s="2" t="s">
        <v>1155</v>
      </c>
      <c r="AR276" s="1" t="s">
        <v>286</v>
      </c>
      <c r="AS276" s="1"/>
      <c r="AT276" s="1" t="s">
        <v>5</v>
      </c>
    </row>
    <row r="277" spans="1:46" hidden="1" x14ac:dyDescent="0.4">
      <c r="A277" s="1" t="s">
        <v>10904</v>
      </c>
      <c r="B277" s="10"/>
      <c r="C277" s="1" t="s">
        <v>2705</v>
      </c>
      <c r="D277" s="1" t="s">
        <v>2290</v>
      </c>
      <c r="E277" s="1" t="s">
        <v>2291</v>
      </c>
      <c r="F277" s="1" t="s">
        <v>14</v>
      </c>
      <c r="G277" s="1" t="s">
        <v>1</v>
      </c>
      <c r="H277" s="1" t="s">
        <v>6</v>
      </c>
      <c r="I277" s="1" t="s">
        <v>2</v>
      </c>
      <c r="J277" s="1" t="s">
        <v>2813</v>
      </c>
      <c r="K277" s="1" t="s">
        <v>10905</v>
      </c>
      <c r="L277" s="1" t="s">
        <v>7</v>
      </c>
      <c r="M277" s="1" t="s">
        <v>9</v>
      </c>
      <c r="N277" s="1" t="s">
        <v>10906</v>
      </c>
      <c r="O277" s="1" t="s">
        <v>10711</v>
      </c>
      <c r="P277" s="1"/>
      <c r="Q277" s="1"/>
      <c r="R277" s="1" t="s">
        <v>11</v>
      </c>
      <c r="S277" s="1"/>
      <c r="T277" s="1"/>
      <c r="U277" s="1"/>
      <c r="V277" s="1"/>
      <c r="W277" s="1" t="s">
        <v>10862</v>
      </c>
      <c r="X277" s="1"/>
      <c r="Y277" s="1"/>
      <c r="Z277" s="1"/>
      <c r="AA277" s="1"/>
      <c r="AB277" s="1" t="s">
        <v>10907</v>
      </c>
      <c r="AC277" s="1"/>
      <c r="AD277" s="1"/>
      <c r="AE277" s="1"/>
      <c r="AF277" s="1"/>
      <c r="AG277" s="1"/>
      <c r="AH277" s="1" t="s">
        <v>10908</v>
      </c>
      <c r="AI277" s="1"/>
      <c r="AJ277" s="1" t="s">
        <v>10865</v>
      </c>
      <c r="AK277" s="1" t="s">
        <v>6568</v>
      </c>
      <c r="AL277" s="1" t="s">
        <v>10866</v>
      </c>
      <c r="AM277" s="1" t="s">
        <v>10865</v>
      </c>
      <c r="AN277" s="1" t="s">
        <v>6568</v>
      </c>
      <c r="AO277" s="1" t="s">
        <v>10866</v>
      </c>
      <c r="AP277" s="2" t="s">
        <v>10909</v>
      </c>
      <c r="AQ277" s="2" t="s">
        <v>1155</v>
      </c>
      <c r="AR277" s="1" t="s">
        <v>286</v>
      </c>
      <c r="AS277" s="1"/>
      <c r="AT277" s="1" t="s">
        <v>5</v>
      </c>
    </row>
    <row r="278" spans="1:46" hidden="1" x14ac:dyDescent="0.4">
      <c r="A278" s="1" t="s">
        <v>10859</v>
      </c>
      <c r="B278" s="10"/>
      <c r="C278" s="1" t="s">
        <v>2705</v>
      </c>
      <c r="D278" s="1" t="s">
        <v>2290</v>
      </c>
      <c r="E278" s="1" t="s">
        <v>2291</v>
      </c>
      <c r="F278" s="1" t="s">
        <v>14</v>
      </c>
      <c r="G278" s="1" t="s">
        <v>1</v>
      </c>
      <c r="H278" s="1" t="s">
        <v>6</v>
      </c>
      <c r="I278" s="1" t="s">
        <v>2</v>
      </c>
      <c r="J278" s="1" t="s">
        <v>2813</v>
      </c>
      <c r="K278" s="1" t="s">
        <v>10860</v>
      </c>
      <c r="L278" s="1" t="s">
        <v>7</v>
      </c>
      <c r="M278" s="1" t="s">
        <v>9</v>
      </c>
      <c r="N278" s="1" t="s">
        <v>10861</v>
      </c>
      <c r="O278" s="1" t="s">
        <v>10711</v>
      </c>
      <c r="P278" s="1"/>
      <c r="Q278" s="1"/>
      <c r="R278" s="1" t="s">
        <v>11</v>
      </c>
      <c r="S278" s="1"/>
      <c r="T278" s="1"/>
      <c r="U278" s="1"/>
      <c r="V278" s="1"/>
      <c r="W278" s="1" t="s">
        <v>10862</v>
      </c>
      <c r="X278" s="1"/>
      <c r="Y278" s="1"/>
      <c r="Z278" s="1"/>
      <c r="AA278" s="1"/>
      <c r="AB278" s="1" t="s">
        <v>10863</v>
      </c>
      <c r="AC278" s="1"/>
      <c r="AD278" s="1"/>
      <c r="AE278" s="1"/>
      <c r="AF278" s="1"/>
      <c r="AG278" s="1"/>
      <c r="AH278" s="1" t="s">
        <v>10864</v>
      </c>
      <c r="AI278" s="1"/>
      <c r="AJ278" s="1" t="s">
        <v>10865</v>
      </c>
      <c r="AK278" s="1" t="s">
        <v>6568</v>
      </c>
      <c r="AL278" s="1" t="s">
        <v>10866</v>
      </c>
      <c r="AM278" s="1" t="s">
        <v>10865</v>
      </c>
      <c r="AN278" s="1" t="s">
        <v>6568</v>
      </c>
      <c r="AO278" s="1" t="s">
        <v>10866</v>
      </c>
      <c r="AP278" s="2" t="s">
        <v>10867</v>
      </c>
      <c r="AQ278" s="2" t="s">
        <v>1155</v>
      </c>
      <c r="AR278" s="1" t="s">
        <v>286</v>
      </c>
      <c r="AS278" s="1" t="s">
        <v>10858</v>
      </c>
      <c r="AT278" s="1" t="s">
        <v>5</v>
      </c>
    </row>
    <row r="279" spans="1:46" hidden="1" x14ac:dyDescent="0.4">
      <c r="A279" s="1" t="s">
        <v>10916</v>
      </c>
      <c r="B279" s="10"/>
      <c r="C279" s="1" t="s">
        <v>2705</v>
      </c>
      <c r="D279" s="1" t="s">
        <v>2290</v>
      </c>
      <c r="E279" s="1" t="s">
        <v>2291</v>
      </c>
      <c r="F279" s="1" t="s">
        <v>14</v>
      </c>
      <c r="G279" s="1" t="s">
        <v>1</v>
      </c>
      <c r="H279" s="1" t="s">
        <v>6</v>
      </c>
      <c r="I279" s="1" t="s">
        <v>2</v>
      </c>
      <c r="J279" s="1" t="s">
        <v>2813</v>
      </c>
      <c r="K279" s="1" t="s">
        <v>10917</v>
      </c>
      <c r="L279" s="1" t="s">
        <v>7</v>
      </c>
      <c r="M279" s="1" t="s">
        <v>9</v>
      </c>
      <c r="N279" s="1" t="s">
        <v>10918</v>
      </c>
      <c r="O279" s="1" t="s">
        <v>10711</v>
      </c>
      <c r="P279" s="1"/>
      <c r="Q279" s="1"/>
      <c r="R279" s="1" t="s">
        <v>11</v>
      </c>
      <c r="S279" s="1"/>
      <c r="T279" s="1"/>
      <c r="U279" s="1"/>
      <c r="V279" s="1"/>
      <c r="W279" s="1" t="s">
        <v>10862</v>
      </c>
      <c r="X279" s="1"/>
      <c r="Y279" s="1"/>
      <c r="Z279" s="1"/>
      <c r="AA279" s="1"/>
      <c r="AB279" s="1" t="s">
        <v>10919</v>
      </c>
      <c r="AC279" s="1"/>
      <c r="AD279" s="1"/>
      <c r="AE279" s="1"/>
      <c r="AF279" s="1"/>
      <c r="AG279" s="1"/>
      <c r="AH279" s="1" t="s">
        <v>10920</v>
      </c>
      <c r="AI279" s="1"/>
      <c r="AJ279" s="1" t="s">
        <v>10865</v>
      </c>
      <c r="AK279" s="1" t="s">
        <v>6568</v>
      </c>
      <c r="AL279" s="1" t="s">
        <v>10866</v>
      </c>
      <c r="AM279" s="1" t="s">
        <v>10865</v>
      </c>
      <c r="AN279" s="1" t="s">
        <v>6568</v>
      </c>
      <c r="AO279" s="1" t="s">
        <v>10866</v>
      </c>
      <c r="AP279" s="2" t="s">
        <v>10921</v>
      </c>
      <c r="AQ279" s="2" t="s">
        <v>1155</v>
      </c>
      <c r="AR279" s="1" t="s">
        <v>286</v>
      </c>
      <c r="AS279" s="1" t="s">
        <v>1017</v>
      </c>
      <c r="AT279" s="1" t="s">
        <v>5</v>
      </c>
    </row>
    <row r="280" spans="1:46" hidden="1" x14ac:dyDescent="0.4">
      <c r="A280" s="1" t="s">
        <v>10947</v>
      </c>
      <c r="B280" s="10"/>
      <c r="C280" s="1" t="s">
        <v>2705</v>
      </c>
      <c r="D280" s="1" t="s">
        <v>2290</v>
      </c>
      <c r="E280" s="1" t="s">
        <v>2291</v>
      </c>
      <c r="F280" s="1" t="s">
        <v>14</v>
      </c>
      <c r="G280" s="1" t="s">
        <v>1</v>
      </c>
      <c r="H280" s="1" t="s">
        <v>6</v>
      </c>
      <c r="I280" s="1" t="s">
        <v>2</v>
      </c>
      <c r="J280" s="1" t="s">
        <v>2813</v>
      </c>
      <c r="K280" s="1" t="s">
        <v>10948</v>
      </c>
      <c r="L280" s="1" t="s">
        <v>7</v>
      </c>
      <c r="M280" s="1"/>
      <c r="N280" s="1" t="s">
        <v>10949</v>
      </c>
      <c r="O280" s="1" t="s">
        <v>10711</v>
      </c>
      <c r="P280" s="1"/>
      <c r="Q280" s="1"/>
      <c r="R280" s="1" t="s">
        <v>11</v>
      </c>
      <c r="S280" s="1"/>
      <c r="T280" s="1"/>
      <c r="U280" s="1"/>
      <c r="V280" s="1"/>
      <c r="W280" s="1"/>
      <c r="X280" s="1"/>
      <c r="Y280" s="1"/>
      <c r="Z280" s="1"/>
      <c r="AA280" s="1"/>
      <c r="AB280" s="1" t="s">
        <v>10950</v>
      </c>
      <c r="AC280" s="1"/>
      <c r="AD280" s="1"/>
      <c r="AE280" s="1"/>
      <c r="AF280" s="1"/>
      <c r="AG280" s="1"/>
      <c r="AH280" s="1" t="s">
        <v>10951</v>
      </c>
      <c r="AI280" s="1"/>
      <c r="AJ280" s="1" t="s">
        <v>10865</v>
      </c>
      <c r="AK280" s="1" t="s">
        <v>6568</v>
      </c>
      <c r="AL280" s="1" t="s">
        <v>10866</v>
      </c>
      <c r="AM280" s="1" t="s">
        <v>10865</v>
      </c>
      <c r="AN280" s="1" t="s">
        <v>6568</v>
      </c>
      <c r="AO280" s="1" t="s">
        <v>10866</v>
      </c>
      <c r="AP280" s="2" t="s">
        <v>10952</v>
      </c>
      <c r="AQ280" s="2" t="s">
        <v>1155</v>
      </c>
      <c r="AR280" s="1" t="s">
        <v>286</v>
      </c>
      <c r="AS280" s="1"/>
      <c r="AT280" s="1" t="s">
        <v>5</v>
      </c>
    </row>
    <row r="281" spans="1:46" hidden="1" x14ac:dyDescent="0.4">
      <c r="A281" s="1" t="s">
        <v>11004</v>
      </c>
      <c r="B281" s="10"/>
      <c r="C281" s="1" t="s">
        <v>0</v>
      </c>
      <c r="D281" s="1" t="s">
        <v>2157</v>
      </c>
      <c r="E281" s="1" t="s">
        <v>2078</v>
      </c>
      <c r="F281" s="1" t="s">
        <v>14</v>
      </c>
      <c r="G281" s="1" t="s">
        <v>1</v>
      </c>
      <c r="H281" s="1" t="s">
        <v>6</v>
      </c>
      <c r="I281" s="1" t="s">
        <v>2</v>
      </c>
      <c r="J281" s="1" t="s">
        <v>3</v>
      </c>
      <c r="K281" s="1" t="s">
        <v>11005</v>
      </c>
      <c r="L281" s="1" t="s">
        <v>7</v>
      </c>
      <c r="M281" s="1" t="s">
        <v>9</v>
      </c>
      <c r="N281" s="1" t="s">
        <v>11006</v>
      </c>
      <c r="O281" s="1" t="s">
        <v>11007</v>
      </c>
      <c r="P281" s="1"/>
      <c r="Q281" s="1"/>
      <c r="R281" s="1" t="s">
        <v>11</v>
      </c>
      <c r="S281" s="1"/>
      <c r="T281" s="1"/>
      <c r="U281" s="1"/>
      <c r="V281" s="1"/>
      <c r="W281" s="1" t="s">
        <v>11008</v>
      </c>
      <c r="X281" s="1" t="s">
        <v>11009</v>
      </c>
      <c r="Y281" s="1"/>
      <c r="Z281" s="1"/>
      <c r="AA281" s="1"/>
      <c r="AB281" s="1" t="s">
        <v>11010</v>
      </c>
      <c r="AC281" s="1"/>
      <c r="AD281" s="1"/>
      <c r="AE281" s="1"/>
      <c r="AF281" s="1"/>
      <c r="AG281" s="1"/>
      <c r="AH281" s="1" t="s">
        <v>11011</v>
      </c>
      <c r="AI281" s="1"/>
      <c r="AJ281" s="1" t="s">
        <v>4947</v>
      </c>
      <c r="AK281" s="1" t="s">
        <v>4283</v>
      </c>
      <c r="AL281" s="1" t="s">
        <v>4948</v>
      </c>
      <c r="AM281" s="1" t="s">
        <v>5250</v>
      </c>
      <c r="AN281" s="1" t="s">
        <v>4283</v>
      </c>
      <c r="AO281" s="1" t="s">
        <v>5251</v>
      </c>
      <c r="AP281" s="2" t="s">
        <v>11012</v>
      </c>
      <c r="AQ281" s="2" t="s">
        <v>1155</v>
      </c>
      <c r="AR281" s="1" t="s">
        <v>286</v>
      </c>
      <c r="AS281" s="1"/>
      <c r="AT281" s="1" t="s">
        <v>5</v>
      </c>
    </row>
    <row r="282" spans="1:46" hidden="1" x14ac:dyDescent="0.4">
      <c r="A282" s="1" t="s">
        <v>3675</v>
      </c>
      <c r="B282" s="10"/>
      <c r="C282" s="1" t="s">
        <v>2454</v>
      </c>
      <c r="D282" s="1" t="s">
        <v>2076</v>
      </c>
      <c r="E282" s="1" t="s">
        <v>13</v>
      </c>
      <c r="F282" s="1" t="s">
        <v>14</v>
      </c>
      <c r="G282" s="1" t="s">
        <v>1</v>
      </c>
      <c r="H282" s="1" t="s">
        <v>6</v>
      </c>
      <c r="I282" s="1" t="s">
        <v>2</v>
      </c>
      <c r="J282" s="1" t="s">
        <v>3676</v>
      </c>
      <c r="K282" s="1" t="s">
        <v>3677</v>
      </c>
      <c r="L282" s="1" t="s">
        <v>4</v>
      </c>
      <c r="M282" s="1"/>
      <c r="N282" s="1" t="s">
        <v>3678</v>
      </c>
      <c r="O282" s="1" t="s">
        <v>2238</v>
      </c>
      <c r="P282" s="1"/>
      <c r="Q282" s="1"/>
      <c r="R282" s="1" t="s">
        <v>11</v>
      </c>
      <c r="S282" s="1"/>
      <c r="T282" s="1"/>
      <c r="U282" s="1"/>
      <c r="V282" s="1"/>
      <c r="W282" s="1" t="s">
        <v>3679</v>
      </c>
      <c r="X282" s="1"/>
      <c r="Y282" s="1"/>
      <c r="Z282" s="1"/>
      <c r="AA282" s="1"/>
      <c r="AB282" s="1" t="s">
        <v>3680</v>
      </c>
      <c r="AC282" s="1"/>
      <c r="AD282" s="1"/>
      <c r="AE282" s="1"/>
      <c r="AF282" s="1"/>
      <c r="AG282" s="1"/>
      <c r="AH282" s="1" t="s">
        <v>3681</v>
      </c>
      <c r="AI282" s="1"/>
      <c r="AJ282" s="1" t="s">
        <v>3682</v>
      </c>
      <c r="AK282" s="1" t="s">
        <v>3106</v>
      </c>
      <c r="AL282" s="1" t="s">
        <v>3683</v>
      </c>
      <c r="AM282" s="1" t="s">
        <v>3682</v>
      </c>
      <c r="AN282" s="1" t="s">
        <v>3106</v>
      </c>
      <c r="AO282" s="1" t="s">
        <v>3683</v>
      </c>
      <c r="AP282" s="2" t="s">
        <v>3684</v>
      </c>
      <c r="AQ282" s="2" t="s">
        <v>1153</v>
      </c>
      <c r="AR282" s="1" t="s">
        <v>287</v>
      </c>
      <c r="AS282" s="1"/>
      <c r="AT282" s="1" t="s">
        <v>5</v>
      </c>
    </row>
    <row r="283" spans="1:46" hidden="1" x14ac:dyDescent="0.4">
      <c r="A283" s="1" t="s">
        <v>3710</v>
      </c>
      <c r="B283" s="10"/>
      <c r="C283" s="1" t="s">
        <v>2454</v>
      </c>
      <c r="D283" s="1" t="s">
        <v>2076</v>
      </c>
      <c r="E283" s="1" t="s">
        <v>13</v>
      </c>
      <c r="F283" s="1" t="s">
        <v>14</v>
      </c>
      <c r="G283" s="1" t="s">
        <v>1</v>
      </c>
      <c r="H283" s="1" t="s">
        <v>6</v>
      </c>
      <c r="I283" s="1" t="s">
        <v>2</v>
      </c>
      <c r="J283" s="1" t="s">
        <v>3676</v>
      </c>
      <c r="K283" s="1" t="s">
        <v>3711</v>
      </c>
      <c r="L283" s="1" t="s">
        <v>4</v>
      </c>
      <c r="M283" s="1"/>
      <c r="N283" s="1" t="s">
        <v>3712</v>
      </c>
      <c r="O283" s="1" t="s">
        <v>2238</v>
      </c>
      <c r="P283" s="1"/>
      <c r="Q283" s="1"/>
      <c r="R283" s="1" t="s">
        <v>11</v>
      </c>
      <c r="S283" s="1"/>
      <c r="T283" s="1"/>
      <c r="U283" s="1"/>
      <c r="V283" s="1"/>
      <c r="W283" s="1" t="s">
        <v>3713</v>
      </c>
      <c r="X283" s="1"/>
      <c r="Y283" s="1"/>
      <c r="Z283" s="1"/>
      <c r="AA283" s="1"/>
      <c r="AB283" s="1" t="s">
        <v>3714</v>
      </c>
      <c r="AC283" s="1"/>
      <c r="AD283" s="1"/>
      <c r="AE283" s="1"/>
      <c r="AF283" s="1"/>
      <c r="AG283" s="1"/>
      <c r="AH283" s="1" t="s">
        <v>3715</v>
      </c>
      <c r="AI283" s="1"/>
      <c r="AJ283" s="1" t="s">
        <v>3682</v>
      </c>
      <c r="AK283" s="1" t="s">
        <v>3106</v>
      </c>
      <c r="AL283" s="1" t="s">
        <v>3683</v>
      </c>
      <c r="AM283" s="1" t="s">
        <v>3682</v>
      </c>
      <c r="AN283" s="1" t="s">
        <v>3106</v>
      </c>
      <c r="AO283" s="1" t="s">
        <v>3683</v>
      </c>
      <c r="AP283" s="2" t="s">
        <v>3691</v>
      </c>
      <c r="AQ283" s="2" t="s">
        <v>1153</v>
      </c>
      <c r="AR283" s="1"/>
      <c r="AS283" s="1"/>
      <c r="AT283" s="1" t="s">
        <v>5</v>
      </c>
    </row>
    <row r="284" spans="1:46" hidden="1" x14ac:dyDescent="0.4">
      <c r="A284" s="1" t="s">
        <v>3077</v>
      </c>
      <c r="B284" s="10"/>
      <c r="C284" s="1" t="s">
        <v>2544</v>
      </c>
      <c r="D284" s="1" t="s">
        <v>2157</v>
      </c>
      <c r="E284" s="1" t="s">
        <v>2078</v>
      </c>
      <c r="F284" s="1" t="s">
        <v>14</v>
      </c>
      <c r="G284" s="1" t="s">
        <v>1</v>
      </c>
      <c r="H284" s="1" t="s">
        <v>6</v>
      </c>
      <c r="I284" s="1" t="s">
        <v>2</v>
      </c>
      <c r="J284" s="1" t="s">
        <v>2451</v>
      </c>
      <c r="K284" s="1" t="s">
        <v>3078</v>
      </c>
      <c r="L284" s="1" t="s">
        <v>7</v>
      </c>
      <c r="M284" s="1" t="s">
        <v>9</v>
      </c>
      <c r="N284" s="1" t="s">
        <v>3079</v>
      </c>
      <c r="O284" s="1" t="s">
        <v>2238</v>
      </c>
      <c r="P284" s="1"/>
      <c r="Q284" s="1"/>
      <c r="R284" s="1" t="s">
        <v>11</v>
      </c>
      <c r="S284" s="1"/>
      <c r="T284" s="1"/>
      <c r="U284" s="1"/>
      <c r="V284" s="1"/>
      <c r="W284" s="1"/>
      <c r="X284" s="1"/>
      <c r="Y284" s="1"/>
      <c r="Z284" s="1"/>
      <c r="AA284" s="1"/>
      <c r="AB284" s="1" t="s">
        <v>3080</v>
      </c>
      <c r="AC284" s="1"/>
      <c r="AD284" s="1"/>
      <c r="AE284" s="1" t="s">
        <v>3081</v>
      </c>
      <c r="AF284" s="1"/>
      <c r="AG284" s="1"/>
      <c r="AH284" s="1" t="s">
        <v>3082</v>
      </c>
      <c r="AI284" s="1"/>
      <c r="AJ284" s="1" t="s">
        <v>3083</v>
      </c>
      <c r="AK284" s="1" t="s">
        <v>3084</v>
      </c>
      <c r="AL284" s="1"/>
      <c r="AM284" s="1" t="s">
        <v>3083</v>
      </c>
      <c r="AN284" s="1" t="s">
        <v>3084</v>
      </c>
      <c r="AO284" s="1"/>
      <c r="AP284" s="2" t="s">
        <v>3085</v>
      </c>
      <c r="AQ284" s="2" t="s">
        <v>1153</v>
      </c>
      <c r="AR284" s="1"/>
      <c r="AS284" s="1"/>
      <c r="AT284" s="1" t="s">
        <v>5</v>
      </c>
    </row>
    <row r="285" spans="1:46" hidden="1" x14ac:dyDescent="0.4">
      <c r="A285" s="1" t="s">
        <v>3546</v>
      </c>
      <c r="B285" s="10"/>
      <c r="C285" s="1" t="s">
        <v>0</v>
      </c>
      <c r="D285" s="1" t="s">
        <v>2157</v>
      </c>
      <c r="E285" s="1" t="s">
        <v>2078</v>
      </c>
      <c r="F285" s="1" t="s">
        <v>14</v>
      </c>
      <c r="G285" s="1" t="s">
        <v>1</v>
      </c>
      <c r="H285" s="1" t="s">
        <v>6</v>
      </c>
      <c r="I285" s="1" t="s">
        <v>2</v>
      </c>
      <c r="J285" s="1" t="s">
        <v>3</v>
      </c>
      <c r="K285" s="1" t="s">
        <v>3547</v>
      </c>
      <c r="L285" s="1" t="s">
        <v>7</v>
      </c>
      <c r="M285" s="1" t="s">
        <v>8</v>
      </c>
      <c r="N285" s="1" t="s">
        <v>3548</v>
      </c>
      <c r="O285" s="1" t="s">
        <v>2238</v>
      </c>
      <c r="P285" s="1"/>
      <c r="Q285" s="1"/>
      <c r="R285" s="1" t="s">
        <v>11</v>
      </c>
      <c r="S285" s="1"/>
      <c r="T285" s="1"/>
      <c r="U285" s="1"/>
      <c r="V285" s="1"/>
      <c r="W285" s="1" t="s">
        <v>2239</v>
      </c>
      <c r="X285" s="1" t="s">
        <v>3549</v>
      </c>
      <c r="Y285" s="1"/>
      <c r="Z285" s="1"/>
      <c r="AA285" s="1"/>
      <c r="AB285" s="1" t="s">
        <v>3550</v>
      </c>
      <c r="AC285" s="1"/>
      <c r="AD285" s="1"/>
      <c r="AE285" s="1" t="s">
        <v>2101</v>
      </c>
      <c r="AF285" s="1"/>
      <c r="AG285" s="1"/>
      <c r="AH285" s="1" t="s">
        <v>3551</v>
      </c>
      <c r="AI285" s="1"/>
      <c r="AJ285" s="1" t="s">
        <v>3552</v>
      </c>
      <c r="AK285" s="1" t="s">
        <v>3553</v>
      </c>
      <c r="AL285" s="1"/>
      <c r="AM285" s="1" t="s">
        <v>3554</v>
      </c>
      <c r="AN285" s="1" t="s">
        <v>3553</v>
      </c>
      <c r="AO285" s="1" t="s">
        <v>3555</v>
      </c>
      <c r="AP285" s="2" t="s">
        <v>3556</v>
      </c>
      <c r="AQ285" s="2" t="s">
        <v>1155</v>
      </c>
      <c r="AR285" s="1" t="s">
        <v>286</v>
      </c>
      <c r="AS285" s="1"/>
      <c r="AT285" s="1" t="s">
        <v>5</v>
      </c>
    </row>
    <row r="286" spans="1:46" hidden="1" x14ac:dyDescent="0.4">
      <c r="A286" s="1" t="s">
        <v>3698</v>
      </c>
      <c r="B286" s="10"/>
      <c r="C286" s="1" t="s">
        <v>2454</v>
      </c>
      <c r="D286" s="1" t="s">
        <v>2076</v>
      </c>
      <c r="E286" s="1" t="s">
        <v>13</v>
      </c>
      <c r="F286" s="1" t="s">
        <v>14</v>
      </c>
      <c r="G286" s="1" t="s">
        <v>1</v>
      </c>
      <c r="H286" s="1" t="s">
        <v>6</v>
      </c>
      <c r="I286" s="1" t="s">
        <v>2</v>
      </c>
      <c r="J286" s="1" t="s">
        <v>3676</v>
      </c>
      <c r="K286" s="1" t="s">
        <v>3699</v>
      </c>
      <c r="L286" s="1" t="s">
        <v>4</v>
      </c>
      <c r="M286" s="1"/>
      <c r="N286" s="1" t="s">
        <v>3700</v>
      </c>
      <c r="O286" s="1" t="s">
        <v>2238</v>
      </c>
      <c r="P286" s="1"/>
      <c r="Q286" s="1"/>
      <c r="R286" s="1" t="s">
        <v>11</v>
      </c>
      <c r="S286" s="1"/>
      <c r="T286" s="1"/>
      <c r="U286" s="1"/>
      <c r="V286" s="1"/>
      <c r="W286" s="1" t="s">
        <v>3701</v>
      </c>
      <c r="X286" s="1"/>
      <c r="Y286" s="1"/>
      <c r="Z286" s="1"/>
      <c r="AA286" s="1"/>
      <c r="AB286" s="1" t="s">
        <v>3702</v>
      </c>
      <c r="AC286" s="1"/>
      <c r="AD286" s="1"/>
      <c r="AE286" s="1"/>
      <c r="AF286" s="1"/>
      <c r="AG286" s="1"/>
      <c r="AH286" s="1" t="s">
        <v>3703</v>
      </c>
      <c r="AI286" s="1"/>
      <c r="AJ286" s="1" t="s">
        <v>3682</v>
      </c>
      <c r="AK286" s="1" t="s">
        <v>3106</v>
      </c>
      <c r="AL286" s="1" t="s">
        <v>3683</v>
      </c>
      <c r="AM286" s="1" t="s">
        <v>3682</v>
      </c>
      <c r="AN286" s="1" t="s">
        <v>3106</v>
      </c>
      <c r="AO286" s="1" t="s">
        <v>3683</v>
      </c>
      <c r="AP286" s="2" t="s">
        <v>3691</v>
      </c>
      <c r="AQ286" s="2" t="s">
        <v>1153</v>
      </c>
      <c r="AR286" s="1"/>
      <c r="AS286" s="1"/>
      <c r="AT286" s="1" t="s">
        <v>5</v>
      </c>
    </row>
    <row r="287" spans="1:46" hidden="1" x14ac:dyDescent="0.4">
      <c r="A287" s="1" t="s">
        <v>3692</v>
      </c>
      <c r="B287" s="10"/>
      <c r="C287" s="1" t="s">
        <v>2454</v>
      </c>
      <c r="D287" s="1" t="s">
        <v>2076</v>
      </c>
      <c r="E287" s="1" t="s">
        <v>13</v>
      </c>
      <c r="F287" s="1" t="s">
        <v>14</v>
      </c>
      <c r="G287" s="1" t="s">
        <v>1</v>
      </c>
      <c r="H287" s="1" t="s">
        <v>6</v>
      </c>
      <c r="I287" s="1" t="s">
        <v>2</v>
      </c>
      <c r="J287" s="1" t="s">
        <v>3676</v>
      </c>
      <c r="K287" s="1" t="s">
        <v>3693</v>
      </c>
      <c r="L287" s="1" t="s">
        <v>4</v>
      </c>
      <c r="M287" s="1"/>
      <c r="N287" s="1" t="s">
        <v>3694</v>
      </c>
      <c r="O287" s="1" t="s">
        <v>2238</v>
      </c>
      <c r="P287" s="1"/>
      <c r="Q287" s="1"/>
      <c r="R287" s="1" t="s">
        <v>11</v>
      </c>
      <c r="S287" s="1"/>
      <c r="T287" s="1"/>
      <c r="U287" s="1"/>
      <c r="V287" s="1"/>
      <c r="W287" s="1" t="s">
        <v>3695</v>
      </c>
      <c r="X287" s="1"/>
      <c r="Y287" s="1"/>
      <c r="Z287" s="1"/>
      <c r="AA287" s="1"/>
      <c r="AB287" s="1" t="s">
        <v>3696</v>
      </c>
      <c r="AC287" s="1"/>
      <c r="AD287" s="1"/>
      <c r="AE287" s="1"/>
      <c r="AF287" s="1"/>
      <c r="AG287" s="1"/>
      <c r="AH287" s="1" t="s">
        <v>3697</v>
      </c>
      <c r="AI287" s="1"/>
      <c r="AJ287" s="1" t="s">
        <v>3682</v>
      </c>
      <c r="AK287" s="1" t="s">
        <v>3106</v>
      </c>
      <c r="AL287" s="1" t="s">
        <v>3683</v>
      </c>
      <c r="AM287" s="1" t="s">
        <v>3682</v>
      </c>
      <c r="AN287" s="1" t="s">
        <v>3106</v>
      </c>
      <c r="AO287" s="1" t="s">
        <v>3683</v>
      </c>
      <c r="AP287" s="2" t="s">
        <v>3691</v>
      </c>
      <c r="AQ287" s="2" t="s">
        <v>1153</v>
      </c>
      <c r="AR287" s="1"/>
      <c r="AS287" s="1"/>
      <c r="AT287" s="1" t="s">
        <v>5</v>
      </c>
    </row>
    <row r="288" spans="1:46" hidden="1" x14ac:dyDescent="0.4">
      <c r="A288" s="1" t="s">
        <v>3685</v>
      </c>
      <c r="B288" s="10"/>
      <c r="C288" s="1" t="s">
        <v>2454</v>
      </c>
      <c r="D288" s="1" t="s">
        <v>2076</v>
      </c>
      <c r="E288" s="1" t="s">
        <v>13</v>
      </c>
      <c r="F288" s="1" t="s">
        <v>14</v>
      </c>
      <c r="G288" s="1" t="s">
        <v>1</v>
      </c>
      <c r="H288" s="1" t="s">
        <v>6</v>
      </c>
      <c r="I288" s="1" t="s">
        <v>2</v>
      </c>
      <c r="J288" s="1" t="s">
        <v>3676</v>
      </c>
      <c r="K288" s="1" t="s">
        <v>3686</v>
      </c>
      <c r="L288" s="1" t="s">
        <v>4</v>
      </c>
      <c r="M288" s="1"/>
      <c r="N288" s="1" t="s">
        <v>3687</v>
      </c>
      <c r="O288" s="1" t="s">
        <v>2238</v>
      </c>
      <c r="P288" s="1"/>
      <c r="Q288" s="1"/>
      <c r="R288" s="1" t="s">
        <v>11</v>
      </c>
      <c r="S288" s="1"/>
      <c r="T288" s="1"/>
      <c r="U288" s="1"/>
      <c r="V288" s="1"/>
      <c r="W288" s="1" t="s">
        <v>3688</v>
      </c>
      <c r="X288" s="1"/>
      <c r="Y288" s="1"/>
      <c r="Z288" s="1"/>
      <c r="AA288" s="1"/>
      <c r="AB288" s="1" t="s">
        <v>3689</v>
      </c>
      <c r="AC288" s="1"/>
      <c r="AD288" s="1"/>
      <c r="AE288" s="1"/>
      <c r="AF288" s="1"/>
      <c r="AG288" s="1"/>
      <c r="AH288" s="1" t="s">
        <v>3690</v>
      </c>
      <c r="AI288" s="1"/>
      <c r="AJ288" s="1" t="s">
        <v>3682</v>
      </c>
      <c r="AK288" s="1" t="s">
        <v>3106</v>
      </c>
      <c r="AL288" s="1" t="s">
        <v>3683</v>
      </c>
      <c r="AM288" s="1" t="s">
        <v>3682</v>
      </c>
      <c r="AN288" s="1" t="s">
        <v>3106</v>
      </c>
      <c r="AO288" s="1" t="s">
        <v>3683</v>
      </c>
      <c r="AP288" s="2" t="s">
        <v>3691</v>
      </c>
      <c r="AQ288" s="2" t="s">
        <v>1153</v>
      </c>
      <c r="AR288" s="1"/>
      <c r="AS288" s="1"/>
      <c r="AT288" s="1" t="s">
        <v>5</v>
      </c>
    </row>
    <row r="289" spans="1:46" hidden="1" x14ac:dyDescent="0.4">
      <c r="A289" s="1" t="s">
        <v>6259</v>
      </c>
      <c r="B289" s="10"/>
      <c r="C289" s="1" t="s">
        <v>0</v>
      </c>
      <c r="D289" s="1" t="s">
        <v>2076</v>
      </c>
      <c r="E289" s="1" t="s">
        <v>2078</v>
      </c>
      <c r="F289" s="1" t="s">
        <v>14</v>
      </c>
      <c r="G289" s="1" t="s">
        <v>1</v>
      </c>
      <c r="H289" s="1" t="s">
        <v>6</v>
      </c>
      <c r="I289" s="1" t="s">
        <v>2</v>
      </c>
      <c r="J289" s="1" t="s">
        <v>3</v>
      </c>
      <c r="K289" s="1" t="s">
        <v>6260</v>
      </c>
      <c r="L289" s="1" t="s">
        <v>4</v>
      </c>
      <c r="M289" s="1" t="s">
        <v>9</v>
      </c>
      <c r="N289" s="1" t="s">
        <v>6261</v>
      </c>
      <c r="O289" s="1" t="s">
        <v>5309</v>
      </c>
      <c r="P289" s="1"/>
      <c r="Q289" s="1"/>
      <c r="R289" s="1" t="s">
        <v>11</v>
      </c>
      <c r="S289" s="1"/>
      <c r="T289" s="1"/>
      <c r="U289" s="1"/>
      <c r="V289" s="1"/>
      <c r="W289" s="1" t="s">
        <v>6262</v>
      </c>
      <c r="X289" s="1"/>
      <c r="Y289" s="1"/>
      <c r="Z289" s="1"/>
      <c r="AA289" s="1"/>
      <c r="AB289" s="1" t="s">
        <v>6263</v>
      </c>
      <c r="AC289" s="1"/>
      <c r="AD289" s="1"/>
      <c r="AE289" s="1" t="s">
        <v>6264</v>
      </c>
      <c r="AF289" s="1"/>
      <c r="AG289" s="1"/>
      <c r="AH289" s="1" t="s">
        <v>6265</v>
      </c>
      <c r="AI289" s="1"/>
      <c r="AJ289" s="1" t="s">
        <v>2085</v>
      </c>
      <c r="AK289" s="1" t="s">
        <v>5322</v>
      </c>
      <c r="AL289" s="1"/>
      <c r="AM289" s="1" t="s">
        <v>5323</v>
      </c>
      <c r="AN289" s="1" t="s">
        <v>5322</v>
      </c>
      <c r="AO289" s="1" t="s">
        <v>5324</v>
      </c>
      <c r="AP289" s="2" t="s">
        <v>6266</v>
      </c>
      <c r="AQ289" s="2" t="s">
        <v>1077</v>
      </c>
      <c r="AR289" s="1" t="s">
        <v>286</v>
      </c>
      <c r="AS289" s="1"/>
      <c r="AT289" s="1" t="s">
        <v>5</v>
      </c>
    </row>
    <row r="290" spans="1:46" hidden="1" x14ac:dyDescent="0.4">
      <c r="A290" s="1" t="s">
        <v>4038</v>
      </c>
      <c r="B290" s="10"/>
      <c r="C290" s="1" t="s">
        <v>2491</v>
      </c>
      <c r="D290" s="1" t="s">
        <v>2076</v>
      </c>
      <c r="E290" s="1" t="s">
        <v>2078</v>
      </c>
      <c r="F290" s="1" t="s">
        <v>14</v>
      </c>
      <c r="G290" s="1" t="s">
        <v>1</v>
      </c>
      <c r="H290" s="1" t="s">
        <v>6</v>
      </c>
      <c r="I290" s="1" t="s">
        <v>2</v>
      </c>
      <c r="J290" s="1" t="s">
        <v>2492</v>
      </c>
      <c r="K290" s="1" t="s">
        <v>4039</v>
      </c>
      <c r="L290" s="1" t="s">
        <v>4</v>
      </c>
      <c r="M290" s="1"/>
      <c r="N290" s="1" t="s">
        <v>4040</v>
      </c>
      <c r="O290" s="1" t="s">
        <v>4041</v>
      </c>
      <c r="P290" s="1"/>
      <c r="Q290" s="1"/>
      <c r="R290" s="1" t="s">
        <v>11</v>
      </c>
      <c r="S290" s="1"/>
      <c r="T290" s="1"/>
      <c r="U290" s="1"/>
      <c r="V290" s="1"/>
      <c r="W290" s="1" t="s">
        <v>4042</v>
      </c>
      <c r="X290" s="1" t="s">
        <v>4043</v>
      </c>
      <c r="Y290" s="1"/>
      <c r="Z290" s="1"/>
      <c r="AA290" s="1"/>
      <c r="AB290" s="1" t="s">
        <v>4044</v>
      </c>
      <c r="AC290" s="1"/>
      <c r="AD290" s="1"/>
      <c r="AE290" s="1" t="s">
        <v>4045</v>
      </c>
      <c r="AF290" s="1"/>
      <c r="AG290" s="1"/>
      <c r="AH290" s="1" t="s">
        <v>4046</v>
      </c>
      <c r="AI290" s="1"/>
      <c r="AJ290" s="1" t="s">
        <v>4047</v>
      </c>
      <c r="AK290" s="1" t="s">
        <v>4048</v>
      </c>
      <c r="AL290" s="1" t="s">
        <v>4049</v>
      </c>
      <c r="AM290" s="1" t="s">
        <v>4050</v>
      </c>
      <c r="AN290" s="1" t="s">
        <v>4048</v>
      </c>
      <c r="AO290" s="1" t="s">
        <v>4051</v>
      </c>
      <c r="AP290" s="2" t="s">
        <v>4052</v>
      </c>
      <c r="AQ290" s="2" t="s">
        <v>1153</v>
      </c>
      <c r="AR290" s="1" t="s">
        <v>286</v>
      </c>
      <c r="AS290" s="1"/>
      <c r="AT290" s="1" t="s">
        <v>5</v>
      </c>
    </row>
    <row r="291" spans="1:46" hidden="1" x14ac:dyDescent="0.4">
      <c r="A291" s="1" t="s">
        <v>8546</v>
      </c>
      <c r="B291" s="10"/>
      <c r="C291" s="1" t="s">
        <v>3626</v>
      </c>
      <c r="D291" s="1" t="s">
        <v>2220</v>
      </c>
      <c r="E291" s="1" t="s">
        <v>2078</v>
      </c>
      <c r="F291" s="1" t="s">
        <v>14</v>
      </c>
      <c r="G291" s="1" t="s">
        <v>1</v>
      </c>
      <c r="H291" s="1" t="s">
        <v>6</v>
      </c>
      <c r="I291" s="1" t="s">
        <v>2</v>
      </c>
      <c r="J291" s="1" t="s">
        <v>3514</v>
      </c>
      <c r="K291" s="1" t="s">
        <v>8547</v>
      </c>
      <c r="L291" s="1" t="s">
        <v>7</v>
      </c>
      <c r="M291" s="1" t="s">
        <v>9</v>
      </c>
      <c r="N291" s="1" t="s">
        <v>8548</v>
      </c>
      <c r="O291" s="1" t="s">
        <v>8549</v>
      </c>
      <c r="P291" s="1" t="s">
        <v>8550</v>
      </c>
      <c r="Q291" s="1"/>
      <c r="R291" s="1" t="s">
        <v>11</v>
      </c>
      <c r="S291" s="1"/>
      <c r="T291" s="1"/>
      <c r="U291" s="1"/>
      <c r="V291" s="1"/>
      <c r="W291" s="1"/>
      <c r="X291" s="1" t="s">
        <v>8551</v>
      </c>
      <c r="Y291" s="1"/>
      <c r="Z291" s="1"/>
      <c r="AA291" s="1"/>
      <c r="AB291" s="1" t="s">
        <v>8552</v>
      </c>
      <c r="AC291" s="1"/>
      <c r="AD291" s="1"/>
      <c r="AE291" s="1" t="s">
        <v>8553</v>
      </c>
      <c r="AF291" s="1"/>
      <c r="AG291" s="1"/>
      <c r="AH291" s="1" t="s">
        <v>8554</v>
      </c>
      <c r="AI291" s="1"/>
      <c r="AJ291" s="1" t="s">
        <v>8555</v>
      </c>
      <c r="AK291" s="1" t="s">
        <v>4035</v>
      </c>
      <c r="AL291" s="1" t="s">
        <v>8556</v>
      </c>
      <c r="AM291" s="1" t="s">
        <v>8555</v>
      </c>
      <c r="AN291" s="1" t="s">
        <v>4035</v>
      </c>
      <c r="AO291" s="1" t="s">
        <v>8556</v>
      </c>
      <c r="AP291" s="2" t="s">
        <v>8557</v>
      </c>
      <c r="AQ291" s="2" t="s">
        <v>1154</v>
      </c>
      <c r="AR291" s="1" t="s">
        <v>286</v>
      </c>
      <c r="AS291" s="1"/>
      <c r="AT291" s="1" t="s">
        <v>5</v>
      </c>
    </row>
    <row r="292" spans="1:46" hidden="1" x14ac:dyDescent="0.4">
      <c r="A292" s="1" t="s">
        <v>2576</v>
      </c>
      <c r="B292" s="10"/>
      <c r="C292" s="1" t="s">
        <v>1664</v>
      </c>
      <c r="D292" s="1" t="s">
        <v>2157</v>
      </c>
      <c r="E292" s="1" t="s">
        <v>2078</v>
      </c>
      <c r="F292" s="1" t="s">
        <v>14</v>
      </c>
      <c r="G292" s="1" t="s">
        <v>1</v>
      </c>
      <c r="H292" s="1" t="s">
        <v>6</v>
      </c>
      <c r="I292" s="1" t="s">
        <v>2</v>
      </c>
      <c r="J292" s="1" t="s">
        <v>3</v>
      </c>
      <c r="K292" s="1" t="s">
        <v>2577</v>
      </c>
      <c r="L292" s="1" t="s">
        <v>7</v>
      </c>
      <c r="M292" s="1" t="s">
        <v>9</v>
      </c>
      <c r="N292" s="1" t="s">
        <v>2578</v>
      </c>
      <c r="O292" s="1" t="s">
        <v>2160</v>
      </c>
      <c r="P292" s="1"/>
      <c r="Q292" s="1"/>
      <c r="R292" s="1" t="s">
        <v>11</v>
      </c>
      <c r="S292" s="1"/>
      <c r="T292" s="1"/>
      <c r="U292" s="1"/>
      <c r="V292" s="1"/>
      <c r="W292" s="1" t="s">
        <v>2579</v>
      </c>
      <c r="X292" s="1" t="s">
        <v>2580</v>
      </c>
      <c r="Y292" s="1"/>
      <c r="Z292" s="1"/>
      <c r="AA292" s="1"/>
      <c r="AB292" s="1" t="s">
        <v>2581</v>
      </c>
      <c r="AC292" s="1"/>
      <c r="AD292" s="1"/>
      <c r="AE292" s="1"/>
      <c r="AF292" s="1"/>
      <c r="AG292" s="1"/>
      <c r="AH292" s="1" t="s">
        <v>2582</v>
      </c>
      <c r="AI292" s="1"/>
      <c r="AJ292" s="1" t="s">
        <v>2583</v>
      </c>
      <c r="AK292" s="1" t="s">
        <v>2584</v>
      </c>
      <c r="AL292" s="1" t="s">
        <v>2585</v>
      </c>
      <c r="AM292" s="1" t="s">
        <v>2586</v>
      </c>
      <c r="AN292" s="1" t="s">
        <v>2587</v>
      </c>
      <c r="AO292" s="1" t="s">
        <v>2588</v>
      </c>
      <c r="AP292" s="2" t="s">
        <v>2589</v>
      </c>
      <c r="AQ292" s="2" t="s">
        <v>1153</v>
      </c>
      <c r="AR292" s="1"/>
      <c r="AS292" s="1"/>
      <c r="AT292" s="1" t="s">
        <v>5</v>
      </c>
    </row>
    <row r="293" spans="1:46" hidden="1" x14ac:dyDescent="0.4">
      <c r="A293" s="1" t="s">
        <v>6303</v>
      </c>
      <c r="B293" s="10"/>
      <c r="C293" s="1" t="s">
        <v>3626</v>
      </c>
      <c r="D293" s="1" t="s">
        <v>2211</v>
      </c>
      <c r="E293" s="1" t="s">
        <v>2078</v>
      </c>
      <c r="F293" s="1" t="s">
        <v>14</v>
      </c>
      <c r="G293" s="1" t="s">
        <v>1</v>
      </c>
      <c r="H293" s="1" t="s">
        <v>6</v>
      </c>
      <c r="I293" s="1" t="s">
        <v>2</v>
      </c>
      <c r="J293" s="1" t="s">
        <v>3514</v>
      </c>
      <c r="K293" s="1" t="s">
        <v>6304</v>
      </c>
      <c r="L293" s="1" t="s">
        <v>7</v>
      </c>
      <c r="M293" s="1" t="s">
        <v>9</v>
      </c>
      <c r="N293" s="1" t="s">
        <v>6305</v>
      </c>
      <c r="O293" s="1" t="s">
        <v>2238</v>
      </c>
      <c r="P293" s="1"/>
      <c r="Q293" s="1"/>
      <c r="R293" s="1" t="s">
        <v>11</v>
      </c>
      <c r="S293" s="1"/>
      <c r="T293" s="1"/>
      <c r="U293" s="1"/>
      <c r="V293" s="1"/>
      <c r="W293" s="1"/>
      <c r="X293" s="1" t="s">
        <v>6306</v>
      </c>
      <c r="Y293" s="1"/>
      <c r="Z293" s="1"/>
      <c r="AA293" s="1"/>
      <c r="AB293" s="1" t="s">
        <v>6307</v>
      </c>
      <c r="AC293" s="1"/>
      <c r="AD293" s="1"/>
      <c r="AE293" s="1" t="s">
        <v>6293</v>
      </c>
      <c r="AF293" s="1"/>
      <c r="AG293" s="1"/>
      <c r="AH293" s="1" t="s">
        <v>6308</v>
      </c>
      <c r="AI293" s="1"/>
      <c r="AJ293" s="1" t="s">
        <v>4777</v>
      </c>
      <c r="AK293" s="1" t="s">
        <v>4035</v>
      </c>
      <c r="AL293" s="1" t="s">
        <v>4778</v>
      </c>
      <c r="AM293" s="1" t="s">
        <v>4777</v>
      </c>
      <c r="AN293" s="1" t="s">
        <v>4035</v>
      </c>
      <c r="AO293" s="1" t="s">
        <v>4778</v>
      </c>
      <c r="AP293" s="2" t="s">
        <v>6309</v>
      </c>
      <c r="AQ293" s="2" t="s">
        <v>1077</v>
      </c>
      <c r="AR293" s="1" t="s">
        <v>286</v>
      </c>
      <c r="AS293" s="1"/>
      <c r="AT293" s="1" t="s">
        <v>5</v>
      </c>
    </row>
    <row r="294" spans="1:46" hidden="1" x14ac:dyDescent="0.4">
      <c r="A294" s="1" t="s">
        <v>6288</v>
      </c>
      <c r="B294" s="10"/>
      <c r="C294" s="1" t="s">
        <v>3626</v>
      </c>
      <c r="D294" s="1" t="s">
        <v>2211</v>
      </c>
      <c r="E294" s="1" t="s">
        <v>2078</v>
      </c>
      <c r="F294" s="1" t="s">
        <v>14</v>
      </c>
      <c r="G294" s="1" t="s">
        <v>1</v>
      </c>
      <c r="H294" s="1" t="s">
        <v>6</v>
      </c>
      <c r="I294" s="1" t="s">
        <v>2</v>
      </c>
      <c r="J294" s="1" t="s">
        <v>3514</v>
      </c>
      <c r="K294" s="1" t="s">
        <v>6289</v>
      </c>
      <c r="L294" s="1" t="s">
        <v>7</v>
      </c>
      <c r="M294" s="1" t="s">
        <v>9</v>
      </c>
      <c r="N294" s="1" t="s">
        <v>6290</v>
      </c>
      <c r="O294" s="1" t="s">
        <v>2238</v>
      </c>
      <c r="P294" s="1"/>
      <c r="Q294" s="1"/>
      <c r="R294" s="1" t="s">
        <v>11</v>
      </c>
      <c r="S294" s="1"/>
      <c r="T294" s="1"/>
      <c r="U294" s="1"/>
      <c r="V294" s="1"/>
      <c r="W294" s="1"/>
      <c r="X294" s="1" t="s">
        <v>6291</v>
      </c>
      <c r="Y294" s="1"/>
      <c r="Z294" s="1"/>
      <c r="AA294" s="1"/>
      <c r="AB294" s="1" t="s">
        <v>6292</v>
      </c>
      <c r="AC294" s="1"/>
      <c r="AD294" s="1"/>
      <c r="AE294" s="1" t="s">
        <v>6293</v>
      </c>
      <c r="AF294" s="1"/>
      <c r="AG294" s="1"/>
      <c r="AH294" s="1" t="s">
        <v>6294</v>
      </c>
      <c r="AI294" s="1"/>
      <c r="AJ294" s="1" t="s">
        <v>4777</v>
      </c>
      <c r="AK294" s="1" t="s">
        <v>4035</v>
      </c>
      <c r="AL294" s="1" t="s">
        <v>4778</v>
      </c>
      <c r="AM294" s="1" t="s">
        <v>4777</v>
      </c>
      <c r="AN294" s="1" t="s">
        <v>4035</v>
      </c>
      <c r="AO294" s="1" t="s">
        <v>4778</v>
      </c>
      <c r="AP294" s="2" t="s">
        <v>6295</v>
      </c>
      <c r="AQ294" s="2" t="s">
        <v>1077</v>
      </c>
      <c r="AR294" s="1" t="s">
        <v>286</v>
      </c>
      <c r="AS294" s="1"/>
      <c r="AT294" s="1" t="s">
        <v>5</v>
      </c>
    </row>
    <row r="295" spans="1:46" hidden="1" x14ac:dyDescent="0.4">
      <c r="A295" s="1" t="s">
        <v>8539</v>
      </c>
      <c r="B295" s="10"/>
      <c r="C295" s="1" t="s">
        <v>0</v>
      </c>
      <c r="D295" s="1" t="s">
        <v>2157</v>
      </c>
      <c r="E295" s="1" t="s">
        <v>2078</v>
      </c>
      <c r="F295" s="1" t="s">
        <v>14</v>
      </c>
      <c r="G295" s="1" t="s">
        <v>1</v>
      </c>
      <c r="H295" s="1" t="s">
        <v>6</v>
      </c>
      <c r="I295" s="1" t="s">
        <v>2</v>
      </c>
      <c r="J295" s="1" t="s">
        <v>3</v>
      </c>
      <c r="K295" s="1" t="s">
        <v>8540</v>
      </c>
      <c r="L295" s="1" t="s">
        <v>7</v>
      </c>
      <c r="M295" s="1" t="s">
        <v>9</v>
      </c>
      <c r="N295" s="1" t="s">
        <v>8541</v>
      </c>
      <c r="O295" s="1" t="s">
        <v>8057</v>
      </c>
      <c r="P295" s="1"/>
      <c r="Q295" s="1"/>
      <c r="R295" s="1" t="s">
        <v>11</v>
      </c>
      <c r="S295" s="1"/>
      <c r="T295" s="1"/>
      <c r="U295" s="1"/>
      <c r="V295" s="1"/>
      <c r="W295" s="1"/>
      <c r="X295" s="1"/>
      <c r="Y295" s="1"/>
      <c r="Z295" s="1"/>
      <c r="AA295" s="1"/>
      <c r="AB295" s="1" t="s">
        <v>8542</v>
      </c>
      <c r="AC295" s="1"/>
      <c r="AD295" s="1"/>
      <c r="AE295" s="1" t="s">
        <v>8059</v>
      </c>
      <c r="AF295" s="1"/>
      <c r="AG295" s="1"/>
      <c r="AH295" s="1" t="s">
        <v>8543</v>
      </c>
      <c r="AI295" s="1"/>
      <c r="AJ295" s="1" t="s">
        <v>8061</v>
      </c>
      <c r="AK295" s="1" t="s">
        <v>8062</v>
      </c>
      <c r="AL295" s="1" t="s">
        <v>8063</v>
      </c>
      <c r="AM295" s="1" t="s">
        <v>8064</v>
      </c>
      <c r="AN295" s="1" t="s">
        <v>8062</v>
      </c>
      <c r="AO295" s="1" t="s">
        <v>8065</v>
      </c>
      <c r="AP295" s="2" t="s">
        <v>8544</v>
      </c>
      <c r="AQ295" s="2" t="s">
        <v>1154</v>
      </c>
      <c r="AR295" s="1" t="s">
        <v>286</v>
      </c>
      <c r="AS295" s="1" t="s">
        <v>8545</v>
      </c>
      <c r="AT295" s="1" t="s">
        <v>5</v>
      </c>
    </row>
    <row r="296" spans="1:46" hidden="1" x14ac:dyDescent="0.4">
      <c r="A296" s="1" t="s">
        <v>8054</v>
      </c>
      <c r="B296" s="10"/>
      <c r="C296" s="1" t="s">
        <v>0</v>
      </c>
      <c r="D296" s="1" t="s">
        <v>2157</v>
      </c>
      <c r="E296" s="1" t="s">
        <v>2078</v>
      </c>
      <c r="F296" s="1" t="s">
        <v>14</v>
      </c>
      <c r="G296" s="1" t="s">
        <v>1</v>
      </c>
      <c r="H296" s="1" t="s">
        <v>6</v>
      </c>
      <c r="I296" s="1" t="s">
        <v>2</v>
      </c>
      <c r="J296" s="1" t="s">
        <v>3</v>
      </c>
      <c r="K296" s="1" t="s">
        <v>8055</v>
      </c>
      <c r="L296" s="1" t="s">
        <v>7</v>
      </c>
      <c r="M296" s="1" t="s">
        <v>9</v>
      </c>
      <c r="N296" s="1" t="s">
        <v>8056</v>
      </c>
      <c r="O296" s="1" t="s">
        <v>8057</v>
      </c>
      <c r="P296" s="1"/>
      <c r="Q296" s="1"/>
      <c r="R296" s="1" t="s">
        <v>11</v>
      </c>
      <c r="S296" s="1"/>
      <c r="T296" s="1"/>
      <c r="U296" s="1"/>
      <c r="V296" s="1"/>
      <c r="W296" s="1"/>
      <c r="X296" s="1"/>
      <c r="Y296" s="1"/>
      <c r="Z296" s="1"/>
      <c r="AA296" s="1"/>
      <c r="AB296" s="1" t="s">
        <v>8058</v>
      </c>
      <c r="AC296" s="1"/>
      <c r="AD296" s="1"/>
      <c r="AE296" s="1" t="s">
        <v>8059</v>
      </c>
      <c r="AF296" s="1"/>
      <c r="AG296" s="1"/>
      <c r="AH296" s="1" t="s">
        <v>8060</v>
      </c>
      <c r="AI296" s="1"/>
      <c r="AJ296" s="1" t="s">
        <v>8061</v>
      </c>
      <c r="AK296" s="1" t="s">
        <v>8062</v>
      </c>
      <c r="AL296" s="1" t="s">
        <v>8063</v>
      </c>
      <c r="AM296" s="1" t="s">
        <v>8064</v>
      </c>
      <c r="AN296" s="1" t="s">
        <v>8062</v>
      </c>
      <c r="AO296" s="1" t="s">
        <v>8065</v>
      </c>
      <c r="AP296" s="2" t="s">
        <v>8066</v>
      </c>
      <c r="AQ296" s="2" t="s">
        <v>1154</v>
      </c>
      <c r="AR296" s="1" t="s">
        <v>286</v>
      </c>
      <c r="AS296" s="1" t="s">
        <v>8067</v>
      </c>
      <c r="AT296" s="1" t="s">
        <v>5</v>
      </c>
    </row>
    <row r="297" spans="1:46" hidden="1" x14ac:dyDescent="0.4">
      <c r="A297" s="1" t="s">
        <v>11635</v>
      </c>
      <c r="B297" s="10"/>
      <c r="C297" s="1" t="s">
        <v>0</v>
      </c>
      <c r="D297" s="1" t="s">
        <v>2211</v>
      </c>
      <c r="E297" s="1" t="s">
        <v>2078</v>
      </c>
      <c r="F297" s="1" t="s">
        <v>14</v>
      </c>
      <c r="G297" s="1" t="s">
        <v>1</v>
      </c>
      <c r="H297" s="1" t="s">
        <v>6</v>
      </c>
      <c r="I297" s="1" t="s">
        <v>2</v>
      </c>
      <c r="J297" s="1" t="s">
        <v>3</v>
      </c>
      <c r="K297" s="1" t="s">
        <v>11636</v>
      </c>
      <c r="L297" s="1" t="s">
        <v>7</v>
      </c>
      <c r="M297" s="1"/>
      <c r="N297" s="1" t="s">
        <v>11637</v>
      </c>
      <c r="O297" s="1" t="s">
        <v>2603</v>
      </c>
      <c r="P297" s="1"/>
      <c r="Q297" s="1" t="s">
        <v>12</v>
      </c>
      <c r="R297" s="1" t="s">
        <v>11</v>
      </c>
      <c r="S297" s="1"/>
      <c r="T297" s="1" t="s">
        <v>12</v>
      </c>
      <c r="U297" s="1" t="s">
        <v>11</v>
      </c>
      <c r="V297" s="1"/>
      <c r="W297" s="1"/>
      <c r="X297" s="1"/>
      <c r="Y297" s="1"/>
      <c r="Z297" s="1"/>
      <c r="AA297" s="1"/>
      <c r="AB297" s="1" t="s">
        <v>11638</v>
      </c>
      <c r="AC297" s="1"/>
      <c r="AD297" s="1"/>
      <c r="AE297" s="1" t="s">
        <v>11639</v>
      </c>
      <c r="AF297" s="1"/>
      <c r="AG297" s="1"/>
      <c r="AH297" s="1" t="s">
        <v>11640</v>
      </c>
      <c r="AI297" s="1"/>
      <c r="AJ297" s="1" t="s">
        <v>1682</v>
      </c>
      <c r="AK297" s="1" t="s">
        <v>1683</v>
      </c>
      <c r="AL297" s="1" t="s">
        <v>1684</v>
      </c>
      <c r="AM297" s="1" t="s">
        <v>11641</v>
      </c>
      <c r="AN297" s="1" t="s">
        <v>1683</v>
      </c>
      <c r="AO297" s="1" t="s">
        <v>11642</v>
      </c>
      <c r="AP297" s="2" t="s">
        <v>11643</v>
      </c>
      <c r="AQ297" s="2" t="s">
        <v>1155</v>
      </c>
      <c r="AR297" s="1" t="s">
        <v>286</v>
      </c>
      <c r="AS297" s="1" t="s">
        <v>11644</v>
      </c>
      <c r="AT297" s="1" t="s">
        <v>5</v>
      </c>
    </row>
    <row r="298" spans="1:46" hidden="1" x14ac:dyDescent="0.4">
      <c r="A298" s="1" t="s">
        <v>5271</v>
      </c>
      <c r="B298" s="10"/>
      <c r="C298" s="1" t="s">
        <v>93</v>
      </c>
      <c r="D298" s="1" t="s">
        <v>2211</v>
      </c>
      <c r="E298" s="1" t="s">
        <v>2078</v>
      </c>
      <c r="F298" s="1" t="s">
        <v>14</v>
      </c>
      <c r="G298" s="1" t="s">
        <v>1</v>
      </c>
      <c r="H298" s="1" t="s">
        <v>6</v>
      </c>
      <c r="I298" s="1" t="s">
        <v>2</v>
      </c>
      <c r="J298" s="1" t="s">
        <v>3</v>
      </c>
      <c r="K298" s="1" t="s">
        <v>5272</v>
      </c>
      <c r="L298" s="1" t="s">
        <v>7</v>
      </c>
      <c r="M298" s="1"/>
      <c r="N298" s="1" t="s">
        <v>5273</v>
      </c>
      <c r="O298" s="1" t="s">
        <v>5256</v>
      </c>
      <c r="P298" s="1"/>
      <c r="Q298" s="1"/>
      <c r="R298" s="1" t="s">
        <v>11</v>
      </c>
      <c r="S298" s="1"/>
      <c r="T298" s="1"/>
      <c r="U298" s="1"/>
      <c r="V298" s="1"/>
      <c r="W298" s="1"/>
      <c r="X298" s="1"/>
      <c r="Y298" s="1"/>
      <c r="Z298" s="1"/>
      <c r="AA298" s="1"/>
      <c r="AB298" s="1" t="s">
        <v>5274</v>
      </c>
      <c r="AC298" s="1"/>
      <c r="AD298" s="1"/>
      <c r="AE298" s="1"/>
      <c r="AF298" s="1"/>
      <c r="AG298" s="1"/>
      <c r="AH298" s="1" t="s">
        <v>5275</v>
      </c>
      <c r="AI298" s="1"/>
      <c r="AJ298" s="1" t="s">
        <v>5259</v>
      </c>
      <c r="AK298" s="1" t="s">
        <v>5260</v>
      </c>
      <c r="AL298" s="1" t="s">
        <v>5261</v>
      </c>
      <c r="AM298" s="1" t="s">
        <v>5259</v>
      </c>
      <c r="AN298" s="1" t="s">
        <v>5260</v>
      </c>
      <c r="AO298" s="1" t="s">
        <v>5261</v>
      </c>
      <c r="AP298" s="2" t="s">
        <v>5276</v>
      </c>
      <c r="AQ298" s="2" t="s">
        <v>1077</v>
      </c>
      <c r="AR298" s="1" t="s">
        <v>286</v>
      </c>
      <c r="AS298" s="1" t="s">
        <v>5270</v>
      </c>
      <c r="AT298" s="1" t="s">
        <v>5</v>
      </c>
    </row>
    <row r="299" spans="1:46" hidden="1" x14ac:dyDescent="0.4">
      <c r="A299" s="1" t="s">
        <v>5253</v>
      </c>
      <c r="B299" s="10"/>
      <c r="C299" s="1" t="s">
        <v>93</v>
      </c>
      <c r="D299" s="1" t="s">
        <v>2211</v>
      </c>
      <c r="E299" s="1" t="s">
        <v>2078</v>
      </c>
      <c r="F299" s="1" t="s">
        <v>14</v>
      </c>
      <c r="G299" s="1" t="s">
        <v>1</v>
      </c>
      <c r="H299" s="1" t="s">
        <v>6</v>
      </c>
      <c r="I299" s="1" t="s">
        <v>2</v>
      </c>
      <c r="J299" s="1" t="s">
        <v>3</v>
      </c>
      <c r="K299" s="1" t="s">
        <v>5254</v>
      </c>
      <c r="L299" s="1" t="s">
        <v>7</v>
      </c>
      <c r="M299" s="1"/>
      <c r="N299" s="1" t="s">
        <v>5255</v>
      </c>
      <c r="O299" s="1" t="s">
        <v>5256</v>
      </c>
      <c r="P299" s="1"/>
      <c r="Q299" s="1"/>
      <c r="R299" s="1" t="s">
        <v>11</v>
      </c>
      <c r="S299" s="1"/>
      <c r="T299" s="1"/>
      <c r="U299" s="1"/>
      <c r="V299" s="1"/>
      <c r="W299" s="1"/>
      <c r="X299" s="1"/>
      <c r="Y299" s="1"/>
      <c r="Z299" s="1"/>
      <c r="AA299" s="1"/>
      <c r="AB299" s="1" t="s">
        <v>5257</v>
      </c>
      <c r="AC299" s="1"/>
      <c r="AD299" s="1"/>
      <c r="AE299" s="1"/>
      <c r="AF299" s="1"/>
      <c r="AG299" s="1"/>
      <c r="AH299" s="1" t="s">
        <v>5258</v>
      </c>
      <c r="AI299" s="1"/>
      <c r="AJ299" s="1" t="s">
        <v>5259</v>
      </c>
      <c r="AK299" s="1" t="s">
        <v>5260</v>
      </c>
      <c r="AL299" s="1" t="s">
        <v>5261</v>
      </c>
      <c r="AM299" s="1" t="s">
        <v>5259</v>
      </c>
      <c r="AN299" s="1" t="s">
        <v>5260</v>
      </c>
      <c r="AO299" s="1" t="s">
        <v>5261</v>
      </c>
      <c r="AP299" s="2" t="s">
        <v>5262</v>
      </c>
      <c r="AQ299" s="2" t="s">
        <v>1077</v>
      </c>
      <c r="AR299" s="1" t="s">
        <v>286</v>
      </c>
      <c r="AS299" s="1" t="s">
        <v>5263</v>
      </c>
      <c r="AT299" s="1" t="s">
        <v>5</v>
      </c>
    </row>
    <row r="300" spans="1:46" hidden="1" x14ac:dyDescent="0.4">
      <c r="A300" s="1" t="s">
        <v>3065</v>
      </c>
      <c r="B300" s="10"/>
      <c r="C300" s="1" t="s">
        <v>2675</v>
      </c>
      <c r="D300" s="1" t="s">
        <v>2827</v>
      </c>
      <c r="E300" s="1" t="s">
        <v>2078</v>
      </c>
      <c r="F300" s="1" t="s">
        <v>14</v>
      </c>
      <c r="G300" s="1" t="s">
        <v>1</v>
      </c>
      <c r="H300" s="1" t="s">
        <v>6</v>
      </c>
      <c r="I300" s="1" t="s">
        <v>2</v>
      </c>
      <c r="J300" s="1" t="s">
        <v>2492</v>
      </c>
      <c r="K300" s="1" t="s">
        <v>3066</v>
      </c>
      <c r="L300" s="1" t="s">
        <v>7</v>
      </c>
      <c r="M300" s="1" t="s">
        <v>9</v>
      </c>
      <c r="N300" s="1" t="s">
        <v>3067</v>
      </c>
      <c r="O300" s="1" t="s">
        <v>3068</v>
      </c>
      <c r="P300" s="1"/>
      <c r="Q300" s="1"/>
      <c r="R300" s="1" t="s">
        <v>11</v>
      </c>
      <c r="S300" s="1"/>
      <c r="T300" s="1"/>
      <c r="U300" s="1"/>
      <c r="V300" s="1"/>
      <c r="W300" s="1" t="s">
        <v>3069</v>
      </c>
      <c r="X300" s="1"/>
      <c r="Y300" s="1"/>
      <c r="Z300" s="1"/>
      <c r="AA300" s="1"/>
      <c r="AB300" s="1" t="s">
        <v>3070</v>
      </c>
      <c r="AC300" s="1"/>
      <c r="AD300" s="1"/>
      <c r="AE300" s="1" t="s">
        <v>3071</v>
      </c>
      <c r="AF300" s="1"/>
      <c r="AG300" s="1"/>
      <c r="AH300" s="1" t="s">
        <v>3072</v>
      </c>
      <c r="AI300" s="1"/>
      <c r="AJ300" s="1" t="s">
        <v>3073</v>
      </c>
      <c r="AK300" s="1" t="s">
        <v>3074</v>
      </c>
      <c r="AL300" s="1" t="s">
        <v>3075</v>
      </c>
      <c r="AM300" s="1" t="s">
        <v>3073</v>
      </c>
      <c r="AN300" s="1" t="s">
        <v>3074</v>
      </c>
      <c r="AO300" s="1" t="s">
        <v>3075</v>
      </c>
      <c r="AP300" s="2" t="s">
        <v>3076</v>
      </c>
      <c r="AQ300" s="2" t="s">
        <v>1077</v>
      </c>
      <c r="AR300" s="1"/>
      <c r="AS300" s="1"/>
      <c r="AT300" s="1" t="s">
        <v>5</v>
      </c>
    </row>
    <row r="301" spans="1:46" hidden="1" x14ac:dyDescent="0.4">
      <c r="A301" s="1" t="s">
        <v>6816</v>
      </c>
      <c r="B301" s="10"/>
      <c r="C301" s="1" t="s">
        <v>93</v>
      </c>
      <c r="D301" s="1" t="s">
        <v>2157</v>
      </c>
      <c r="E301" s="1" t="s">
        <v>2078</v>
      </c>
      <c r="F301" s="1" t="s">
        <v>14</v>
      </c>
      <c r="G301" s="1" t="s">
        <v>1</v>
      </c>
      <c r="H301" s="1" t="s">
        <v>6</v>
      </c>
      <c r="I301" s="1" t="s">
        <v>2</v>
      </c>
      <c r="J301" s="1" t="s">
        <v>3</v>
      </c>
      <c r="K301" s="1" t="s">
        <v>6817</v>
      </c>
      <c r="L301" s="1" t="s">
        <v>7</v>
      </c>
      <c r="M301" s="1"/>
      <c r="N301" s="1" t="s">
        <v>6818</v>
      </c>
      <c r="O301" s="1" t="s">
        <v>5256</v>
      </c>
      <c r="P301" s="1"/>
      <c r="Q301" s="1"/>
      <c r="R301" s="1" t="s">
        <v>11</v>
      </c>
      <c r="S301" s="1"/>
      <c r="T301" s="1"/>
      <c r="U301" s="1"/>
      <c r="V301" s="1"/>
      <c r="W301" s="1"/>
      <c r="X301" s="1"/>
      <c r="Y301" s="1"/>
      <c r="Z301" s="1"/>
      <c r="AA301" s="1"/>
      <c r="AB301" s="1" t="s">
        <v>6819</v>
      </c>
      <c r="AC301" s="1"/>
      <c r="AD301" s="1"/>
      <c r="AE301" s="1" t="s">
        <v>5282</v>
      </c>
      <c r="AF301" s="1"/>
      <c r="AG301" s="1"/>
      <c r="AH301" s="1" t="s">
        <v>6820</v>
      </c>
      <c r="AI301" s="1" t="s">
        <v>6821</v>
      </c>
      <c r="AJ301" s="1" t="s">
        <v>6822</v>
      </c>
      <c r="AK301" s="1" t="s">
        <v>6275</v>
      </c>
      <c r="AL301" s="1" t="s">
        <v>6823</v>
      </c>
      <c r="AM301" s="1" t="s">
        <v>6822</v>
      </c>
      <c r="AN301" s="1" t="s">
        <v>6275</v>
      </c>
      <c r="AO301" s="1" t="s">
        <v>6823</v>
      </c>
      <c r="AP301" s="2" t="s">
        <v>6824</v>
      </c>
      <c r="AQ301" s="2" t="s">
        <v>1077</v>
      </c>
      <c r="AR301" s="1" t="s">
        <v>286</v>
      </c>
      <c r="AS301" s="1" t="s">
        <v>6825</v>
      </c>
      <c r="AT301" s="1" t="s">
        <v>5</v>
      </c>
    </row>
    <row r="302" spans="1:46" hidden="1" x14ac:dyDescent="0.4">
      <c r="A302" s="1" t="s">
        <v>9190</v>
      </c>
      <c r="B302" s="10"/>
      <c r="C302" s="1" t="s">
        <v>2494</v>
      </c>
      <c r="D302" s="1" t="s">
        <v>2157</v>
      </c>
      <c r="E302" s="1" t="s">
        <v>2078</v>
      </c>
      <c r="F302" s="1" t="s">
        <v>14</v>
      </c>
      <c r="G302" s="1" t="s">
        <v>1</v>
      </c>
      <c r="H302" s="1" t="s">
        <v>6</v>
      </c>
      <c r="I302" s="1" t="s">
        <v>2</v>
      </c>
      <c r="J302" s="1" t="s">
        <v>2450</v>
      </c>
      <c r="K302" s="1" t="s">
        <v>9191</v>
      </c>
      <c r="L302" s="1" t="s">
        <v>7</v>
      </c>
      <c r="M302" s="1"/>
      <c r="N302" s="1" t="s">
        <v>9192</v>
      </c>
      <c r="O302" s="1" t="s">
        <v>6762</v>
      </c>
      <c r="P302" s="1"/>
      <c r="Q302" s="1"/>
      <c r="R302" s="1" t="s">
        <v>11</v>
      </c>
      <c r="S302" s="1"/>
      <c r="T302" s="1"/>
      <c r="U302" s="1"/>
      <c r="V302" s="1"/>
      <c r="W302" s="1"/>
      <c r="X302" s="1" t="s">
        <v>9193</v>
      </c>
      <c r="Y302" s="1"/>
      <c r="Z302" s="1"/>
      <c r="AA302" s="1"/>
      <c r="AB302" s="1" t="s">
        <v>9194</v>
      </c>
      <c r="AC302" s="1"/>
      <c r="AD302" s="1"/>
      <c r="AE302" s="1" t="s">
        <v>9195</v>
      </c>
      <c r="AF302" s="1"/>
      <c r="AG302" s="1"/>
      <c r="AH302" s="1" t="s">
        <v>9196</v>
      </c>
      <c r="AI302" s="1"/>
      <c r="AJ302" s="1" t="s">
        <v>9197</v>
      </c>
      <c r="AK302" s="1" t="s">
        <v>6061</v>
      </c>
      <c r="AL302" s="1" t="s">
        <v>9198</v>
      </c>
      <c r="AM302" s="1" t="s">
        <v>9197</v>
      </c>
      <c r="AN302" s="1" t="s">
        <v>6061</v>
      </c>
      <c r="AO302" s="1" t="s">
        <v>9198</v>
      </c>
      <c r="AP302" s="2" t="s">
        <v>9199</v>
      </c>
      <c r="AQ302" s="2" t="s">
        <v>1154</v>
      </c>
      <c r="AR302" s="1" t="s">
        <v>286</v>
      </c>
      <c r="AS302" s="1" t="s">
        <v>9200</v>
      </c>
      <c r="AT302" s="1" t="s">
        <v>5</v>
      </c>
    </row>
    <row r="303" spans="1:46" hidden="1" x14ac:dyDescent="0.4">
      <c r="A303" s="1" t="s">
        <v>6278</v>
      </c>
      <c r="B303" s="10"/>
      <c r="C303" s="1" t="s">
        <v>3626</v>
      </c>
      <c r="D303" s="1" t="s">
        <v>2157</v>
      </c>
      <c r="E303" s="1" t="s">
        <v>2078</v>
      </c>
      <c r="F303" s="1" t="s">
        <v>14</v>
      </c>
      <c r="G303" s="1" t="s">
        <v>1</v>
      </c>
      <c r="H303" s="1" t="s">
        <v>6</v>
      </c>
      <c r="I303" s="1" t="s">
        <v>2</v>
      </c>
      <c r="J303" s="1" t="s">
        <v>3514</v>
      </c>
      <c r="K303" s="1" t="s">
        <v>6279</v>
      </c>
      <c r="L303" s="1" t="s">
        <v>7</v>
      </c>
      <c r="M303" s="1"/>
      <c r="N303" s="1" t="s">
        <v>6280</v>
      </c>
      <c r="O303" s="1" t="s">
        <v>4643</v>
      </c>
      <c r="P303" s="1"/>
      <c r="Q303" s="1"/>
      <c r="R303" s="1" t="s">
        <v>11</v>
      </c>
      <c r="S303" s="1"/>
      <c r="T303" s="1"/>
      <c r="U303" s="1"/>
      <c r="V303" s="1"/>
      <c r="W303" s="1"/>
      <c r="X303" s="1" t="s">
        <v>6281</v>
      </c>
      <c r="Y303" s="1"/>
      <c r="Z303" s="1"/>
      <c r="AA303" s="1"/>
      <c r="AB303" s="1" t="s">
        <v>6282</v>
      </c>
      <c r="AC303" s="1"/>
      <c r="AD303" s="1"/>
      <c r="AE303" s="1" t="s">
        <v>6283</v>
      </c>
      <c r="AF303" s="1"/>
      <c r="AG303" s="1"/>
      <c r="AH303" s="1" t="s">
        <v>6284</v>
      </c>
      <c r="AI303" s="1"/>
      <c r="AJ303" s="1" t="s">
        <v>6285</v>
      </c>
      <c r="AK303" s="1" t="s">
        <v>4035</v>
      </c>
      <c r="AL303" s="1" t="s">
        <v>6286</v>
      </c>
      <c r="AM303" s="1" t="s">
        <v>6285</v>
      </c>
      <c r="AN303" s="1" t="s">
        <v>4035</v>
      </c>
      <c r="AO303" s="1" t="s">
        <v>6286</v>
      </c>
      <c r="AP303" s="2" t="s">
        <v>6287</v>
      </c>
      <c r="AQ303" s="2" t="s">
        <v>1077</v>
      </c>
      <c r="AR303" s="1" t="s">
        <v>286</v>
      </c>
      <c r="AS303" s="1"/>
      <c r="AT303" s="1" t="s">
        <v>5</v>
      </c>
    </row>
    <row r="304" spans="1:46" hidden="1" x14ac:dyDescent="0.4">
      <c r="A304" s="1" t="s">
        <v>8021</v>
      </c>
      <c r="B304" s="10"/>
      <c r="C304" s="1" t="s">
        <v>2494</v>
      </c>
      <c r="D304" s="1" t="s">
        <v>2211</v>
      </c>
      <c r="E304" s="1" t="s">
        <v>2078</v>
      </c>
      <c r="F304" s="1" t="s">
        <v>14</v>
      </c>
      <c r="G304" s="1" t="s">
        <v>1</v>
      </c>
      <c r="H304" s="1" t="s">
        <v>6</v>
      </c>
      <c r="I304" s="1" t="s">
        <v>2</v>
      </c>
      <c r="J304" s="1" t="s">
        <v>3514</v>
      </c>
      <c r="K304" s="1" t="s">
        <v>8022</v>
      </c>
      <c r="L304" s="1" t="s">
        <v>7</v>
      </c>
      <c r="M304" s="1" t="s">
        <v>9</v>
      </c>
      <c r="N304" s="1" t="s">
        <v>8023</v>
      </c>
      <c r="O304" s="1" t="s">
        <v>15</v>
      </c>
      <c r="P304" s="1"/>
      <c r="Q304" s="1"/>
      <c r="R304" s="1" t="s">
        <v>11</v>
      </c>
      <c r="S304" s="1"/>
      <c r="T304" s="1"/>
      <c r="U304" s="1"/>
      <c r="V304" s="1"/>
      <c r="W304" s="1"/>
      <c r="X304" s="1" t="s">
        <v>6553</v>
      </c>
      <c r="Y304" s="1"/>
      <c r="Z304" s="1"/>
      <c r="AA304" s="1"/>
      <c r="AB304" s="1" t="s">
        <v>8024</v>
      </c>
      <c r="AC304" s="1"/>
      <c r="AD304" s="1"/>
      <c r="AE304" s="1" t="s">
        <v>8025</v>
      </c>
      <c r="AF304" s="1"/>
      <c r="AG304" s="1"/>
      <c r="AH304" s="1" t="s">
        <v>8026</v>
      </c>
      <c r="AI304" s="1"/>
      <c r="AJ304" s="1" t="s">
        <v>4316</v>
      </c>
      <c r="AK304" s="1" t="s">
        <v>8027</v>
      </c>
      <c r="AL304" s="1" t="s">
        <v>4318</v>
      </c>
      <c r="AM304" s="1" t="s">
        <v>4316</v>
      </c>
      <c r="AN304" s="1" t="s">
        <v>8027</v>
      </c>
      <c r="AO304" s="1" t="s">
        <v>4318</v>
      </c>
      <c r="AP304" s="2" t="s">
        <v>8028</v>
      </c>
      <c r="AQ304" s="2" t="s">
        <v>1154</v>
      </c>
      <c r="AR304" s="1" t="s">
        <v>286</v>
      </c>
      <c r="AS304" s="1" t="s">
        <v>8029</v>
      </c>
      <c r="AT304" s="1" t="s">
        <v>5</v>
      </c>
    </row>
    <row r="305" spans="1:46" hidden="1" x14ac:dyDescent="0.4">
      <c r="A305" s="1" t="s">
        <v>4308</v>
      </c>
      <c r="B305" s="10"/>
      <c r="C305" s="1" t="s">
        <v>2494</v>
      </c>
      <c r="D305" s="1" t="s">
        <v>2076</v>
      </c>
      <c r="E305" s="1" t="s">
        <v>2078</v>
      </c>
      <c r="F305" s="1" t="s">
        <v>14</v>
      </c>
      <c r="G305" s="1" t="s">
        <v>1</v>
      </c>
      <c r="H305" s="1" t="s">
        <v>6</v>
      </c>
      <c r="I305" s="1" t="s">
        <v>2</v>
      </c>
      <c r="J305" s="1" t="s">
        <v>2450</v>
      </c>
      <c r="K305" s="1" t="s">
        <v>4309</v>
      </c>
      <c r="L305" s="1" t="s">
        <v>7</v>
      </c>
      <c r="M305" s="1" t="s">
        <v>9</v>
      </c>
      <c r="N305" s="1" t="s">
        <v>4310</v>
      </c>
      <c r="O305" s="1" t="s">
        <v>4311</v>
      </c>
      <c r="P305" s="1"/>
      <c r="Q305" s="1"/>
      <c r="R305" s="1" t="s">
        <v>11</v>
      </c>
      <c r="S305" s="1"/>
      <c r="T305" s="1"/>
      <c r="U305" s="1"/>
      <c r="V305" s="1"/>
      <c r="W305" s="1"/>
      <c r="X305" s="1" t="s">
        <v>4312</v>
      </c>
      <c r="Y305" s="1"/>
      <c r="Z305" s="1"/>
      <c r="AA305" s="1"/>
      <c r="AB305" s="1" t="s">
        <v>4313</v>
      </c>
      <c r="AC305" s="1"/>
      <c r="AD305" s="1"/>
      <c r="AE305" s="1" t="s">
        <v>4314</v>
      </c>
      <c r="AF305" s="1"/>
      <c r="AG305" s="1"/>
      <c r="AH305" s="1" t="s">
        <v>4315</v>
      </c>
      <c r="AI305" s="1"/>
      <c r="AJ305" s="1" t="s">
        <v>4316</v>
      </c>
      <c r="AK305" s="1" t="s">
        <v>4317</v>
      </c>
      <c r="AL305" s="1" t="s">
        <v>4318</v>
      </c>
      <c r="AM305" s="1" t="s">
        <v>4316</v>
      </c>
      <c r="AN305" s="1" t="s">
        <v>4317</v>
      </c>
      <c r="AO305" s="1" t="s">
        <v>4318</v>
      </c>
      <c r="AP305" s="2" t="s">
        <v>4319</v>
      </c>
      <c r="AQ305" s="2" t="s">
        <v>1153</v>
      </c>
      <c r="AR305" s="1" t="s">
        <v>286</v>
      </c>
      <c r="AS305" s="1" t="s">
        <v>4320</v>
      </c>
      <c r="AT305" s="1" t="s">
        <v>5</v>
      </c>
    </row>
    <row r="306" spans="1:46" hidden="1" x14ac:dyDescent="0.4">
      <c r="A306" s="1" t="s">
        <v>5619</v>
      </c>
      <c r="B306" s="10"/>
      <c r="C306" s="1" t="s">
        <v>2494</v>
      </c>
      <c r="D306" s="1" t="s">
        <v>2157</v>
      </c>
      <c r="E306" s="1" t="s">
        <v>2078</v>
      </c>
      <c r="F306" s="1" t="s">
        <v>14</v>
      </c>
      <c r="G306" s="1" t="s">
        <v>1</v>
      </c>
      <c r="H306" s="1" t="s">
        <v>6</v>
      </c>
      <c r="I306" s="1" t="s">
        <v>2</v>
      </c>
      <c r="J306" s="1" t="s">
        <v>2450</v>
      </c>
      <c r="K306" s="1" t="s">
        <v>5620</v>
      </c>
      <c r="L306" s="1" t="s">
        <v>7</v>
      </c>
      <c r="M306" s="1" t="s">
        <v>9</v>
      </c>
      <c r="N306" s="1" t="s">
        <v>5621</v>
      </c>
      <c r="O306" s="1" t="s">
        <v>5614</v>
      </c>
      <c r="P306" s="1"/>
      <c r="Q306" s="1"/>
      <c r="R306" s="1" t="s">
        <v>11</v>
      </c>
      <c r="S306" s="1"/>
      <c r="T306" s="1"/>
      <c r="U306" s="1"/>
      <c r="V306" s="1"/>
      <c r="W306" s="1"/>
      <c r="X306" s="1" t="s">
        <v>5615</v>
      </c>
      <c r="Y306" s="1"/>
      <c r="Z306" s="1"/>
      <c r="AA306" s="1"/>
      <c r="AB306" s="1" t="s">
        <v>5622</v>
      </c>
      <c r="AC306" s="1"/>
      <c r="AD306" s="1"/>
      <c r="AE306" s="1"/>
      <c r="AF306" s="1"/>
      <c r="AG306" s="1"/>
      <c r="AH306" s="1" t="s">
        <v>5623</v>
      </c>
      <c r="AI306" s="1"/>
      <c r="AJ306" s="1" t="s">
        <v>4316</v>
      </c>
      <c r="AK306" s="1" t="s">
        <v>4317</v>
      </c>
      <c r="AL306" s="1" t="s">
        <v>4318</v>
      </c>
      <c r="AM306" s="1" t="s">
        <v>4316</v>
      </c>
      <c r="AN306" s="1" t="s">
        <v>4317</v>
      </c>
      <c r="AO306" s="1" t="s">
        <v>4318</v>
      </c>
      <c r="AP306" s="2" t="s">
        <v>5624</v>
      </c>
      <c r="AQ306" s="2" t="s">
        <v>1077</v>
      </c>
      <c r="AR306" s="1" t="s">
        <v>286</v>
      </c>
      <c r="AS306" s="1"/>
      <c r="AT306" s="1" t="s">
        <v>5</v>
      </c>
    </row>
    <row r="307" spans="1:46" hidden="1" x14ac:dyDescent="0.4">
      <c r="A307" s="1" t="s">
        <v>5635</v>
      </c>
      <c r="B307" s="10"/>
      <c r="C307" s="1" t="s">
        <v>2494</v>
      </c>
      <c r="D307" s="1" t="s">
        <v>2157</v>
      </c>
      <c r="E307" s="1" t="s">
        <v>2078</v>
      </c>
      <c r="F307" s="1" t="s">
        <v>14</v>
      </c>
      <c r="G307" s="1" t="s">
        <v>1</v>
      </c>
      <c r="H307" s="1" t="s">
        <v>6</v>
      </c>
      <c r="I307" s="1" t="s">
        <v>2</v>
      </c>
      <c r="J307" s="1" t="s">
        <v>2450</v>
      </c>
      <c r="K307" s="1" t="s">
        <v>5636</v>
      </c>
      <c r="L307" s="1" t="s">
        <v>7</v>
      </c>
      <c r="M307" s="1" t="s">
        <v>9</v>
      </c>
      <c r="N307" s="1" t="s">
        <v>5637</v>
      </c>
      <c r="O307" s="1" t="s">
        <v>5614</v>
      </c>
      <c r="P307" s="1"/>
      <c r="Q307" s="1"/>
      <c r="R307" s="1" t="s">
        <v>11</v>
      </c>
      <c r="S307" s="1"/>
      <c r="T307" s="1"/>
      <c r="U307" s="1"/>
      <c r="V307" s="1"/>
      <c r="W307" s="1"/>
      <c r="X307" s="1" t="s">
        <v>5615</v>
      </c>
      <c r="Y307" s="1"/>
      <c r="Z307" s="1"/>
      <c r="AA307" s="1"/>
      <c r="AB307" s="1" t="s">
        <v>5638</v>
      </c>
      <c r="AC307" s="1"/>
      <c r="AD307" s="1"/>
      <c r="AE307" s="1"/>
      <c r="AF307" s="1"/>
      <c r="AG307" s="1"/>
      <c r="AH307" s="1" t="s">
        <v>5639</v>
      </c>
      <c r="AI307" s="1"/>
      <c r="AJ307" s="1" t="s">
        <v>4316</v>
      </c>
      <c r="AK307" s="1" t="s">
        <v>4317</v>
      </c>
      <c r="AL307" s="1" t="s">
        <v>4318</v>
      </c>
      <c r="AM307" s="1" t="s">
        <v>4316</v>
      </c>
      <c r="AN307" s="1" t="s">
        <v>4317</v>
      </c>
      <c r="AO307" s="1" t="s">
        <v>4318</v>
      </c>
      <c r="AP307" s="2" t="s">
        <v>5640</v>
      </c>
      <c r="AQ307" s="2" t="s">
        <v>1077</v>
      </c>
      <c r="AR307" s="1" t="s">
        <v>286</v>
      </c>
      <c r="AS307" s="1"/>
      <c r="AT307" s="1" t="s">
        <v>5</v>
      </c>
    </row>
    <row r="308" spans="1:46" hidden="1" x14ac:dyDescent="0.4">
      <c r="A308" s="1" t="s">
        <v>5611</v>
      </c>
      <c r="B308" s="10"/>
      <c r="C308" s="1" t="s">
        <v>2494</v>
      </c>
      <c r="D308" s="1" t="s">
        <v>2157</v>
      </c>
      <c r="E308" s="1" t="s">
        <v>2078</v>
      </c>
      <c r="F308" s="1" t="s">
        <v>14</v>
      </c>
      <c r="G308" s="1" t="s">
        <v>1</v>
      </c>
      <c r="H308" s="1" t="s">
        <v>6</v>
      </c>
      <c r="I308" s="1" t="s">
        <v>2</v>
      </c>
      <c r="J308" s="1" t="s">
        <v>2450</v>
      </c>
      <c r="K308" s="1" t="s">
        <v>5612</v>
      </c>
      <c r="L308" s="1" t="s">
        <v>7</v>
      </c>
      <c r="M308" s="1" t="s">
        <v>9</v>
      </c>
      <c r="N308" s="1" t="s">
        <v>5613</v>
      </c>
      <c r="O308" s="1" t="s">
        <v>5614</v>
      </c>
      <c r="P308" s="1"/>
      <c r="Q308" s="1"/>
      <c r="R308" s="1" t="s">
        <v>11</v>
      </c>
      <c r="S308" s="1"/>
      <c r="T308" s="1"/>
      <c r="U308" s="1"/>
      <c r="V308" s="1"/>
      <c r="W308" s="1"/>
      <c r="X308" s="1" t="s">
        <v>5615</v>
      </c>
      <c r="Y308" s="1"/>
      <c r="Z308" s="1"/>
      <c r="AA308" s="1"/>
      <c r="AB308" s="1" t="s">
        <v>5616</v>
      </c>
      <c r="AC308" s="1"/>
      <c r="AD308" s="1"/>
      <c r="AE308" s="1"/>
      <c r="AF308" s="1"/>
      <c r="AG308" s="1"/>
      <c r="AH308" s="1" t="s">
        <v>5617</v>
      </c>
      <c r="AI308" s="1"/>
      <c r="AJ308" s="1" t="s">
        <v>4316</v>
      </c>
      <c r="AK308" s="1" t="s">
        <v>4317</v>
      </c>
      <c r="AL308" s="1" t="s">
        <v>4318</v>
      </c>
      <c r="AM308" s="1" t="s">
        <v>4316</v>
      </c>
      <c r="AN308" s="1" t="s">
        <v>4317</v>
      </c>
      <c r="AO308" s="1" t="s">
        <v>4318</v>
      </c>
      <c r="AP308" s="2" t="s">
        <v>5618</v>
      </c>
      <c r="AQ308" s="2" t="s">
        <v>1077</v>
      </c>
      <c r="AR308" s="1" t="s">
        <v>286</v>
      </c>
      <c r="AS308" s="1"/>
      <c r="AT308" s="1" t="s">
        <v>5</v>
      </c>
    </row>
    <row r="309" spans="1:46" hidden="1" x14ac:dyDescent="0.4">
      <c r="A309" s="1" t="s">
        <v>8758</v>
      </c>
      <c r="B309" s="10"/>
      <c r="C309" s="1" t="s">
        <v>93</v>
      </c>
      <c r="D309" s="1" t="s">
        <v>2211</v>
      </c>
      <c r="E309" s="1" t="s">
        <v>2078</v>
      </c>
      <c r="F309" s="1" t="s">
        <v>14</v>
      </c>
      <c r="G309" s="1" t="s">
        <v>1</v>
      </c>
      <c r="H309" s="1" t="s">
        <v>6</v>
      </c>
      <c r="I309" s="1" t="s">
        <v>2</v>
      </c>
      <c r="J309" s="1" t="s">
        <v>3</v>
      </c>
      <c r="K309" s="1" t="s">
        <v>8759</v>
      </c>
      <c r="L309" s="1" t="s">
        <v>7</v>
      </c>
      <c r="M309" s="1"/>
      <c r="N309" s="1" t="s">
        <v>8760</v>
      </c>
      <c r="O309" s="1" t="s">
        <v>2481</v>
      </c>
      <c r="P309" s="1"/>
      <c r="Q309" s="1"/>
      <c r="R309" s="1" t="s">
        <v>11</v>
      </c>
      <c r="S309" s="1"/>
      <c r="T309" s="1"/>
      <c r="U309" s="1"/>
      <c r="V309" s="1"/>
      <c r="W309" s="1"/>
      <c r="X309" s="1"/>
      <c r="Y309" s="1"/>
      <c r="Z309" s="1"/>
      <c r="AA309" s="1"/>
      <c r="AB309" s="1" t="s">
        <v>8761</v>
      </c>
      <c r="AC309" s="1"/>
      <c r="AD309" s="1"/>
      <c r="AE309" s="1" t="s">
        <v>8762</v>
      </c>
      <c r="AF309" s="1"/>
      <c r="AG309" s="1"/>
      <c r="AH309" s="1" t="s">
        <v>8763</v>
      </c>
      <c r="AI309" s="1"/>
      <c r="AJ309" s="1" t="s">
        <v>6718</v>
      </c>
      <c r="AK309" s="1" t="s">
        <v>4240</v>
      </c>
      <c r="AL309" s="1" t="s">
        <v>6719</v>
      </c>
      <c r="AM309" s="1" t="s">
        <v>8754</v>
      </c>
      <c r="AN309" s="1" t="s">
        <v>4240</v>
      </c>
      <c r="AO309" s="1" t="s">
        <v>8755</v>
      </c>
      <c r="AP309" s="2" t="s">
        <v>8764</v>
      </c>
      <c r="AQ309" s="2" t="s">
        <v>1154</v>
      </c>
      <c r="AR309" s="1" t="s">
        <v>286</v>
      </c>
      <c r="AS309" s="1" t="s">
        <v>8765</v>
      </c>
      <c r="AT309" s="1" t="s">
        <v>5</v>
      </c>
    </row>
    <row r="310" spans="1:46" hidden="1" x14ac:dyDescent="0.4">
      <c r="A310" s="1" t="s">
        <v>5158</v>
      </c>
      <c r="B310" s="10"/>
      <c r="C310" s="1" t="s">
        <v>2454</v>
      </c>
      <c r="D310" s="1" t="s">
        <v>2157</v>
      </c>
      <c r="E310" s="1" t="s">
        <v>2078</v>
      </c>
      <c r="F310" s="1" t="s">
        <v>14</v>
      </c>
      <c r="G310" s="1" t="s">
        <v>1</v>
      </c>
      <c r="H310" s="1" t="s">
        <v>6</v>
      </c>
      <c r="I310" s="1" t="s">
        <v>2</v>
      </c>
      <c r="J310" s="1" t="s">
        <v>3676</v>
      </c>
      <c r="K310" s="1" t="s">
        <v>5159</v>
      </c>
      <c r="L310" s="1" t="s">
        <v>4</v>
      </c>
      <c r="M310" s="1"/>
      <c r="N310" s="1" t="s">
        <v>5160</v>
      </c>
      <c r="O310" s="1" t="s">
        <v>5146</v>
      </c>
      <c r="P310" s="1"/>
      <c r="Q310" s="1"/>
      <c r="R310" s="1" t="s">
        <v>11</v>
      </c>
      <c r="S310" s="1"/>
      <c r="T310" s="1"/>
      <c r="U310" s="1"/>
      <c r="V310" s="1"/>
      <c r="W310" s="1" t="s">
        <v>5154</v>
      </c>
      <c r="X310" s="1"/>
      <c r="Y310" s="1"/>
      <c r="Z310" s="1"/>
      <c r="AA310" s="1"/>
      <c r="AB310" s="1" t="s">
        <v>5161</v>
      </c>
      <c r="AC310" s="1"/>
      <c r="AD310" s="1"/>
      <c r="AE310" s="1"/>
      <c r="AF310" s="1"/>
      <c r="AG310" s="1"/>
      <c r="AH310" s="1" t="s">
        <v>5162</v>
      </c>
      <c r="AI310" s="1"/>
      <c r="AJ310" s="1" t="s">
        <v>3682</v>
      </c>
      <c r="AK310" s="1" t="s">
        <v>3106</v>
      </c>
      <c r="AL310" s="1" t="s">
        <v>3683</v>
      </c>
      <c r="AM310" s="1" t="s">
        <v>3682</v>
      </c>
      <c r="AN310" s="1" t="s">
        <v>3106</v>
      </c>
      <c r="AO310" s="1" t="s">
        <v>3683</v>
      </c>
      <c r="AP310" s="2" t="s">
        <v>5163</v>
      </c>
      <c r="AQ310" s="2" t="s">
        <v>1153</v>
      </c>
      <c r="AR310" s="1" t="s">
        <v>286</v>
      </c>
      <c r="AS310" s="1"/>
      <c r="AT310" s="1" t="s">
        <v>5</v>
      </c>
    </row>
    <row r="311" spans="1:46" hidden="1" x14ac:dyDescent="0.4">
      <c r="A311" s="1" t="s">
        <v>5143</v>
      </c>
      <c r="B311" s="10"/>
      <c r="C311" s="1" t="s">
        <v>2454</v>
      </c>
      <c r="D311" s="1" t="s">
        <v>2211</v>
      </c>
      <c r="E311" s="1" t="s">
        <v>2078</v>
      </c>
      <c r="F311" s="1" t="s">
        <v>14</v>
      </c>
      <c r="G311" s="1" t="s">
        <v>1</v>
      </c>
      <c r="H311" s="1" t="s">
        <v>6</v>
      </c>
      <c r="I311" s="1" t="s">
        <v>2</v>
      </c>
      <c r="J311" s="1" t="s">
        <v>3676</v>
      </c>
      <c r="K311" s="1" t="s">
        <v>5144</v>
      </c>
      <c r="L311" s="1" t="s">
        <v>4</v>
      </c>
      <c r="M311" s="1"/>
      <c r="N311" s="1" t="s">
        <v>5145</v>
      </c>
      <c r="O311" s="1" t="s">
        <v>5146</v>
      </c>
      <c r="P311" s="1"/>
      <c r="Q311" s="1"/>
      <c r="R311" s="1" t="s">
        <v>11</v>
      </c>
      <c r="S311" s="1"/>
      <c r="T311" s="1"/>
      <c r="U311" s="1"/>
      <c r="V311" s="1"/>
      <c r="W311" s="1"/>
      <c r="X311" s="1" t="s">
        <v>5147</v>
      </c>
      <c r="Y311" s="1"/>
      <c r="Z311" s="1"/>
      <c r="AA311" s="1"/>
      <c r="AB311" s="1" t="s">
        <v>5148</v>
      </c>
      <c r="AC311" s="1"/>
      <c r="AD311" s="1"/>
      <c r="AE311" s="1"/>
      <c r="AF311" s="1"/>
      <c r="AG311" s="1"/>
      <c r="AH311" s="1" t="s">
        <v>5149</v>
      </c>
      <c r="AI311" s="1"/>
      <c r="AJ311" s="1" t="s">
        <v>3682</v>
      </c>
      <c r="AK311" s="1" t="s">
        <v>3106</v>
      </c>
      <c r="AL311" s="1" t="s">
        <v>3683</v>
      </c>
      <c r="AM311" s="1" t="s">
        <v>3682</v>
      </c>
      <c r="AN311" s="1" t="s">
        <v>3106</v>
      </c>
      <c r="AO311" s="1" t="s">
        <v>3683</v>
      </c>
      <c r="AP311" s="2" t="s">
        <v>5150</v>
      </c>
      <c r="AQ311" s="2" t="s">
        <v>1153</v>
      </c>
      <c r="AR311" s="1" t="s">
        <v>286</v>
      </c>
      <c r="AS311" s="1"/>
      <c r="AT311" s="1" t="s">
        <v>5</v>
      </c>
    </row>
    <row r="312" spans="1:46" hidden="1" x14ac:dyDescent="0.4">
      <c r="A312" s="1" t="s">
        <v>5151</v>
      </c>
      <c r="B312" s="10"/>
      <c r="C312" s="1" t="s">
        <v>2454</v>
      </c>
      <c r="D312" s="1" t="s">
        <v>2157</v>
      </c>
      <c r="E312" s="1" t="s">
        <v>2078</v>
      </c>
      <c r="F312" s="1" t="s">
        <v>14</v>
      </c>
      <c r="G312" s="1" t="s">
        <v>1</v>
      </c>
      <c r="H312" s="1" t="s">
        <v>6</v>
      </c>
      <c r="I312" s="1" t="s">
        <v>2</v>
      </c>
      <c r="J312" s="1" t="s">
        <v>3676</v>
      </c>
      <c r="K312" s="1" t="s">
        <v>5152</v>
      </c>
      <c r="L312" s="1" t="s">
        <v>4</v>
      </c>
      <c r="M312" s="1"/>
      <c r="N312" s="1" t="s">
        <v>5153</v>
      </c>
      <c r="O312" s="1" t="s">
        <v>5146</v>
      </c>
      <c r="P312" s="1"/>
      <c r="Q312" s="1"/>
      <c r="R312" s="1" t="s">
        <v>11</v>
      </c>
      <c r="S312" s="1"/>
      <c r="T312" s="1"/>
      <c r="U312" s="1"/>
      <c r="V312" s="1"/>
      <c r="W312" s="1" t="s">
        <v>5154</v>
      </c>
      <c r="X312" s="1"/>
      <c r="Y312" s="1"/>
      <c r="Z312" s="1"/>
      <c r="AA312" s="1"/>
      <c r="AB312" s="1" t="s">
        <v>5155</v>
      </c>
      <c r="AC312" s="1"/>
      <c r="AD312" s="1"/>
      <c r="AE312" s="1"/>
      <c r="AF312" s="1"/>
      <c r="AG312" s="1"/>
      <c r="AH312" s="1" t="s">
        <v>5156</v>
      </c>
      <c r="AI312" s="1"/>
      <c r="AJ312" s="1" t="s">
        <v>3682</v>
      </c>
      <c r="AK312" s="1" t="s">
        <v>3106</v>
      </c>
      <c r="AL312" s="1" t="s">
        <v>3683</v>
      </c>
      <c r="AM312" s="1" t="s">
        <v>3682</v>
      </c>
      <c r="AN312" s="1" t="s">
        <v>3106</v>
      </c>
      <c r="AO312" s="1" t="s">
        <v>3683</v>
      </c>
      <c r="AP312" s="2" t="s">
        <v>5157</v>
      </c>
      <c r="AQ312" s="2" t="s">
        <v>1153</v>
      </c>
      <c r="AR312" s="1" t="s">
        <v>286</v>
      </c>
      <c r="AS312" s="1"/>
      <c r="AT312" s="1" t="s">
        <v>5</v>
      </c>
    </row>
    <row r="313" spans="1:46" hidden="1" x14ac:dyDescent="0.4">
      <c r="A313" s="1" t="s">
        <v>8643</v>
      </c>
      <c r="B313" s="10"/>
      <c r="C313" s="1" t="s">
        <v>0</v>
      </c>
      <c r="D313" s="1" t="s">
        <v>2157</v>
      </c>
      <c r="E313" s="1" t="s">
        <v>2078</v>
      </c>
      <c r="F313" s="1" t="s">
        <v>14</v>
      </c>
      <c r="G313" s="1" t="s">
        <v>1</v>
      </c>
      <c r="H313" s="1" t="s">
        <v>6</v>
      </c>
      <c r="I313" s="1" t="s">
        <v>2</v>
      </c>
      <c r="J313" s="1" t="s">
        <v>3</v>
      </c>
      <c r="K313" s="1" t="s">
        <v>8644</v>
      </c>
      <c r="L313" s="1" t="s">
        <v>7</v>
      </c>
      <c r="M313" s="1" t="s">
        <v>9</v>
      </c>
      <c r="N313" s="1" t="s">
        <v>8645</v>
      </c>
      <c r="O313" s="1" t="s">
        <v>2481</v>
      </c>
      <c r="P313" s="1"/>
      <c r="Q313" s="1"/>
      <c r="R313" s="1" t="s">
        <v>11</v>
      </c>
      <c r="S313" s="1"/>
      <c r="T313" s="1"/>
      <c r="U313" s="1"/>
      <c r="V313" s="1"/>
      <c r="W313" s="1"/>
      <c r="X313" s="1" t="s">
        <v>8646</v>
      </c>
      <c r="Y313" s="1"/>
      <c r="Z313" s="1"/>
      <c r="AA313" s="1"/>
      <c r="AB313" s="1" t="s">
        <v>8647</v>
      </c>
      <c r="AC313" s="1"/>
      <c r="AD313" s="1"/>
      <c r="AE313" s="1" t="s">
        <v>8648</v>
      </c>
      <c r="AF313" s="1"/>
      <c r="AG313" s="1"/>
      <c r="AH313" s="1" t="s">
        <v>8649</v>
      </c>
      <c r="AI313" s="1"/>
      <c r="AJ313" s="1" t="s">
        <v>59</v>
      </c>
      <c r="AK313" s="1" t="s">
        <v>598</v>
      </c>
      <c r="AL313" s="1" t="s">
        <v>126</v>
      </c>
      <c r="AM313" s="1" t="s">
        <v>8650</v>
      </c>
      <c r="AN313" s="1" t="s">
        <v>598</v>
      </c>
      <c r="AO313" s="1" t="s">
        <v>8651</v>
      </c>
      <c r="AP313" s="2" t="s">
        <v>8652</v>
      </c>
      <c r="AQ313" s="2" t="s">
        <v>1154</v>
      </c>
      <c r="AR313" s="1" t="s">
        <v>286</v>
      </c>
      <c r="AS313" s="1"/>
      <c r="AT313" s="1" t="s">
        <v>5</v>
      </c>
    </row>
    <row r="314" spans="1:46" hidden="1" x14ac:dyDescent="0.4">
      <c r="A314" s="1" t="s">
        <v>11369</v>
      </c>
      <c r="B314" s="10"/>
      <c r="C314" s="1" t="s">
        <v>2705</v>
      </c>
      <c r="D314" s="1" t="s">
        <v>2211</v>
      </c>
      <c r="E314" s="1" t="s">
        <v>2078</v>
      </c>
      <c r="F314" s="1" t="s">
        <v>14</v>
      </c>
      <c r="G314" s="1" t="s">
        <v>1</v>
      </c>
      <c r="H314" s="1" t="s">
        <v>6</v>
      </c>
      <c r="I314" s="1" t="s">
        <v>2</v>
      </c>
      <c r="J314" s="1" t="s">
        <v>2813</v>
      </c>
      <c r="K314" s="1" t="s">
        <v>11370</v>
      </c>
      <c r="L314" s="1" t="s">
        <v>7</v>
      </c>
      <c r="M314" s="1" t="s">
        <v>9</v>
      </c>
      <c r="N314" s="1" t="s">
        <v>11371</v>
      </c>
      <c r="O314" s="1" t="s">
        <v>2258</v>
      </c>
      <c r="P314" s="1"/>
      <c r="Q314" s="1"/>
      <c r="R314" s="1" t="s">
        <v>11</v>
      </c>
      <c r="S314" s="1"/>
      <c r="T314" s="1"/>
      <c r="U314" s="1"/>
      <c r="V314" s="1"/>
      <c r="W314" s="1" t="s">
        <v>11372</v>
      </c>
      <c r="X314" s="1" t="s">
        <v>11373</v>
      </c>
      <c r="Y314" s="1"/>
      <c r="Z314" s="1"/>
      <c r="AA314" s="1"/>
      <c r="AB314" s="1" t="s">
        <v>11374</v>
      </c>
      <c r="AC314" s="1"/>
      <c r="AD314" s="1"/>
      <c r="AE314" s="1"/>
      <c r="AF314" s="1"/>
      <c r="AG314" s="1"/>
      <c r="AH314" s="1" t="s">
        <v>11375</v>
      </c>
      <c r="AI314" s="1"/>
      <c r="AJ314" s="1" t="s">
        <v>11376</v>
      </c>
      <c r="AK314" s="1" t="s">
        <v>11377</v>
      </c>
      <c r="AL314" s="1" t="s">
        <v>11378</v>
      </c>
      <c r="AM314" s="1" t="s">
        <v>11379</v>
      </c>
      <c r="AN314" s="1" t="s">
        <v>11380</v>
      </c>
      <c r="AO314" s="1" t="s">
        <v>11381</v>
      </c>
      <c r="AP314" s="2" t="s">
        <v>11382</v>
      </c>
      <c r="AQ314" s="2" t="s">
        <v>1155</v>
      </c>
      <c r="AR314" s="1" t="s">
        <v>286</v>
      </c>
      <c r="AS314" s="1" t="s">
        <v>11383</v>
      </c>
      <c r="AT314" s="1" t="s">
        <v>5</v>
      </c>
    </row>
    <row r="315" spans="1:46" hidden="1" x14ac:dyDescent="0.4">
      <c r="A315" s="1" t="s">
        <v>3734</v>
      </c>
      <c r="B315" s="10"/>
      <c r="C315" s="1" t="s">
        <v>2494</v>
      </c>
      <c r="D315" s="1" t="s">
        <v>2220</v>
      </c>
      <c r="E315" s="1" t="s">
        <v>2078</v>
      </c>
      <c r="F315" s="1" t="s">
        <v>14</v>
      </c>
      <c r="G315" s="1" t="s">
        <v>1</v>
      </c>
      <c r="H315" s="1" t="s">
        <v>6</v>
      </c>
      <c r="I315" s="1" t="s">
        <v>2</v>
      </c>
      <c r="J315" s="1" t="s">
        <v>2450</v>
      </c>
      <c r="K315" s="1" t="s">
        <v>3735</v>
      </c>
      <c r="L315" s="1" t="s">
        <v>7</v>
      </c>
      <c r="M315" s="1" t="s">
        <v>9</v>
      </c>
      <c r="N315" s="1" t="s">
        <v>3736</v>
      </c>
      <c r="O315" s="1" t="s">
        <v>3653</v>
      </c>
      <c r="P315" s="1"/>
      <c r="Q315" s="1"/>
      <c r="R315" s="1" t="s">
        <v>11</v>
      </c>
      <c r="S315" s="1"/>
      <c r="T315" s="1"/>
      <c r="U315" s="1"/>
      <c r="V315" s="1"/>
      <c r="W315" s="1" t="s">
        <v>3737</v>
      </c>
      <c r="X315" s="1"/>
      <c r="Y315" s="1"/>
      <c r="Z315" s="1"/>
      <c r="AA315" s="1" t="s">
        <v>3738</v>
      </c>
      <c r="AB315" s="1" t="s">
        <v>3739</v>
      </c>
      <c r="AC315" s="1"/>
      <c r="AD315" s="1"/>
      <c r="AE315" s="1" t="s">
        <v>3658</v>
      </c>
      <c r="AF315" s="1"/>
      <c r="AG315" s="1"/>
      <c r="AH315" s="1" t="s">
        <v>3740</v>
      </c>
      <c r="AI315" s="1" t="s">
        <v>3741</v>
      </c>
      <c r="AJ315" s="1" t="s">
        <v>3661</v>
      </c>
      <c r="AK315" s="1" t="s">
        <v>3662</v>
      </c>
      <c r="AL315" s="1" t="s">
        <v>3663</v>
      </c>
      <c r="AM315" s="1" t="s">
        <v>3742</v>
      </c>
      <c r="AN315" s="1" t="s">
        <v>3743</v>
      </c>
      <c r="AO315" s="1"/>
      <c r="AP315" s="2" t="s">
        <v>3744</v>
      </c>
      <c r="AQ315" s="2" t="s">
        <v>1153</v>
      </c>
      <c r="AR315" s="1" t="s">
        <v>287</v>
      </c>
      <c r="AS315" s="1"/>
      <c r="AT315" s="1" t="s">
        <v>5</v>
      </c>
    </row>
    <row r="316" spans="1:46" hidden="1" x14ac:dyDescent="0.4">
      <c r="A316" s="1" t="s">
        <v>9273</v>
      </c>
      <c r="B316" s="10"/>
      <c r="C316" s="1" t="s">
        <v>2494</v>
      </c>
      <c r="D316" s="1" t="s">
        <v>2157</v>
      </c>
      <c r="E316" s="1" t="s">
        <v>2078</v>
      </c>
      <c r="F316" s="1" t="s">
        <v>14</v>
      </c>
      <c r="G316" s="1" t="s">
        <v>1</v>
      </c>
      <c r="H316" s="1" t="s">
        <v>6</v>
      </c>
      <c r="I316" s="1" t="s">
        <v>2</v>
      </c>
      <c r="J316" s="1" t="s">
        <v>2450</v>
      </c>
      <c r="K316" s="1" t="s">
        <v>9274</v>
      </c>
      <c r="L316" s="1" t="s">
        <v>7</v>
      </c>
      <c r="M316" s="1" t="s">
        <v>9</v>
      </c>
      <c r="N316" s="1" t="s">
        <v>9275</v>
      </c>
      <c r="O316" s="1" t="s">
        <v>5542</v>
      </c>
      <c r="P316" s="1"/>
      <c r="Q316" s="1"/>
      <c r="R316" s="1" t="s">
        <v>11</v>
      </c>
      <c r="S316" s="1"/>
      <c r="T316" s="1"/>
      <c r="U316" s="1"/>
      <c r="V316" s="1"/>
      <c r="W316" s="1" t="s">
        <v>9276</v>
      </c>
      <c r="X316" s="1"/>
      <c r="Y316" s="1"/>
      <c r="Z316" s="1"/>
      <c r="AA316" s="1"/>
      <c r="AB316" s="1" t="s">
        <v>9277</v>
      </c>
      <c r="AC316" s="1"/>
      <c r="AD316" s="1"/>
      <c r="AE316" s="1" t="s">
        <v>9278</v>
      </c>
      <c r="AF316" s="1"/>
      <c r="AG316" s="1"/>
      <c r="AH316" s="1" t="s">
        <v>9279</v>
      </c>
      <c r="AI316" s="1"/>
      <c r="AJ316" s="1" t="s">
        <v>9280</v>
      </c>
      <c r="AK316" s="1" t="s">
        <v>3662</v>
      </c>
      <c r="AL316" s="1" t="s">
        <v>9281</v>
      </c>
      <c r="AM316" s="1" t="s">
        <v>9282</v>
      </c>
      <c r="AN316" s="1" t="s">
        <v>3662</v>
      </c>
      <c r="AO316" s="1" t="s">
        <v>9283</v>
      </c>
      <c r="AP316" s="2" t="s">
        <v>9284</v>
      </c>
      <c r="AQ316" s="2" t="s">
        <v>1154</v>
      </c>
      <c r="AR316" s="1" t="s">
        <v>286</v>
      </c>
      <c r="AS316" s="1"/>
      <c r="AT316" s="1" t="s">
        <v>5</v>
      </c>
    </row>
    <row r="317" spans="1:46" hidden="1" x14ac:dyDescent="0.4">
      <c r="A317" s="1" t="s">
        <v>5891</v>
      </c>
      <c r="B317" s="10"/>
      <c r="C317" s="1" t="s">
        <v>5198</v>
      </c>
      <c r="D317" s="1" t="s">
        <v>2211</v>
      </c>
      <c r="E317" s="1" t="s">
        <v>2078</v>
      </c>
      <c r="F317" s="1" t="s">
        <v>14</v>
      </c>
      <c r="G317" s="1" t="s">
        <v>1</v>
      </c>
      <c r="H317" s="1" t="s">
        <v>6</v>
      </c>
      <c r="I317" s="1" t="s">
        <v>2</v>
      </c>
      <c r="J317" s="1" t="s">
        <v>5199</v>
      </c>
      <c r="K317" s="1" t="s">
        <v>5892</v>
      </c>
      <c r="L317" s="1" t="s">
        <v>7</v>
      </c>
      <c r="M317" s="1"/>
      <c r="N317" s="1" t="s">
        <v>5893</v>
      </c>
      <c r="O317" s="1" t="s">
        <v>5894</v>
      </c>
      <c r="P317" s="1"/>
      <c r="Q317" s="1"/>
      <c r="R317" s="1" t="s">
        <v>11</v>
      </c>
      <c r="S317" s="1"/>
      <c r="T317" s="1"/>
      <c r="U317" s="1"/>
      <c r="V317" s="1"/>
      <c r="W317" s="1" t="s">
        <v>5895</v>
      </c>
      <c r="X317" s="1" t="s">
        <v>5896</v>
      </c>
      <c r="Y317" s="1"/>
      <c r="Z317" s="1"/>
      <c r="AA317" s="1"/>
      <c r="AB317" s="1" t="s">
        <v>5897</v>
      </c>
      <c r="AC317" s="1"/>
      <c r="AD317" s="1"/>
      <c r="AE317" s="1"/>
      <c r="AF317" s="1"/>
      <c r="AG317" s="1"/>
      <c r="AH317" s="1" t="s">
        <v>5898</v>
      </c>
      <c r="AI317" s="1"/>
      <c r="AJ317" s="1" t="s">
        <v>5448</v>
      </c>
      <c r="AK317" s="1" t="s">
        <v>5449</v>
      </c>
      <c r="AL317" s="1" t="s">
        <v>5450</v>
      </c>
      <c r="AM317" s="1" t="s">
        <v>5451</v>
      </c>
      <c r="AN317" s="1" t="s">
        <v>5452</v>
      </c>
      <c r="AO317" s="1" t="s">
        <v>5453</v>
      </c>
      <c r="AP317" s="2" t="s">
        <v>5899</v>
      </c>
      <c r="AQ317" s="2" t="s">
        <v>1077</v>
      </c>
      <c r="AR317" s="1" t="s">
        <v>286</v>
      </c>
      <c r="AS317" s="1" t="s">
        <v>5900</v>
      </c>
      <c r="AT317" s="1" t="s">
        <v>5</v>
      </c>
    </row>
    <row r="318" spans="1:46" hidden="1" x14ac:dyDescent="0.4">
      <c r="A318" s="1" t="s">
        <v>6759</v>
      </c>
      <c r="B318" s="10"/>
      <c r="C318" s="1" t="s">
        <v>1664</v>
      </c>
      <c r="D318" s="1" t="s">
        <v>2157</v>
      </c>
      <c r="E318" s="1" t="s">
        <v>2078</v>
      </c>
      <c r="F318" s="1" t="s">
        <v>14</v>
      </c>
      <c r="G318" s="1" t="s">
        <v>1</v>
      </c>
      <c r="H318" s="1" t="s">
        <v>6</v>
      </c>
      <c r="I318" s="1" t="s">
        <v>2</v>
      </c>
      <c r="J318" s="1" t="s">
        <v>3</v>
      </c>
      <c r="K318" s="1" t="s">
        <v>6760</v>
      </c>
      <c r="L318" s="1" t="s">
        <v>7</v>
      </c>
      <c r="M318" s="1" t="s">
        <v>9</v>
      </c>
      <c r="N318" s="1" t="s">
        <v>6761</v>
      </c>
      <c r="O318" s="1" t="s">
        <v>6762</v>
      </c>
      <c r="P318" s="1"/>
      <c r="Q318" s="1"/>
      <c r="R318" s="1" t="s">
        <v>11</v>
      </c>
      <c r="S318" s="1"/>
      <c r="T318" s="1"/>
      <c r="U318" s="1"/>
      <c r="V318" s="1"/>
      <c r="W318" s="1"/>
      <c r="X318" s="1" t="s">
        <v>6763</v>
      </c>
      <c r="Y318" s="1"/>
      <c r="Z318" s="1"/>
      <c r="AA318" s="1"/>
      <c r="AB318" s="1" t="s">
        <v>6764</v>
      </c>
      <c r="AC318" s="1"/>
      <c r="AD318" s="1"/>
      <c r="AE318" s="1"/>
      <c r="AF318" s="1"/>
      <c r="AG318" s="1"/>
      <c r="AH318" s="1" t="s">
        <v>6765</v>
      </c>
      <c r="AI318" s="1"/>
      <c r="AJ318" s="1" t="s">
        <v>6766</v>
      </c>
      <c r="AK318" s="1" t="s">
        <v>1672</v>
      </c>
      <c r="AL318" s="1" t="s">
        <v>6767</v>
      </c>
      <c r="AM318" s="1" t="s">
        <v>6766</v>
      </c>
      <c r="AN318" s="1" t="s">
        <v>1672</v>
      </c>
      <c r="AO318" s="1" t="s">
        <v>6767</v>
      </c>
      <c r="AP318" s="2" t="s">
        <v>6768</v>
      </c>
      <c r="AQ318" s="2" t="s">
        <v>1077</v>
      </c>
      <c r="AR318" s="1" t="s">
        <v>286</v>
      </c>
      <c r="AS318" s="1" t="s">
        <v>6769</v>
      </c>
      <c r="AT318" s="1" t="s">
        <v>5</v>
      </c>
    </row>
    <row r="319" spans="1:46" hidden="1" x14ac:dyDescent="0.4">
      <c r="A319" s="1" t="s">
        <v>5585</v>
      </c>
      <c r="B319" s="10"/>
      <c r="C319" s="1" t="s">
        <v>5198</v>
      </c>
      <c r="D319" s="1" t="s">
        <v>2076</v>
      </c>
      <c r="E319" s="1" t="s">
        <v>2078</v>
      </c>
      <c r="F319" s="1" t="s">
        <v>14</v>
      </c>
      <c r="G319" s="1" t="s">
        <v>1</v>
      </c>
      <c r="H319" s="1" t="s">
        <v>6</v>
      </c>
      <c r="I319" s="1" t="s">
        <v>2</v>
      </c>
      <c r="J319" s="1" t="s">
        <v>5199</v>
      </c>
      <c r="K319" s="1" t="s">
        <v>5586</v>
      </c>
      <c r="L319" s="1" t="s">
        <v>7</v>
      </c>
      <c r="M319" s="1"/>
      <c r="N319" s="1" t="s">
        <v>5587</v>
      </c>
      <c r="O319" s="1" t="s">
        <v>5588</v>
      </c>
      <c r="P319" s="1"/>
      <c r="Q319" s="1"/>
      <c r="R319" s="1" t="s">
        <v>11</v>
      </c>
      <c r="S319" s="1"/>
      <c r="T319" s="1"/>
      <c r="U319" s="1"/>
      <c r="V319" s="1"/>
      <c r="W319" s="1"/>
      <c r="X319" s="1" t="s">
        <v>5589</v>
      </c>
      <c r="Y319" s="1"/>
      <c r="Z319" s="1"/>
      <c r="AA319" s="1"/>
      <c r="AB319" s="1" t="s">
        <v>5590</v>
      </c>
      <c r="AC319" s="1"/>
      <c r="AD319" s="1"/>
      <c r="AE319" s="1"/>
      <c r="AF319" s="1"/>
      <c r="AG319" s="1"/>
      <c r="AH319" s="1" t="s">
        <v>5591</v>
      </c>
      <c r="AI319" s="1"/>
      <c r="AJ319" s="1" t="s">
        <v>5448</v>
      </c>
      <c r="AK319" s="1" t="s">
        <v>5449</v>
      </c>
      <c r="AL319" s="1" t="s">
        <v>5450</v>
      </c>
      <c r="AM319" s="1" t="s">
        <v>5451</v>
      </c>
      <c r="AN319" s="1" t="s">
        <v>5452</v>
      </c>
      <c r="AO319" s="1" t="s">
        <v>5453</v>
      </c>
      <c r="AP319" s="2" t="s">
        <v>5592</v>
      </c>
      <c r="AQ319" s="2" t="s">
        <v>1077</v>
      </c>
      <c r="AR319" s="1" t="s">
        <v>286</v>
      </c>
      <c r="AS319" s="1"/>
      <c r="AT319" s="1" t="s">
        <v>5</v>
      </c>
    </row>
    <row r="320" spans="1:46" hidden="1" x14ac:dyDescent="0.4">
      <c r="A320" s="1" t="s">
        <v>5901</v>
      </c>
      <c r="B320" s="10"/>
      <c r="C320" s="1" t="s">
        <v>5198</v>
      </c>
      <c r="D320" s="1" t="s">
        <v>2211</v>
      </c>
      <c r="E320" s="1" t="s">
        <v>2078</v>
      </c>
      <c r="F320" s="1" t="s">
        <v>14</v>
      </c>
      <c r="G320" s="1" t="s">
        <v>1</v>
      </c>
      <c r="H320" s="1" t="s">
        <v>6</v>
      </c>
      <c r="I320" s="1" t="s">
        <v>2</v>
      </c>
      <c r="J320" s="1" t="s">
        <v>5199</v>
      </c>
      <c r="K320" s="1" t="s">
        <v>5902</v>
      </c>
      <c r="L320" s="1" t="s">
        <v>7</v>
      </c>
      <c r="M320" s="1"/>
      <c r="N320" s="1" t="s">
        <v>5903</v>
      </c>
      <c r="O320" s="1" t="s">
        <v>5551</v>
      </c>
      <c r="P320" s="1"/>
      <c r="Q320" s="1"/>
      <c r="R320" s="1" t="s">
        <v>11</v>
      </c>
      <c r="S320" s="1"/>
      <c r="T320" s="1"/>
      <c r="U320" s="1"/>
      <c r="V320" s="1"/>
      <c r="W320" s="1" t="s">
        <v>5904</v>
      </c>
      <c r="X320" s="1" t="s">
        <v>5905</v>
      </c>
      <c r="Y320" s="1"/>
      <c r="Z320" s="1"/>
      <c r="AA320" s="1"/>
      <c r="AB320" s="1" t="s">
        <v>5906</v>
      </c>
      <c r="AC320" s="1"/>
      <c r="AD320" s="1"/>
      <c r="AE320" s="1" t="s">
        <v>5907</v>
      </c>
      <c r="AF320" s="1"/>
      <c r="AG320" s="1"/>
      <c r="AH320" s="1" t="s">
        <v>5908</v>
      </c>
      <c r="AI320" s="1"/>
      <c r="AJ320" s="1" t="s">
        <v>5448</v>
      </c>
      <c r="AK320" s="1" t="s">
        <v>5449</v>
      </c>
      <c r="AL320" s="1" t="s">
        <v>5450</v>
      </c>
      <c r="AM320" s="1" t="s">
        <v>5451</v>
      </c>
      <c r="AN320" s="1" t="s">
        <v>5452</v>
      </c>
      <c r="AO320" s="1" t="s">
        <v>5453</v>
      </c>
      <c r="AP320" s="2" t="s">
        <v>5909</v>
      </c>
      <c r="AQ320" s="2" t="s">
        <v>1077</v>
      </c>
      <c r="AR320" s="1" t="s">
        <v>286</v>
      </c>
      <c r="AS320" s="1"/>
      <c r="AT320" s="1" t="s">
        <v>5</v>
      </c>
    </row>
    <row r="321" spans="1:46" hidden="1" x14ac:dyDescent="0.4">
      <c r="A321" s="1" t="s">
        <v>4231</v>
      </c>
      <c r="B321" s="10"/>
      <c r="C321" s="1" t="s">
        <v>93</v>
      </c>
      <c r="D321" s="1" t="s">
        <v>2157</v>
      </c>
      <c r="E321" s="1" t="s">
        <v>2078</v>
      </c>
      <c r="F321" s="1" t="s">
        <v>14</v>
      </c>
      <c r="G321" s="1" t="s">
        <v>1</v>
      </c>
      <c r="H321" s="1" t="s">
        <v>6</v>
      </c>
      <c r="I321" s="1" t="s">
        <v>2</v>
      </c>
      <c r="J321" s="1" t="s">
        <v>3</v>
      </c>
      <c r="K321" s="1" t="s">
        <v>4232</v>
      </c>
      <c r="L321" s="1" t="s">
        <v>7</v>
      </c>
      <c r="M321" s="1"/>
      <c r="N321" s="1" t="s">
        <v>4233</v>
      </c>
      <c r="O321" s="1" t="s">
        <v>4234</v>
      </c>
      <c r="P321" s="1"/>
      <c r="Q321" s="1"/>
      <c r="R321" s="1" t="s">
        <v>11</v>
      </c>
      <c r="S321" s="1"/>
      <c r="T321" s="1"/>
      <c r="U321" s="1"/>
      <c r="V321" s="1"/>
      <c r="W321" s="1" t="s">
        <v>4235</v>
      </c>
      <c r="X321" s="1" t="s">
        <v>4236</v>
      </c>
      <c r="Y321" s="1"/>
      <c r="Z321" s="1"/>
      <c r="AA321" s="1"/>
      <c r="AB321" s="1" t="s">
        <v>4237</v>
      </c>
      <c r="AC321" s="1"/>
      <c r="AD321" s="1"/>
      <c r="AE321" s="1"/>
      <c r="AF321" s="1"/>
      <c r="AG321" s="1"/>
      <c r="AH321" s="1" t="s">
        <v>4238</v>
      </c>
      <c r="AI321" s="1"/>
      <c r="AJ321" s="1" t="s">
        <v>4239</v>
      </c>
      <c r="AK321" s="1" t="s">
        <v>4240</v>
      </c>
      <c r="AL321" s="1" t="s">
        <v>4241</v>
      </c>
      <c r="AM321" s="1" t="s">
        <v>4242</v>
      </c>
      <c r="AN321" s="1" t="s">
        <v>4243</v>
      </c>
      <c r="AO321" s="1" t="s">
        <v>4244</v>
      </c>
      <c r="AP321" s="2" t="s">
        <v>4245</v>
      </c>
      <c r="AQ321" s="2" t="s">
        <v>1153</v>
      </c>
      <c r="AR321" s="1" t="s">
        <v>286</v>
      </c>
      <c r="AS321" s="1"/>
      <c r="AT321" s="1" t="s">
        <v>5</v>
      </c>
    </row>
    <row r="322" spans="1:46" hidden="1" x14ac:dyDescent="0.4">
      <c r="A322" s="1" t="s">
        <v>7638</v>
      </c>
      <c r="B322" s="10"/>
      <c r="C322" s="1" t="s">
        <v>2705</v>
      </c>
      <c r="D322" s="1" t="s">
        <v>2157</v>
      </c>
      <c r="E322" s="1" t="s">
        <v>2078</v>
      </c>
      <c r="F322" s="1" t="s">
        <v>14</v>
      </c>
      <c r="G322" s="1" t="s">
        <v>1</v>
      </c>
      <c r="H322" s="1" t="s">
        <v>6</v>
      </c>
      <c r="I322" s="1" t="s">
        <v>2</v>
      </c>
      <c r="J322" s="1" t="s">
        <v>2450</v>
      </c>
      <c r="K322" s="1" t="s">
        <v>7639</v>
      </c>
      <c r="L322" s="1" t="s">
        <v>7</v>
      </c>
      <c r="M322" s="1" t="s">
        <v>9</v>
      </c>
      <c r="N322" s="1" t="s">
        <v>7640</v>
      </c>
      <c r="O322" s="1" t="s">
        <v>4208</v>
      </c>
      <c r="P322" s="1"/>
      <c r="Q322" s="1"/>
      <c r="R322" s="1" t="s">
        <v>11</v>
      </c>
      <c r="S322" s="1"/>
      <c r="T322" s="1"/>
      <c r="U322" s="1"/>
      <c r="V322" s="1"/>
      <c r="W322" s="1"/>
      <c r="X322" s="1" t="s">
        <v>7641</v>
      </c>
      <c r="Y322" s="1"/>
      <c r="Z322" s="1"/>
      <c r="AA322" s="1"/>
      <c r="AB322" s="1" t="s">
        <v>7642</v>
      </c>
      <c r="AC322" s="1"/>
      <c r="AD322" s="1"/>
      <c r="AE322" s="1"/>
      <c r="AF322" s="1"/>
      <c r="AG322" s="1"/>
      <c r="AH322" s="1" t="s">
        <v>7643</v>
      </c>
      <c r="AI322" s="1"/>
      <c r="AJ322" s="1" t="s">
        <v>6567</v>
      </c>
      <c r="AK322" s="1" t="s">
        <v>6568</v>
      </c>
      <c r="AL322" s="1" t="s">
        <v>6569</v>
      </c>
      <c r="AM322" s="1" t="s">
        <v>6567</v>
      </c>
      <c r="AN322" s="1" t="s">
        <v>6568</v>
      </c>
      <c r="AO322" s="1" t="s">
        <v>6569</v>
      </c>
      <c r="AP322" s="2" t="s">
        <v>7644</v>
      </c>
      <c r="AQ322" s="2" t="s">
        <v>1154</v>
      </c>
      <c r="AR322" s="1" t="s">
        <v>286</v>
      </c>
      <c r="AS322" s="1"/>
      <c r="AT322" s="1" t="s">
        <v>5</v>
      </c>
    </row>
    <row r="323" spans="1:46" hidden="1" x14ac:dyDescent="0.4">
      <c r="A323" s="1" t="s">
        <v>7179</v>
      </c>
      <c r="B323" s="10"/>
      <c r="C323" s="1" t="s">
        <v>2705</v>
      </c>
      <c r="D323" s="1" t="s">
        <v>2157</v>
      </c>
      <c r="E323" s="1" t="s">
        <v>2078</v>
      </c>
      <c r="F323" s="1" t="s">
        <v>14</v>
      </c>
      <c r="G323" s="1" t="s">
        <v>1</v>
      </c>
      <c r="H323" s="1" t="s">
        <v>6</v>
      </c>
      <c r="I323" s="1" t="s">
        <v>2</v>
      </c>
      <c r="J323" s="1" t="s">
        <v>2813</v>
      </c>
      <c r="K323" s="1" t="s">
        <v>7180</v>
      </c>
      <c r="L323" s="1" t="s">
        <v>7</v>
      </c>
      <c r="M323" s="1" t="s">
        <v>9</v>
      </c>
      <c r="N323" s="1" t="s">
        <v>7181</v>
      </c>
      <c r="O323" s="1" t="s">
        <v>2771</v>
      </c>
      <c r="P323" s="1" t="s">
        <v>7182</v>
      </c>
      <c r="Q323" s="1"/>
      <c r="R323" s="1" t="s">
        <v>11</v>
      </c>
      <c r="S323" s="1"/>
      <c r="T323" s="1"/>
      <c r="U323" s="1"/>
      <c r="V323" s="1"/>
      <c r="W323" s="1"/>
      <c r="X323" s="1" t="s">
        <v>7183</v>
      </c>
      <c r="Y323" s="1"/>
      <c r="Z323" s="1"/>
      <c r="AA323" s="1"/>
      <c r="AB323" s="1" t="s">
        <v>7184</v>
      </c>
      <c r="AC323" s="1"/>
      <c r="AD323" s="1"/>
      <c r="AE323" s="1" t="s">
        <v>7185</v>
      </c>
      <c r="AF323" s="1"/>
      <c r="AG323" s="1"/>
      <c r="AH323" s="1" t="s">
        <v>7186</v>
      </c>
      <c r="AI323" s="1" t="s">
        <v>7187</v>
      </c>
      <c r="AJ323" s="1" t="s">
        <v>6744</v>
      </c>
      <c r="AK323" s="1" t="s">
        <v>6568</v>
      </c>
      <c r="AL323" s="1" t="s">
        <v>6745</v>
      </c>
      <c r="AM323" s="1" t="s">
        <v>6943</v>
      </c>
      <c r="AN323" s="1" t="s">
        <v>6568</v>
      </c>
      <c r="AO323" s="1" t="s">
        <v>6944</v>
      </c>
      <c r="AP323" s="2" t="s">
        <v>7188</v>
      </c>
      <c r="AQ323" s="2" t="s">
        <v>1077</v>
      </c>
      <c r="AR323" s="1" t="s">
        <v>286</v>
      </c>
      <c r="AS323" s="1" t="s">
        <v>735</v>
      </c>
      <c r="AT323" s="1" t="s">
        <v>5</v>
      </c>
    </row>
    <row r="324" spans="1:46" hidden="1" x14ac:dyDescent="0.4">
      <c r="A324" s="1" t="s">
        <v>8229</v>
      </c>
      <c r="B324" s="10"/>
      <c r="C324" s="1" t="s">
        <v>2675</v>
      </c>
      <c r="D324" s="1" t="s">
        <v>2157</v>
      </c>
      <c r="E324" s="1" t="s">
        <v>2078</v>
      </c>
      <c r="F324" s="1" t="s">
        <v>14</v>
      </c>
      <c r="G324" s="1" t="s">
        <v>1</v>
      </c>
      <c r="H324" s="1" t="s">
        <v>6</v>
      </c>
      <c r="I324" s="1" t="s">
        <v>2</v>
      </c>
      <c r="J324" s="1" t="s">
        <v>2450</v>
      </c>
      <c r="K324" s="1" t="s">
        <v>8230</v>
      </c>
      <c r="L324" s="1" t="s">
        <v>7</v>
      </c>
      <c r="M324" s="1"/>
      <c r="N324" s="1" t="s">
        <v>8231</v>
      </c>
      <c r="O324" s="1" t="s">
        <v>8232</v>
      </c>
      <c r="P324" s="1" t="s">
        <v>8233</v>
      </c>
      <c r="Q324" s="1"/>
      <c r="R324" s="1" t="s">
        <v>11</v>
      </c>
      <c r="S324" s="1"/>
      <c r="T324" s="1"/>
      <c r="U324" s="1"/>
      <c r="V324" s="1"/>
      <c r="W324" s="1"/>
      <c r="X324" s="1" t="s">
        <v>8234</v>
      </c>
      <c r="Y324" s="1"/>
      <c r="Z324" s="1"/>
      <c r="AA324" s="1"/>
      <c r="AB324" s="1" t="s">
        <v>8235</v>
      </c>
      <c r="AC324" s="1"/>
      <c r="AD324" s="1"/>
      <c r="AE324" s="1" t="s">
        <v>8236</v>
      </c>
      <c r="AF324" s="1"/>
      <c r="AG324" s="1"/>
      <c r="AH324" s="1" t="s">
        <v>8237</v>
      </c>
      <c r="AI324" s="1"/>
      <c r="AJ324" s="1" t="s">
        <v>8238</v>
      </c>
      <c r="AK324" s="1" t="s">
        <v>8239</v>
      </c>
      <c r="AL324" s="1" t="s">
        <v>8240</v>
      </c>
      <c r="AM324" s="1" t="s">
        <v>8238</v>
      </c>
      <c r="AN324" s="1" t="s">
        <v>8239</v>
      </c>
      <c r="AO324" s="1" t="s">
        <v>8240</v>
      </c>
      <c r="AP324" s="2" t="s">
        <v>8241</v>
      </c>
      <c r="AQ324" s="2" t="s">
        <v>1154</v>
      </c>
      <c r="AR324" s="1" t="s">
        <v>286</v>
      </c>
      <c r="AS324" s="1"/>
      <c r="AT324" s="1" t="s">
        <v>5</v>
      </c>
    </row>
    <row r="325" spans="1:46" hidden="1" x14ac:dyDescent="0.4">
      <c r="A325" s="1" t="s">
        <v>8558</v>
      </c>
      <c r="B325" s="10"/>
      <c r="C325" s="1" t="s">
        <v>2675</v>
      </c>
      <c r="D325" s="1" t="s">
        <v>2157</v>
      </c>
      <c r="E325" s="1" t="s">
        <v>2078</v>
      </c>
      <c r="F325" s="1" t="s">
        <v>14</v>
      </c>
      <c r="G325" s="1" t="s">
        <v>1</v>
      </c>
      <c r="H325" s="1" t="s">
        <v>6</v>
      </c>
      <c r="I325" s="1" t="s">
        <v>2</v>
      </c>
      <c r="J325" s="1" t="s">
        <v>2450</v>
      </c>
      <c r="K325" s="1" t="s">
        <v>8559</v>
      </c>
      <c r="L325" s="1" t="s">
        <v>4</v>
      </c>
      <c r="M325" s="1" t="s">
        <v>9</v>
      </c>
      <c r="N325" s="1" t="s">
        <v>8231</v>
      </c>
      <c r="O325" s="1" t="s">
        <v>8232</v>
      </c>
      <c r="P325" s="1" t="s">
        <v>8233</v>
      </c>
      <c r="Q325" s="1"/>
      <c r="R325" s="1" t="s">
        <v>11</v>
      </c>
      <c r="S325" s="1"/>
      <c r="T325" s="1"/>
      <c r="U325" s="1"/>
      <c r="V325" s="1"/>
      <c r="W325" s="1"/>
      <c r="X325" s="1" t="s">
        <v>8234</v>
      </c>
      <c r="Y325" s="1"/>
      <c r="Z325" s="1"/>
      <c r="AA325" s="1"/>
      <c r="AB325" s="1" t="s">
        <v>8560</v>
      </c>
      <c r="AC325" s="1"/>
      <c r="AD325" s="1"/>
      <c r="AE325" s="1" t="s">
        <v>8236</v>
      </c>
      <c r="AF325" s="1"/>
      <c r="AG325" s="1"/>
      <c r="AH325" s="1" t="s">
        <v>8561</v>
      </c>
      <c r="AI325" s="1"/>
      <c r="AJ325" s="1" t="s">
        <v>8238</v>
      </c>
      <c r="AK325" s="1" t="s">
        <v>8239</v>
      </c>
      <c r="AL325" s="1" t="s">
        <v>8240</v>
      </c>
      <c r="AM325" s="1" t="s">
        <v>8238</v>
      </c>
      <c r="AN325" s="1" t="s">
        <v>8239</v>
      </c>
      <c r="AO325" s="1" t="s">
        <v>8240</v>
      </c>
      <c r="AP325" s="2" t="s">
        <v>8562</v>
      </c>
      <c r="AQ325" s="2" t="s">
        <v>1154</v>
      </c>
      <c r="AR325" s="1" t="s">
        <v>286</v>
      </c>
      <c r="AS325" s="1" t="s">
        <v>8563</v>
      </c>
      <c r="AT325" s="1" t="s">
        <v>5</v>
      </c>
    </row>
    <row r="326" spans="1:46" hidden="1" x14ac:dyDescent="0.4">
      <c r="A326" s="1" t="s">
        <v>7865</v>
      </c>
      <c r="B326" s="10"/>
      <c r="C326" s="1" t="s">
        <v>93</v>
      </c>
      <c r="D326" s="1" t="s">
        <v>2157</v>
      </c>
      <c r="E326" s="1" t="s">
        <v>2078</v>
      </c>
      <c r="F326" s="1" t="s">
        <v>14</v>
      </c>
      <c r="G326" s="1" t="s">
        <v>1</v>
      </c>
      <c r="H326" s="1" t="s">
        <v>6</v>
      </c>
      <c r="I326" s="1" t="s">
        <v>2</v>
      </c>
      <c r="J326" s="1" t="s">
        <v>3</v>
      </c>
      <c r="K326" s="1" t="s">
        <v>7866</v>
      </c>
      <c r="L326" s="1" t="s">
        <v>7</v>
      </c>
      <c r="M326" s="1"/>
      <c r="N326" s="1" t="s">
        <v>7867</v>
      </c>
      <c r="O326" s="1" t="s">
        <v>19</v>
      </c>
      <c r="P326" s="1" t="s">
        <v>7868</v>
      </c>
      <c r="Q326" s="1"/>
      <c r="R326" s="1" t="s">
        <v>11</v>
      </c>
      <c r="S326" s="1"/>
      <c r="T326" s="1"/>
      <c r="U326" s="1"/>
      <c r="V326" s="1"/>
      <c r="W326" s="1" t="s">
        <v>7869</v>
      </c>
      <c r="X326" s="1"/>
      <c r="Y326" s="1"/>
      <c r="Z326" s="1"/>
      <c r="AA326" s="1"/>
      <c r="AB326" s="1" t="s">
        <v>7870</v>
      </c>
      <c r="AC326" s="1"/>
      <c r="AD326" s="1"/>
      <c r="AE326" s="1" t="s">
        <v>7871</v>
      </c>
      <c r="AF326" s="1"/>
      <c r="AG326" s="1"/>
      <c r="AH326" s="1" t="s">
        <v>7872</v>
      </c>
      <c r="AI326" s="1" t="s">
        <v>7873</v>
      </c>
      <c r="AJ326" s="1" t="s">
        <v>7874</v>
      </c>
      <c r="AK326" s="1" t="s">
        <v>5668</v>
      </c>
      <c r="AL326" s="1" t="s">
        <v>7875</v>
      </c>
      <c r="AM326" s="1" t="s">
        <v>7874</v>
      </c>
      <c r="AN326" s="1" t="s">
        <v>5668</v>
      </c>
      <c r="AO326" s="1" t="s">
        <v>7875</v>
      </c>
      <c r="AP326" s="2" t="s">
        <v>7876</v>
      </c>
      <c r="AQ326" s="2" t="s">
        <v>1154</v>
      </c>
      <c r="AR326" s="1" t="s">
        <v>286</v>
      </c>
      <c r="AS326" s="1" t="s">
        <v>7877</v>
      </c>
      <c r="AT326" s="1" t="s">
        <v>5</v>
      </c>
    </row>
    <row r="327" spans="1:46" hidden="1" x14ac:dyDescent="0.4">
      <c r="A327" s="1" t="s">
        <v>6296</v>
      </c>
      <c r="B327" s="10"/>
      <c r="C327" s="1" t="s">
        <v>3626</v>
      </c>
      <c r="D327" s="1" t="s">
        <v>2211</v>
      </c>
      <c r="E327" s="1" t="s">
        <v>2078</v>
      </c>
      <c r="F327" s="1" t="s">
        <v>14</v>
      </c>
      <c r="G327" s="1" t="s">
        <v>1</v>
      </c>
      <c r="H327" s="1" t="s">
        <v>6</v>
      </c>
      <c r="I327" s="1" t="s">
        <v>2</v>
      </c>
      <c r="J327" s="1" t="s">
        <v>3514</v>
      </c>
      <c r="K327" s="1" t="s">
        <v>6297</v>
      </c>
      <c r="L327" s="1" t="s">
        <v>7</v>
      </c>
      <c r="M327" s="1" t="s">
        <v>9</v>
      </c>
      <c r="N327" s="1" t="s">
        <v>6298</v>
      </c>
      <c r="O327" s="1" t="s">
        <v>2238</v>
      </c>
      <c r="P327" s="1"/>
      <c r="Q327" s="1"/>
      <c r="R327" s="1" t="s">
        <v>11</v>
      </c>
      <c r="S327" s="1"/>
      <c r="T327" s="1"/>
      <c r="U327" s="1"/>
      <c r="V327" s="1"/>
      <c r="W327" s="1"/>
      <c r="X327" s="1" t="s">
        <v>6299</v>
      </c>
      <c r="Y327" s="1"/>
      <c r="Z327" s="1"/>
      <c r="AA327" s="1"/>
      <c r="AB327" s="1" t="s">
        <v>6300</v>
      </c>
      <c r="AC327" s="1"/>
      <c r="AD327" s="1"/>
      <c r="AE327" s="1" t="s">
        <v>6293</v>
      </c>
      <c r="AF327" s="1"/>
      <c r="AG327" s="1"/>
      <c r="AH327" s="1" t="s">
        <v>6301</v>
      </c>
      <c r="AI327" s="1"/>
      <c r="AJ327" s="1" t="s">
        <v>4777</v>
      </c>
      <c r="AK327" s="1" t="s">
        <v>4035</v>
      </c>
      <c r="AL327" s="1" t="s">
        <v>4778</v>
      </c>
      <c r="AM327" s="1" t="s">
        <v>4777</v>
      </c>
      <c r="AN327" s="1" t="s">
        <v>4035</v>
      </c>
      <c r="AO327" s="1" t="s">
        <v>4778</v>
      </c>
      <c r="AP327" s="2" t="s">
        <v>6302</v>
      </c>
      <c r="AQ327" s="2" t="s">
        <v>1077</v>
      </c>
      <c r="AR327" s="1" t="s">
        <v>286</v>
      </c>
      <c r="AS327" s="1"/>
      <c r="AT327" s="1" t="s">
        <v>5</v>
      </c>
    </row>
    <row r="328" spans="1:46" hidden="1" x14ac:dyDescent="0.4">
      <c r="A328" s="1" t="s">
        <v>3337</v>
      </c>
      <c r="B328" s="10"/>
      <c r="C328" s="1" t="s">
        <v>2555</v>
      </c>
      <c r="D328" s="1" t="s">
        <v>2157</v>
      </c>
      <c r="E328" s="1" t="s">
        <v>2078</v>
      </c>
      <c r="F328" s="1" t="s">
        <v>14</v>
      </c>
      <c r="G328" s="1" t="s">
        <v>1</v>
      </c>
      <c r="H328" s="1" t="s">
        <v>6</v>
      </c>
      <c r="I328" s="1" t="s">
        <v>2</v>
      </c>
      <c r="J328" s="1" t="s">
        <v>3</v>
      </c>
      <c r="K328" s="1" t="s">
        <v>3338</v>
      </c>
      <c r="L328" s="1" t="s">
        <v>7</v>
      </c>
      <c r="M328" s="1"/>
      <c r="N328" s="1" t="s">
        <v>3339</v>
      </c>
      <c r="O328" s="1" t="s">
        <v>3340</v>
      </c>
      <c r="P328" s="1"/>
      <c r="Q328" s="1"/>
      <c r="R328" s="1" t="s">
        <v>11</v>
      </c>
      <c r="S328" s="1"/>
      <c r="T328" s="1"/>
      <c r="U328" s="1"/>
      <c r="V328" s="1"/>
      <c r="W328" s="1" t="s">
        <v>3341</v>
      </c>
      <c r="X328" s="1" t="s">
        <v>3342</v>
      </c>
      <c r="Y328" s="1"/>
      <c r="Z328" s="1"/>
      <c r="AA328" s="1"/>
      <c r="AB328" s="1" t="s">
        <v>3343</v>
      </c>
      <c r="AC328" s="1"/>
      <c r="AD328" s="1"/>
      <c r="AE328" s="1" t="s">
        <v>3344</v>
      </c>
      <c r="AF328" s="1"/>
      <c r="AG328" s="1"/>
      <c r="AH328" s="1" t="s">
        <v>3345</v>
      </c>
      <c r="AI328" s="1"/>
      <c r="AJ328" s="1" t="s">
        <v>3346</v>
      </c>
      <c r="AK328" s="1" t="s">
        <v>2754</v>
      </c>
      <c r="AL328" s="1"/>
      <c r="AM328" s="1" t="s">
        <v>3346</v>
      </c>
      <c r="AN328" s="1" t="s">
        <v>2754</v>
      </c>
      <c r="AO328" s="1"/>
      <c r="AP328" s="2" t="s">
        <v>3347</v>
      </c>
      <c r="AQ328" s="2" t="s">
        <v>1155</v>
      </c>
      <c r="AR328" s="1"/>
      <c r="AS328" s="1"/>
      <c r="AT328" s="1" t="s">
        <v>5</v>
      </c>
    </row>
    <row r="329" spans="1:46" hidden="1" x14ac:dyDescent="0.4">
      <c r="A329" s="1" t="s">
        <v>8199</v>
      </c>
      <c r="B329" s="10"/>
      <c r="C329" s="1" t="s">
        <v>0</v>
      </c>
      <c r="D329" s="1" t="s">
        <v>2157</v>
      </c>
      <c r="E329" s="1" t="s">
        <v>2078</v>
      </c>
      <c r="F329" s="1" t="s">
        <v>14</v>
      </c>
      <c r="G329" s="1" t="s">
        <v>1</v>
      </c>
      <c r="H329" s="1" t="s">
        <v>6</v>
      </c>
      <c r="I329" s="1" t="s">
        <v>2</v>
      </c>
      <c r="J329" s="1" t="s">
        <v>3</v>
      </c>
      <c r="K329" s="1" t="s">
        <v>8200</v>
      </c>
      <c r="L329" s="1" t="s">
        <v>7</v>
      </c>
      <c r="M329" s="1" t="s">
        <v>9</v>
      </c>
      <c r="N329" s="1" t="s">
        <v>8201</v>
      </c>
      <c r="O329" s="1" t="s">
        <v>2238</v>
      </c>
      <c r="P329" s="1"/>
      <c r="Q329" s="1"/>
      <c r="R329" s="1" t="s">
        <v>11</v>
      </c>
      <c r="S329" s="1"/>
      <c r="T329" s="1"/>
      <c r="U329" s="1"/>
      <c r="V329" s="1"/>
      <c r="W329" s="1"/>
      <c r="X329" s="1"/>
      <c r="Y329" s="1"/>
      <c r="Z329" s="1"/>
      <c r="AA329" s="1"/>
      <c r="AB329" s="1" t="s">
        <v>8202</v>
      </c>
      <c r="AC329" s="1"/>
      <c r="AD329" s="1"/>
      <c r="AE329" s="1" t="s">
        <v>8203</v>
      </c>
      <c r="AF329" s="1"/>
      <c r="AG329" s="1"/>
      <c r="AH329" s="1" t="s">
        <v>8204</v>
      </c>
      <c r="AI329" s="1"/>
      <c r="AJ329" s="1" t="s">
        <v>59</v>
      </c>
      <c r="AK329" s="1" t="s">
        <v>598</v>
      </c>
      <c r="AL329" s="1" t="s">
        <v>126</v>
      </c>
      <c r="AM329" s="1" t="s">
        <v>8205</v>
      </c>
      <c r="AN329" s="1" t="s">
        <v>598</v>
      </c>
      <c r="AO329" s="1" t="s">
        <v>8206</v>
      </c>
      <c r="AP329" s="2" t="s">
        <v>8207</v>
      </c>
      <c r="AQ329" s="2" t="s">
        <v>1154</v>
      </c>
      <c r="AR329" s="1" t="s">
        <v>286</v>
      </c>
      <c r="AS329" s="1" t="s">
        <v>8208</v>
      </c>
      <c r="AT329" s="1" t="s">
        <v>5</v>
      </c>
    </row>
    <row r="330" spans="1:46" hidden="1" x14ac:dyDescent="0.4">
      <c r="A330" s="1" t="s">
        <v>4639</v>
      </c>
      <c r="B330" s="10"/>
      <c r="C330" s="1" t="s">
        <v>4640</v>
      </c>
      <c r="D330" s="1" t="s">
        <v>2157</v>
      </c>
      <c r="E330" s="1" t="s">
        <v>2078</v>
      </c>
      <c r="F330" s="1" t="s">
        <v>14</v>
      </c>
      <c r="G330" s="1" t="s">
        <v>1</v>
      </c>
      <c r="H330" s="1" t="s">
        <v>6</v>
      </c>
      <c r="I330" s="1" t="s">
        <v>2</v>
      </c>
      <c r="J330" s="1" t="s">
        <v>3514</v>
      </c>
      <c r="K330" s="1" t="s">
        <v>4641</v>
      </c>
      <c r="L330" s="1" t="s">
        <v>7</v>
      </c>
      <c r="M330" s="1"/>
      <c r="N330" s="1" t="s">
        <v>4642</v>
      </c>
      <c r="O330" s="1" t="s">
        <v>4643</v>
      </c>
      <c r="P330" s="1"/>
      <c r="Q330" s="1"/>
      <c r="R330" s="1" t="s">
        <v>11</v>
      </c>
      <c r="S330" s="1"/>
      <c r="T330" s="1"/>
      <c r="U330" s="1"/>
      <c r="V330" s="1"/>
      <c r="W330" s="1" t="s">
        <v>4644</v>
      </c>
      <c r="X330" s="1"/>
      <c r="Y330" s="1"/>
      <c r="Z330" s="1"/>
      <c r="AA330" s="1"/>
      <c r="AB330" s="1" t="s">
        <v>4645</v>
      </c>
      <c r="AC330" s="1"/>
      <c r="AD330" s="1"/>
      <c r="AE330" s="1"/>
      <c r="AF330" s="1"/>
      <c r="AG330" s="1"/>
      <c r="AH330" s="1" t="s">
        <v>4646</v>
      </c>
      <c r="AI330" s="1"/>
      <c r="AJ330" s="1" t="s">
        <v>4647</v>
      </c>
      <c r="AK330" s="1" t="s">
        <v>4340</v>
      </c>
      <c r="AL330" s="1" t="s">
        <v>4648</v>
      </c>
      <c r="AM330" s="1" t="s">
        <v>4647</v>
      </c>
      <c r="AN330" s="1" t="s">
        <v>4340</v>
      </c>
      <c r="AO330" s="1" t="s">
        <v>4648</v>
      </c>
      <c r="AP330" s="2" t="s">
        <v>4649</v>
      </c>
      <c r="AQ330" s="2" t="s">
        <v>1153</v>
      </c>
      <c r="AR330" s="1" t="s">
        <v>286</v>
      </c>
      <c r="AS330" s="1"/>
      <c r="AT330" s="1" t="s">
        <v>5</v>
      </c>
    </row>
    <row r="331" spans="1:46" hidden="1" x14ac:dyDescent="0.4">
      <c r="A331" s="1" t="s">
        <v>7533</v>
      </c>
      <c r="B331" s="10"/>
      <c r="C331" s="1" t="s">
        <v>2454</v>
      </c>
      <c r="D331" s="1" t="s">
        <v>2157</v>
      </c>
      <c r="E331" s="1" t="s">
        <v>2078</v>
      </c>
      <c r="F331" s="1" t="s">
        <v>14</v>
      </c>
      <c r="G331" s="1" t="s">
        <v>1</v>
      </c>
      <c r="H331" s="1" t="s">
        <v>6</v>
      </c>
      <c r="I331" s="1" t="s">
        <v>2</v>
      </c>
      <c r="J331" s="1" t="s">
        <v>3676</v>
      </c>
      <c r="K331" s="1" t="s">
        <v>7534</v>
      </c>
      <c r="L331" s="1" t="s">
        <v>7</v>
      </c>
      <c r="M331" s="1"/>
      <c r="N331" s="1" t="s">
        <v>7535</v>
      </c>
      <c r="O331" s="1" t="s">
        <v>7536</v>
      </c>
      <c r="P331" s="1" t="s">
        <v>7537</v>
      </c>
      <c r="Q331" s="1"/>
      <c r="R331" s="1" t="s">
        <v>11</v>
      </c>
      <c r="S331" s="1"/>
      <c r="T331" s="1"/>
      <c r="U331" s="1"/>
      <c r="V331" s="1"/>
      <c r="W331" s="1" t="s">
        <v>7538</v>
      </c>
      <c r="X331" s="1" t="s">
        <v>7539</v>
      </c>
      <c r="Y331" s="1"/>
      <c r="Z331" s="1"/>
      <c r="AA331" s="1"/>
      <c r="AB331" s="1" t="s">
        <v>7540</v>
      </c>
      <c r="AC331" s="1"/>
      <c r="AD331" s="1"/>
      <c r="AE331" s="1"/>
      <c r="AF331" s="1"/>
      <c r="AG331" s="1"/>
      <c r="AH331" s="1" t="s">
        <v>7541</v>
      </c>
      <c r="AI331" s="1"/>
      <c r="AJ331" s="1" t="s">
        <v>3682</v>
      </c>
      <c r="AK331" s="1" t="s">
        <v>3106</v>
      </c>
      <c r="AL331" s="1" t="s">
        <v>3683</v>
      </c>
      <c r="AM331" s="1" t="s">
        <v>3682</v>
      </c>
      <c r="AN331" s="1" t="s">
        <v>3106</v>
      </c>
      <c r="AO331" s="1" t="s">
        <v>3683</v>
      </c>
      <c r="AP331" s="2" t="s">
        <v>7542</v>
      </c>
      <c r="AQ331" s="2" t="s">
        <v>1154</v>
      </c>
      <c r="AR331" s="1" t="s">
        <v>286</v>
      </c>
      <c r="AS331" s="1" t="s">
        <v>7543</v>
      </c>
      <c r="AT331" s="1" t="s">
        <v>5</v>
      </c>
    </row>
    <row r="332" spans="1:46" hidden="1" x14ac:dyDescent="0.4">
      <c r="A332" s="1" t="s">
        <v>4532</v>
      </c>
      <c r="B332" s="10"/>
      <c r="C332" s="1" t="s">
        <v>2555</v>
      </c>
      <c r="D332" s="1" t="s">
        <v>2157</v>
      </c>
      <c r="E332" s="1" t="s">
        <v>2078</v>
      </c>
      <c r="F332" s="1" t="s">
        <v>14</v>
      </c>
      <c r="G332" s="1" t="s">
        <v>1</v>
      </c>
      <c r="H332" s="1" t="s">
        <v>6</v>
      </c>
      <c r="I332" s="1" t="s">
        <v>2</v>
      </c>
      <c r="J332" s="1" t="s">
        <v>3</v>
      </c>
      <c r="K332" s="1" t="s">
        <v>4533</v>
      </c>
      <c r="L332" s="1" t="s">
        <v>7</v>
      </c>
      <c r="M332" s="1"/>
      <c r="N332" s="1" t="s">
        <v>4534</v>
      </c>
      <c r="O332" s="1" t="s">
        <v>4535</v>
      </c>
      <c r="P332" s="1"/>
      <c r="Q332" s="1"/>
      <c r="R332" s="1" t="s">
        <v>11</v>
      </c>
      <c r="S332" s="1"/>
      <c r="T332" s="1"/>
      <c r="U332" s="1"/>
      <c r="V332" s="1"/>
      <c r="W332" s="1"/>
      <c r="X332" s="1" t="s">
        <v>4536</v>
      </c>
      <c r="Y332" s="1"/>
      <c r="Z332" s="1"/>
      <c r="AA332" s="1"/>
      <c r="AB332" s="1" t="s">
        <v>4537</v>
      </c>
      <c r="AC332" s="1"/>
      <c r="AD332" s="1"/>
      <c r="AE332" s="1" t="s">
        <v>4538</v>
      </c>
      <c r="AF332" s="1"/>
      <c r="AG332" s="1"/>
      <c r="AH332" s="1" t="s">
        <v>4539</v>
      </c>
      <c r="AI332" s="1"/>
      <c r="AJ332" s="1" t="s">
        <v>4540</v>
      </c>
      <c r="AK332" s="1" t="s">
        <v>3872</v>
      </c>
      <c r="AL332" s="1" t="s">
        <v>4541</v>
      </c>
      <c r="AM332" s="1" t="s">
        <v>4540</v>
      </c>
      <c r="AN332" s="1" t="s">
        <v>3872</v>
      </c>
      <c r="AO332" s="1" t="s">
        <v>4541</v>
      </c>
      <c r="AP332" s="2" t="s">
        <v>4542</v>
      </c>
      <c r="AQ332" s="2" t="s">
        <v>1153</v>
      </c>
      <c r="AR332" s="1" t="s">
        <v>286</v>
      </c>
      <c r="AS332" s="1"/>
      <c r="AT332" s="1" t="s">
        <v>5</v>
      </c>
    </row>
    <row r="333" spans="1:46" hidden="1" x14ac:dyDescent="0.4">
      <c r="A333" s="1" t="s">
        <v>7305</v>
      </c>
      <c r="B333" s="10"/>
      <c r="C333" s="1" t="s">
        <v>2705</v>
      </c>
      <c r="D333" s="1" t="s">
        <v>2157</v>
      </c>
      <c r="E333" s="1" t="s">
        <v>2078</v>
      </c>
      <c r="F333" s="1" t="s">
        <v>14</v>
      </c>
      <c r="G333" s="1" t="s">
        <v>1</v>
      </c>
      <c r="H333" s="1" t="s">
        <v>6</v>
      </c>
      <c r="I333" s="1" t="s">
        <v>2</v>
      </c>
      <c r="J333" s="1" t="s">
        <v>2813</v>
      </c>
      <c r="K333" s="1" t="s">
        <v>7306</v>
      </c>
      <c r="L333" s="1" t="s">
        <v>7</v>
      </c>
      <c r="M333" s="1" t="s">
        <v>9</v>
      </c>
      <c r="N333" s="1" t="s">
        <v>7307</v>
      </c>
      <c r="O333" s="1" t="s">
        <v>3820</v>
      </c>
      <c r="P333" s="1"/>
      <c r="Q333" s="1"/>
      <c r="R333" s="1" t="s">
        <v>11</v>
      </c>
      <c r="S333" s="1"/>
      <c r="T333" s="1"/>
      <c r="U333" s="1"/>
      <c r="V333" s="1"/>
      <c r="W333" s="1" t="s">
        <v>7308</v>
      </c>
      <c r="X333" s="1" t="s">
        <v>7309</v>
      </c>
      <c r="Y333" s="1"/>
      <c r="Z333" s="1"/>
      <c r="AA333" s="1"/>
      <c r="AB333" s="1" t="s">
        <v>7310</v>
      </c>
      <c r="AC333" s="1"/>
      <c r="AD333" s="1"/>
      <c r="AE333" s="1" t="s">
        <v>7311</v>
      </c>
      <c r="AF333" s="1"/>
      <c r="AG333" s="1"/>
      <c r="AH333" s="1" t="s">
        <v>7312</v>
      </c>
      <c r="AI333" s="1"/>
      <c r="AJ333" s="1" t="s">
        <v>6567</v>
      </c>
      <c r="AK333" s="1" t="s">
        <v>6568</v>
      </c>
      <c r="AL333" s="1" t="s">
        <v>6569</v>
      </c>
      <c r="AM333" s="1" t="s">
        <v>6567</v>
      </c>
      <c r="AN333" s="1" t="s">
        <v>6568</v>
      </c>
      <c r="AO333" s="1" t="s">
        <v>6569</v>
      </c>
      <c r="AP333" s="2" t="s">
        <v>7313</v>
      </c>
      <c r="AQ333" s="2" t="s">
        <v>1077</v>
      </c>
      <c r="AR333" s="1" t="s">
        <v>286</v>
      </c>
      <c r="AS333" s="1" t="s">
        <v>7314</v>
      </c>
      <c r="AT333" s="1" t="s">
        <v>5</v>
      </c>
    </row>
    <row r="334" spans="1:46" hidden="1" x14ac:dyDescent="0.4">
      <c r="A334" s="1" t="s">
        <v>3913</v>
      </c>
      <c r="B334" s="10"/>
      <c r="C334" s="1" t="s">
        <v>2705</v>
      </c>
      <c r="D334" s="1" t="s">
        <v>2157</v>
      </c>
      <c r="E334" s="1" t="s">
        <v>2078</v>
      </c>
      <c r="F334" s="1" t="s">
        <v>14</v>
      </c>
      <c r="G334" s="1" t="s">
        <v>1</v>
      </c>
      <c r="H334" s="1" t="s">
        <v>6</v>
      </c>
      <c r="I334" s="1" t="s">
        <v>2</v>
      </c>
      <c r="J334" s="1" t="s">
        <v>2813</v>
      </c>
      <c r="K334" s="1" t="s">
        <v>3914</v>
      </c>
      <c r="L334" s="1" t="s">
        <v>7</v>
      </c>
      <c r="M334" s="1" t="s">
        <v>9</v>
      </c>
      <c r="N334" s="1" t="s">
        <v>3915</v>
      </c>
      <c r="O334" s="1" t="s">
        <v>3916</v>
      </c>
      <c r="P334" s="1"/>
      <c r="Q334" s="1"/>
      <c r="R334" s="1" t="s">
        <v>11</v>
      </c>
      <c r="S334" s="1"/>
      <c r="T334" s="1"/>
      <c r="U334" s="1"/>
      <c r="V334" s="1"/>
      <c r="W334" s="1"/>
      <c r="X334" s="1"/>
      <c r="Y334" s="1"/>
      <c r="Z334" s="1"/>
      <c r="AA334" s="1"/>
      <c r="AB334" s="1" t="s">
        <v>3917</v>
      </c>
      <c r="AC334" s="1"/>
      <c r="AD334" s="1"/>
      <c r="AE334" s="1" t="s">
        <v>3918</v>
      </c>
      <c r="AF334" s="1"/>
      <c r="AG334" s="1"/>
      <c r="AH334" s="1" t="s">
        <v>3919</v>
      </c>
      <c r="AI334" s="1"/>
      <c r="AJ334" s="1" t="s">
        <v>3920</v>
      </c>
      <c r="AK334" s="1" t="s">
        <v>3921</v>
      </c>
      <c r="AL334" s="1" t="s">
        <v>3922</v>
      </c>
      <c r="AM334" s="1" t="s">
        <v>3923</v>
      </c>
      <c r="AN334" s="1" t="s">
        <v>3921</v>
      </c>
      <c r="AO334" s="1"/>
      <c r="AP334" s="2" t="s">
        <v>3924</v>
      </c>
      <c r="AQ334" s="2" t="s">
        <v>1153</v>
      </c>
      <c r="AR334" s="1" t="s">
        <v>286</v>
      </c>
      <c r="AS334" s="1"/>
      <c r="AT334" s="1" t="s">
        <v>5</v>
      </c>
    </row>
    <row r="335" spans="1:46" hidden="1" x14ac:dyDescent="0.4">
      <c r="A335" s="1" t="s">
        <v>7021</v>
      </c>
      <c r="B335" s="10"/>
      <c r="C335" s="1" t="s">
        <v>6443</v>
      </c>
      <c r="D335" s="1" t="s">
        <v>2220</v>
      </c>
      <c r="E335" s="1" t="s">
        <v>2078</v>
      </c>
      <c r="F335" s="1" t="s">
        <v>14</v>
      </c>
      <c r="G335" s="1" t="s">
        <v>1</v>
      </c>
      <c r="H335" s="1" t="s">
        <v>6</v>
      </c>
      <c r="I335" s="1" t="s">
        <v>2</v>
      </c>
      <c r="J335" s="1" t="s">
        <v>3</v>
      </c>
      <c r="K335" s="1" t="s">
        <v>7022</v>
      </c>
      <c r="L335" s="1" t="s">
        <v>4</v>
      </c>
      <c r="M335" s="1"/>
      <c r="N335" s="1" t="s">
        <v>7023</v>
      </c>
      <c r="O335" s="1" t="s">
        <v>6992</v>
      </c>
      <c r="P335" s="1"/>
      <c r="Q335" s="1"/>
      <c r="R335" s="1" t="s">
        <v>11</v>
      </c>
      <c r="S335" s="1"/>
      <c r="T335" s="1"/>
      <c r="U335" s="1"/>
      <c r="V335" s="1"/>
      <c r="W335" s="1" t="s">
        <v>6993</v>
      </c>
      <c r="X335" s="1" t="s">
        <v>6994</v>
      </c>
      <c r="Y335" s="1"/>
      <c r="Z335" s="1"/>
      <c r="AA335" s="1"/>
      <c r="AB335" s="1" t="s">
        <v>7024</v>
      </c>
      <c r="AC335" s="1"/>
      <c r="AD335" s="1"/>
      <c r="AE335" s="1" t="s">
        <v>6996</v>
      </c>
      <c r="AF335" s="1"/>
      <c r="AG335" s="1"/>
      <c r="AH335" s="1" t="s">
        <v>7025</v>
      </c>
      <c r="AI335" s="1"/>
      <c r="AJ335" s="1" t="s">
        <v>6451</v>
      </c>
      <c r="AK335" s="1" t="s">
        <v>6452</v>
      </c>
      <c r="AL335" s="1" t="s">
        <v>6453</v>
      </c>
      <c r="AM335" s="1" t="s">
        <v>6451</v>
      </c>
      <c r="AN335" s="1" t="s">
        <v>6452</v>
      </c>
      <c r="AO335" s="1" t="s">
        <v>6453</v>
      </c>
      <c r="AP335" s="2" t="s">
        <v>7014</v>
      </c>
      <c r="AQ335" s="2" t="s">
        <v>1077</v>
      </c>
      <c r="AR335" s="1" t="s">
        <v>286</v>
      </c>
      <c r="AS335" s="1"/>
      <c r="AT335" s="1" t="s">
        <v>5</v>
      </c>
    </row>
    <row r="336" spans="1:46" hidden="1" x14ac:dyDescent="0.4">
      <c r="A336" s="1" t="s">
        <v>6999</v>
      </c>
      <c r="B336" s="10"/>
      <c r="C336" s="1" t="s">
        <v>6443</v>
      </c>
      <c r="D336" s="1" t="s">
        <v>2220</v>
      </c>
      <c r="E336" s="1" t="s">
        <v>2078</v>
      </c>
      <c r="F336" s="1" t="s">
        <v>14</v>
      </c>
      <c r="G336" s="1" t="s">
        <v>1</v>
      </c>
      <c r="H336" s="1" t="s">
        <v>6</v>
      </c>
      <c r="I336" s="1" t="s">
        <v>2</v>
      </c>
      <c r="J336" s="1" t="s">
        <v>3</v>
      </c>
      <c r="K336" s="1" t="s">
        <v>7000</v>
      </c>
      <c r="L336" s="1" t="s">
        <v>4</v>
      </c>
      <c r="M336" s="1"/>
      <c r="N336" s="1" t="s">
        <v>7001</v>
      </c>
      <c r="O336" s="1" t="s">
        <v>6992</v>
      </c>
      <c r="P336" s="1"/>
      <c r="Q336" s="1"/>
      <c r="R336" s="1" t="s">
        <v>11</v>
      </c>
      <c r="S336" s="1"/>
      <c r="T336" s="1"/>
      <c r="U336" s="1"/>
      <c r="V336" s="1"/>
      <c r="W336" s="1" t="s">
        <v>6993</v>
      </c>
      <c r="X336" s="1" t="s">
        <v>6994</v>
      </c>
      <c r="Y336" s="1"/>
      <c r="Z336" s="1"/>
      <c r="AA336" s="1"/>
      <c r="AB336" s="1" t="s">
        <v>7002</v>
      </c>
      <c r="AC336" s="1"/>
      <c r="AD336" s="1"/>
      <c r="AE336" s="1" t="s">
        <v>7003</v>
      </c>
      <c r="AF336" s="1"/>
      <c r="AG336" s="1"/>
      <c r="AH336" s="1" t="s">
        <v>7004</v>
      </c>
      <c r="AI336" s="1"/>
      <c r="AJ336" s="1" t="s">
        <v>6451</v>
      </c>
      <c r="AK336" s="1" t="s">
        <v>6452</v>
      </c>
      <c r="AL336" s="1" t="s">
        <v>6453</v>
      </c>
      <c r="AM336" s="1" t="s">
        <v>6451</v>
      </c>
      <c r="AN336" s="1" t="s">
        <v>6452</v>
      </c>
      <c r="AO336" s="1" t="s">
        <v>6453</v>
      </c>
      <c r="AP336" s="2" t="s">
        <v>7005</v>
      </c>
      <c r="AQ336" s="2" t="s">
        <v>1077</v>
      </c>
      <c r="AR336" s="1" t="s">
        <v>286</v>
      </c>
      <c r="AS336" s="1"/>
      <c r="AT336" s="1" t="s">
        <v>5</v>
      </c>
    </row>
    <row r="337" spans="1:46" hidden="1" x14ac:dyDescent="0.4">
      <c r="A337" s="1" t="s">
        <v>6432</v>
      </c>
      <c r="B337" s="10"/>
      <c r="C337" s="1" t="s">
        <v>93</v>
      </c>
      <c r="D337" s="1" t="s">
        <v>2220</v>
      </c>
      <c r="E337" s="1" t="s">
        <v>2078</v>
      </c>
      <c r="F337" s="1" t="s">
        <v>14</v>
      </c>
      <c r="G337" s="1" t="s">
        <v>1</v>
      </c>
      <c r="H337" s="1" t="s">
        <v>6</v>
      </c>
      <c r="I337" s="1" t="s">
        <v>2</v>
      </c>
      <c r="J337" s="1" t="s">
        <v>3</v>
      </c>
      <c r="K337" s="1" t="s">
        <v>6433</v>
      </c>
      <c r="L337" s="1" t="s">
        <v>4</v>
      </c>
      <c r="M337" s="1"/>
      <c r="N337" s="1" t="s">
        <v>6434</v>
      </c>
      <c r="O337" s="1" t="s">
        <v>6435</v>
      </c>
      <c r="P337" s="1"/>
      <c r="Q337" s="1"/>
      <c r="R337" s="1" t="s">
        <v>11</v>
      </c>
      <c r="S337" s="1"/>
      <c r="T337" s="1"/>
      <c r="U337" s="1"/>
      <c r="V337" s="1"/>
      <c r="W337" s="1"/>
      <c r="X337" s="1"/>
      <c r="Y337" s="1"/>
      <c r="Z337" s="1"/>
      <c r="AA337" s="1"/>
      <c r="AB337" s="1" t="s">
        <v>6436</v>
      </c>
      <c r="AC337" s="1"/>
      <c r="AD337" s="1"/>
      <c r="AE337" s="1" t="s">
        <v>6437</v>
      </c>
      <c r="AF337" s="1"/>
      <c r="AG337" s="1"/>
      <c r="AH337" s="1" t="s">
        <v>6438</v>
      </c>
      <c r="AI337" s="1"/>
      <c r="AJ337" s="1" t="s">
        <v>5935</v>
      </c>
      <c r="AK337" s="1" t="s">
        <v>1787</v>
      </c>
      <c r="AL337" s="1" t="s">
        <v>5936</v>
      </c>
      <c r="AM337" s="1" t="s">
        <v>6439</v>
      </c>
      <c r="AN337" s="1" t="s">
        <v>1787</v>
      </c>
      <c r="AO337" s="1" t="s">
        <v>6440</v>
      </c>
      <c r="AP337" s="2" t="s">
        <v>6441</v>
      </c>
      <c r="AQ337" s="2" t="s">
        <v>1077</v>
      </c>
      <c r="AR337" s="1" t="s">
        <v>286</v>
      </c>
      <c r="AS337" s="1"/>
      <c r="AT337" s="1" t="s">
        <v>5</v>
      </c>
    </row>
    <row r="338" spans="1:46" hidden="1" x14ac:dyDescent="0.4">
      <c r="A338" s="1" t="s">
        <v>8684</v>
      </c>
      <c r="B338" s="10"/>
      <c r="C338" s="1" t="s">
        <v>0</v>
      </c>
      <c r="D338" s="1" t="s">
        <v>2157</v>
      </c>
      <c r="E338" s="1" t="s">
        <v>2078</v>
      </c>
      <c r="F338" s="1" t="s">
        <v>14</v>
      </c>
      <c r="G338" s="1" t="s">
        <v>1</v>
      </c>
      <c r="H338" s="1" t="s">
        <v>6</v>
      </c>
      <c r="I338" s="1" t="s">
        <v>2</v>
      </c>
      <c r="J338" s="1" t="s">
        <v>3</v>
      </c>
      <c r="K338" s="1" t="s">
        <v>8685</v>
      </c>
      <c r="L338" s="1" t="s">
        <v>4</v>
      </c>
      <c r="M338" s="1"/>
      <c r="N338" s="1" t="s">
        <v>8686</v>
      </c>
      <c r="O338" s="1" t="s">
        <v>8687</v>
      </c>
      <c r="P338" s="1"/>
      <c r="Q338" s="1"/>
      <c r="R338" s="1" t="s">
        <v>11</v>
      </c>
      <c r="S338" s="1"/>
      <c r="T338" s="1"/>
      <c r="U338" s="1"/>
      <c r="V338" s="1"/>
      <c r="W338" s="1" t="s">
        <v>8688</v>
      </c>
      <c r="X338" s="1"/>
      <c r="Y338" s="1"/>
      <c r="Z338" s="1"/>
      <c r="AA338" s="1"/>
      <c r="AB338" s="1" t="s">
        <v>8689</v>
      </c>
      <c r="AC338" s="1"/>
      <c r="AD338" s="1"/>
      <c r="AE338" s="1" t="s">
        <v>8690</v>
      </c>
      <c r="AF338" s="1"/>
      <c r="AG338" s="1"/>
      <c r="AH338" s="1" t="s">
        <v>8691</v>
      </c>
      <c r="AI338" s="1"/>
      <c r="AJ338" s="1" t="s">
        <v>2117</v>
      </c>
      <c r="AK338" s="1" t="s">
        <v>5356</v>
      </c>
      <c r="AL338" s="1" t="s">
        <v>2934</v>
      </c>
      <c r="AM338" s="1" t="s">
        <v>8692</v>
      </c>
      <c r="AN338" s="1" t="s">
        <v>5356</v>
      </c>
      <c r="AO338" s="1" t="s">
        <v>8693</v>
      </c>
      <c r="AP338" s="2" t="s">
        <v>8694</v>
      </c>
      <c r="AQ338" s="2" t="s">
        <v>1154</v>
      </c>
      <c r="AR338" s="1" t="s">
        <v>286</v>
      </c>
      <c r="AS338" s="1"/>
      <c r="AT338" s="1" t="s">
        <v>5</v>
      </c>
    </row>
    <row r="339" spans="1:46" hidden="1" x14ac:dyDescent="0.4">
      <c r="A339" s="1" t="s">
        <v>7251</v>
      </c>
      <c r="B339" s="10"/>
      <c r="C339" s="1" t="s">
        <v>0</v>
      </c>
      <c r="D339" s="1" t="s">
        <v>2827</v>
      </c>
      <c r="E339" s="1" t="s">
        <v>2078</v>
      </c>
      <c r="F339" s="1" t="s">
        <v>14</v>
      </c>
      <c r="G339" s="1" t="s">
        <v>1</v>
      </c>
      <c r="H339" s="1" t="s">
        <v>6</v>
      </c>
      <c r="I339" s="1" t="s">
        <v>2</v>
      </c>
      <c r="J339" s="1" t="s">
        <v>3</v>
      </c>
      <c r="K339" s="1" t="s">
        <v>7252</v>
      </c>
      <c r="L339" s="1" t="s">
        <v>4</v>
      </c>
      <c r="M339" s="1" t="s">
        <v>9</v>
      </c>
      <c r="N339" s="1" t="s">
        <v>7253</v>
      </c>
      <c r="O339" s="1" t="s">
        <v>7254</v>
      </c>
      <c r="P339" s="1"/>
      <c r="Q339" s="1"/>
      <c r="R339" s="1" t="s">
        <v>11</v>
      </c>
      <c r="S339" s="1"/>
      <c r="T339" s="1"/>
      <c r="U339" s="1"/>
      <c r="V339" s="1"/>
      <c r="W339" s="1" t="s">
        <v>7255</v>
      </c>
      <c r="X339" s="1" t="s">
        <v>7256</v>
      </c>
      <c r="Y339" s="1"/>
      <c r="Z339" s="1"/>
      <c r="AA339" s="1"/>
      <c r="AB339" s="1" t="s">
        <v>7257</v>
      </c>
      <c r="AC339" s="1"/>
      <c r="AD339" s="1"/>
      <c r="AE339" s="1" t="s">
        <v>7258</v>
      </c>
      <c r="AF339" s="1"/>
      <c r="AG339" s="1"/>
      <c r="AH339" s="1" t="s">
        <v>7259</v>
      </c>
      <c r="AI339" s="1"/>
      <c r="AJ339" s="1" t="s">
        <v>7245</v>
      </c>
      <c r="AK339" s="1" t="s">
        <v>7246</v>
      </c>
      <c r="AL339" s="1" t="s">
        <v>7247</v>
      </c>
      <c r="AM339" s="1" t="s">
        <v>7248</v>
      </c>
      <c r="AN339" s="1" t="s">
        <v>7246</v>
      </c>
      <c r="AO339" s="1" t="s">
        <v>7249</v>
      </c>
      <c r="AP339" s="2" t="s">
        <v>7260</v>
      </c>
      <c r="AQ339" s="2" t="s">
        <v>1077</v>
      </c>
      <c r="AR339" s="1" t="s">
        <v>286</v>
      </c>
      <c r="AS339" s="1"/>
      <c r="AT339" s="1" t="s">
        <v>5</v>
      </c>
    </row>
    <row r="340" spans="1:46" hidden="1" x14ac:dyDescent="0.4">
      <c r="A340" s="1" t="s">
        <v>9507</v>
      </c>
      <c r="B340" s="10"/>
      <c r="C340" s="1" t="s">
        <v>0</v>
      </c>
      <c r="D340" s="1" t="s">
        <v>2076</v>
      </c>
      <c r="E340" s="1" t="s">
        <v>13</v>
      </c>
      <c r="F340" s="1" t="s">
        <v>14</v>
      </c>
      <c r="G340" s="1" t="s">
        <v>1</v>
      </c>
      <c r="H340" s="1" t="s">
        <v>6</v>
      </c>
      <c r="I340" s="1" t="s">
        <v>2</v>
      </c>
      <c r="J340" s="1" t="s">
        <v>3</v>
      </c>
      <c r="K340" s="1" t="s">
        <v>9508</v>
      </c>
      <c r="L340" s="1" t="s">
        <v>7</v>
      </c>
      <c r="M340" s="1" t="s">
        <v>9</v>
      </c>
      <c r="N340" s="1" t="s">
        <v>9509</v>
      </c>
      <c r="O340" s="1" t="s">
        <v>9510</v>
      </c>
      <c r="P340" s="1"/>
      <c r="Q340" s="1"/>
      <c r="R340" s="1" t="s">
        <v>11</v>
      </c>
      <c r="S340" s="1"/>
      <c r="T340" s="1"/>
      <c r="U340" s="1"/>
      <c r="V340" s="1"/>
      <c r="W340" s="1"/>
      <c r="X340" s="1"/>
      <c r="Y340" s="1"/>
      <c r="Z340" s="1"/>
      <c r="AA340" s="1"/>
      <c r="AB340" s="1" t="s">
        <v>9511</v>
      </c>
      <c r="AC340" s="1"/>
      <c r="AD340" s="1"/>
      <c r="AE340" s="1" t="s">
        <v>9512</v>
      </c>
      <c r="AF340" s="1"/>
      <c r="AG340" s="1"/>
      <c r="AH340" s="1" t="s">
        <v>9513</v>
      </c>
      <c r="AI340" s="1"/>
      <c r="AJ340" s="1" t="s">
        <v>9514</v>
      </c>
      <c r="AK340" s="1" t="s">
        <v>4564</v>
      </c>
      <c r="AL340" s="1" t="s">
        <v>9515</v>
      </c>
      <c r="AM340" s="1" t="s">
        <v>9516</v>
      </c>
      <c r="AN340" s="1" t="s">
        <v>4564</v>
      </c>
      <c r="AO340" s="1" t="s">
        <v>9517</v>
      </c>
      <c r="AP340" s="2" t="s">
        <v>9518</v>
      </c>
      <c r="AQ340" s="2" t="s">
        <v>1154</v>
      </c>
      <c r="AR340" s="1" t="s">
        <v>286</v>
      </c>
      <c r="AS340" s="1" t="s">
        <v>9519</v>
      </c>
      <c r="AT340" s="1" t="s">
        <v>5</v>
      </c>
    </row>
    <row r="341" spans="1:46" hidden="1" x14ac:dyDescent="0.4">
      <c r="A341" s="1" t="s">
        <v>2674</v>
      </c>
      <c r="B341" s="10"/>
      <c r="C341" s="1" t="s">
        <v>2675</v>
      </c>
      <c r="D341" s="1" t="s">
        <v>2157</v>
      </c>
      <c r="E341" s="1" t="s">
        <v>2078</v>
      </c>
      <c r="F341" s="1" t="s">
        <v>14</v>
      </c>
      <c r="G341" s="1" t="s">
        <v>1</v>
      </c>
      <c r="H341" s="1" t="s">
        <v>6</v>
      </c>
      <c r="I341" s="1" t="s">
        <v>2</v>
      </c>
      <c r="J341" s="1" t="s">
        <v>2450</v>
      </c>
      <c r="K341" s="1" t="s">
        <v>2676</v>
      </c>
      <c r="L341" s="1" t="s">
        <v>7</v>
      </c>
      <c r="M341" s="1" t="s">
        <v>9</v>
      </c>
      <c r="N341" s="1" t="s">
        <v>2677</v>
      </c>
      <c r="O341" s="1" t="s">
        <v>2678</v>
      </c>
      <c r="P341" s="1"/>
      <c r="Q341" s="1"/>
      <c r="R341" s="1" t="s">
        <v>11</v>
      </c>
      <c r="S341" s="1"/>
      <c r="T341" s="1"/>
      <c r="U341" s="1"/>
      <c r="V341" s="1"/>
      <c r="W341" s="1"/>
      <c r="X341" s="1" t="s">
        <v>2679</v>
      </c>
      <c r="Y341" s="1"/>
      <c r="Z341" s="1"/>
      <c r="AA341" s="1"/>
      <c r="AB341" s="1" t="s">
        <v>2680</v>
      </c>
      <c r="AC341" s="1"/>
      <c r="AD341" s="1"/>
      <c r="AE341" s="1" t="s">
        <v>2681</v>
      </c>
      <c r="AF341" s="1"/>
      <c r="AG341" s="1"/>
      <c r="AH341" s="1" t="s">
        <v>2682</v>
      </c>
      <c r="AI341" s="1" t="s">
        <v>2683</v>
      </c>
      <c r="AJ341" s="1" t="s">
        <v>2684</v>
      </c>
      <c r="AK341" s="1" t="s">
        <v>2685</v>
      </c>
      <c r="AL341" s="1"/>
      <c r="AM341" s="1" t="s">
        <v>2684</v>
      </c>
      <c r="AN341" s="1" t="s">
        <v>2685</v>
      </c>
      <c r="AO341" s="1"/>
      <c r="AP341" s="2" t="s">
        <v>2686</v>
      </c>
      <c r="AQ341" s="2" t="s">
        <v>1154</v>
      </c>
      <c r="AR341" s="1"/>
      <c r="AS341" s="1"/>
      <c r="AT341" s="1" t="s">
        <v>5</v>
      </c>
    </row>
    <row r="342" spans="1:46" hidden="1" x14ac:dyDescent="0.4">
      <c r="A342" s="1" t="s">
        <v>5369</v>
      </c>
      <c r="B342" s="10"/>
      <c r="C342" s="1" t="s">
        <v>0</v>
      </c>
      <c r="D342" s="1" t="s">
        <v>2157</v>
      </c>
      <c r="E342" s="1" t="s">
        <v>2078</v>
      </c>
      <c r="F342" s="1" t="s">
        <v>14</v>
      </c>
      <c r="G342" s="1" t="s">
        <v>1</v>
      </c>
      <c r="H342" s="1" t="s">
        <v>6</v>
      </c>
      <c r="I342" s="1" t="s">
        <v>2</v>
      </c>
      <c r="J342" s="1" t="s">
        <v>3</v>
      </c>
      <c r="K342" s="1" t="s">
        <v>5370</v>
      </c>
      <c r="L342" s="1" t="s">
        <v>7</v>
      </c>
      <c r="M342" s="1" t="s">
        <v>9</v>
      </c>
      <c r="N342" s="1" t="s">
        <v>5371</v>
      </c>
      <c r="O342" s="1" t="s">
        <v>2258</v>
      </c>
      <c r="P342" s="1"/>
      <c r="Q342" s="1"/>
      <c r="R342" s="1" t="s">
        <v>11</v>
      </c>
      <c r="S342" s="1"/>
      <c r="T342" s="1"/>
      <c r="U342" s="1"/>
      <c r="V342" s="1"/>
      <c r="W342" s="1"/>
      <c r="X342" s="1"/>
      <c r="Y342" s="1"/>
      <c r="Z342" s="1"/>
      <c r="AA342" s="1"/>
      <c r="AB342" s="1" t="s">
        <v>5372</v>
      </c>
      <c r="AC342" s="1"/>
      <c r="AD342" s="1"/>
      <c r="AE342" s="1"/>
      <c r="AF342" s="1"/>
      <c r="AG342" s="1"/>
      <c r="AH342" s="1" t="s">
        <v>5373</v>
      </c>
      <c r="AI342" s="1"/>
      <c r="AJ342" s="1" t="s">
        <v>1431</v>
      </c>
      <c r="AK342" s="1" t="s">
        <v>515</v>
      </c>
      <c r="AL342" s="1" t="s">
        <v>1432</v>
      </c>
      <c r="AM342" s="1" t="s">
        <v>5374</v>
      </c>
      <c r="AN342" s="1" t="s">
        <v>515</v>
      </c>
      <c r="AO342" s="1" t="s">
        <v>5375</v>
      </c>
      <c r="AP342" s="2" t="s">
        <v>5376</v>
      </c>
      <c r="AQ342" s="2" t="s">
        <v>1077</v>
      </c>
      <c r="AR342" s="1" t="s">
        <v>286</v>
      </c>
      <c r="AS342" s="1"/>
      <c r="AT342" s="1" t="s">
        <v>5</v>
      </c>
    </row>
    <row r="343" spans="1:46" hidden="1" x14ac:dyDescent="0.4">
      <c r="A343" s="1" t="s">
        <v>5377</v>
      </c>
      <c r="B343" s="10"/>
      <c r="C343" s="1" t="s">
        <v>0</v>
      </c>
      <c r="D343" s="1" t="s">
        <v>2157</v>
      </c>
      <c r="E343" s="1" t="s">
        <v>2078</v>
      </c>
      <c r="F343" s="1" t="s">
        <v>14</v>
      </c>
      <c r="G343" s="1" t="s">
        <v>1</v>
      </c>
      <c r="H343" s="1" t="s">
        <v>6</v>
      </c>
      <c r="I343" s="1" t="s">
        <v>2</v>
      </c>
      <c r="J343" s="1" t="s">
        <v>3</v>
      </c>
      <c r="K343" s="1" t="s">
        <v>5378</v>
      </c>
      <c r="L343" s="1" t="s">
        <v>7</v>
      </c>
      <c r="M343" s="1" t="s">
        <v>9</v>
      </c>
      <c r="N343" s="1" t="s">
        <v>5379</v>
      </c>
      <c r="O343" s="1" t="s">
        <v>2258</v>
      </c>
      <c r="P343" s="1"/>
      <c r="Q343" s="1"/>
      <c r="R343" s="1" t="s">
        <v>11</v>
      </c>
      <c r="S343" s="1"/>
      <c r="T343" s="1"/>
      <c r="U343" s="1"/>
      <c r="V343" s="1"/>
      <c r="W343" s="1"/>
      <c r="X343" s="1"/>
      <c r="Y343" s="1"/>
      <c r="Z343" s="1"/>
      <c r="AA343" s="1"/>
      <c r="AB343" s="1" t="s">
        <v>5380</v>
      </c>
      <c r="AC343" s="1"/>
      <c r="AD343" s="1"/>
      <c r="AE343" s="1"/>
      <c r="AF343" s="1"/>
      <c r="AG343" s="1"/>
      <c r="AH343" s="1" t="s">
        <v>5381</v>
      </c>
      <c r="AI343" s="1"/>
      <c r="AJ343" s="1" t="s">
        <v>1431</v>
      </c>
      <c r="AK343" s="1" t="s">
        <v>515</v>
      </c>
      <c r="AL343" s="1" t="s">
        <v>1432</v>
      </c>
      <c r="AM343" s="1" t="s">
        <v>5374</v>
      </c>
      <c r="AN343" s="1" t="s">
        <v>515</v>
      </c>
      <c r="AO343" s="1" t="s">
        <v>5375</v>
      </c>
      <c r="AP343" s="2" t="s">
        <v>5382</v>
      </c>
      <c r="AQ343" s="2" t="s">
        <v>1077</v>
      </c>
      <c r="AR343" s="1" t="s">
        <v>286</v>
      </c>
      <c r="AS343" s="1"/>
      <c r="AT343" s="1" t="s">
        <v>5</v>
      </c>
    </row>
    <row r="344" spans="1:46" hidden="1" x14ac:dyDescent="0.4">
      <c r="A344" s="1" t="s">
        <v>8418</v>
      </c>
      <c r="B344" s="10"/>
      <c r="C344" s="1" t="s">
        <v>0</v>
      </c>
      <c r="D344" s="1" t="s">
        <v>2211</v>
      </c>
      <c r="E344" s="1" t="s">
        <v>2078</v>
      </c>
      <c r="F344" s="1" t="s">
        <v>14</v>
      </c>
      <c r="G344" s="1" t="s">
        <v>1</v>
      </c>
      <c r="H344" s="1" t="s">
        <v>6</v>
      </c>
      <c r="I344" s="1" t="s">
        <v>2</v>
      </c>
      <c r="J344" s="1" t="s">
        <v>3</v>
      </c>
      <c r="K344" s="1" t="s">
        <v>8419</v>
      </c>
      <c r="L344" s="1" t="s">
        <v>7</v>
      </c>
      <c r="M344" s="1" t="s">
        <v>9</v>
      </c>
      <c r="N344" s="1" t="s">
        <v>8420</v>
      </c>
      <c r="O344" s="1" t="s">
        <v>8421</v>
      </c>
      <c r="P344" s="1"/>
      <c r="Q344" s="1"/>
      <c r="R344" s="1" t="s">
        <v>11</v>
      </c>
      <c r="S344" s="1"/>
      <c r="T344" s="1"/>
      <c r="U344" s="1"/>
      <c r="V344" s="1"/>
      <c r="W344" s="1"/>
      <c r="X344" s="1" t="s">
        <v>8422</v>
      </c>
      <c r="Y344" s="1"/>
      <c r="Z344" s="1"/>
      <c r="AA344" s="1"/>
      <c r="AB344" s="1" t="s">
        <v>8423</v>
      </c>
      <c r="AC344" s="1"/>
      <c r="AD344" s="1"/>
      <c r="AE344" s="1" t="s">
        <v>8424</v>
      </c>
      <c r="AF344" s="1"/>
      <c r="AG344" s="1"/>
      <c r="AH344" s="1" t="s">
        <v>8425</v>
      </c>
      <c r="AI344" s="1"/>
      <c r="AJ344" s="1" t="s">
        <v>7143</v>
      </c>
      <c r="AK344" s="1" t="s">
        <v>3826</v>
      </c>
      <c r="AL344" s="1"/>
      <c r="AM344" s="1" t="s">
        <v>77</v>
      </c>
      <c r="AN344" s="1" t="s">
        <v>7905</v>
      </c>
      <c r="AO344" s="1" t="s">
        <v>8426</v>
      </c>
      <c r="AP344" s="2" t="s">
        <v>8427</v>
      </c>
      <c r="AQ344" s="2" t="s">
        <v>1154</v>
      </c>
      <c r="AR344" s="1" t="s">
        <v>286</v>
      </c>
      <c r="AS344" s="1" t="s">
        <v>8428</v>
      </c>
      <c r="AT344" s="1" t="s">
        <v>5</v>
      </c>
    </row>
    <row r="345" spans="1:46" hidden="1" x14ac:dyDescent="0.4">
      <c r="A345" s="1" t="s">
        <v>5360</v>
      </c>
      <c r="B345" s="10"/>
      <c r="C345" s="1" t="s">
        <v>0</v>
      </c>
      <c r="D345" s="1" t="s">
        <v>2211</v>
      </c>
      <c r="E345" s="1" t="s">
        <v>2078</v>
      </c>
      <c r="F345" s="1" t="s">
        <v>14</v>
      </c>
      <c r="G345" s="1" t="s">
        <v>1</v>
      </c>
      <c r="H345" s="1" t="s">
        <v>6</v>
      </c>
      <c r="I345" s="1" t="s">
        <v>2</v>
      </c>
      <c r="J345" s="1" t="s">
        <v>3</v>
      </c>
      <c r="K345" s="1" t="s">
        <v>5361</v>
      </c>
      <c r="L345" s="1" t="s">
        <v>7</v>
      </c>
      <c r="M345" s="1" t="s">
        <v>9</v>
      </c>
      <c r="N345" s="1" t="s">
        <v>5362</v>
      </c>
      <c r="O345" s="1" t="s">
        <v>5363</v>
      </c>
      <c r="P345" s="1"/>
      <c r="Q345" s="1"/>
      <c r="R345" s="1" t="s">
        <v>11</v>
      </c>
      <c r="S345" s="1"/>
      <c r="T345" s="1"/>
      <c r="U345" s="1"/>
      <c r="V345" s="1"/>
      <c r="W345" s="1"/>
      <c r="X345" s="1"/>
      <c r="Y345" s="1"/>
      <c r="Z345" s="1"/>
      <c r="AA345" s="1"/>
      <c r="AB345" s="1" t="s">
        <v>5364</v>
      </c>
      <c r="AC345" s="1"/>
      <c r="AD345" s="1"/>
      <c r="AE345" s="1"/>
      <c r="AF345" s="1"/>
      <c r="AG345" s="1"/>
      <c r="AH345" s="1" t="s">
        <v>5365</v>
      </c>
      <c r="AI345" s="1"/>
      <c r="AJ345" s="1" t="s">
        <v>127</v>
      </c>
      <c r="AK345" s="1" t="s">
        <v>2407</v>
      </c>
      <c r="AL345" s="1" t="s">
        <v>4070</v>
      </c>
      <c r="AM345" s="1" t="s">
        <v>5366</v>
      </c>
      <c r="AN345" s="1" t="s">
        <v>2407</v>
      </c>
      <c r="AO345" s="1" t="s">
        <v>5367</v>
      </c>
      <c r="AP345" s="2" t="s">
        <v>5368</v>
      </c>
      <c r="AQ345" s="2" t="s">
        <v>1077</v>
      </c>
      <c r="AR345" s="1" t="s">
        <v>286</v>
      </c>
      <c r="AS345" s="1"/>
      <c r="AT345" s="1" t="s">
        <v>5</v>
      </c>
    </row>
    <row r="346" spans="1:46" hidden="1" x14ac:dyDescent="0.4">
      <c r="A346" s="1" t="s">
        <v>7713</v>
      </c>
      <c r="B346" s="10"/>
      <c r="C346" s="1" t="s">
        <v>93</v>
      </c>
      <c r="D346" s="1" t="s">
        <v>2220</v>
      </c>
      <c r="E346" s="1" t="s">
        <v>2078</v>
      </c>
      <c r="F346" s="1" t="s">
        <v>14</v>
      </c>
      <c r="G346" s="1" t="s">
        <v>1</v>
      </c>
      <c r="H346" s="1" t="s">
        <v>6</v>
      </c>
      <c r="I346" s="1" t="s">
        <v>2</v>
      </c>
      <c r="J346" s="1" t="s">
        <v>3</v>
      </c>
      <c r="K346" s="1" t="s">
        <v>7714</v>
      </c>
      <c r="L346" s="1" t="s">
        <v>7</v>
      </c>
      <c r="M346" s="1"/>
      <c r="N346" s="1" t="s">
        <v>7715</v>
      </c>
      <c r="O346" s="1" t="s">
        <v>7716</v>
      </c>
      <c r="P346" s="1"/>
      <c r="Q346" s="1"/>
      <c r="R346" s="1" t="s">
        <v>11</v>
      </c>
      <c r="S346" s="1"/>
      <c r="T346" s="1"/>
      <c r="U346" s="1"/>
      <c r="V346" s="1"/>
      <c r="W346" s="1"/>
      <c r="X346" s="1"/>
      <c r="Y346" s="1"/>
      <c r="Z346" s="1"/>
      <c r="AA346" s="1"/>
      <c r="AB346" s="1" t="s">
        <v>7717</v>
      </c>
      <c r="AC346" s="1"/>
      <c r="AD346" s="1"/>
      <c r="AE346" s="1" t="s">
        <v>7718</v>
      </c>
      <c r="AF346" s="1"/>
      <c r="AG346" s="1"/>
      <c r="AH346" s="1" t="s">
        <v>7719</v>
      </c>
      <c r="AI346" s="1"/>
      <c r="AJ346" s="1" t="s">
        <v>5935</v>
      </c>
      <c r="AK346" s="1" t="s">
        <v>1787</v>
      </c>
      <c r="AL346" s="1" t="s">
        <v>5936</v>
      </c>
      <c r="AM346" s="1" t="s">
        <v>7034</v>
      </c>
      <c r="AN346" s="1" t="s">
        <v>1787</v>
      </c>
      <c r="AO346" s="1" t="s">
        <v>7035</v>
      </c>
      <c r="AP346" s="2" t="s">
        <v>7720</v>
      </c>
      <c r="AQ346" s="2" t="s">
        <v>1154</v>
      </c>
      <c r="AR346" s="1" t="s">
        <v>286</v>
      </c>
      <c r="AS346" s="1" t="s">
        <v>7721</v>
      </c>
      <c r="AT346" s="1" t="s">
        <v>5</v>
      </c>
    </row>
    <row r="347" spans="1:46" hidden="1" x14ac:dyDescent="0.4">
      <c r="A347" s="1" t="s">
        <v>7878</v>
      </c>
      <c r="B347" s="10"/>
      <c r="C347" s="1" t="s">
        <v>93</v>
      </c>
      <c r="D347" s="1" t="s">
        <v>2157</v>
      </c>
      <c r="E347" s="1" t="s">
        <v>2078</v>
      </c>
      <c r="F347" s="1" t="s">
        <v>14</v>
      </c>
      <c r="G347" s="1" t="s">
        <v>1</v>
      </c>
      <c r="H347" s="1" t="s">
        <v>6</v>
      </c>
      <c r="I347" s="1" t="s">
        <v>2</v>
      </c>
      <c r="J347" s="1" t="s">
        <v>3</v>
      </c>
      <c r="K347" s="1" t="s">
        <v>7879</v>
      </c>
      <c r="L347" s="1" t="s">
        <v>7</v>
      </c>
      <c r="M347" s="1"/>
      <c r="N347" s="1" t="s">
        <v>7880</v>
      </c>
      <c r="O347" s="1" t="s">
        <v>4208</v>
      </c>
      <c r="P347" s="1"/>
      <c r="Q347" s="1"/>
      <c r="R347" s="1" t="s">
        <v>11</v>
      </c>
      <c r="S347" s="1"/>
      <c r="T347" s="1"/>
      <c r="U347" s="1"/>
      <c r="V347" s="1"/>
      <c r="W347" s="1"/>
      <c r="X347" s="1"/>
      <c r="Y347" s="1"/>
      <c r="Z347" s="1"/>
      <c r="AA347" s="1"/>
      <c r="AB347" s="1" t="s">
        <v>7881</v>
      </c>
      <c r="AC347" s="1"/>
      <c r="AD347" s="1"/>
      <c r="AE347" s="1" t="s">
        <v>7689</v>
      </c>
      <c r="AF347" s="1"/>
      <c r="AG347" s="1"/>
      <c r="AH347" s="1" t="s">
        <v>7882</v>
      </c>
      <c r="AI347" s="1"/>
      <c r="AJ347" s="1" t="s">
        <v>5935</v>
      </c>
      <c r="AK347" s="1" t="s">
        <v>1787</v>
      </c>
      <c r="AL347" s="1" t="s">
        <v>5936</v>
      </c>
      <c r="AM347" s="1" t="s">
        <v>7513</v>
      </c>
      <c r="AN347" s="1" t="s">
        <v>1787</v>
      </c>
      <c r="AO347" s="1" t="s">
        <v>7514</v>
      </c>
      <c r="AP347" s="2" t="s">
        <v>7883</v>
      </c>
      <c r="AQ347" s="2" t="s">
        <v>1154</v>
      </c>
      <c r="AR347" s="1" t="s">
        <v>286</v>
      </c>
      <c r="AS347" s="1" t="s">
        <v>7884</v>
      </c>
      <c r="AT347" s="1" t="s">
        <v>5</v>
      </c>
    </row>
    <row r="348" spans="1:46" hidden="1" x14ac:dyDescent="0.4">
      <c r="A348" s="1" t="s">
        <v>10097</v>
      </c>
      <c r="B348" s="10"/>
      <c r="C348" s="1" t="s">
        <v>3626</v>
      </c>
      <c r="D348" s="1" t="s">
        <v>2290</v>
      </c>
      <c r="E348" s="1" t="s">
        <v>2291</v>
      </c>
      <c r="F348" s="1" t="s">
        <v>14</v>
      </c>
      <c r="G348" s="1" t="s">
        <v>1</v>
      </c>
      <c r="H348" s="1" t="s">
        <v>6</v>
      </c>
      <c r="I348" s="1" t="s">
        <v>2</v>
      </c>
      <c r="J348" s="1" t="s">
        <v>3514</v>
      </c>
      <c r="K348" s="1" t="s">
        <v>10098</v>
      </c>
      <c r="L348" s="1" t="s">
        <v>7</v>
      </c>
      <c r="M348" s="1" t="s">
        <v>9</v>
      </c>
      <c r="N348" s="1" t="s">
        <v>10099</v>
      </c>
      <c r="O348" s="1" t="s">
        <v>10100</v>
      </c>
      <c r="P348" s="1"/>
      <c r="Q348" s="1"/>
      <c r="R348" s="1" t="s">
        <v>11</v>
      </c>
      <c r="S348" s="1"/>
      <c r="T348" s="1"/>
      <c r="U348" s="1"/>
      <c r="V348" s="1"/>
      <c r="W348" s="1" t="s">
        <v>10101</v>
      </c>
      <c r="X348" s="1"/>
      <c r="Y348" s="1"/>
      <c r="Z348" s="1"/>
      <c r="AA348" s="1"/>
      <c r="AB348" s="1" t="s">
        <v>10102</v>
      </c>
      <c r="AC348" s="1"/>
      <c r="AD348" s="1"/>
      <c r="AE348" s="1" t="s">
        <v>10103</v>
      </c>
      <c r="AF348" s="1"/>
      <c r="AG348" s="1"/>
      <c r="AH348" s="1" t="s">
        <v>10104</v>
      </c>
      <c r="AI348" s="1"/>
      <c r="AJ348" s="1" t="s">
        <v>5313</v>
      </c>
      <c r="AK348" s="1" t="s">
        <v>5314</v>
      </c>
      <c r="AL348" s="1" t="s">
        <v>5315</v>
      </c>
      <c r="AM348" s="1" t="s">
        <v>5313</v>
      </c>
      <c r="AN348" s="1" t="s">
        <v>5314</v>
      </c>
      <c r="AO348" s="1" t="s">
        <v>5315</v>
      </c>
      <c r="AP348" s="2" t="s">
        <v>10105</v>
      </c>
      <c r="AQ348" s="2" t="s">
        <v>1155</v>
      </c>
      <c r="AR348" s="1" t="s">
        <v>286</v>
      </c>
      <c r="AS348" s="1" t="s">
        <v>10106</v>
      </c>
      <c r="AT348" s="1" t="s">
        <v>5</v>
      </c>
    </row>
    <row r="349" spans="1:46" hidden="1" x14ac:dyDescent="0.4">
      <c r="A349" s="1" t="s">
        <v>7722</v>
      </c>
      <c r="B349" s="10"/>
      <c r="C349" s="1" t="s">
        <v>2454</v>
      </c>
      <c r="D349" s="1" t="s">
        <v>2827</v>
      </c>
      <c r="E349" s="1" t="s">
        <v>2078</v>
      </c>
      <c r="F349" s="1" t="s">
        <v>14</v>
      </c>
      <c r="G349" s="1" t="s">
        <v>1</v>
      </c>
      <c r="H349" s="1" t="s">
        <v>6</v>
      </c>
      <c r="I349" s="1" t="s">
        <v>2</v>
      </c>
      <c r="J349" s="1" t="s">
        <v>3676</v>
      </c>
      <c r="K349" s="1" t="s">
        <v>7723</v>
      </c>
      <c r="L349" s="1" t="s">
        <v>7</v>
      </c>
      <c r="M349" s="1"/>
      <c r="N349" s="1" t="s">
        <v>7724</v>
      </c>
      <c r="O349" s="1" t="s">
        <v>7725</v>
      </c>
      <c r="P349" s="1"/>
      <c r="Q349" s="1"/>
      <c r="R349" s="1" t="s">
        <v>11</v>
      </c>
      <c r="S349" s="1"/>
      <c r="T349" s="1"/>
      <c r="U349" s="1"/>
      <c r="V349" s="1"/>
      <c r="W349" s="1" t="s">
        <v>7726</v>
      </c>
      <c r="X349" s="1"/>
      <c r="Y349" s="1"/>
      <c r="Z349" s="1"/>
      <c r="AA349" s="1"/>
      <c r="AB349" s="1" t="s">
        <v>7727</v>
      </c>
      <c r="AC349" s="1"/>
      <c r="AD349" s="1"/>
      <c r="AE349" s="1" t="s">
        <v>7728</v>
      </c>
      <c r="AF349" s="1"/>
      <c r="AG349" s="1"/>
      <c r="AH349" s="1" t="s">
        <v>7729</v>
      </c>
      <c r="AI349" s="1"/>
      <c r="AJ349" s="1" t="s">
        <v>4657</v>
      </c>
      <c r="AK349" s="1" t="s">
        <v>2822</v>
      </c>
      <c r="AL349" s="1" t="s">
        <v>4658</v>
      </c>
      <c r="AM349" s="1" t="s">
        <v>4657</v>
      </c>
      <c r="AN349" s="1" t="s">
        <v>2822</v>
      </c>
      <c r="AO349" s="1" t="s">
        <v>4658</v>
      </c>
      <c r="AP349" s="2" t="s">
        <v>7730</v>
      </c>
      <c r="AQ349" s="2" t="s">
        <v>1154</v>
      </c>
      <c r="AR349" s="1" t="s">
        <v>286</v>
      </c>
      <c r="AS349" s="1"/>
      <c r="AT349" s="1" t="s">
        <v>5</v>
      </c>
    </row>
    <row r="350" spans="1:46" hidden="1" x14ac:dyDescent="0.4">
      <c r="A350" s="1" t="s">
        <v>7129</v>
      </c>
      <c r="B350" s="10"/>
      <c r="C350" s="1" t="s">
        <v>0</v>
      </c>
      <c r="D350" s="1" t="s">
        <v>2076</v>
      </c>
      <c r="E350" s="1" t="s">
        <v>2078</v>
      </c>
      <c r="F350" s="1" t="s">
        <v>14</v>
      </c>
      <c r="G350" s="1" t="s">
        <v>1</v>
      </c>
      <c r="H350" s="1" t="s">
        <v>6</v>
      </c>
      <c r="I350" s="1" t="s">
        <v>2</v>
      </c>
      <c r="J350" s="1" t="s">
        <v>3</v>
      </c>
      <c r="K350" s="1" t="s">
        <v>7130</v>
      </c>
      <c r="L350" s="1" t="s">
        <v>4</v>
      </c>
      <c r="M350" s="1"/>
      <c r="N350" s="1" t="s">
        <v>7131</v>
      </c>
      <c r="O350" s="1" t="s">
        <v>2348</v>
      </c>
      <c r="P350" s="1"/>
      <c r="Q350" s="1"/>
      <c r="R350" s="1" t="s">
        <v>11</v>
      </c>
      <c r="S350" s="1"/>
      <c r="T350" s="1"/>
      <c r="U350" s="1"/>
      <c r="V350" s="1"/>
      <c r="W350" s="1" t="s">
        <v>7132</v>
      </c>
      <c r="X350" s="1" t="s">
        <v>7133</v>
      </c>
      <c r="Y350" s="1"/>
      <c r="Z350" s="1"/>
      <c r="AA350" s="1"/>
      <c r="AB350" s="1" t="s">
        <v>7134</v>
      </c>
      <c r="AC350" s="1"/>
      <c r="AD350" s="1"/>
      <c r="AE350" s="1" t="s">
        <v>7135</v>
      </c>
      <c r="AF350" s="1"/>
      <c r="AG350" s="1"/>
      <c r="AH350" s="1"/>
      <c r="AI350" s="1"/>
      <c r="AJ350" s="1" t="s">
        <v>1682</v>
      </c>
      <c r="AK350" s="1" t="s">
        <v>1683</v>
      </c>
      <c r="AL350" s="1" t="s">
        <v>1684</v>
      </c>
      <c r="AM350" s="1" t="s">
        <v>7136</v>
      </c>
      <c r="AN350" s="1" t="s">
        <v>1683</v>
      </c>
      <c r="AO350" s="1"/>
      <c r="AP350" s="2" t="s">
        <v>7137</v>
      </c>
      <c r="AQ350" s="2" t="s">
        <v>1077</v>
      </c>
      <c r="AR350" s="1" t="s">
        <v>286</v>
      </c>
      <c r="AS350" s="1" t="s">
        <v>1282</v>
      </c>
      <c r="AT350" s="1" t="s">
        <v>5</v>
      </c>
    </row>
    <row r="351" spans="1:46" hidden="1" x14ac:dyDescent="0.4">
      <c r="A351" s="1" t="s">
        <v>9285</v>
      </c>
      <c r="B351" s="10"/>
      <c r="C351" s="1" t="s">
        <v>9286</v>
      </c>
      <c r="D351" s="1" t="s">
        <v>2076</v>
      </c>
      <c r="E351" s="1" t="s">
        <v>13</v>
      </c>
      <c r="F351" s="1" t="s">
        <v>14</v>
      </c>
      <c r="G351" s="1" t="s">
        <v>1</v>
      </c>
      <c r="H351" s="1" t="s">
        <v>6</v>
      </c>
      <c r="I351" s="1" t="s">
        <v>2</v>
      </c>
      <c r="J351" s="1" t="s">
        <v>3</v>
      </c>
      <c r="K351" s="1" t="s">
        <v>9287</v>
      </c>
      <c r="L351" s="1" t="s">
        <v>4</v>
      </c>
      <c r="M351" s="1"/>
      <c r="N351" s="1" t="s">
        <v>9288</v>
      </c>
      <c r="O351" s="1" t="s">
        <v>2238</v>
      </c>
      <c r="P351" s="1"/>
      <c r="Q351" s="1"/>
      <c r="R351" s="1" t="s">
        <v>11</v>
      </c>
      <c r="S351" s="1"/>
      <c r="T351" s="1"/>
      <c r="U351" s="1"/>
      <c r="V351" s="1"/>
      <c r="W351" s="1"/>
      <c r="X351" s="1" t="s">
        <v>9289</v>
      </c>
      <c r="Y351" s="1"/>
      <c r="Z351" s="1"/>
      <c r="AA351" s="1"/>
      <c r="AB351" s="1" t="s">
        <v>9290</v>
      </c>
      <c r="AC351" s="1"/>
      <c r="AD351" s="1"/>
      <c r="AE351" s="1" t="s">
        <v>9291</v>
      </c>
      <c r="AF351" s="1"/>
      <c r="AG351" s="1"/>
      <c r="AH351" s="1" t="s">
        <v>9292</v>
      </c>
      <c r="AI351" s="1"/>
      <c r="AJ351" s="1" t="s">
        <v>9293</v>
      </c>
      <c r="AK351" s="1" t="s">
        <v>9294</v>
      </c>
      <c r="AL351" s="1" t="s">
        <v>9295</v>
      </c>
      <c r="AM351" s="1" t="s">
        <v>9293</v>
      </c>
      <c r="AN351" s="1" t="s">
        <v>9294</v>
      </c>
      <c r="AO351" s="1" t="s">
        <v>9295</v>
      </c>
      <c r="AP351" s="2" t="s">
        <v>9296</v>
      </c>
      <c r="AQ351" s="2" t="s">
        <v>1154</v>
      </c>
      <c r="AR351" s="1" t="s">
        <v>286</v>
      </c>
      <c r="AS351" s="1" t="s">
        <v>9297</v>
      </c>
      <c r="AT351" s="1" t="s">
        <v>5</v>
      </c>
    </row>
    <row r="352" spans="1:46" hidden="1" x14ac:dyDescent="0.4">
      <c r="A352" s="1" t="s">
        <v>8731</v>
      </c>
      <c r="B352" s="10"/>
      <c r="C352" s="1" t="s">
        <v>93</v>
      </c>
      <c r="D352" s="1" t="s">
        <v>2076</v>
      </c>
      <c r="E352" s="1" t="s">
        <v>2078</v>
      </c>
      <c r="F352" s="1" t="s">
        <v>14</v>
      </c>
      <c r="G352" s="1" t="s">
        <v>1</v>
      </c>
      <c r="H352" s="1" t="s">
        <v>6</v>
      </c>
      <c r="I352" s="1" t="s">
        <v>2</v>
      </c>
      <c r="J352" s="1" t="s">
        <v>3</v>
      </c>
      <c r="K352" s="1" t="s">
        <v>8732</v>
      </c>
      <c r="L352" s="1" t="s">
        <v>7</v>
      </c>
      <c r="M352" s="1"/>
      <c r="N352" s="1" t="s">
        <v>8733</v>
      </c>
      <c r="O352" s="1" t="s">
        <v>7507</v>
      </c>
      <c r="P352" s="1"/>
      <c r="Q352" s="1"/>
      <c r="R352" s="1" t="s">
        <v>11</v>
      </c>
      <c r="S352" s="1"/>
      <c r="T352" s="1"/>
      <c r="U352" s="1"/>
      <c r="V352" s="1"/>
      <c r="W352" s="1"/>
      <c r="X352" s="1"/>
      <c r="Y352" s="1"/>
      <c r="Z352" s="1"/>
      <c r="AA352" s="1"/>
      <c r="AB352" s="1" t="s">
        <v>8734</v>
      </c>
      <c r="AC352" s="1"/>
      <c r="AD352" s="1"/>
      <c r="AE352" s="1" t="s">
        <v>8680</v>
      </c>
      <c r="AF352" s="1"/>
      <c r="AG352" s="1"/>
      <c r="AH352" s="1" t="s">
        <v>8735</v>
      </c>
      <c r="AI352" s="1"/>
      <c r="AJ352" s="1" t="s">
        <v>8395</v>
      </c>
      <c r="AK352" s="1" t="s">
        <v>8396</v>
      </c>
      <c r="AL352" s="1" t="s">
        <v>8397</v>
      </c>
      <c r="AM352" s="1" t="s">
        <v>8395</v>
      </c>
      <c r="AN352" s="1" t="s">
        <v>8396</v>
      </c>
      <c r="AO352" s="1" t="s">
        <v>8397</v>
      </c>
      <c r="AP352" s="2" t="s">
        <v>8736</v>
      </c>
      <c r="AQ352" s="2" t="s">
        <v>1154</v>
      </c>
      <c r="AR352" s="1" t="s">
        <v>286</v>
      </c>
      <c r="AS352" s="1" t="s">
        <v>8737</v>
      </c>
      <c r="AT352" s="1" t="s">
        <v>5</v>
      </c>
    </row>
    <row r="353" spans="1:46" hidden="1" x14ac:dyDescent="0.4">
      <c r="A353" s="1" t="s">
        <v>5334</v>
      </c>
      <c r="B353" s="10"/>
      <c r="C353" s="1" t="s">
        <v>0</v>
      </c>
      <c r="D353" s="1" t="s">
        <v>2157</v>
      </c>
      <c r="E353" s="1" t="s">
        <v>2078</v>
      </c>
      <c r="F353" s="1" t="s">
        <v>14</v>
      </c>
      <c r="G353" s="1" t="s">
        <v>1</v>
      </c>
      <c r="H353" s="1" t="s">
        <v>6</v>
      </c>
      <c r="I353" s="1" t="s">
        <v>2</v>
      </c>
      <c r="J353" s="1" t="s">
        <v>3</v>
      </c>
      <c r="K353" s="1" t="s">
        <v>5335</v>
      </c>
      <c r="L353" s="1" t="s">
        <v>7</v>
      </c>
      <c r="M353" s="1" t="s">
        <v>9</v>
      </c>
      <c r="N353" s="1" t="s">
        <v>5336</v>
      </c>
      <c r="O353" s="1" t="s">
        <v>2911</v>
      </c>
      <c r="P353" s="1"/>
      <c r="Q353" s="1"/>
      <c r="R353" s="1" t="s">
        <v>11</v>
      </c>
      <c r="S353" s="1"/>
      <c r="T353" s="1"/>
      <c r="U353" s="1"/>
      <c r="V353" s="1"/>
      <c r="W353" s="1"/>
      <c r="X353" s="1" t="s">
        <v>5337</v>
      </c>
      <c r="Y353" s="1"/>
      <c r="Z353" s="1"/>
      <c r="AA353" s="1"/>
      <c r="AB353" s="1" t="s">
        <v>5338</v>
      </c>
      <c r="AC353" s="1"/>
      <c r="AD353" s="1"/>
      <c r="AE353" s="1" t="s">
        <v>2089</v>
      </c>
      <c r="AF353" s="1"/>
      <c r="AG353" s="1"/>
      <c r="AH353" s="1" t="s">
        <v>5339</v>
      </c>
      <c r="AI353" s="1"/>
      <c r="AJ353" s="1" t="s">
        <v>5332</v>
      </c>
      <c r="AK353" s="1" t="s">
        <v>1806</v>
      </c>
      <c r="AL353" s="1"/>
      <c r="AM353" s="1" t="s">
        <v>496</v>
      </c>
      <c r="AN353" s="1" t="s">
        <v>1806</v>
      </c>
      <c r="AO353" s="1" t="s">
        <v>497</v>
      </c>
      <c r="AP353" s="2" t="s">
        <v>5340</v>
      </c>
      <c r="AQ353" s="2" t="s">
        <v>1077</v>
      </c>
      <c r="AR353" s="1" t="s">
        <v>286</v>
      </c>
      <c r="AS353" s="1"/>
      <c r="AT353" s="1" t="s">
        <v>5</v>
      </c>
    </row>
    <row r="354" spans="1:46" hidden="1" x14ac:dyDescent="0.4">
      <c r="A354" s="1" t="s">
        <v>5326</v>
      </c>
      <c r="B354" s="10"/>
      <c r="C354" s="1" t="s">
        <v>0</v>
      </c>
      <c r="D354" s="1" t="s">
        <v>2157</v>
      </c>
      <c r="E354" s="1" t="s">
        <v>2078</v>
      </c>
      <c r="F354" s="1" t="s">
        <v>14</v>
      </c>
      <c r="G354" s="1" t="s">
        <v>1</v>
      </c>
      <c r="H354" s="1" t="s">
        <v>6</v>
      </c>
      <c r="I354" s="1" t="s">
        <v>2</v>
      </c>
      <c r="J354" s="1" t="s">
        <v>3</v>
      </c>
      <c r="K354" s="1" t="s">
        <v>5327</v>
      </c>
      <c r="L354" s="1" t="s">
        <v>7</v>
      </c>
      <c r="M354" s="1" t="s">
        <v>9</v>
      </c>
      <c r="N354" s="1" t="s">
        <v>5328</v>
      </c>
      <c r="O354" s="1" t="s">
        <v>2911</v>
      </c>
      <c r="P354" s="1"/>
      <c r="Q354" s="1"/>
      <c r="R354" s="1" t="s">
        <v>11</v>
      </c>
      <c r="S354" s="1"/>
      <c r="T354" s="1"/>
      <c r="U354" s="1"/>
      <c r="V354" s="1"/>
      <c r="W354" s="1"/>
      <c r="X354" s="1" t="s">
        <v>5329</v>
      </c>
      <c r="Y354" s="1"/>
      <c r="Z354" s="1"/>
      <c r="AA354" s="1"/>
      <c r="AB354" s="1" t="s">
        <v>5330</v>
      </c>
      <c r="AC354" s="1"/>
      <c r="AD354" s="1"/>
      <c r="AE354" s="1" t="s">
        <v>2089</v>
      </c>
      <c r="AF354" s="1"/>
      <c r="AG354" s="1"/>
      <c r="AH354" s="1" t="s">
        <v>5331</v>
      </c>
      <c r="AI354" s="1"/>
      <c r="AJ354" s="1" t="s">
        <v>5332</v>
      </c>
      <c r="AK354" s="1" t="s">
        <v>1806</v>
      </c>
      <c r="AL354" s="1"/>
      <c r="AM354" s="1" t="s">
        <v>496</v>
      </c>
      <c r="AN354" s="1" t="s">
        <v>1806</v>
      </c>
      <c r="AO354" s="1" t="s">
        <v>497</v>
      </c>
      <c r="AP354" s="2" t="s">
        <v>5333</v>
      </c>
      <c r="AQ354" s="2" t="s">
        <v>1077</v>
      </c>
      <c r="AR354" s="1" t="s">
        <v>286</v>
      </c>
      <c r="AS354" s="1"/>
      <c r="AT354" s="1" t="s">
        <v>5</v>
      </c>
    </row>
    <row r="355" spans="1:46" hidden="1" x14ac:dyDescent="0.4">
      <c r="A355" s="1" t="s">
        <v>7625</v>
      </c>
      <c r="B355" s="10"/>
      <c r="C355" s="1" t="s">
        <v>93</v>
      </c>
      <c r="D355" s="1" t="s">
        <v>2396</v>
      </c>
      <c r="E355" s="1" t="s">
        <v>7590</v>
      </c>
      <c r="F355" s="1" t="s">
        <v>14</v>
      </c>
      <c r="G355" s="1" t="s">
        <v>1</v>
      </c>
      <c r="H355" s="1" t="s">
        <v>6</v>
      </c>
      <c r="I355" s="1" t="s">
        <v>2</v>
      </c>
      <c r="J355" s="1" t="s">
        <v>3</v>
      </c>
      <c r="K355" s="1" t="s">
        <v>7626</v>
      </c>
      <c r="L355" s="1" t="s">
        <v>7</v>
      </c>
      <c r="M355" s="1"/>
      <c r="N355" s="1" t="s">
        <v>7627</v>
      </c>
      <c r="O355" s="1" t="s">
        <v>6435</v>
      </c>
      <c r="P355" s="1"/>
      <c r="Q355" s="1"/>
      <c r="R355" s="1" t="s">
        <v>11</v>
      </c>
      <c r="S355" s="1"/>
      <c r="T355" s="1"/>
      <c r="U355" s="1"/>
      <c r="V355" s="1"/>
      <c r="W355" s="1" t="s">
        <v>6434</v>
      </c>
      <c r="X355" s="1"/>
      <c r="Y355" s="1"/>
      <c r="Z355" s="1"/>
      <c r="AA355" s="1"/>
      <c r="AB355" s="1" t="s">
        <v>7628</v>
      </c>
      <c r="AC355" s="1"/>
      <c r="AD355" s="1"/>
      <c r="AE355" s="1" t="s">
        <v>6437</v>
      </c>
      <c r="AF355" s="1"/>
      <c r="AG355" s="1"/>
      <c r="AH355" s="1" t="s">
        <v>7629</v>
      </c>
      <c r="AI355" s="1"/>
      <c r="AJ355" s="1" t="s">
        <v>5935</v>
      </c>
      <c r="AK355" s="1" t="s">
        <v>1787</v>
      </c>
      <c r="AL355" s="1" t="s">
        <v>5936</v>
      </c>
      <c r="AM355" s="1" t="s">
        <v>6439</v>
      </c>
      <c r="AN355" s="1" t="s">
        <v>1787</v>
      </c>
      <c r="AO355" s="1" t="s">
        <v>6440</v>
      </c>
      <c r="AP355" s="2" t="s">
        <v>7630</v>
      </c>
      <c r="AQ355" s="2" t="s">
        <v>1154</v>
      </c>
      <c r="AR355" s="1" t="s">
        <v>286</v>
      </c>
      <c r="AS355" s="1"/>
      <c r="AT355" s="1" t="s">
        <v>5</v>
      </c>
    </row>
    <row r="356" spans="1:46" hidden="1" x14ac:dyDescent="0.4">
      <c r="A356" s="1" t="s">
        <v>7611</v>
      </c>
      <c r="B356" s="10"/>
      <c r="C356" s="1" t="s">
        <v>93</v>
      </c>
      <c r="D356" s="1" t="s">
        <v>2396</v>
      </c>
      <c r="E356" s="1" t="s">
        <v>7590</v>
      </c>
      <c r="F356" s="1" t="s">
        <v>14</v>
      </c>
      <c r="G356" s="1" t="s">
        <v>1</v>
      </c>
      <c r="H356" s="1" t="s">
        <v>6</v>
      </c>
      <c r="I356" s="1" t="s">
        <v>2</v>
      </c>
      <c r="J356" s="1" t="s">
        <v>3</v>
      </c>
      <c r="K356" s="1" t="s">
        <v>7612</v>
      </c>
      <c r="L356" s="1" t="s">
        <v>7</v>
      </c>
      <c r="M356" s="1"/>
      <c r="N356" s="1" t="s">
        <v>7613</v>
      </c>
      <c r="O356" s="1" t="s">
        <v>6435</v>
      </c>
      <c r="P356" s="1"/>
      <c r="Q356" s="1"/>
      <c r="R356" s="1" t="s">
        <v>11</v>
      </c>
      <c r="S356" s="1"/>
      <c r="T356" s="1"/>
      <c r="U356" s="1"/>
      <c r="V356" s="1"/>
      <c r="W356" s="1" t="s">
        <v>7614</v>
      </c>
      <c r="X356" s="1"/>
      <c r="Y356" s="1"/>
      <c r="Z356" s="1"/>
      <c r="AA356" s="1"/>
      <c r="AB356" s="1" t="s">
        <v>7615</v>
      </c>
      <c r="AC356" s="1"/>
      <c r="AD356" s="1"/>
      <c r="AE356" s="1" t="s">
        <v>6437</v>
      </c>
      <c r="AF356" s="1"/>
      <c r="AG356" s="1"/>
      <c r="AH356" s="1" t="s">
        <v>7616</v>
      </c>
      <c r="AI356" s="1"/>
      <c r="AJ356" s="1" t="s">
        <v>5935</v>
      </c>
      <c r="AK356" s="1" t="s">
        <v>1787</v>
      </c>
      <c r="AL356" s="1" t="s">
        <v>5936</v>
      </c>
      <c r="AM356" s="1" t="s">
        <v>6439</v>
      </c>
      <c r="AN356" s="1" t="s">
        <v>1787</v>
      </c>
      <c r="AO356" s="1" t="s">
        <v>6440</v>
      </c>
      <c r="AP356" s="2" t="s">
        <v>7617</v>
      </c>
      <c r="AQ356" s="2" t="s">
        <v>1154</v>
      </c>
      <c r="AR356" s="1" t="s">
        <v>286</v>
      </c>
      <c r="AS356" s="1"/>
      <c r="AT356" s="1" t="s">
        <v>5</v>
      </c>
    </row>
    <row r="357" spans="1:46" hidden="1" x14ac:dyDescent="0.4">
      <c r="A357" s="1" t="s">
        <v>7618</v>
      </c>
      <c r="B357" s="10"/>
      <c r="C357" s="1" t="s">
        <v>93</v>
      </c>
      <c r="D357" s="1" t="s">
        <v>2396</v>
      </c>
      <c r="E357" s="1" t="s">
        <v>7590</v>
      </c>
      <c r="F357" s="1" t="s">
        <v>14</v>
      </c>
      <c r="G357" s="1" t="s">
        <v>1</v>
      </c>
      <c r="H357" s="1" t="s">
        <v>6</v>
      </c>
      <c r="I357" s="1" t="s">
        <v>2</v>
      </c>
      <c r="J357" s="1" t="s">
        <v>3</v>
      </c>
      <c r="K357" s="1" t="s">
        <v>7619</v>
      </c>
      <c r="L357" s="1" t="s">
        <v>7</v>
      </c>
      <c r="M357" s="1"/>
      <c r="N357" s="1" t="s">
        <v>7620</v>
      </c>
      <c r="O357" s="1" t="s">
        <v>6435</v>
      </c>
      <c r="P357" s="1"/>
      <c r="Q357" s="1"/>
      <c r="R357" s="1" t="s">
        <v>11</v>
      </c>
      <c r="S357" s="1"/>
      <c r="T357" s="1"/>
      <c r="U357" s="1"/>
      <c r="V357" s="1"/>
      <c r="W357" s="1" t="s">
        <v>7621</v>
      </c>
      <c r="X357" s="1"/>
      <c r="Y357" s="1"/>
      <c r="Z357" s="1"/>
      <c r="AA357" s="1"/>
      <c r="AB357" s="1" t="s">
        <v>7622</v>
      </c>
      <c r="AC357" s="1"/>
      <c r="AD357" s="1"/>
      <c r="AE357" s="1" t="s">
        <v>6437</v>
      </c>
      <c r="AF357" s="1"/>
      <c r="AG357" s="1"/>
      <c r="AH357" s="1" t="s">
        <v>7623</v>
      </c>
      <c r="AI357" s="1"/>
      <c r="AJ357" s="1" t="s">
        <v>5935</v>
      </c>
      <c r="AK357" s="1" t="s">
        <v>1787</v>
      </c>
      <c r="AL357" s="1" t="s">
        <v>5936</v>
      </c>
      <c r="AM357" s="1" t="s">
        <v>6439</v>
      </c>
      <c r="AN357" s="1" t="s">
        <v>1787</v>
      </c>
      <c r="AO357" s="1" t="s">
        <v>6440</v>
      </c>
      <c r="AP357" s="2" t="s">
        <v>7624</v>
      </c>
      <c r="AQ357" s="2" t="s">
        <v>1154</v>
      </c>
      <c r="AR357" s="1" t="s">
        <v>286</v>
      </c>
      <c r="AS357" s="1"/>
      <c r="AT357" s="1" t="s">
        <v>5</v>
      </c>
    </row>
    <row r="358" spans="1:46" hidden="1" x14ac:dyDescent="0.4">
      <c r="A358" s="1" t="s">
        <v>7597</v>
      </c>
      <c r="B358" s="10"/>
      <c r="C358" s="1" t="s">
        <v>93</v>
      </c>
      <c r="D358" s="1" t="s">
        <v>2396</v>
      </c>
      <c r="E358" s="1" t="s">
        <v>7590</v>
      </c>
      <c r="F358" s="1" t="s">
        <v>14</v>
      </c>
      <c r="G358" s="1" t="s">
        <v>1</v>
      </c>
      <c r="H358" s="1" t="s">
        <v>6</v>
      </c>
      <c r="I358" s="1" t="s">
        <v>2</v>
      </c>
      <c r="J358" s="1" t="s">
        <v>3</v>
      </c>
      <c r="K358" s="1" t="s">
        <v>7598</v>
      </c>
      <c r="L358" s="1" t="s">
        <v>7</v>
      </c>
      <c r="M358" s="1"/>
      <c r="N358" s="1" t="s">
        <v>7599</v>
      </c>
      <c r="O358" s="1" t="s">
        <v>6435</v>
      </c>
      <c r="P358" s="1"/>
      <c r="Q358" s="1"/>
      <c r="R358" s="1" t="s">
        <v>11</v>
      </c>
      <c r="S358" s="1"/>
      <c r="T358" s="1"/>
      <c r="U358" s="1"/>
      <c r="V358" s="1"/>
      <c r="W358" s="1" t="s">
        <v>7600</v>
      </c>
      <c r="X358" s="1"/>
      <c r="Y358" s="1"/>
      <c r="Z358" s="1"/>
      <c r="AA358" s="1"/>
      <c r="AB358" s="1" t="s">
        <v>7601</v>
      </c>
      <c r="AC358" s="1"/>
      <c r="AD358" s="1"/>
      <c r="AE358" s="1" t="s">
        <v>6437</v>
      </c>
      <c r="AF358" s="1"/>
      <c r="AG358" s="1"/>
      <c r="AH358" s="1" t="s">
        <v>7602</v>
      </c>
      <c r="AI358" s="1"/>
      <c r="AJ358" s="1" t="s">
        <v>5935</v>
      </c>
      <c r="AK358" s="1" t="s">
        <v>1787</v>
      </c>
      <c r="AL358" s="1" t="s">
        <v>5936</v>
      </c>
      <c r="AM358" s="1" t="s">
        <v>6439</v>
      </c>
      <c r="AN358" s="1" t="s">
        <v>1787</v>
      </c>
      <c r="AO358" s="1" t="s">
        <v>6440</v>
      </c>
      <c r="AP358" s="2" t="s">
        <v>7603</v>
      </c>
      <c r="AQ358" s="2" t="s">
        <v>1154</v>
      </c>
      <c r="AR358" s="1" t="s">
        <v>286</v>
      </c>
      <c r="AS358" s="1"/>
      <c r="AT358" s="1" t="s">
        <v>5</v>
      </c>
    </row>
    <row r="359" spans="1:46" hidden="1" x14ac:dyDescent="0.4">
      <c r="A359" s="1" t="s">
        <v>7589</v>
      </c>
      <c r="B359" s="10"/>
      <c r="C359" s="1" t="s">
        <v>93</v>
      </c>
      <c r="D359" s="1" t="s">
        <v>2396</v>
      </c>
      <c r="E359" s="1" t="s">
        <v>7590</v>
      </c>
      <c r="F359" s="1" t="s">
        <v>14</v>
      </c>
      <c r="G359" s="1" t="s">
        <v>1</v>
      </c>
      <c r="H359" s="1" t="s">
        <v>6</v>
      </c>
      <c r="I359" s="1" t="s">
        <v>2</v>
      </c>
      <c r="J359" s="1" t="s">
        <v>3</v>
      </c>
      <c r="K359" s="1" t="s">
        <v>7591</v>
      </c>
      <c r="L359" s="1" t="s">
        <v>7</v>
      </c>
      <c r="M359" s="1"/>
      <c r="N359" s="1" t="s">
        <v>7592</v>
      </c>
      <c r="O359" s="1" t="s">
        <v>6435</v>
      </c>
      <c r="P359" s="1"/>
      <c r="Q359" s="1"/>
      <c r="R359" s="1" t="s">
        <v>11</v>
      </c>
      <c r="S359" s="1"/>
      <c r="T359" s="1"/>
      <c r="U359" s="1"/>
      <c r="V359" s="1"/>
      <c r="W359" s="1" t="s">
        <v>7593</v>
      </c>
      <c r="X359" s="1"/>
      <c r="Y359" s="1"/>
      <c r="Z359" s="1"/>
      <c r="AA359" s="1"/>
      <c r="AB359" s="1" t="s">
        <v>7594</v>
      </c>
      <c r="AC359" s="1"/>
      <c r="AD359" s="1"/>
      <c r="AE359" s="1" t="s">
        <v>6437</v>
      </c>
      <c r="AF359" s="1"/>
      <c r="AG359" s="1"/>
      <c r="AH359" s="1" t="s">
        <v>7595</v>
      </c>
      <c r="AI359" s="1"/>
      <c r="AJ359" s="1" t="s">
        <v>5935</v>
      </c>
      <c r="AK359" s="1" t="s">
        <v>1787</v>
      </c>
      <c r="AL359" s="1" t="s">
        <v>5936</v>
      </c>
      <c r="AM359" s="1" t="s">
        <v>6439</v>
      </c>
      <c r="AN359" s="1" t="s">
        <v>1787</v>
      </c>
      <c r="AO359" s="1" t="s">
        <v>6440</v>
      </c>
      <c r="AP359" s="2" t="s">
        <v>7596</v>
      </c>
      <c r="AQ359" s="2" t="s">
        <v>1154</v>
      </c>
      <c r="AR359" s="1" t="s">
        <v>286</v>
      </c>
      <c r="AS359" s="1"/>
      <c r="AT359" s="1" t="s">
        <v>5</v>
      </c>
    </row>
    <row r="360" spans="1:46" hidden="1" x14ac:dyDescent="0.4">
      <c r="A360" s="1" t="s">
        <v>7582</v>
      </c>
      <c r="B360" s="10"/>
      <c r="C360" s="1" t="s">
        <v>93</v>
      </c>
      <c r="D360" s="1" t="s">
        <v>2396</v>
      </c>
      <c r="E360" s="1" t="s">
        <v>2478</v>
      </c>
      <c r="F360" s="1" t="s">
        <v>14</v>
      </c>
      <c r="G360" s="1" t="s">
        <v>1</v>
      </c>
      <c r="H360" s="1" t="s">
        <v>6</v>
      </c>
      <c r="I360" s="1" t="s">
        <v>2</v>
      </c>
      <c r="J360" s="1" t="s">
        <v>3</v>
      </c>
      <c r="K360" s="1" t="s">
        <v>7583</v>
      </c>
      <c r="L360" s="1" t="s">
        <v>7</v>
      </c>
      <c r="M360" s="1"/>
      <c r="N360" s="1" t="s">
        <v>7584</v>
      </c>
      <c r="O360" s="1" t="s">
        <v>6435</v>
      </c>
      <c r="P360" s="1"/>
      <c r="Q360" s="1"/>
      <c r="R360" s="1" t="s">
        <v>11</v>
      </c>
      <c r="S360" s="1"/>
      <c r="T360" s="1"/>
      <c r="U360" s="1"/>
      <c r="V360" s="1"/>
      <c r="W360" s="1" t="s">
        <v>7585</v>
      </c>
      <c r="X360" s="1"/>
      <c r="Y360" s="1"/>
      <c r="Z360" s="1"/>
      <c r="AA360" s="1"/>
      <c r="AB360" s="1" t="s">
        <v>7586</v>
      </c>
      <c r="AC360" s="1"/>
      <c r="AD360" s="1"/>
      <c r="AE360" s="1" t="s">
        <v>6437</v>
      </c>
      <c r="AF360" s="1"/>
      <c r="AG360" s="1"/>
      <c r="AH360" s="1" t="s">
        <v>7587</v>
      </c>
      <c r="AI360" s="1"/>
      <c r="AJ360" s="1" t="s">
        <v>5935</v>
      </c>
      <c r="AK360" s="1" t="s">
        <v>1787</v>
      </c>
      <c r="AL360" s="1" t="s">
        <v>5936</v>
      </c>
      <c r="AM360" s="1" t="s">
        <v>6439</v>
      </c>
      <c r="AN360" s="1" t="s">
        <v>1787</v>
      </c>
      <c r="AO360" s="1" t="s">
        <v>6440</v>
      </c>
      <c r="AP360" s="2" t="s">
        <v>7588</v>
      </c>
      <c r="AQ360" s="2" t="s">
        <v>1154</v>
      </c>
      <c r="AR360" s="1" t="s">
        <v>286</v>
      </c>
      <c r="AS360" s="1"/>
      <c r="AT360" s="1" t="s">
        <v>5</v>
      </c>
    </row>
    <row r="361" spans="1:46" hidden="1" x14ac:dyDescent="0.4">
      <c r="A361" s="1" t="s">
        <v>7631</v>
      </c>
      <c r="B361" s="10"/>
      <c r="C361" s="1" t="s">
        <v>93</v>
      </c>
      <c r="D361" s="1" t="s">
        <v>2396</v>
      </c>
      <c r="E361" s="1" t="s">
        <v>7590</v>
      </c>
      <c r="F361" s="1" t="s">
        <v>14</v>
      </c>
      <c r="G361" s="1" t="s">
        <v>1</v>
      </c>
      <c r="H361" s="1" t="s">
        <v>6</v>
      </c>
      <c r="I361" s="1" t="s">
        <v>2</v>
      </c>
      <c r="J361" s="1" t="s">
        <v>3</v>
      </c>
      <c r="K361" s="1" t="s">
        <v>7632</v>
      </c>
      <c r="L361" s="1" t="s">
        <v>7</v>
      </c>
      <c r="M361" s="1"/>
      <c r="N361" s="1" t="s">
        <v>7633</v>
      </c>
      <c r="O361" s="1" t="s">
        <v>6435</v>
      </c>
      <c r="P361" s="1"/>
      <c r="Q361" s="1"/>
      <c r="R361" s="1" t="s">
        <v>11</v>
      </c>
      <c r="S361" s="1"/>
      <c r="T361" s="1"/>
      <c r="U361" s="1"/>
      <c r="V361" s="1"/>
      <c r="W361" s="1" t="s">
        <v>7634</v>
      </c>
      <c r="X361" s="1"/>
      <c r="Y361" s="1"/>
      <c r="Z361" s="1"/>
      <c r="AA361" s="1"/>
      <c r="AB361" s="1" t="s">
        <v>7635</v>
      </c>
      <c r="AC361" s="1"/>
      <c r="AD361" s="1"/>
      <c r="AE361" s="1" t="s">
        <v>6437</v>
      </c>
      <c r="AF361" s="1"/>
      <c r="AG361" s="1"/>
      <c r="AH361" s="1" t="s">
        <v>7636</v>
      </c>
      <c r="AI361" s="1"/>
      <c r="AJ361" s="1" t="s">
        <v>5935</v>
      </c>
      <c r="AK361" s="1" t="s">
        <v>1787</v>
      </c>
      <c r="AL361" s="1" t="s">
        <v>5936</v>
      </c>
      <c r="AM361" s="1" t="s">
        <v>6439</v>
      </c>
      <c r="AN361" s="1" t="s">
        <v>1787</v>
      </c>
      <c r="AO361" s="1" t="s">
        <v>6440</v>
      </c>
      <c r="AP361" s="2" t="s">
        <v>7637</v>
      </c>
      <c r="AQ361" s="2" t="s">
        <v>1154</v>
      </c>
      <c r="AR361" s="1" t="s">
        <v>286</v>
      </c>
      <c r="AS361" s="1"/>
      <c r="AT361" s="1" t="s">
        <v>5</v>
      </c>
    </row>
    <row r="362" spans="1:46" hidden="1" x14ac:dyDescent="0.4">
      <c r="A362" s="1" t="s">
        <v>11823</v>
      </c>
      <c r="B362" s="10"/>
      <c r="C362" s="1" t="s">
        <v>2841</v>
      </c>
      <c r="D362" s="1" t="s">
        <v>2396</v>
      </c>
      <c r="E362" s="1" t="s">
        <v>2078</v>
      </c>
      <c r="F362" s="1" t="s">
        <v>14</v>
      </c>
      <c r="G362" s="1" t="s">
        <v>1</v>
      </c>
      <c r="H362" s="1" t="s">
        <v>6</v>
      </c>
      <c r="I362" s="1" t="s">
        <v>2</v>
      </c>
      <c r="J362" s="1" t="s">
        <v>2842</v>
      </c>
      <c r="K362" s="1" t="s">
        <v>11824</v>
      </c>
      <c r="L362" s="1" t="s">
        <v>7</v>
      </c>
      <c r="M362" s="1"/>
      <c r="N362" s="1" t="s">
        <v>11825</v>
      </c>
      <c r="O362" s="1" t="s">
        <v>11817</v>
      </c>
      <c r="P362" s="1"/>
      <c r="Q362" s="1" t="s">
        <v>12</v>
      </c>
      <c r="R362" s="1" t="s">
        <v>11</v>
      </c>
      <c r="S362" s="1"/>
      <c r="T362" s="1" t="s">
        <v>12</v>
      </c>
      <c r="U362" s="1" t="s">
        <v>11</v>
      </c>
      <c r="V362" s="1"/>
      <c r="W362" s="1" t="s">
        <v>11826</v>
      </c>
      <c r="X362" s="1"/>
      <c r="Y362" s="1"/>
      <c r="Z362" s="1"/>
      <c r="AA362" s="1"/>
      <c r="AB362" s="1" t="s">
        <v>11827</v>
      </c>
      <c r="AC362" s="1"/>
      <c r="AD362" s="1"/>
      <c r="AE362" s="1" t="s">
        <v>11828</v>
      </c>
      <c r="AF362" s="1"/>
      <c r="AG362" s="1"/>
      <c r="AH362" s="1" t="s">
        <v>11829</v>
      </c>
      <c r="AI362" s="1" t="s">
        <v>11830</v>
      </c>
      <c r="AJ362" s="1" t="s">
        <v>4327</v>
      </c>
      <c r="AK362" s="1" t="s">
        <v>8473</v>
      </c>
      <c r="AL362" s="1" t="s">
        <v>4328</v>
      </c>
      <c r="AM362" s="1" t="s">
        <v>4327</v>
      </c>
      <c r="AN362" s="1" t="s">
        <v>8473</v>
      </c>
      <c r="AO362" s="1" t="s">
        <v>4328</v>
      </c>
      <c r="AP362" s="2" t="s">
        <v>11831</v>
      </c>
      <c r="AQ362" s="2" t="s">
        <v>1156</v>
      </c>
      <c r="AR362" s="1" t="s">
        <v>286</v>
      </c>
      <c r="AS362" s="1" t="s">
        <v>11832</v>
      </c>
      <c r="AT362" s="1" t="s">
        <v>5</v>
      </c>
    </row>
    <row r="363" spans="1:46" hidden="1" x14ac:dyDescent="0.4">
      <c r="A363" s="1" t="s">
        <v>11814</v>
      </c>
      <c r="B363" s="10"/>
      <c r="C363" s="1" t="s">
        <v>2841</v>
      </c>
      <c r="D363" s="1" t="s">
        <v>2396</v>
      </c>
      <c r="E363" s="1" t="s">
        <v>2078</v>
      </c>
      <c r="F363" s="1" t="s">
        <v>14</v>
      </c>
      <c r="G363" s="1" t="s">
        <v>1</v>
      </c>
      <c r="H363" s="1" t="s">
        <v>6</v>
      </c>
      <c r="I363" s="1" t="s">
        <v>2</v>
      </c>
      <c r="J363" s="1" t="s">
        <v>2842</v>
      </c>
      <c r="K363" s="1" t="s">
        <v>11815</v>
      </c>
      <c r="L363" s="1" t="s">
        <v>7</v>
      </c>
      <c r="M363" s="1"/>
      <c r="N363" s="1" t="s">
        <v>11816</v>
      </c>
      <c r="O363" s="1" t="s">
        <v>11817</v>
      </c>
      <c r="P363" s="1"/>
      <c r="Q363" s="1" t="s">
        <v>12</v>
      </c>
      <c r="R363" s="1" t="s">
        <v>11</v>
      </c>
      <c r="S363" s="1"/>
      <c r="T363" s="1" t="s">
        <v>12</v>
      </c>
      <c r="U363" s="1" t="s">
        <v>11</v>
      </c>
      <c r="V363" s="1"/>
      <c r="W363" s="1"/>
      <c r="X363" s="1"/>
      <c r="Y363" s="1"/>
      <c r="Z363" s="1"/>
      <c r="AA363" s="1"/>
      <c r="AB363" s="1" t="s">
        <v>11818</v>
      </c>
      <c r="AC363" s="1"/>
      <c r="AD363" s="1"/>
      <c r="AE363" s="1"/>
      <c r="AF363" s="1"/>
      <c r="AG363" s="1"/>
      <c r="AH363" s="1" t="s">
        <v>11819</v>
      </c>
      <c r="AI363" s="1" t="s">
        <v>11820</v>
      </c>
      <c r="AJ363" s="1" t="s">
        <v>4327</v>
      </c>
      <c r="AK363" s="1" t="s">
        <v>8473</v>
      </c>
      <c r="AL363" s="1" t="s">
        <v>4328</v>
      </c>
      <c r="AM363" s="1" t="s">
        <v>4327</v>
      </c>
      <c r="AN363" s="1" t="s">
        <v>8473</v>
      </c>
      <c r="AO363" s="1" t="s">
        <v>4328</v>
      </c>
      <c r="AP363" s="2" t="s">
        <v>11821</v>
      </c>
      <c r="AQ363" s="2" t="s">
        <v>1156</v>
      </c>
      <c r="AR363" s="1" t="s">
        <v>286</v>
      </c>
      <c r="AS363" s="1" t="s">
        <v>11822</v>
      </c>
      <c r="AT363" s="1" t="s">
        <v>5</v>
      </c>
    </row>
    <row r="364" spans="1:46" hidden="1" x14ac:dyDescent="0.4">
      <c r="A364" s="1" t="s">
        <v>11833</v>
      </c>
      <c r="B364" s="10"/>
      <c r="C364" s="1" t="s">
        <v>2841</v>
      </c>
      <c r="D364" s="1" t="s">
        <v>2396</v>
      </c>
      <c r="E364" s="1" t="s">
        <v>2078</v>
      </c>
      <c r="F364" s="1" t="s">
        <v>14</v>
      </c>
      <c r="G364" s="1" t="s">
        <v>1</v>
      </c>
      <c r="H364" s="1" t="s">
        <v>6</v>
      </c>
      <c r="I364" s="1" t="s">
        <v>2</v>
      </c>
      <c r="J364" s="1" t="s">
        <v>2842</v>
      </c>
      <c r="K364" s="1" t="s">
        <v>11834</v>
      </c>
      <c r="L364" s="1" t="s">
        <v>7</v>
      </c>
      <c r="M364" s="1"/>
      <c r="N364" s="1" t="s">
        <v>11835</v>
      </c>
      <c r="O364" s="1" t="s">
        <v>11817</v>
      </c>
      <c r="P364" s="1"/>
      <c r="Q364" s="1" t="s">
        <v>12</v>
      </c>
      <c r="R364" s="1" t="s">
        <v>11</v>
      </c>
      <c r="S364" s="1"/>
      <c r="T364" s="1" t="s">
        <v>12</v>
      </c>
      <c r="U364" s="1" t="s">
        <v>11</v>
      </c>
      <c r="V364" s="1"/>
      <c r="W364" s="1" t="s">
        <v>11826</v>
      </c>
      <c r="X364" s="1"/>
      <c r="Y364" s="1"/>
      <c r="Z364" s="1"/>
      <c r="AA364" s="1"/>
      <c r="AB364" s="1" t="s">
        <v>11836</v>
      </c>
      <c r="AC364" s="1"/>
      <c r="AD364" s="1"/>
      <c r="AE364" s="1"/>
      <c r="AF364" s="1"/>
      <c r="AG364" s="1"/>
      <c r="AH364" s="1" t="s">
        <v>11837</v>
      </c>
      <c r="AI364" s="1" t="s">
        <v>11838</v>
      </c>
      <c r="AJ364" s="1" t="s">
        <v>4327</v>
      </c>
      <c r="AK364" s="1" t="s">
        <v>8473</v>
      </c>
      <c r="AL364" s="1" t="s">
        <v>4328</v>
      </c>
      <c r="AM364" s="1" t="s">
        <v>4327</v>
      </c>
      <c r="AN364" s="1" t="s">
        <v>8473</v>
      </c>
      <c r="AO364" s="1" t="s">
        <v>4328</v>
      </c>
      <c r="AP364" s="2" t="s">
        <v>11839</v>
      </c>
      <c r="AQ364" s="2" t="s">
        <v>1156</v>
      </c>
      <c r="AR364" s="1" t="s">
        <v>286</v>
      </c>
      <c r="AS364" s="1" t="s">
        <v>11840</v>
      </c>
      <c r="AT364" s="1" t="s">
        <v>5</v>
      </c>
    </row>
    <row r="365" spans="1:46" hidden="1" x14ac:dyDescent="0.4">
      <c r="A365" s="1" t="s">
        <v>11841</v>
      </c>
      <c r="B365" s="10"/>
      <c r="C365" s="1" t="s">
        <v>2841</v>
      </c>
      <c r="D365" s="1" t="s">
        <v>2396</v>
      </c>
      <c r="E365" s="1" t="s">
        <v>2078</v>
      </c>
      <c r="F365" s="1" t="s">
        <v>14</v>
      </c>
      <c r="G365" s="1" t="s">
        <v>1</v>
      </c>
      <c r="H365" s="1" t="s">
        <v>6</v>
      </c>
      <c r="I365" s="1" t="s">
        <v>2</v>
      </c>
      <c r="J365" s="1" t="s">
        <v>2842</v>
      </c>
      <c r="K365" s="1" t="s">
        <v>11842</v>
      </c>
      <c r="L365" s="1" t="s">
        <v>7</v>
      </c>
      <c r="M365" s="1"/>
      <c r="N365" s="1" t="s">
        <v>11843</v>
      </c>
      <c r="O365" s="1" t="s">
        <v>11817</v>
      </c>
      <c r="P365" s="1"/>
      <c r="Q365" s="1" t="s">
        <v>12</v>
      </c>
      <c r="R365" s="1" t="s">
        <v>11</v>
      </c>
      <c r="S365" s="1"/>
      <c r="T365" s="1" t="s">
        <v>12</v>
      </c>
      <c r="U365" s="1" t="s">
        <v>11</v>
      </c>
      <c r="V365" s="1"/>
      <c r="W365" s="1" t="s">
        <v>11826</v>
      </c>
      <c r="X365" s="1"/>
      <c r="Y365" s="1"/>
      <c r="Z365" s="1"/>
      <c r="AA365" s="1"/>
      <c r="AB365" s="1" t="s">
        <v>11844</v>
      </c>
      <c r="AC365" s="1"/>
      <c r="AD365" s="1"/>
      <c r="AE365" s="1"/>
      <c r="AF365" s="1"/>
      <c r="AG365" s="1"/>
      <c r="AH365" s="1" t="s">
        <v>11845</v>
      </c>
      <c r="AI365" s="1" t="s">
        <v>11846</v>
      </c>
      <c r="AJ365" s="1" t="s">
        <v>4327</v>
      </c>
      <c r="AK365" s="1" t="s">
        <v>8473</v>
      </c>
      <c r="AL365" s="1" t="s">
        <v>4328</v>
      </c>
      <c r="AM365" s="1" t="s">
        <v>4327</v>
      </c>
      <c r="AN365" s="1" t="s">
        <v>8473</v>
      </c>
      <c r="AO365" s="1" t="s">
        <v>4328</v>
      </c>
      <c r="AP365" s="2" t="s">
        <v>11847</v>
      </c>
      <c r="AQ365" s="2" t="s">
        <v>1156</v>
      </c>
      <c r="AR365" s="1" t="s">
        <v>286</v>
      </c>
      <c r="AS365" s="1" t="s">
        <v>11848</v>
      </c>
      <c r="AT365" s="1" t="s">
        <v>5</v>
      </c>
    </row>
    <row r="366" spans="1:46" hidden="1" x14ac:dyDescent="0.4">
      <c r="A366" s="1" t="s">
        <v>11849</v>
      </c>
      <c r="B366" s="10"/>
      <c r="C366" s="1" t="s">
        <v>2841</v>
      </c>
      <c r="D366" s="1" t="s">
        <v>2396</v>
      </c>
      <c r="E366" s="1" t="s">
        <v>2078</v>
      </c>
      <c r="F366" s="1" t="s">
        <v>14</v>
      </c>
      <c r="G366" s="1" t="s">
        <v>1</v>
      </c>
      <c r="H366" s="1" t="s">
        <v>6</v>
      </c>
      <c r="I366" s="1" t="s">
        <v>2</v>
      </c>
      <c r="J366" s="1" t="s">
        <v>2842</v>
      </c>
      <c r="K366" s="1" t="s">
        <v>11850</v>
      </c>
      <c r="L366" s="1" t="s">
        <v>7</v>
      </c>
      <c r="M366" s="1"/>
      <c r="N366" s="1" t="s">
        <v>11851</v>
      </c>
      <c r="O366" s="1" t="s">
        <v>11817</v>
      </c>
      <c r="P366" s="1"/>
      <c r="Q366" s="1" t="s">
        <v>12</v>
      </c>
      <c r="R366" s="1" t="s">
        <v>11</v>
      </c>
      <c r="S366" s="1"/>
      <c r="T366" s="1" t="s">
        <v>12</v>
      </c>
      <c r="U366" s="1" t="s">
        <v>11</v>
      </c>
      <c r="V366" s="1"/>
      <c r="W366" s="1" t="s">
        <v>11826</v>
      </c>
      <c r="X366" s="1"/>
      <c r="Y366" s="1"/>
      <c r="Z366" s="1"/>
      <c r="AA366" s="1"/>
      <c r="AB366" s="1" t="s">
        <v>11852</v>
      </c>
      <c r="AC366" s="1"/>
      <c r="AD366" s="1"/>
      <c r="AE366" s="1"/>
      <c r="AF366" s="1"/>
      <c r="AG366" s="1"/>
      <c r="AH366" s="1" t="s">
        <v>11853</v>
      </c>
      <c r="AI366" s="1" t="s">
        <v>11854</v>
      </c>
      <c r="AJ366" s="1" t="s">
        <v>4327</v>
      </c>
      <c r="AK366" s="1" t="s">
        <v>8473</v>
      </c>
      <c r="AL366" s="1" t="s">
        <v>4328</v>
      </c>
      <c r="AM366" s="1" t="s">
        <v>4327</v>
      </c>
      <c r="AN366" s="1" t="s">
        <v>8473</v>
      </c>
      <c r="AO366" s="1" t="s">
        <v>4328</v>
      </c>
      <c r="AP366" s="2" t="s">
        <v>11855</v>
      </c>
      <c r="AQ366" s="2" t="s">
        <v>1156</v>
      </c>
      <c r="AR366" s="1" t="s">
        <v>286</v>
      </c>
      <c r="AS366" s="1" t="s">
        <v>11856</v>
      </c>
      <c r="AT366" s="1" t="s">
        <v>5</v>
      </c>
    </row>
    <row r="367" spans="1:46" hidden="1" x14ac:dyDescent="0.4">
      <c r="A367" s="1" t="s">
        <v>5834</v>
      </c>
      <c r="B367" s="10"/>
      <c r="C367" s="1" t="s">
        <v>5198</v>
      </c>
      <c r="D367" s="1" t="s">
        <v>2076</v>
      </c>
      <c r="E367" s="1" t="s">
        <v>2078</v>
      </c>
      <c r="F367" s="1" t="s">
        <v>14</v>
      </c>
      <c r="G367" s="1" t="s">
        <v>1</v>
      </c>
      <c r="H367" s="1" t="s">
        <v>6</v>
      </c>
      <c r="I367" s="1" t="s">
        <v>2</v>
      </c>
      <c r="J367" s="1" t="s">
        <v>5199</v>
      </c>
      <c r="K367" s="1" t="s">
        <v>5835</v>
      </c>
      <c r="L367" s="1" t="s">
        <v>7</v>
      </c>
      <c r="M367" s="1"/>
      <c r="N367" s="1" t="s">
        <v>5836</v>
      </c>
      <c r="O367" s="1" t="s">
        <v>5508</v>
      </c>
      <c r="P367" s="1"/>
      <c r="Q367" s="1"/>
      <c r="R367" s="1" t="s">
        <v>11</v>
      </c>
      <c r="S367" s="1"/>
      <c r="T367" s="1"/>
      <c r="U367" s="1"/>
      <c r="V367" s="1"/>
      <c r="W367" s="1"/>
      <c r="X367" s="1" t="s">
        <v>5837</v>
      </c>
      <c r="Y367" s="1"/>
      <c r="Z367" s="1"/>
      <c r="AA367" s="1"/>
      <c r="AB367" s="1" t="s">
        <v>5838</v>
      </c>
      <c r="AC367" s="1"/>
      <c r="AD367" s="1"/>
      <c r="AE367" s="1" t="s">
        <v>5839</v>
      </c>
      <c r="AF367" s="1"/>
      <c r="AG367" s="1"/>
      <c r="AH367" s="1" t="s">
        <v>5840</v>
      </c>
      <c r="AI367" s="1"/>
      <c r="AJ367" s="1" t="s">
        <v>5448</v>
      </c>
      <c r="AK367" s="1" t="s">
        <v>5449</v>
      </c>
      <c r="AL367" s="1" t="s">
        <v>5450</v>
      </c>
      <c r="AM367" s="1" t="s">
        <v>5451</v>
      </c>
      <c r="AN367" s="1" t="s">
        <v>5452</v>
      </c>
      <c r="AO367" s="1" t="s">
        <v>5453</v>
      </c>
      <c r="AP367" s="2" t="s">
        <v>5841</v>
      </c>
      <c r="AQ367" s="2" t="s">
        <v>1077</v>
      </c>
      <c r="AR367" s="1" t="s">
        <v>286</v>
      </c>
      <c r="AS367" s="1"/>
      <c r="AT367" s="1" t="s">
        <v>5</v>
      </c>
    </row>
    <row r="368" spans="1:46" hidden="1" x14ac:dyDescent="0.4">
      <c r="A368" s="1" t="s">
        <v>6016</v>
      </c>
      <c r="B368" s="10"/>
      <c r="C368" s="1" t="s">
        <v>5198</v>
      </c>
      <c r="D368" s="1" t="s">
        <v>2157</v>
      </c>
      <c r="E368" s="1" t="s">
        <v>2078</v>
      </c>
      <c r="F368" s="1" t="s">
        <v>14</v>
      </c>
      <c r="G368" s="1" t="s">
        <v>1</v>
      </c>
      <c r="H368" s="1" t="s">
        <v>6</v>
      </c>
      <c r="I368" s="1" t="s">
        <v>2</v>
      </c>
      <c r="J368" s="1" t="s">
        <v>5199</v>
      </c>
      <c r="K368" s="1" t="s">
        <v>6017</v>
      </c>
      <c r="L368" s="1" t="s">
        <v>7</v>
      </c>
      <c r="M368" s="1"/>
      <c r="N368" s="1" t="s">
        <v>6018</v>
      </c>
      <c r="O368" s="1" t="s">
        <v>2258</v>
      </c>
      <c r="P368" s="1"/>
      <c r="Q368" s="1"/>
      <c r="R368" s="1" t="s">
        <v>11</v>
      </c>
      <c r="S368" s="1"/>
      <c r="T368" s="1"/>
      <c r="U368" s="1"/>
      <c r="V368" s="1"/>
      <c r="W368" s="1"/>
      <c r="X368" s="1" t="s">
        <v>6019</v>
      </c>
      <c r="Y368" s="1"/>
      <c r="Z368" s="1"/>
      <c r="AA368" s="1"/>
      <c r="AB368" s="1" t="s">
        <v>6020</v>
      </c>
      <c r="AC368" s="1"/>
      <c r="AD368" s="1"/>
      <c r="AE368" s="1" t="s">
        <v>6021</v>
      </c>
      <c r="AF368" s="1"/>
      <c r="AG368" s="1"/>
      <c r="AH368" s="1" t="s">
        <v>6022</v>
      </c>
      <c r="AI368" s="1"/>
      <c r="AJ368" s="1" t="s">
        <v>5448</v>
      </c>
      <c r="AK368" s="1" t="s">
        <v>5449</v>
      </c>
      <c r="AL368" s="1" t="s">
        <v>5450</v>
      </c>
      <c r="AM368" s="1" t="s">
        <v>5451</v>
      </c>
      <c r="AN368" s="1" t="s">
        <v>5452</v>
      </c>
      <c r="AO368" s="1" t="s">
        <v>5453</v>
      </c>
      <c r="AP368" s="2" t="s">
        <v>6023</v>
      </c>
      <c r="AQ368" s="2" t="s">
        <v>1077</v>
      </c>
      <c r="AR368" s="1" t="s">
        <v>286</v>
      </c>
      <c r="AS368" s="1"/>
      <c r="AT368" s="1" t="s">
        <v>5</v>
      </c>
    </row>
    <row r="369" spans="1:46" hidden="1" x14ac:dyDescent="0.4">
      <c r="A369" s="1" t="s">
        <v>6980</v>
      </c>
      <c r="B369" s="10"/>
      <c r="C369" s="1" t="s">
        <v>3626</v>
      </c>
      <c r="D369" s="1" t="s">
        <v>2396</v>
      </c>
      <c r="E369" s="1" t="s">
        <v>6981</v>
      </c>
      <c r="F369" s="1" t="s">
        <v>14</v>
      </c>
      <c r="G369" s="1" t="s">
        <v>1</v>
      </c>
      <c r="H369" s="1" t="s">
        <v>6</v>
      </c>
      <c r="I369" s="1" t="s">
        <v>2</v>
      </c>
      <c r="J369" s="1" t="s">
        <v>3514</v>
      </c>
      <c r="K369" s="1" t="s">
        <v>6982</v>
      </c>
      <c r="L369" s="1" t="s">
        <v>7</v>
      </c>
      <c r="M369" s="1" t="s">
        <v>9</v>
      </c>
      <c r="N369" s="1" t="s">
        <v>6983</v>
      </c>
      <c r="O369" s="1" t="s">
        <v>6984</v>
      </c>
      <c r="P369" s="1"/>
      <c r="Q369" s="1"/>
      <c r="R369" s="1" t="s">
        <v>11</v>
      </c>
      <c r="S369" s="1"/>
      <c r="T369" s="1"/>
      <c r="U369" s="1"/>
      <c r="V369" s="1"/>
      <c r="W369" s="1" t="s">
        <v>6985</v>
      </c>
      <c r="X369" s="1"/>
      <c r="Y369" s="1"/>
      <c r="Z369" s="1"/>
      <c r="AA369" s="1"/>
      <c r="AB369" s="1" t="s">
        <v>6986</v>
      </c>
      <c r="AC369" s="1"/>
      <c r="AD369" s="1"/>
      <c r="AE369" s="1"/>
      <c r="AF369" s="1"/>
      <c r="AG369" s="1"/>
      <c r="AH369" s="1" t="s">
        <v>6987</v>
      </c>
      <c r="AI369" s="1"/>
      <c r="AJ369" s="1" t="s">
        <v>6556</v>
      </c>
      <c r="AK369" s="1" t="s">
        <v>5314</v>
      </c>
      <c r="AL369" s="1" t="s">
        <v>6557</v>
      </c>
      <c r="AM369" s="1" t="s">
        <v>6556</v>
      </c>
      <c r="AN369" s="1" t="s">
        <v>5314</v>
      </c>
      <c r="AO369" s="1" t="s">
        <v>6557</v>
      </c>
      <c r="AP369" s="2" t="s">
        <v>6988</v>
      </c>
      <c r="AQ369" s="2" t="s">
        <v>1077</v>
      </c>
      <c r="AR369" s="1" t="s">
        <v>286</v>
      </c>
      <c r="AS369" s="1"/>
      <c r="AT369" s="1" t="s">
        <v>5</v>
      </c>
    </row>
    <row r="370" spans="1:46" hidden="1" x14ac:dyDescent="0.4">
      <c r="A370" s="1" t="s">
        <v>2920</v>
      </c>
      <c r="B370" s="10"/>
      <c r="C370" s="1" t="s">
        <v>0</v>
      </c>
      <c r="D370" s="1" t="s">
        <v>2157</v>
      </c>
      <c r="E370" s="1" t="s">
        <v>2078</v>
      </c>
      <c r="F370" s="1" t="s">
        <v>14</v>
      </c>
      <c r="G370" s="1" t="s">
        <v>1</v>
      </c>
      <c r="H370" s="1" t="s">
        <v>6</v>
      </c>
      <c r="I370" s="1" t="s">
        <v>2</v>
      </c>
      <c r="J370" s="1" t="s">
        <v>3</v>
      </c>
      <c r="K370" s="1" t="s">
        <v>2921</v>
      </c>
      <c r="L370" s="1" t="s">
        <v>7</v>
      </c>
      <c r="M370" s="1" t="s">
        <v>9</v>
      </c>
      <c r="N370" s="1" t="s">
        <v>2922</v>
      </c>
      <c r="O370" s="1" t="s">
        <v>2238</v>
      </c>
      <c r="P370" s="1"/>
      <c r="Q370" s="1"/>
      <c r="R370" s="1" t="s">
        <v>11</v>
      </c>
      <c r="S370" s="1"/>
      <c r="T370" s="1"/>
      <c r="U370" s="1"/>
      <c r="V370" s="1"/>
      <c r="W370" s="1"/>
      <c r="X370" s="1" t="s">
        <v>2239</v>
      </c>
      <c r="Y370" s="1"/>
      <c r="Z370" s="1"/>
      <c r="AA370" s="1" t="s">
        <v>2923</v>
      </c>
      <c r="AB370" s="1" t="s">
        <v>2924</v>
      </c>
      <c r="AC370" s="1"/>
      <c r="AD370" s="1"/>
      <c r="AE370" s="1" t="s">
        <v>2101</v>
      </c>
      <c r="AF370" s="1"/>
      <c r="AG370" s="1"/>
      <c r="AH370" s="1" t="s">
        <v>2925</v>
      </c>
      <c r="AI370" s="1"/>
      <c r="AJ370" s="1" t="s">
        <v>144</v>
      </c>
      <c r="AK370" s="1" t="s">
        <v>137</v>
      </c>
      <c r="AL370" s="1" t="s">
        <v>145</v>
      </c>
      <c r="AM370" s="1" t="s">
        <v>144</v>
      </c>
      <c r="AN370" s="1" t="s">
        <v>137</v>
      </c>
      <c r="AO370" s="1" t="s">
        <v>145</v>
      </c>
      <c r="AP370" s="2" t="s">
        <v>2926</v>
      </c>
      <c r="AQ370" s="2" t="s">
        <v>1155</v>
      </c>
      <c r="AR370" s="1"/>
      <c r="AS370" s="1"/>
      <c r="AT370" s="1" t="s">
        <v>5</v>
      </c>
    </row>
    <row r="371" spans="1:46" hidden="1" x14ac:dyDescent="0.4">
      <c r="A371" s="1" t="s">
        <v>10192</v>
      </c>
      <c r="B371" s="10"/>
      <c r="C371" s="1" t="s">
        <v>93</v>
      </c>
      <c r="D371" s="1" t="s">
        <v>2396</v>
      </c>
      <c r="E371" s="1" t="s">
        <v>2078</v>
      </c>
      <c r="F371" s="1" t="s">
        <v>14</v>
      </c>
      <c r="G371" s="1" t="s">
        <v>1</v>
      </c>
      <c r="H371" s="1" t="s">
        <v>6</v>
      </c>
      <c r="I371" s="1" t="s">
        <v>2</v>
      </c>
      <c r="J371" s="1" t="s">
        <v>3</v>
      </c>
      <c r="K371" s="1" t="s">
        <v>10193</v>
      </c>
      <c r="L371" s="1" t="s">
        <v>4</v>
      </c>
      <c r="M371" s="1"/>
      <c r="N371" s="1" t="s">
        <v>10194</v>
      </c>
      <c r="O371" s="1" t="s">
        <v>10195</v>
      </c>
      <c r="P371" s="1"/>
      <c r="Q371" s="1"/>
      <c r="R371" s="1" t="s">
        <v>11</v>
      </c>
      <c r="S371" s="1"/>
      <c r="T371" s="1"/>
      <c r="U371" s="1"/>
      <c r="V371" s="1"/>
      <c r="W371" s="1"/>
      <c r="X371" s="1"/>
      <c r="Y371" s="1"/>
      <c r="Z371" s="1"/>
      <c r="AA371" s="1"/>
      <c r="AB371" s="1" t="s">
        <v>10196</v>
      </c>
      <c r="AC371" s="1"/>
      <c r="AD371" s="1"/>
      <c r="AE371" s="1" t="s">
        <v>10197</v>
      </c>
      <c r="AF371" s="1"/>
      <c r="AG371" s="1"/>
      <c r="AH371" s="1" t="s">
        <v>10198</v>
      </c>
      <c r="AI371" s="1"/>
      <c r="AJ371" s="1" t="s">
        <v>10199</v>
      </c>
      <c r="AK371" s="1" t="s">
        <v>8396</v>
      </c>
      <c r="AL371" s="1" t="s">
        <v>10200</v>
      </c>
      <c r="AM371" s="1" t="s">
        <v>10199</v>
      </c>
      <c r="AN371" s="1" t="s">
        <v>8396</v>
      </c>
      <c r="AO371" s="1" t="s">
        <v>10200</v>
      </c>
      <c r="AP371" s="2" t="s">
        <v>10201</v>
      </c>
      <c r="AQ371" s="2" t="s">
        <v>1155</v>
      </c>
      <c r="AR371" s="1" t="s">
        <v>286</v>
      </c>
      <c r="AS371" s="1" t="s">
        <v>10202</v>
      </c>
      <c r="AT371" s="1" t="s">
        <v>5</v>
      </c>
    </row>
    <row r="372" spans="1:46" hidden="1" x14ac:dyDescent="0.4">
      <c r="A372" s="1" t="s">
        <v>5423</v>
      </c>
      <c r="B372" s="10"/>
      <c r="C372" s="1" t="s">
        <v>0</v>
      </c>
      <c r="D372" s="1" t="s">
        <v>2076</v>
      </c>
      <c r="E372" s="1" t="s">
        <v>13</v>
      </c>
      <c r="F372" s="1" t="s">
        <v>14</v>
      </c>
      <c r="G372" s="1" t="s">
        <v>1</v>
      </c>
      <c r="H372" s="1" t="s">
        <v>6</v>
      </c>
      <c r="I372" s="1" t="s">
        <v>2</v>
      </c>
      <c r="J372" s="1" t="s">
        <v>3</v>
      </c>
      <c r="K372" s="1" t="s">
        <v>5424</v>
      </c>
      <c r="L372" s="1" t="s">
        <v>4</v>
      </c>
      <c r="M372" s="1" t="s">
        <v>9</v>
      </c>
      <c r="N372" s="1" t="s">
        <v>5425</v>
      </c>
      <c r="O372" s="1" t="s">
        <v>2238</v>
      </c>
      <c r="P372" s="1"/>
      <c r="Q372" s="1"/>
      <c r="R372" s="1" t="s">
        <v>11</v>
      </c>
      <c r="S372" s="1"/>
      <c r="T372" s="1"/>
      <c r="U372" s="1"/>
      <c r="V372" s="1"/>
      <c r="W372" s="1"/>
      <c r="X372" s="1"/>
      <c r="Y372" s="1"/>
      <c r="Z372" s="1"/>
      <c r="AA372" s="1"/>
      <c r="AB372" s="1" t="s">
        <v>5426</v>
      </c>
      <c r="AC372" s="1"/>
      <c r="AD372" s="1"/>
      <c r="AE372" s="1" t="s">
        <v>5421</v>
      </c>
      <c r="AF372" s="1"/>
      <c r="AG372" s="1"/>
      <c r="AH372" s="1" t="s">
        <v>5427</v>
      </c>
      <c r="AI372" s="1"/>
      <c r="AJ372" s="1" t="s">
        <v>2085</v>
      </c>
      <c r="AK372" s="1" t="s">
        <v>5322</v>
      </c>
      <c r="AL372" s="1"/>
      <c r="AM372" s="1" t="s">
        <v>5323</v>
      </c>
      <c r="AN372" s="1" t="s">
        <v>5322</v>
      </c>
      <c r="AO372" s="1" t="s">
        <v>5324</v>
      </c>
      <c r="AP372" s="2" t="s">
        <v>5428</v>
      </c>
      <c r="AQ372" s="2" t="s">
        <v>1077</v>
      </c>
      <c r="AR372" s="1" t="s">
        <v>286</v>
      </c>
      <c r="AS372" s="1"/>
      <c r="AT372" s="1" t="s">
        <v>5</v>
      </c>
    </row>
    <row r="373" spans="1:46" hidden="1" x14ac:dyDescent="0.4">
      <c r="A373" s="1" t="s">
        <v>5417</v>
      </c>
      <c r="B373" s="10"/>
      <c r="C373" s="1" t="s">
        <v>0</v>
      </c>
      <c r="D373" s="1" t="s">
        <v>2076</v>
      </c>
      <c r="E373" s="1" t="s">
        <v>13</v>
      </c>
      <c r="F373" s="1" t="s">
        <v>14</v>
      </c>
      <c r="G373" s="1" t="s">
        <v>1</v>
      </c>
      <c r="H373" s="1" t="s">
        <v>6</v>
      </c>
      <c r="I373" s="1" t="s">
        <v>2</v>
      </c>
      <c r="J373" s="1" t="s">
        <v>3</v>
      </c>
      <c r="K373" s="1" t="s">
        <v>5418</v>
      </c>
      <c r="L373" s="1" t="s">
        <v>4</v>
      </c>
      <c r="M373" s="1" t="s">
        <v>9</v>
      </c>
      <c r="N373" s="1" t="s">
        <v>5419</v>
      </c>
      <c r="O373" s="1" t="s">
        <v>2238</v>
      </c>
      <c r="P373" s="1"/>
      <c r="Q373" s="1"/>
      <c r="R373" s="1" t="s">
        <v>11</v>
      </c>
      <c r="S373" s="1"/>
      <c r="T373" s="1"/>
      <c r="U373" s="1"/>
      <c r="V373" s="1"/>
      <c r="W373" s="1"/>
      <c r="X373" s="1"/>
      <c r="Y373" s="1"/>
      <c r="Z373" s="1"/>
      <c r="AA373" s="1"/>
      <c r="AB373" s="1" t="s">
        <v>5420</v>
      </c>
      <c r="AC373" s="1"/>
      <c r="AD373" s="1"/>
      <c r="AE373" s="1" t="s">
        <v>5421</v>
      </c>
      <c r="AF373" s="1"/>
      <c r="AG373" s="1"/>
      <c r="AH373" s="1" t="s">
        <v>5422</v>
      </c>
      <c r="AI373" s="1"/>
      <c r="AJ373" s="1" t="s">
        <v>2085</v>
      </c>
      <c r="AK373" s="1" t="s">
        <v>5322</v>
      </c>
      <c r="AL373" s="1"/>
      <c r="AM373" s="1" t="s">
        <v>5323</v>
      </c>
      <c r="AN373" s="1" t="s">
        <v>5322</v>
      </c>
      <c r="AO373" s="1" t="s">
        <v>5324</v>
      </c>
      <c r="AP373" s="2" t="s">
        <v>5416</v>
      </c>
      <c r="AQ373" s="2" t="s">
        <v>1077</v>
      </c>
      <c r="AR373" s="1" t="s">
        <v>286</v>
      </c>
      <c r="AS373" s="1"/>
      <c r="AT373" s="1" t="s">
        <v>5</v>
      </c>
    </row>
    <row r="374" spans="1:46" hidden="1" x14ac:dyDescent="0.4">
      <c r="A374" s="1" t="s">
        <v>11510</v>
      </c>
      <c r="B374" s="10"/>
      <c r="C374" s="1" t="s">
        <v>2675</v>
      </c>
      <c r="D374" s="1" t="s">
        <v>2076</v>
      </c>
      <c r="E374" s="1" t="s">
        <v>2078</v>
      </c>
      <c r="F374" s="1" t="s">
        <v>14</v>
      </c>
      <c r="G374" s="1" t="s">
        <v>1</v>
      </c>
      <c r="H374" s="1" t="s">
        <v>6</v>
      </c>
      <c r="I374" s="1" t="s">
        <v>2</v>
      </c>
      <c r="J374" s="1" t="s">
        <v>2450</v>
      </c>
      <c r="K374" s="1" t="s">
        <v>11511</v>
      </c>
      <c r="L374" s="1" t="s">
        <v>4</v>
      </c>
      <c r="M374" s="1"/>
      <c r="N374" s="1" t="s">
        <v>11512</v>
      </c>
      <c r="O374" s="1" t="s">
        <v>2238</v>
      </c>
      <c r="P374" s="1"/>
      <c r="Q374" s="1" t="s">
        <v>12</v>
      </c>
      <c r="R374" s="1" t="s">
        <v>11</v>
      </c>
      <c r="S374" s="1"/>
      <c r="T374" s="1" t="s">
        <v>12</v>
      </c>
      <c r="U374" s="1" t="s">
        <v>11</v>
      </c>
      <c r="V374" s="1"/>
      <c r="W374" s="1" t="s">
        <v>11513</v>
      </c>
      <c r="X374" s="1"/>
      <c r="Y374" s="1"/>
      <c r="Z374" s="1"/>
      <c r="AA374" s="1"/>
      <c r="AB374" s="1" t="s">
        <v>11514</v>
      </c>
      <c r="AC374" s="1"/>
      <c r="AD374" s="1"/>
      <c r="AE374" s="1"/>
      <c r="AF374" s="1"/>
      <c r="AG374" s="1"/>
      <c r="AH374" s="1" t="s">
        <v>11515</v>
      </c>
      <c r="AI374" s="1" t="s">
        <v>11516</v>
      </c>
      <c r="AJ374" s="1" t="s">
        <v>11506</v>
      </c>
      <c r="AK374" s="1" t="s">
        <v>6788</v>
      </c>
      <c r="AL374" s="1" t="s">
        <v>11507</v>
      </c>
      <c r="AM374" s="1" t="s">
        <v>4874</v>
      </c>
      <c r="AN374" s="1" t="s">
        <v>6788</v>
      </c>
      <c r="AO374" s="1" t="s">
        <v>4875</v>
      </c>
      <c r="AP374" s="2" t="s">
        <v>11517</v>
      </c>
      <c r="AQ374" s="2" t="s">
        <v>1155</v>
      </c>
      <c r="AR374" s="1" t="s">
        <v>286</v>
      </c>
      <c r="AS374" s="1" t="s">
        <v>1076</v>
      </c>
      <c r="AT374" s="1" t="s">
        <v>5</v>
      </c>
    </row>
    <row r="375" spans="1:46" hidden="1" x14ac:dyDescent="0.4">
      <c r="A375" s="1" t="s">
        <v>7701</v>
      </c>
      <c r="B375" s="10"/>
      <c r="C375" s="1" t="s">
        <v>2454</v>
      </c>
      <c r="D375" s="1" t="s">
        <v>2157</v>
      </c>
      <c r="E375" s="1" t="s">
        <v>2078</v>
      </c>
      <c r="F375" s="1" t="s">
        <v>14</v>
      </c>
      <c r="G375" s="1" t="s">
        <v>1</v>
      </c>
      <c r="H375" s="1" t="s">
        <v>6</v>
      </c>
      <c r="I375" s="1" t="s">
        <v>2</v>
      </c>
      <c r="J375" s="1" t="s">
        <v>3676</v>
      </c>
      <c r="K375" s="1" t="s">
        <v>7702</v>
      </c>
      <c r="L375" s="1" t="s">
        <v>4</v>
      </c>
      <c r="M375" s="1"/>
      <c r="N375" s="1" t="s">
        <v>7703</v>
      </c>
      <c r="O375" s="1" t="s">
        <v>7704</v>
      </c>
      <c r="P375" s="1" t="s">
        <v>7705</v>
      </c>
      <c r="Q375" s="1"/>
      <c r="R375" s="1" t="s">
        <v>11</v>
      </c>
      <c r="S375" s="1"/>
      <c r="T375" s="1"/>
      <c r="U375" s="1"/>
      <c r="V375" s="1"/>
      <c r="W375" s="1" t="s">
        <v>7706</v>
      </c>
      <c r="X375" s="1"/>
      <c r="Y375" s="1"/>
      <c r="Z375" s="1"/>
      <c r="AA375" s="1"/>
      <c r="AB375" s="1" t="s">
        <v>7707</v>
      </c>
      <c r="AC375" s="1"/>
      <c r="AD375" s="1"/>
      <c r="AE375" s="1" t="s">
        <v>7708</v>
      </c>
      <c r="AF375" s="1"/>
      <c r="AG375" s="1"/>
      <c r="AH375" s="1" t="s">
        <v>7709</v>
      </c>
      <c r="AI375" s="1" t="s">
        <v>7710</v>
      </c>
      <c r="AJ375" s="1" t="s">
        <v>3682</v>
      </c>
      <c r="AK375" s="1" t="s">
        <v>3106</v>
      </c>
      <c r="AL375" s="1" t="s">
        <v>3683</v>
      </c>
      <c r="AM375" s="1" t="s">
        <v>3682</v>
      </c>
      <c r="AN375" s="1" t="s">
        <v>3106</v>
      </c>
      <c r="AO375" s="1" t="s">
        <v>3683</v>
      </c>
      <c r="AP375" s="2" t="s">
        <v>7711</v>
      </c>
      <c r="AQ375" s="2" t="s">
        <v>1154</v>
      </c>
      <c r="AR375" s="1" t="s">
        <v>286</v>
      </c>
      <c r="AS375" s="1" t="s">
        <v>7712</v>
      </c>
      <c r="AT375" s="1" t="s">
        <v>5</v>
      </c>
    </row>
    <row r="376" spans="1:46" hidden="1" x14ac:dyDescent="0.4">
      <c r="A376" s="1" t="s">
        <v>5300</v>
      </c>
      <c r="B376" s="10"/>
      <c r="C376" s="1" t="s">
        <v>2705</v>
      </c>
      <c r="D376" s="1" t="s">
        <v>2290</v>
      </c>
      <c r="E376" s="1" t="s">
        <v>2291</v>
      </c>
      <c r="F376" s="1" t="s">
        <v>14</v>
      </c>
      <c r="G376" s="1" t="s">
        <v>1</v>
      </c>
      <c r="H376" s="1" t="s">
        <v>6</v>
      </c>
      <c r="I376" s="1" t="s">
        <v>2</v>
      </c>
      <c r="J376" s="1" t="s">
        <v>2813</v>
      </c>
      <c r="K376" s="1" t="s">
        <v>5301</v>
      </c>
      <c r="L376" s="1" t="s">
        <v>7</v>
      </c>
      <c r="M376" s="1" t="s">
        <v>9</v>
      </c>
      <c r="N376" s="1" t="s">
        <v>5302</v>
      </c>
      <c r="O376" s="1" t="s">
        <v>3426</v>
      </c>
      <c r="P376" s="1"/>
      <c r="Q376" s="1"/>
      <c r="R376" s="1" t="s">
        <v>11</v>
      </c>
      <c r="S376" s="1"/>
      <c r="T376" s="1"/>
      <c r="U376" s="1"/>
      <c r="V376" s="1"/>
      <c r="W376" s="1" t="s">
        <v>5294</v>
      </c>
      <c r="X376" s="1"/>
      <c r="Y376" s="1"/>
      <c r="Z376" s="1"/>
      <c r="AA376" s="1"/>
      <c r="AB376" s="1" t="s">
        <v>5303</v>
      </c>
      <c r="AC376" s="1"/>
      <c r="AD376" s="1"/>
      <c r="AE376" s="1" t="s">
        <v>5295</v>
      </c>
      <c r="AF376" s="1"/>
      <c r="AG376" s="1"/>
      <c r="AH376" s="1" t="s">
        <v>5304</v>
      </c>
      <c r="AI376" s="1"/>
      <c r="AJ376" s="1" t="s">
        <v>3920</v>
      </c>
      <c r="AK376" s="1" t="s">
        <v>3921</v>
      </c>
      <c r="AL376" s="1" t="s">
        <v>3922</v>
      </c>
      <c r="AM376" s="1" t="s">
        <v>5297</v>
      </c>
      <c r="AN376" s="1" t="s">
        <v>3921</v>
      </c>
      <c r="AO376" s="1" t="s">
        <v>5298</v>
      </c>
      <c r="AP376" s="2" t="s">
        <v>5305</v>
      </c>
      <c r="AQ376" s="2" t="s">
        <v>1077</v>
      </c>
      <c r="AR376" s="1" t="s">
        <v>287</v>
      </c>
      <c r="AS376" s="1"/>
      <c r="AT376" s="1" t="s">
        <v>5</v>
      </c>
    </row>
    <row r="377" spans="1:46" hidden="1" x14ac:dyDescent="0.4">
      <c r="A377" s="1" t="s">
        <v>9483</v>
      </c>
      <c r="B377" s="10"/>
      <c r="C377" s="1" t="s">
        <v>2705</v>
      </c>
      <c r="D377" s="1" t="s">
        <v>2157</v>
      </c>
      <c r="E377" s="1" t="s">
        <v>2078</v>
      </c>
      <c r="F377" s="1" t="s">
        <v>14</v>
      </c>
      <c r="G377" s="1" t="s">
        <v>1</v>
      </c>
      <c r="H377" s="1" t="s">
        <v>6</v>
      </c>
      <c r="I377" s="1" t="s">
        <v>2</v>
      </c>
      <c r="J377" s="1" t="s">
        <v>2450</v>
      </c>
      <c r="K377" s="1" t="s">
        <v>9484</v>
      </c>
      <c r="L377" s="1" t="s">
        <v>4</v>
      </c>
      <c r="M377" s="1" t="s">
        <v>9</v>
      </c>
      <c r="N377" s="1" t="s">
        <v>9485</v>
      </c>
      <c r="O377" s="1" t="s">
        <v>7704</v>
      </c>
      <c r="P377" s="1"/>
      <c r="Q377" s="1"/>
      <c r="R377" s="1" t="s">
        <v>11</v>
      </c>
      <c r="S377" s="1"/>
      <c r="T377" s="1"/>
      <c r="U377" s="1"/>
      <c r="V377" s="1"/>
      <c r="W377" s="1"/>
      <c r="X377" s="1" t="s">
        <v>9475</v>
      </c>
      <c r="Y377" s="1"/>
      <c r="Z377" s="1"/>
      <c r="AA377" s="1"/>
      <c r="AB377" s="1" t="s">
        <v>9486</v>
      </c>
      <c r="AC377" s="1"/>
      <c r="AD377" s="1"/>
      <c r="AE377" s="1" t="s">
        <v>9477</v>
      </c>
      <c r="AF377" s="1"/>
      <c r="AG377" s="1"/>
      <c r="AH377" s="1" t="s">
        <v>9487</v>
      </c>
      <c r="AI377" s="1"/>
      <c r="AJ377" s="1" t="s">
        <v>9479</v>
      </c>
      <c r="AK377" s="1" t="s">
        <v>9480</v>
      </c>
      <c r="AL377" s="1" t="s">
        <v>9481</v>
      </c>
      <c r="AM377" s="1" t="s">
        <v>9479</v>
      </c>
      <c r="AN377" s="1" t="s">
        <v>9480</v>
      </c>
      <c r="AO377" s="1" t="s">
        <v>9481</v>
      </c>
      <c r="AP377" s="2" t="s">
        <v>9488</v>
      </c>
      <c r="AQ377" s="2" t="s">
        <v>1154</v>
      </c>
      <c r="AR377" s="1" t="s">
        <v>286</v>
      </c>
      <c r="AS377" s="1" t="s">
        <v>9489</v>
      </c>
      <c r="AT377" s="1" t="s">
        <v>5</v>
      </c>
    </row>
    <row r="378" spans="1:46" hidden="1" x14ac:dyDescent="0.4">
      <c r="A378" s="1" t="s">
        <v>9520</v>
      </c>
      <c r="B378" s="10"/>
      <c r="C378" s="1" t="s">
        <v>2705</v>
      </c>
      <c r="D378" s="1" t="s">
        <v>2076</v>
      </c>
      <c r="E378" s="1" t="s">
        <v>2078</v>
      </c>
      <c r="F378" s="1" t="s">
        <v>14</v>
      </c>
      <c r="G378" s="1" t="s">
        <v>1</v>
      </c>
      <c r="H378" s="1" t="s">
        <v>6</v>
      </c>
      <c r="I378" s="1" t="s">
        <v>2</v>
      </c>
      <c r="J378" s="1" t="s">
        <v>2450</v>
      </c>
      <c r="K378" s="1" t="s">
        <v>9521</v>
      </c>
      <c r="L378" s="1" t="s">
        <v>4</v>
      </c>
      <c r="M378" s="1"/>
      <c r="N378" s="1" t="s">
        <v>9522</v>
      </c>
      <c r="O378" s="1" t="s">
        <v>9473</v>
      </c>
      <c r="P378" s="1"/>
      <c r="Q378" s="1"/>
      <c r="R378" s="1" t="s">
        <v>11</v>
      </c>
      <c r="S378" s="1"/>
      <c r="T378" s="1"/>
      <c r="U378" s="1"/>
      <c r="V378" s="1"/>
      <c r="W378" s="1"/>
      <c r="X378" s="1" t="s">
        <v>9475</v>
      </c>
      <c r="Y378" s="1"/>
      <c r="Z378" s="1"/>
      <c r="AA378" s="1"/>
      <c r="AB378" s="1" t="s">
        <v>9523</v>
      </c>
      <c r="AC378" s="1"/>
      <c r="AD378" s="1"/>
      <c r="AE378" s="1" t="s">
        <v>9477</v>
      </c>
      <c r="AF378" s="1"/>
      <c r="AG378" s="1"/>
      <c r="AH378" s="1" t="s">
        <v>9524</v>
      </c>
      <c r="AI378" s="1"/>
      <c r="AJ378" s="1" t="s">
        <v>9479</v>
      </c>
      <c r="AK378" s="1" t="s">
        <v>9480</v>
      </c>
      <c r="AL378" s="1" t="s">
        <v>9481</v>
      </c>
      <c r="AM378" s="1" t="s">
        <v>9479</v>
      </c>
      <c r="AN378" s="1" t="s">
        <v>9480</v>
      </c>
      <c r="AO378" s="1" t="s">
        <v>9481</v>
      </c>
      <c r="AP378" s="2" t="s">
        <v>9525</v>
      </c>
      <c r="AQ378" s="2" t="s">
        <v>1155</v>
      </c>
      <c r="AR378" s="1" t="s">
        <v>286</v>
      </c>
      <c r="AS378" s="1" t="s">
        <v>9526</v>
      </c>
      <c r="AT378" s="1" t="s">
        <v>5</v>
      </c>
    </row>
    <row r="379" spans="1:46" hidden="1" x14ac:dyDescent="0.4">
      <c r="A379" s="1" t="s">
        <v>8038</v>
      </c>
      <c r="B379" s="10"/>
      <c r="C379" s="1" t="s">
        <v>93</v>
      </c>
      <c r="D379" s="1" t="s">
        <v>2076</v>
      </c>
      <c r="E379" s="1" t="s">
        <v>2078</v>
      </c>
      <c r="F379" s="1" t="s">
        <v>14</v>
      </c>
      <c r="G379" s="1" t="s">
        <v>1</v>
      </c>
      <c r="H379" s="1" t="s">
        <v>6</v>
      </c>
      <c r="I379" s="1" t="s">
        <v>2</v>
      </c>
      <c r="J379" s="1" t="s">
        <v>3</v>
      </c>
      <c r="K379" s="1" t="s">
        <v>8039</v>
      </c>
      <c r="L379" s="1" t="s">
        <v>7</v>
      </c>
      <c r="M379" s="1"/>
      <c r="N379" s="1" t="s">
        <v>8040</v>
      </c>
      <c r="O379" s="1" t="s">
        <v>7507</v>
      </c>
      <c r="P379" s="1"/>
      <c r="Q379" s="1"/>
      <c r="R379" s="1" t="s">
        <v>11</v>
      </c>
      <c r="S379" s="1"/>
      <c r="T379" s="1"/>
      <c r="U379" s="1"/>
      <c r="V379" s="1"/>
      <c r="W379" s="1"/>
      <c r="X379" s="1" t="s">
        <v>8041</v>
      </c>
      <c r="Y379" s="1"/>
      <c r="Z379" s="1"/>
      <c r="AA379" s="1"/>
      <c r="AB379" s="1" t="s">
        <v>8042</v>
      </c>
      <c r="AC379" s="1"/>
      <c r="AD379" s="1"/>
      <c r="AE379" s="1" t="s">
        <v>8043</v>
      </c>
      <c r="AF379" s="1"/>
      <c r="AG379" s="1"/>
      <c r="AH379" s="1" t="s">
        <v>8044</v>
      </c>
      <c r="AI379" s="1"/>
      <c r="AJ379" s="1" t="s">
        <v>8008</v>
      </c>
      <c r="AK379" s="1" t="s">
        <v>1787</v>
      </c>
      <c r="AL379" s="1" t="s">
        <v>8009</v>
      </c>
      <c r="AM379" s="1" t="s">
        <v>8008</v>
      </c>
      <c r="AN379" s="1" t="s">
        <v>1787</v>
      </c>
      <c r="AO379" s="1" t="s">
        <v>8009</v>
      </c>
      <c r="AP379" s="2" t="s">
        <v>8045</v>
      </c>
      <c r="AQ379" s="2" t="s">
        <v>1154</v>
      </c>
      <c r="AR379" s="1" t="s">
        <v>286</v>
      </c>
      <c r="AS379" s="1"/>
      <c r="AT379" s="1" t="s">
        <v>5</v>
      </c>
    </row>
    <row r="380" spans="1:46" hidden="1" x14ac:dyDescent="0.4">
      <c r="A380" s="1" t="s">
        <v>9470</v>
      </c>
      <c r="B380" s="10"/>
      <c r="C380" s="1" t="s">
        <v>2705</v>
      </c>
      <c r="D380" s="1" t="s">
        <v>2076</v>
      </c>
      <c r="E380" s="1" t="s">
        <v>2078</v>
      </c>
      <c r="F380" s="1" t="s">
        <v>14</v>
      </c>
      <c r="G380" s="1" t="s">
        <v>1</v>
      </c>
      <c r="H380" s="1" t="s">
        <v>6</v>
      </c>
      <c r="I380" s="1" t="s">
        <v>2</v>
      </c>
      <c r="J380" s="1" t="s">
        <v>2450</v>
      </c>
      <c r="K380" s="1" t="s">
        <v>9471</v>
      </c>
      <c r="L380" s="1" t="s">
        <v>4</v>
      </c>
      <c r="M380" s="1"/>
      <c r="N380" s="1" t="s">
        <v>9472</v>
      </c>
      <c r="O380" s="1" t="s">
        <v>9473</v>
      </c>
      <c r="P380" s="1"/>
      <c r="Q380" s="1"/>
      <c r="R380" s="1" t="s">
        <v>11</v>
      </c>
      <c r="S380" s="1"/>
      <c r="T380" s="1"/>
      <c r="U380" s="1"/>
      <c r="V380" s="1"/>
      <c r="W380" s="1" t="s">
        <v>9474</v>
      </c>
      <c r="X380" s="1" t="s">
        <v>9475</v>
      </c>
      <c r="Y380" s="1"/>
      <c r="Z380" s="1"/>
      <c r="AA380" s="1"/>
      <c r="AB380" s="1" t="s">
        <v>9476</v>
      </c>
      <c r="AC380" s="1"/>
      <c r="AD380" s="1"/>
      <c r="AE380" s="1" t="s">
        <v>9477</v>
      </c>
      <c r="AF380" s="1"/>
      <c r="AG380" s="1"/>
      <c r="AH380" s="1" t="s">
        <v>9478</v>
      </c>
      <c r="AI380" s="1"/>
      <c r="AJ380" s="1" t="s">
        <v>9479</v>
      </c>
      <c r="AK380" s="1" t="s">
        <v>9480</v>
      </c>
      <c r="AL380" s="1" t="s">
        <v>9481</v>
      </c>
      <c r="AM380" s="1" t="s">
        <v>9479</v>
      </c>
      <c r="AN380" s="1" t="s">
        <v>9480</v>
      </c>
      <c r="AO380" s="1" t="s">
        <v>9481</v>
      </c>
      <c r="AP380" s="2" t="s">
        <v>9482</v>
      </c>
      <c r="AQ380" s="2" t="s">
        <v>1154</v>
      </c>
      <c r="AR380" s="1" t="s">
        <v>286</v>
      </c>
      <c r="AS380" s="1"/>
      <c r="AT380" s="1" t="s">
        <v>5</v>
      </c>
    </row>
    <row r="381" spans="1:46" hidden="1" x14ac:dyDescent="0.4">
      <c r="A381" s="1" t="s">
        <v>9490</v>
      </c>
      <c r="B381" s="10"/>
      <c r="C381" s="1" t="s">
        <v>2705</v>
      </c>
      <c r="D381" s="1" t="s">
        <v>2157</v>
      </c>
      <c r="E381" s="1" t="s">
        <v>2078</v>
      </c>
      <c r="F381" s="1" t="s">
        <v>14</v>
      </c>
      <c r="G381" s="1" t="s">
        <v>1</v>
      </c>
      <c r="H381" s="1" t="s">
        <v>6</v>
      </c>
      <c r="I381" s="1" t="s">
        <v>2</v>
      </c>
      <c r="J381" s="1" t="s">
        <v>2450</v>
      </c>
      <c r="K381" s="1" t="s">
        <v>9491</v>
      </c>
      <c r="L381" s="1" t="s">
        <v>4</v>
      </c>
      <c r="M381" s="1" t="s">
        <v>9</v>
      </c>
      <c r="N381" s="1" t="s">
        <v>9492</v>
      </c>
      <c r="O381" s="1" t="s">
        <v>7704</v>
      </c>
      <c r="P381" s="1"/>
      <c r="Q381" s="1"/>
      <c r="R381" s="1" t="s">
        <v>11</v>
      </c>
      <c r="S381" s="1"/>
      <c r="T381" s="1"/>
      <c r="U381" s="1"/>
      <c r="V381" s="1"/>
      <c r="W381" s="1"/>
      <c r="X381" s="1" t="s">
        <v>9475</v>
      </c>
      <c r="Y381" s="1"/>
      <c r="Z381" s="1"/>
      <c r="AA381" s="1"/>
      <c r="AB381" s="1" t="s">
        <v>9493</v>
      </c>
      <c r="AC381" s="1"/>
      <c r="AD381" s="1"/>
      <c r="AE381" s="1" t="s">
        <v>9477</v>
      </c>
      <c r="AF381" s="1"/>
      <c r="AG381" s="1"/>
      <c r="AH381" s="1" t="s">
        <v>9494</v>
      </c>
      <c r="AI381" s="1"/>
      <c r="AJ381" s="1" t="s">
        <v>9479</v>
      </c>
      <c r="AK381" s="1" t="s">
        <v>9480</v>
      </c>
      <c r="AL381" s="1" t="s">
        <v>9481</v>
      </c>
      <c r="AM381" s="1" t="s">
        <v>9479</v>
      </c>
      <c r="AN381" s="1" t="s">
        <v>9480</v>
      </c>
      <c r="AO381" s="1" t="s">
        <v>9481</v>
      </c>
      <c r="AP381" s="2" t="s">
        <v>9495</v>
      </c>
      <c r="AQ381" s="2" t="s">
        <v>1154</v>
      </c>
      <c r="AR381" s="1" t="s">
        <v>286</v>
      </c>
      <c r="AS381" s="1" t="s">
        <v>9489</v>
      </c>
      <c r="AT381" s="1" t="s">
        <v>5</v>
      </c>
    </row>
    <row r="382" spans="1:46" hidden="1" x14ac:dyDescent="0.4">
      <c r="A382" s="1" t="s">
        <v>6549</v>
      </c>
      <c r="B382" s="10"/>
      <c r="C382" s="1" t="s">
        <v>3626</v>
      </c>
      <c r="D382" s="1" t="s">
        <v>2211</v>
      </c>
      <c r="E382" s="1" t="s">
        <v>2078</v>
      </c>
      <c r="F382" s="1" t="s">
        <v>14</v>
      </c>
      <c r="G382" s="1" t="s">
        <v>1</v>
      </c>
      <c r="H382" s="1" t="s">
        <v>6</v>
      </c>
      <c r="I382" s="1" t="s">
        <v>2</v>
      </c>
      <c r="J382" s="1" t="s">
        <v>3514</v>
      </c>
      <c r="K382" s="1" t="s">
        <v>6550</v>
      </c>
      <c r="L382" s="1" t="s">
        <v>7</v>
      </c>
      <c r="M382" s="1" t="s">
        <v>9</v>
      </c>
      <c r="N382" s="1" t="s">
        <v>6551</v>
      </c>
      <c r="O382" s="1" t="s">
        <v>15</v>
      </c>
      <c r="P382" s="1"/>
      <c r="Q382" s="1"/>
      <c r="R382" s="1" t="s">
        <v>11</v>
      </c>
      <c r="S382" s="1"/>
      <c r="T382" s="1"/>
      <c r="U382" s="1"/>
      <c r="V382" s="1"/>
      <c r="W382" s="1" t="s">
        <v>6552</v>
      </c>
      <c r="X382" s="1" t="s">
        <v>6553</v>
      </c>
      <c r="Y382" s="1"/>
      <c r="Z382" s="1"/>
      <c r="AA382" s="1"/>
      <c r="AB382" s="1" t="s">
        <v>6554</v>
      </c>
      <c r="AC382" s="1"/>
      <c r="AD382" s="1"/>
      <c r="AE382" s="1"/>
      <c r="AF382" s="1"/>
      <c r="AG382" s="1"/>
      <c r="AH382" s="1" t="s">
        <v>6555</v>
      </c>
      <c r="AI382" s="1"/>
      <c r="AJ382" s="1" t="s">
        <v>6556</v>
      </c>
      <c r="AK382" s="1" t="s">
        <v>5314</v>
      </c>
      <c r="AL382" s="1" t="s">
        <v>6557</v>
      </c>
      <c r="AM382" s="1" t="s">
        <v>6556</v>
      </c>
      <c r="AN382" s="1" t="s">
        <v>5314</v>
      </c>
      <c r="AO382" s="1" t="s">
        <v>6557</v>
      </c>
      <c r="AP382" s="2" t="s">
        <v>6558</v>
      </c>
      <c r="AQ382" s="2" t="s">
        <v>1077</v>
      </c>
      <c r="AR382" s="1" t="s">
        <v>287</v>
      </c>
      <c r="AS382" s="1" t="s">
        <v>6559</v>
      </c>
      <c r="AT382" s="1" t="s">
        <v>5</v>
      </c>
    </row>
    <row r="383" spans="1:46" hidden="1" x14ac:dyDescent="0.4">
      <c r="A383" s="1" t="s">
        <v>8429</v>
      </c>
      <c r="B383" s="10"/>
      <c r="C383" s="1" t="s">
        <v>93</v>
      </c>
      <c r="D383" s="1" t="s">
        <v>2076</v>
      </c>
      <c r="E383" s="1" t="s">
        <v>2078</v>
      </c>
      <c r="F383" s="1" t="s">
        <v>14</v>
      </c>
      <c r="G383" s="1" t="s">
        <v>1</v>
      </c>
      <c r="H383" s="1" t="s">
        <v>6</v>
      </c>
      <c r="I383" s="1" t="s">
        <v>2</v>
      </c>
      <c r="J383" s="1" t="s">
        <v>3</v>
      </c>
      <c r="K383" s="1" t="s">
        <v>8430</v>
      </c>
      <c r="L383" s="1" t="s">
        <v>7</v>
      </c>
      <c r="M383" s="1"/>
      <c r="N383" s="1" t="s">
        <v>8431</v>
      </c>
      <c r="O383" s="1" t="s">
        <v>7507</v>
      </c>
      <c r="P383" s="1"/>
      <c r="Q383" s="1"/>
      <c r="R383" s="1" t="s">
        <v>11</v>
      </c>
      <c r="S383" s="1"/>
      <c r="T383" s="1"/>
      <c r="U383" s="1"/>
      <c r="V383" s="1"/>
      <c r="W383" s="1"/>
      <c r="X383" s="1"/>
      <c r="Y383" s="1"/>
      <c r="Z383" s="1"/>
      <c r="AA383" s="1"/>
      <c r="AB383" s="1" t="s">
        <v>8432</v>
      </c>
      <c r="AC383" s="1"/>
      <c r="AD383" s="1"/>
      <c r="AE383" s="1" t="s">
        <v>8433</v>
      </c>
      <c r="AF383" s="1"/>
      <c r="AG383" s="1"/>
      <c r="AH383" s="1" t="s">
        <v>8434</v>
      </c>
      <c r="AI383" s="1"/>
      <c r="AJ383" s="1" t="s">
        <v>8383</v>
      </c>
      <c r="AK383" s="1" t="s">
        <v>1787</v>
      </c>
      <c r="AL383" s="1" t="s">
        <v>8384</v>
      </c>
      <c r="AM383" s="1" t="s">
        <v>8405</v>
      </c>
      <c r="AN383" s="1" t="s">
        <v>1787</v>
      </c>
      <c r="AO383" s="1" t="s">
        <v>8406</v>
      </c>
      <c r="AP383" s="2" t="s">
        <v>8435</v>
      </c>
      <c r="AQ383" s="2" t="s">
        <v>1154</v>
      </c>
      <c r="AR383" s="1" t="s">
        <v>286</v>
      </c>
      <c r="AS383" s="1" t="s">
        <v>8436</v>
      </c>
      <c r="AT383" s="1" t="s">
        <v>5</v>
      </c>
    </row>
    <row r="384" spans="1:46" hidden="1" x14ac:dyDescent="0.4">
      <c r="A384" s="1" t="s">
        <v>8046</v>
      </c>
      <c r="B384" s="10"/>
      <c r="C384" s="1" t="s">
        <v>93</v>
      </c>
      <c r="D384" s="1" t="s">
        <v>2076</v>
      </c>
      <c r="E384" s="1" t="s">
        <v>2078</v>
      </c>
      <c r="F384" s="1" t="s">
        <v>14</v>
      </c>
      <c r="G384" s="1" t="s">
        <v>1</v>
      </c>
      <c r="H384" s="1" t="s">
        <v>6</v>
      </c>
      <c r="I384" s="1" t="s">
        <v>2</v>
      </c>
      <c r="J384" s="1" t="s">
        <v>3</v>
      </c>
      <c r="K384" s="1" t="s">
        <v>8047</v>
      </c>
      <c r="L384" s="1" t="s">
        <v>7</v>
      </c>
      <c r="M384" s="1"/>
      <c r="N384" s="1" t="s">
        <v>8048</v>
      </c>
      <c r="O384" s="1" t="s">
        <v>7507</v>
      </c>
      <c r="P384" s="1"/>
      <c r="Q384" s="1"/>
      <c r="R384" s="1" t="s">
        <v>11</v>
      </c>
      <c r="S384" s="1"/>
      <c r="T384" s="1"/>
      <c r="U384" s="1"/>
      <c r="V384" s="1"/>
      <c r="W384" s="1"/>
      <c r="X384" s="1" t="s">
        <v>8041</v>
      </c>
      <c r="Y384" s="1"/>
      <c r="Z384" s="1"/>
      <c r="AA384" s="1"/>
      <c r="AB384" s="1" t="s">
        <v>8049</v>
      </c>
      <c r="AC384" s="1"/>
      <c r="AD384" s="1"/>
      <c r="AE384" s="1" t="s">
        <v>8050</v>
      </c>
      <c r="AF384" s="1"/>
      <c r="AG384" s="1"/>
      <c r="AH384" s="1" t="s">
        <v>8051</v>
      </c>
      <c r="AI384" s="1"/>
      <c r="AJ384" s="1" t="s">
        <v>8008</v>
      </c>
      <c r="AK384" s="1" t="s">
        <v>1787</v>
      </c>
      <c r="AL384" s="1" t="s">
        <v>8009</v>
      </c>
      <c r="AM384" s="1" t="s">
        <v>8008</v>
      </c>
      <c r="AN384" s="1" t="s">
        <v>1787</v>
      </c>
      <c r="AO384" s="1" t="s">
        <v>8009</v>
      </c>
      <c r="AP384" s="2" t="s">
        <v>8052</v>
      </c>
      <c r="AQ384" s="2" t="s">
        <v>1154</v>
      </c>
      <c r="AR384" s="1" t="s">
        <v>286</v>
      </c>
      <c r="AS384" s="1" t="s">
        <v>8053</v>
      </c>
      <c r="AT384" s="1" t="s">
        <v>5</v>
      </c>
    </row>
    <row r="385" spans="1:46" hidden="1" x14ac:dyDescent="0.4">
      <c r="A385" s="1" t="s">
        <v>10520</v>
      </c>
      <c r="B385" s="10"/>
      <c r="C385" s="1" t="s">
        <v>2841</v>
      </c>
      <c r="D385" s="1" t="s">
        <v>2076</v>
      </c>
      <c r="E385" s="1" t="s">
        <v>2078</v>
      </c>
      <c r="F385" s="1" t="s">
        <v>14</v>
      </c>
      <c r="G385" s="1" t="s">
        <v>1</v>
      </c>
      <c r="H385" s="1" t="s">
        <v>6</v>
      </c>
      <c r="I385" s="1" t="s">
        <v>2</v>
      </c>
      <c r="J385" s="1" t="s">
        <v>2842</v>
      </c>
      <c r="K385" s="1" t="s">
        <v>10521</v>
      </c>
      <c r="L385" s="1" t="s">
        <v>4</v>
      </c>
      <c r="M385" s="1"/>
      <c r="N385" s="1" t="s">
        <v>10522</v>
      </c>
      <c r="O385" s="1" t="s">
        <v>10523</v>
      </c>
      <c r="P385" s="1"/>
      <c r="Q385" s="1"/>
      <c r="R385" s="1" t="s">
        <v>11</v>
      </c>
      <c r="S385" s="1"/>
      <c r="T385" s="1"/>
      <c r="U385" s="1"/>
      <c r="V385" s="1"/>
      <c r="W385" s="1" t="s">
        <v>10524</v>
      </c>
      <c r="X385" s="1" t="s">
        <v>10525</v>
      </c>
      <c r="Y385" s="1"/>
      <c r="Z385" s="1"/>
      <c r="AA385" s="1"/>
      <c r="AB385" s="1" t="s">
        <v>10526</v>
      </c>
      <c r="AC385" s="1"/>
      <c r="AD385" s="1"/>
      <c r="AE385" s="1" t="s">
        <v>10527</v>
      </c>
      <c r="AF385" s="1"/>
      <c r="AG385" s="1"/>
      <c r="AH385" s="1" t="s">
        <v>10528</v>
      </c>
      <c r="AI385" s="1"/>
      <c r="AJ385" s="1" t="s">
        <v>4327</v>
      </c>
      <c r="AK385" s="1" t="s">
        <v>8473</v>
      </c>
      <c r="AL385" s="1" t="s">
        <v>4328</v>
      </c>
      <c r="AM385" s="1" t="s">
        <v>4327</v>
      </c>
      <c r="AN385" s="1" t="s">
        <v>8473</v>
      </c>
      <c r="AO385" s="1" t="s">
        <v>4328</v>
      </c>
      <c r="AP385" s="2" t="s">
        <v>10529</v>
      </c>
      <c r="AQ385" s="2" t="s">
        <v>1155</v>
      </c>
      <c r="AR385" s="1" t="s">
        <v>286</v>
      </c>
      <c r="AS385" s="1" t="s">
        <v>10530</v>
      </c>
      <c r="AT385" s="1" t="s">
        <v>5</v>
      </c>
    </row>
    <row r="386" spans="1:46" hidden="1" x14ac:dyDescent="0.4">
      <c r="A386" s="1" t="s">
        <v>7492</v>
      </c>
      <c r="B386" s="10"/>
      <c r="C386" s="1" t="s">
        <v>0</v>
      </c>
      <c r="D386" s="1" t="s">
        <v>2076</v>
      </c>
      <c r="E386" s="1" t="s">
        <v>2078</v>
      </c>
      <c r="F386" s="1" t="s">
        <v>14</v>
      </c>
      <c r="G386" s="1" t="s">
        <v>1</v>
      </c>
      <c r="H386" s="1" t="s">
        <v>6</v>
      </c>
      <c r="I386" s="1" t="s">
        <v>2</v>
      </c>
      <c r="J386" s="1" t="s">
        <v>3</v>
      </c>
      <c r="K386" s="1" t="s">
        <v>7493</v>
      </c>
      <c r="L386" s="1" t="s">
        <v>7</v>
      </c>
      <c r="M386" s="1" t="s">
        <v>9</v>
      </c>
      <c r="N386" s="1" t="s">
        <v>7494</v>
      </c>
      <c r="O386" s="1" t="s">
        <v>7495</v>
      </c>
      <c r="P386" s="1"/>
      <c r="Q386" s="1"/>
      <c r="R386" s="1" t="s">
        <v>11</v>
      </c>
      <c r="S386" s="1"/>
      <c r="T386" s="1"/>
      <c r="U386" s="1"/>
      <c r="V386" s="1"/>
      <c r="W386" s="1"/>
      <c r="X386" s="1" t="s">
        <v>7496</v>
      </c>
      <c r="Y386" s="1"/>
      <c r="Z386" s="1"/>
      <c r="AA386" s="1"/>
      <c r="AB386" s="1" t="s">
        <v>7497</v>
      </c>
      <c r="AC386" s="1"/>
      <c r="AD386" s="1"/>
      <c r="AE386" s="1" t="s">
        <v>7498</v>
      </c>
      <c r="AF386" s="1"/>
      <c r="AG386" s="1"/>
      <c r="AH386" s="1" t="s">
        <v>7499</v>
      </c>
      <c r="AI386" s="1"/>
      <c r="AJ386" s="1" t="s">
        <v>2115</v>
      </c>
      <c r="AK386" s="1" t="s">
        <v>4227</v>
      </c>
      <c r="AL386" s="1" t="s">
        <v>7234</v>
      </c>
      <c r="AM386" s="1" t="s">
        <v>7500</v>
      </c>
      <c r="AN386" s="1" t="s">
        <v>4227</v>
      </c>
      <c r="AO386" s="1" t="s">
        <v>7501</v>
      </c>
      <c r="AP386" s="2" t="s">
        <v>7502</v>
      </c>
      <c r="AQ386" s="2" t="s">
        <v>1154</v>
      </c>
      <c r="AR386" s="1" t="s">
        <v>286</v>
      </c>
      <c r="AS386" s="1" t="s">
        <v>7503</v>
      </c>
      <c r="AT386" s="1" t="s">
        <v>5</v>
      </c>
    </row>
    <row r="387" spans="1:46" hidden="1" x14ac:dyDescent="0.4">
      <c r="A387" s="1" t="s">
        <v>4650</v>
      </c>
      <c r="B387" s="10"/>
      <c r="C387" s="1" t="s">
        <v>2454</v>
      </c>
      <c r="D387" s="1" t="s">
        <v>2220</v>
      </c>
      <c r="E387" s="1" t="s">
        <v>2078</v>
      </c>
      <c r="F387" s="1" t="s">
        <v>14</v>
      </c>
      <c r="G387" s="1" t="s">
        <v>1</v>
      </c>
      <c r="H387" s="1" t="s">
        <v>6</v>
      </c>
      <c r="I387" s="1" t="s">
        <v>2</v>
      </c>
      <c r="J387" s="1" t="s">
        <v>3676</v>
      </c>
      <c r="K387" s="1" t="s">
        <v>4651</v>
      </c>
      <c r="L387" s="1" t="s">
        <v>4</v>
      </c>
      <c r="M387" s="1"/>
      <c r="N387" s="1" t="s">
        <v>4652</v>
      </c>
      <c r="O387" s="1" t="s">
        <v>4653</v>
      </c>
      <c r="P387" s="1"/>
      <c r="Q387" s="1"/>
      <c r="R387" s="1" t="s">
        <v>11</v>
      </c>
      <c r="S387" s="1"/>
      <c r="T387" s="1"/>
      <c r="U387" s="1"/>
      <c r="V387" s="1"/>
      <c r="W387" s="1" t="s">
        <v>4654</v>
      </c>
      <c r="X387" s="1"/>
      <c r="Y387" s="1"/>
      <c r="Z387" s="1"/>
      <c r="AA387" s="1"/>
      <c r="AB387" s="1" t="s">
        <v>4655</v>
      </c>
      <c r="AC387" s="1"/>
      <c r="AD387" s="1"/>
      <c r="AE387" s="1"/>
      <c r="AF387" s="1"/>
      <c r="AG387" s="1"/>
      <c r="AH387" s="1" t="s">
        <v>4656</v>
      </c>
      <c r="AI387" s="1"/>
      <c r="AJ387" s="1" t="s">
        <v>4657</v>
      </c>
      <c r="AK387" s="1" t="s">
        <v>2822</v>
      </c>
      <c r="AL387" s="1" t="s">
        <v>4658</v>
      </c>
      <c r="AM387" s="1" t="s">
        <v>4657</v>
      </c>
      <c r="AN387" s="1" t="s">
        <v>2822</v>
      </c>
      <c r="AO387" s="1" t="s">
        <v>4658</v>
      </c>
      <c r="AP387" s="2" t="s">
        <v>4659</v>
      </c>
      <c r="AQ387" s="2" t="s">
        <v>1153</v>
      </c>
      <c r="AR387" s="1" t="s">
        <v>286</v>
      </c>
      <c r="AS387" s="1"/>
      <c r="AT387" s="1" t="s">
        <v>5</v>
      </c>
    </row>
    <row r="388" spans="1:46" hidden="1" x14ac:dyDescent="0.4">
      <c r="A388" s="1" t="s">
        <v>2395</v>
      </c>
      <c r="B388" s="10"/>
      <c r="C388" s="1" t="s">
        <v>0</v>
      </c>
      <c r="D388" s="1" t="s">
        <v>2396</v>
      </c>
      <c r="E388" s="1" t="s">
        <v>2078</v>
      </c>
      <c r="F388" s="1" t="s">
        <v>14</v>
      </c>
      <c r="G388" s="1" t="s">
        <v>1</v>
      </c>
      <c r="H388" s="1" t="s">
        <v>6</v>
      </c>
      <c r="I388" s="1" t="s">
        <v>2</v>
      </c>
      <c r="J388" s="1" t="s">
        <v>3</v>
      </c>
      <c r="K388" s="1" t="s">
        <v>2397</v>
      </c>
      <c r="L388" s="1" t="s">
        <v>4</v>
      </c>
      <c r="M388" s="1" t="s">
        <v>9</v>
      </c>
      <c r="N388" s="1" t="s">
        <v>2398</v>
      </c>
      <c r="O388" s="1" t="s">
        <v>2399</v>
      </c>
      <c r="P388" s="1"/>
      <c r="Q388" s="1"/>
      <c r="R388" s="1" t="s">
        <v>11</v>
      </c>
      <c r="S388" s="1"/>
      <c r="T388" s="1"/>
      <c r="U388" s="1"/>
      <c r="V388" s="1"/>
      <c r="W388" s="1" t="s">
        <v>2400</v>
      </c>
      <c r="X388" s="1"/>
      <c r="Y388" s="1"/>
      <c r="Z388" s="1"/>
      <c r="AA388" s="1"/>
      <c r="AB388" s="1" t="s">
        <v>2401</v>
      </c>
      <c r="AC388" s="1"/>
      <c r="AD388" s="1"/>
      <c r="AE388" s="1" t="s">
        <v>2402</v>
      </c>
      <c r="AF388" s="1"/>
      <c r="AG388" s="1"/>
      <c r="AH388" s="1" t="s">
        <v>2403</v>
      </c>
      <c r="AI388" s="1"/>
      <c r="AJ388" s="1" t="s">
        <v>2404</v>
      </c>
      <c r="AK388" s="1" t="s">
        <v>2405</v>
      </c>
      <c r="AL388" s="1"/>
      <c r="AM388" s="1" t="s">
        <v>2406</v>
      </c>
      <c r="AN388" s="1" t="s">
        <v>2407</v>
      </c>
      <c r="AO388" s="1"/>
      <c r="AP388" s="2" t="s">
        <v>2408</v>
      </c>
      <c r="AQ388" s="2" t="s">
        <v>1155</v>
      </c>
      <c r="AR388" s="1"/>
      <c r="AS388" s="1"/>
      <c r="AT388" s="1" t="s">
        <v>10</v>
      </c>
    </row>
    <row r="389" spans="1:46" hidden="1" x14ac:dyDescent="0.4">
      <c r="A389" s="1" t="s">
        <v>9985</v>
      </c>
      <c r="B389" s="10"/>
      <c r="C389" s="1" t="s">
        <v>0</v>
      </c>
      <c r="D389" s="1" t="s">
        <v>3381</v>
      </c>
      <c r="E389" s="1" t="s">
        <v>2291</v>
      </c>
      <c r="F389" s="1" t="s">
        <v>3382</v>
      </c>
      <c r="G389" s="1" t="s">
        <v>1</v>
      </c>
      <c r="H389" s="1" t="s">
        <v>6</v>
      </c>
      <c r="I389" s="1" t="s">
        <v>2</v>
      </c>
      <c r="J389" s="1" t="s">
        <v>3</v>
      </c>
      <c r="K389" s="1" t="s">
        <v>9986</v>
      </c>
      <c r="L389" s="1" t="s">
        <v>7</v>
      </c>
      <c r="M389" s="1" t="s">
        <v>9</v>
      </c>
      <c r="N389" s="1" t="s">
        <v>9987</v>
      </c>
      <c r="O389" s="1" t="s">
        <v>9988</v>
      </c>
      <c r="P389" s="1"/>
      <c r="Q389" s="1"/>
      <c r="R389" s="1" t="s">
        <v>11</v>
      </c>
      <c r="S389" s="1"/>
      <c r="T389" s="1"/>
      <c r="U389" s="1"/>
      <c r="V389" s="1"/>
      <c r="W389" s="1" t="s">
        <v>9989</v>
      </c>
      <c r="X389" s="1" t="s">
        <v>9990</v>
      </c>
      <c r="Y389" s="1"/>
      <c r="Z389" s="1"/>
      <c r="AA389" s="1"/>
      <c r="AB389" s="1" t="s">
        <v>9991</v>
      </c>
      <c r="AC389" s="1"/>
      <c r="AD389" s="1"/>
      <c r="AE389" s="1" t="s">
        <v>9992</v>
      </c>
      <c r="AF389" s="1"/>
      <c r="AG389" s="1"/>
      <c r="AH389" s="1" t="s">
        <v>9993</v>
      </c>
      <c r="AI389" s="1"/>
      <c r="AJ389" s="1" t="s">
        <v>1772</v>
      </c>
      <c r="AK389" s="1" t="s">
        <v>280</v>
      </c>
      <c r="AL389" s="1" t="s">
        <v>1774</v>
      </c>
      <c r="AM389" s="1" t="s">
        <v>9994</v>
      </c>
      <c r="AN389" s="1" t="s">
        <v>280</v>
      </c>
      <c r="AO389" s="1" t="s">
        <v>9995</v>
      </c>
      <c r="AP389" s="2" t="s">
        <v>9996</v>
      </c>
      <c r="AQ389" s="2" t="s">
        <v>1155</v>
      </c>
      <c r="AR389" s="1" t="s">
        <v>287</v>
      </c>
      <c r="AS389" s="1" t="s">
        <v>9997</v>
      </c>
      <c r="AT389" s="1" t="s">
        <v>5</v>
      </c>
    </row>
    <row r="390" spans="1:46" hidden="1" x14ac:dyDescent="0.4">
      <c r="A390" s="1" t="s">
        <v>10737</v>
      </c>
      <c r="B390" s="10"/>
      <c r="C390" s="1" t="s">
        <v>4098</v>
      </c>
      <c r="D390" s="1" t="s">
        <v>2211</v>
      </c>
      <c r="E390" s="1" t="s">
        <v>13</v>
      </c>
      <c r="F390" s="1" t="s">
        <v>14</v>
      </c>
      <c r="G390" s="1" t="s">
        <v>1</v>
      </c>
      <c r="H390" s="1" t="s">
        <v>6</v>
      </c>
      <c r="I390" s="1" t="s">
        <v>2</v>
      </c>
      <c r="J390" s="1" t="s">
        <v>3</v>
      </c>
      <c r="K390" s="1" t="s">
        <v>10738</v>
      </c>
      <c r="L390" s="1" t="s">
        <v>7</v>
      </c>
      <c r="M390" s="1"/>
      <c r="N390" s="1" t="s">
        <v>10739</v>
      </c>
      <c r="O390" s="1" t="s">
        <v>10740</v>
      </c>
      <c r="P390" s="1"/>
      <c r="Q390" s="1"/>
      <c r="R390" s="1" t="s">
        <v>11</v>
      </c>
      <c r="S390" s="1"/>
      <c r="T390" s="1"/>
      <c r="U390" s="1"/>
      <c r="V390" s="1"/>
      <c r="W390" s="1" t="s">
        <v>10741</v>
      </c>
      <c r="X390" s="1"/>
      <c r="Y390" s="1"/>
      <c r="Z390" s="1"/>
      <c r="AA390" s="1"/>
      <c r="AB390" s="1" t="s">
        <v>10742</v>
      </c>
      <c r="AC390" s="1"/>
      <c r="AD390" s="1"/>
      <c r="AE390" s="1" t="s">
        <v>10743</v>
      </c>
      <c r="AF390" s="1"/>
      <c r="AG390" s="1"/>
      <c r="AH390" s="1" t="s">
        <v>10744</v>
      </c>
      <c r="AI390" s="1"/>
      <c r="AJ390" s="1" t="s">
        <v>10745</v>
      </c>
      <c r="AK390" s="1" t="s">
        <v>10746</v>
      </c>
      <c r="AL390" s="1" t="s">
        <v>10747</v>
      </c>
      <c r="AM390" s="1" t="s">
        <v>10748</v>
      </c>
      <c r="AN390" s="1" t="s">
        <v>10749</v>
      </c>
      <c r="AO390" s="1" t="s">
        <v>10750</v>
      </c>
      <c r="AP390" s="2" t="s">
        <v>10751</v>
      </c>
      <c r="AQ390" s="2" t="s">
        <v>1155</v>
      </c>
      <c r="AR390" s="1" t="s">
        <v>286</v>
      </c>
      <c r="AS390" s="1" t="s">
        <v>10752</v>
      </c>
      <c r="AT390" s="1" t="s">
        <v>5</v>
      </c>
    </row>
    <row r="391" spans="1:46" hidden="1" x14ac:dyDescent="0.4">
      <c r="A391" s="1" t="s">
        <v>2867</v>
      </c>
      <c r="B391" s="10"/>
      <c r="C391" s="1" t="s">
        <v>2494</v>
      </c>
      <c r="D391" s="1" t="s">
        <v>2157</v>
      </c>
      <c r="E391" s="1" t="s">
        <v>2078</v>
      </c>
      <c r="F391" s="1" t="s">
        <v>14</v>
      </c>
      <c r="G391" s="1" t="s">
        <v>1</v>
      </c>
      <c r="H391" s="1" t="s">
        <v>6</v>
      </c>
      <c r="I391" s="1" t="s">
        <v>2</v>
      </c>
      <c r="J391" s="1" t="s">
        <v>2450</v>
      </c>
      <c r="K391" s="1" t="s">
        <v>2868</v>
      </c>
      <c r="L391" s="1" t="s">
        <v>7</v>
      </c>
      <c r="M391" s="1" t="s">
        <v>9</v>
      </c>
      <c r="N391" s="1" t="s">
        <v>2869</v>
      </c>
      <c r="O391" s="1" t="s">
        <v>2870</v>
      </c>
      <c r="P391" s="1"/>
      <c r="Q391" s="1"/>
      <c r="R391" s="1" t="s">
        <v>11</v>
      </c>
      <c r="S391" s="1"/>
      <c r="T391" s="1"/>
      <c r="U391" s="1"/>
      <c r="V391" s="1"/>
      <c r="W391" s="1"/>
      <c r="X391" s="1" t="s">
        <v>2871</v>
      </c>
      <c r="Y391" s="1"/>
      <c r="Z391" s="1"/>
      <c r="AA391" s="1"/>
      <c r="AB391" s="1" t="s">
        <v>2872</v>
      </c>
      <c r="AC391" s="1"/>
      <c r="AD391" s="1"/>
      <c r="AE391" s="1"/>
      <c r="AF391" s="1"/>
      <c r="AG391" s="1"/>
      <c r="AH391" s="1" t="s">
        <v>2873</v>
      </c>
      <c r="AI391" s="1"/>
      <c r="AJ391" s="1" t="s">
        <v>2874</v>
      </c>
      <c r="AK391" s="1" t="s">
        <v>2875</v>
      </c>
      <c r="AL391" s="1"/>
      <c r="AM391" s="1" t="s">
        <v>2874</v>
      </c>
      <c r="AN391" s="1" t="s">
        <v>2875</v>
      </c>
      <c r="AO391" s="1"/>
      <c r="AP391" s="2" t="s">
        <v>2876</v>
      </c>
      <c r="AQ391" s="2" t="s">
        <v>1155</v>
      </c>
      <c r="AR391" s="1"/>
      <c r="AS391" s="1"/>
      <c r="AT391" s="1" t="s">
        <v>5</v>
      </c>
    </row>
    <row r="392" spans="1:46" hidden="1" x14ac:dyDescent="0.4">
      <c r="A392" s="1" t="s">
        <v>10576</v>
      </c>
      <c r="B392" s="10"/>
      <c r="C392" s="1" t="s">
        <v>93</v>
      </c>
      <c r="D392" s="1" t="s">
        <v>2157</v>
      </c>
      <c r="E392" s="1" t="s">
        <v>2078</v>
      </c>
      <c r="F392" s="1" t="s">
        <v>14</v>
      </c>
      <c r="G392" s="1" t="s">
        <v>1</v>
      </c>
      <c r="H392" s="1" t="s">
        <v>6</v>
      </c>
      <c r="I392" s="1" t="s">
        <v>2</v>
      </c>
      <c r="J392" s="1" t="s">
        <v>3</v>
      </c>
      <c r="K392" s="1" t="s">
        <v>10577</v>
      </c>
      <c r="L392" s="1" t="s">
        <v>7</v>
      </c>
      <c r="M392" s="1"/>
      <c r="N392" s="1" t="s">
        <v>10578</v>
      </c>
      <c r="O392" s="1" t="s">
        <v>7029</v>
      </c>
      <c r="P392" s="1"/>
      <c r="Q392" s="1"/>
      <c r="R392" s="1" t="s">
        <v>11</v>
      </c>
      <c r="S392" s="1"/>
      <c r="T392" s="1"/>
      <c r="U392" s="1"/>
      <c r="V392" s="1"/>
      <c r="W392" s="1" t="s">
        <v>10579</v>
      </c>
      <c r="X392" s="1"/>
      <c r="Y392" s="1"/>
      <c r="Z392" s="1"/>
      <c r="AA392" s="1"/>
      <c r="AB392" s="1" t="s">
        <v>10580</v>
      </c>
      <c r="AC392" s="1"/>
      <c r="AD392" s="1"/>
      <c r="AE392" s="1" t="s">
        <v>10581</v>
      </c>
      <c r="AF392" s="1"/>
      <c r="AG392" s="1"/>
      <c r="AH392" s="1" t="s">
        <v>10582</v>
      </c>
      <c r="AI392" s="1" t="s">
        <v>10583</v>
      </c>
      <c r="AJ392" s="1" t="s">
        <v>7874</v>
      </c>
      <c r="AK392" s="1" t="s">
        <v>5668</v>
      </c>
      <c r="AL392" s="1" t="s">
        <v>7875</v>
      </c>
      <c r="AM392" s="1" t="s">
        <v>7874</v>
      </c>
      <c r="AN392" s="1" t="s">
        <v>5668</v>
      </c>
      <c r="AO392" s="1" t="s">
        <v>7875</v>
      </c>
      <c r="AP392" s="2" t="s">
        <v>10584</v>
      </c>
      <c r="AQ392" s="2" t="s">
        <v>1155</v>
      </c>
      <c r="AR392" s="1" t="s">
        <v>286</v>
      </c>
      <c r="AS392" s="1"/>
      <c r="AT392" s="1" t="s">
        <v>5</v>
      </c>
    </row>
    <row r="393" spans="1:46" hidden="1" x14ac:dyDescent="0.4">
      <c r="A393" s="1" t="s">
        <v>2840</v>
      </c>
      <c r="B393" s="10"/>
      <c r="C393" s="1" t="s">
        <v>2841</v>
      </c>
      <c r="D393" s="1" t="s">
        <v>2076</v>
      </c>
      <c r="E393" s="1" t="s">
        <v>13</v>
      </c>
      <c r="F393" s="1" t="s">
        <v>14</v>
      </c>
      <c r="G393" s="1" t="s">
        <v>1</v>
      </c>
      <c r="H393" s="1" t="s">
        <v>6</v>
      </c>
      <c r="I393" s="1" t="s">
        <v>2</v>
      </c>
      <c r="J393" s="1" t="s">
        <v>2842</v>
      </c>
      <c r="K393" s="1" t="s">
        <v>2843</v>
      </c>
      <c r="L393" s="1" t="s">
        <v>7</v>
      </c>
      <c r="M393" s="1"/>
      <c r="N393" s="1" t="s">
        <v>2844</v>
      </c>
      <c r="O393" s="1" t="s">
        <v>2845</v>
      </c>
      <c r="P393" s="1"/>
      <c r="Q393" s="1" t="s">
        <v>12</v>
      </c>
      <c r="R393" s="1" t="s">
        <v>11</v>
      </c>
      <c r="S393" s="1"/>
      <c r="T393" s="1" t="s">
        <v>12</v>
      </c>
      <c r="U393" s="1" t="s">
        <v>11</v>
      </c>
      <c r="V393" s="1"/>
      <c r="W393" s="1" t="s">
        <v>2846</v>
      </c>
      <c r="X393" s="1" t="s">
        <v>2847</v>
      </c>
      <c r="Y393" s="1"/>
      <c r="Z393" s="1"/>
      <c r="AA393" s="1"/>
      <c r="AB393" s="1" t="s">
        <v>2848</v>
      </c>
      <c r="AC393" s="1"/>
      <c r="AD393" s="1"/>
      <c r="AE393" s="1" t="s">
        <v>2849</v>
      </c>
      <c r="AF393" s="1"/>
      <c r="AG393" s="1"/>
      <c r="AH393" s="1" t="s">
        <v>2850</v>
      </c>
      <c r="AI393" s="1"/>
      <c r="AJ393" s="1" t="s">
        <v>2851</v>
      </c>
      <c r="AK393" s="1" t="s">
        <v>2852</v>
      </c>
      <c r="AL393" s="1"/>
      <c r="AM393" s="1" t="s">
        <v>2851</v>
      </c>
      <c r="AN393" s="1" t="s">
        <v>2852</v>
      </c>
      <c r="AO393" s="1"/>
      <c r="AP393" s="2" t="s">
        <v>2853</v>
      </c>
      <c r="AQ393" s="2" t="s">
        <v>1155</v>
      </c>
      <c r="AR393" s="1"/>
      <c r="AS393" s="1"/>
      <c r="AT393" s="1" t="s">
        <v>5</v>
      </c>
    </row>
    <row r="394" spans="1:46" hidden="1" x14ac:dyDescent="0.4">
      <c r="A394" s="1" t="s">
        <v>6723</v>
      </c>
      <c r="B394" s="10"/>
      <c r="C394" s="1" t="s">
        <v>93</v>
      </c>
      <c r="D394" s="1" t="s">
        <v>2157</v>
      </c>
      <c r="E394" s="1" t="s">
        <v>2078</v>
      </c>
      <c r="F394" s="1" t="s">
        <v>14</v>
      </c>
      <c r="G394" s="1" t="s">
        <v>1</v>
      </c>
      <c r="H394" s="1" t="s">
        <v>6</v>
      </c>
      <c r="I394" s="1" t="s">
        <v>2</v>
      </c>
      <c r="J394" s="1" t="s">
        <v>3</v>
      </c>
      <c r="K394" s="1" t="s">
        <v>6724</v>
      </c>
      <c r="L394" s="1" t="s">
        <v>7</v>
      </c>
      <c r="M394" s="1"/>
      <c r="N394" s="1" t="s">
        <v>6725</v>
      </c>
      <c r="O394" s="1" t="s">
        <v>5495</v>
      </c>
      <c r="P394" s="1"/>
      <c r="Q394" s="1"/>
      <c r="R394" s="1" t="s">
        <v>11</v>
      </c>
      <c r="S394" s="1"/>
      <c r="T394" s="1"/>
      <c r="U394" s="1"/>
      <c r="V394" s="1"/>
      <c r="W394" s="1"/>
      <c r="X394" s="1" t="s">
        <v>2947</v>
      </c>
      <c r="Y394" s="1"/>
      <c r="Z394" s="1"/>
      <c r="AA394" s="1"/>
      <c r="AB394" s="1" t="s">
        <v>6726</v>
      </c>
      <c r="AC394" s="1"/>
      <c r="AD394" s="1"/>
      <c r="AE394" s="1" t="s">
        <v>6716</v>
      </c>
      <c r="AF394" s="1"/>
      <c r="AG394" s="1"/>
      <c r="AH394" s="1" t="s">
        <v>6727</v>
      </c>
      <c r="AI394" s="1"/>
      <c r="AJ394" s="1" t="s">
        <v>6718</v>
      </c>
      <c r="AK394" s="1" t="s">
        <v>4240</v>
      </c>
      <c r="AL394" s="1" t="s">
        <v>6719</v>
      </c>
      <c r="AM394" s="1" t="s">
        <v>6720</v>
      </c>
      <c r="AN394" s="1" t="s">
        <v>4240</v>
      </c>
      <c r="AO394" s="1" t="s">
        <v>6721</v>
      </c>
      <c r="AP394" s="2" t="s">
        <v>6728</v>
      </c>
      <c r="AQ394" s="2" t="s">
        <v>1077</v>
      </c>
      <c r="AR394" s="1" t="s">
        <v>287</v>
      </c>
      <c r="AS394" s="1"/>
      <c r="AT394" s="1" t="s">
        <v>5</v>
      </c>
    </row>
    <row r="395" spans="1:46" hidden="1" x14ac:dyDescent="0.4">
      <c r="A395" s="1" t="s">
        <v>6729</v>
      </c>
      <c r="B395" s="10"/>
      <c r="C395" s="1" t="s">
        <v>93</v>
      </c>
      <c r="D395" s="1" t="s">
        <v>2157</v>
      </c>
      <c r="E395" s="1" t="s">
        <v>2078</v>
      </c>
      <c r="F395" s="1" t="s">
        <v>14</v>
      </c>
      <c r="G395" s="1" t="s">
        <v>1</v>
      </c>
      <c r="H395" s="1" t="s">
        <v>6</v>
      </c>
      <c r="I395" s="1" t="s">
        <v>2</v>
      </c>
      <c r="J395" s="1" t="s">
        <v>3</v>
      </c>
      <c r="K395" s="1" t="s">
        <v>6730</v>
      </c>
      <c r="L395" s="1" t="s">
        <v>7</v>
      </c>
      <c r="M395" s="1"/>
      <c r="N395" s="1" t="s">
        <v>6731</v>
      </c>
      <c r="O395" s="1" t="s">
        <v>5495</v>
      </c>
      <c r="P395" s="1"/>
      <c r="Q395" s="1"/>
      <c r="R395" s="1" t="s">
        <v>11</v>
      </c>
      <c r="S395" s="1"/>
      <c r="T395" s="1"/>
      <c r="U395" s="1"/>
      <c r="V395" s="1"/>
      <c r="W395" s="1"/>
      <c r="X395" s="1" t="s">
        <v>2947</v>
      </c>
      <c r="Y395" s="1"/>
      <c r="Z395" s="1"/>
      <c r="AA395" s="1"/>
      <c r="AB395" s="1" t="s">
        <v>6732</v>
      </c>
      <c r="AC395" s="1"/>
      <c r="AD395" s="1"/>
      <c r="AE395" s="1" t="s">
        <v>6716</v>
      </c>
      <c r="AF395" s="1"/>
      <c r="AG395" s="1"/>
      <c r="AH395" s="1" t="s">
        <v>6733</v>
      </c>
      <c r="AI395" s="1"/>
      <c r="AJ395" s="1" t="s">
        <v>6718</v>
      </c>
      <c r="AK395" s="1" t="s">
        <v>4240</v>
      </c>
      <c r="AL395" s="1" t="s">
        <v>6719</v>
      </c>
      <c r="AM395" s="1" t="s">
        <v>6720</v>
      </c>
      <c r="AN395" s="1" t="s">
        <v>4240</v>
      </c>
      <c r="AO395" s="1" t="s">
        <v>6721</v>
      </c>
      <c r="AP395" s="2" t="s">
        <v>6734</v>
      </c>
      <c r="AQ395" s="2" t="s">
        <v>1077</v>
      </c>
      <c r="AR395" s="1" t="s">
        <v>287</v>
      </c>
      <c r="AS395" s="1"/>
      <c r="AT395" s="1" t="s">
        <v>5</v>
      </c>
    </row>
    <row r="396" spans="1:46" hidden="1" x14ac:dyDescent="0.4">
      <c r="A396" s="1" t="s">
        <v>3862</v>
      </c>
      <c r="B396" s="10"/>
      <c r="C396" s="1" t="s">
        <v>2555</v>
      </c>
      <c r="D396" s="1" t="s">
        <v>2211</v>
      </c>
      <c r="E396" s="1" t="s">
        <v>2078</v>
      </c>
      <c r="F396" s="1" t="s">
        <v>14</v>
      </c>
      <c r="G396" s="1" t="s">
        <v>1</v>
      </c>
      <c r="H396" s="1" t="s">
        <v>6</v>
      </c>
      <c r="I396" s="1" t="s">
        <v>2</v>
      </c>
      <c r="J396" s="1" t="s">
        <v>3</v>
      </c>
      <c r="K396" s="1" t="s">
        <v>3863</v>
      </c>
      <c r="L396" s="1" t="s">
        <v>7</v>
      </c>
      <c r="M396" s="1"/>
      <c r="N396" s="1" t="s">
        <v>3864</v>
      </c>
      <c r="O396" s="1" t="s">
        <v>3865</v>
      </c>
      <c r="P396" s="1"/>
      <c r="Q396" s="1"/>
      <c r="R396" s="1" t="s">
        <v>11</v>
      </c>
      <c r="S396" s="1"/>
      <c r="T396" s="1"/>
      <c r="U396" s="1"/>
      <c r="V396" s="1"/>
      <c r="W396" s="1" t="s">
        <v>3866</v>
      </c>
      <c r="X396" s="1" t="s">
        <v>3867</v>
      </c>
      <c r="Y396" s="1"/>
      <c r="Z396" s="1"/>
      <c r="AA396" s="1"/>
      <c r="AB396" s="1" t="s">
        <v>3868</v>
      </c>
      <c r="AC396" s="1"/>
      <c r="AD396" s="1"/>
      <c r="AE396" s="1" t="s">
        <v>3869</v>
      </c>
      <c r="AF396" s="1"/>
      <c r="AG396" s="1"/>
      <c r="AH396" s="1" t="s">
        <v>3870</v>
      </c>
      <c r="AI396" s="1"/>
      <c r="AJ396" s="1" t="s">
        <v>3871</v>
      </c>
      <c r="AK396" s="1" t="s">
        <v>3872</v>
      </c>
      <c r="AL396" s="1" t="s">
        <v>3873</v>
      </c>
      <c r="AM396" s="1" t="s">
        <v>3871</v>
      </c>
      <c r="AN396" s="1" t="s">
        <v>3872</v>
      </c>
      <c r="AO396" s="1" t="s">
        <v>3873</v>
      </c>
      <c r="AP396" s="2" t="s">
        <v>3874</v>
      </c>
      <c r="AQ396" s="2" t="s">
        <v>1153</v>
      </c>
      <c r="AR396" s="1" t="s">
        <v>286</v>
      </c>
      <c r="AS396" s="1" t="s">
        <v>3875</v>
      </c>
      <c r="AT396" s="1" t="s">
        <v>5</v>
      </c>
    </row>
    <row r="397" spans="1:46" hidden="1" x14ac:dyDescent="0.4">
      <c r="A397" s="1" t="s">
        <v>3876</v>
      </c>
      <c r="B397" s="10"/>
      <c r="C397" s="1" t="s">
        <v>2555</v>
      </c>
      <c r="D397" s="1" t="s">
        <v>2211</v>
      </c>
      <c r="E397" s="1" t="s">
        <v>2078</v>
      </c>
      <c r="F397" s="1" t="s">
        <v>14</v>
      </c>
      <c r="G397" s="1" t="s">
        <v>1</v>
      </c>
      <c r="H397" s="1" t="s">
        <v>6</v>
      </c>
      <c r="I397" s="1" t="s">
        <v>2</v>
      </c>
      <c r="J397" s="1" t="s">
        <v>3</v>
      </c>
      <c r="K397" s="1" t="s">
        <v>3877</v>
      </c>
      <c r="L397" s="1" t="s">
        <v>7</v>
      </c>
      <c r="M397" s="1"/>
      <c r="N397" s="1" t="s">
        <v>3878</v>
      </c>
      <c r="O397" s="1" t="s">
        <v>3865</v>
      </c>
      <c r="P397" s="1"/>
      <c r="Q397" s="1"/>
      <c r="R397" s="1" t="s">
        <v>11</v>
      </c>
      <c r="S397" s="1"/>
      <c r="T397" s="1"/>
      <c r="U397" s="1"/>
      <c r="V397" s="1"/>
      <c r="W397" s="1" t="s">
        <v>3879</v>
      </c>
      <c r="X397" s="1" t="s">
        <v>3880</v>
      </c>
      <c r="Y397" s="1"/>
      <c r="Z397" s="1"/>
      <c r="AA397" s="1"/>
      <c r="AB397" s="1" t="s">
        <v>3881</v>
      </c>
      <c r="AC397" s="1"/>
      <c r="AD397" s="1"/>
      <c r="AE397" s="1" t="s">
        <v>3869</v>
      </c>
      <c r="AF397" s="1"/>
      <c r="AG397" s="1"/>
      <c r="AH397" s="1" t="s">
        <v>3882</v>
      </c>
      <c r="AI397" s="1"/>
      <c r="AJ397" s="1" t="s">
        <v>3871</v>
      </c>
      <c r="AK397" s="1" t="s">
        <v>3872</v>
      </c>
      <c r="AL397" s="1" t="s">
        <v>3873</v>
      </c>
      <c r="AM397" s="1" t="s">
        <v>3871</v>
      </c>
      <c r="AN397" s="1" t="s">
        <v>3872</v>
      </c>
      <c r="AO397" s="1" t="s">
        <v>3873</v>
      </c>
      <c r="AP397" s="2" t="s">
        <v>3883</v>
      </c>
      <c r="AQ397" s="2" t="s">
        <v>1153</v>
      </c>
      <c r="AR397" s="1" t="s">
        <v>286</v>
      </c>
      <c r="AS397" s="1" t="s">
        <v>3875</v>
      </c>
      <c r="AT397" s="1" t="s">
        <v>5</v>
      </c>
    </row>
    <row r="398" spans="1:46" hidden="1" x14ac:dyDescent="0.4">
      <c r="A398" s="1" t="s">
        <v>10203</v>
      </c>
      <c r="B398" s="10"/>
      <c r="C398" s="1" t="s">
        <v>0</v>
      </c>
      <c r="D398" s="1" t="s">
        <v>2157</v>
      </c>
      <c r="E398" s="1" t="s">
        <v>2078</v>
      </c>
      <c r="F398" s="1" t="s">
        <v>14</v>
      </c>
      <c r="G398" s="1" t="s">
        <v>1</v>
      </c>
      <c r="H398" s="1" t="s">
        <v>6</v>
      </c>
      <c r="I398" s="1" t="s">
        <v>2</v>
      </c>
      <c r="J398" s="1" t="s">
        <v>3</v>
      </c>
      <c r="K398" s="1" t="s">
        <v>10204</v>
      </c>
      <c r="L398" s="1" t="s">
        <v>7</v>
      </c>
      <c r="M398" s="1" t="s">
        <v>9</v>
      </c>
      <c r="N398" s="1" t="s">
        <v>10205</v>
      </c>
      <c r="O398" s="1" t="s">
        <v>6176</v>
      </c>
      <c r="P398" s="1"/>
      <c r="Q398" s="1"/>
      <c r="R398" s="1" t="s">
        <v>11</v>
      </c>
      <c r="S398" s="1"/>
      <c r="T398" s="1"/>
      <c r="U398" s="1"/>
      <c r="V398" s="1"/>
      <c r="W398" s="1"/>
      <c r="X398" s="1" t="s">
        <v>10206</v>
      </c>
      <c r="Y398" s="1"/>
      <c r="Z398" s="1"/>
      <c r="AA398" s="1"/>
      <c r="AB398" s="1" t="s">
        <v>10207</v>
      </c>
      <c r="AC398" s="1"/>
      <c r="AD398" s="1"/>
      <c r="AE398" s="1" t="s">
        <v>10208</v>
      </c>
      <c r="AF398" s="1"/>
      <c r="AG398" s="1"/>
      <c r="AH398" s="1" t="s">
        <v>10209</v>
      </c>
      <c r="AI398" s="1"/>
      <c r="AJ398" s="1" t="s">
        <v>79</v>
      </c>
      <c r="AK398" s="1" t="s">
        <v>503</v>
      </c>
      <c r="AL398" s="1" t="s">
        <v>121</v>
      </c>
      <c r="AM398" s="1" t="s">
        <v>10210</v>
      </c>
      <c r="AN398" s="1" t="s">
        <v>503</v>
      </c>
      <c r="AO398" s="1" t="s">
        <v>10211</v>
      </c>
      <c r="AP398" s="2" t="s">
        <v>10212</v>
      </c>
      <c r="AQ398" s="2" t="s">
        <v>1155</v>
      </c>
      <c r="AR398" s="1" t="s">
        <v>286</v>
      </c>
      <c r="AS398" s="1" t="s">
        <v>10213</v>
      </c>
      <c r="AT398" s="1" t="s">
        <v>5</v>
      </c>
    </row>
    <row r="399" spans="1:46" hidden="1" x14ac:dyDescent="0.4">
      <c r="A399" s="1" t="s">
        <v>3716</v>
      </c>
      <c r="B399" s="10"/>
      <c r="C399" s="1" t="s">
        <v>0</v>
      </c>
      <c r="D399" s="1" t="s">
        <v>2157</v>
      </c>
      <c r="E399" s="1" t="s">
        <v>2078</v>
      </c>
      <c r="F399" s="1" t="s">
        <v>14</v>
      </c>
      <c r="G399" s="1" t="s">
        <v>1</v>
      </c>
      <c r="H399" s="1" t="s">
        <v>6</v>
      </c>
      <c r="I399" s="1" t="s">
        <v>2</v>
      </c>
      <c r="J399" s="1" t="s">
        <v>3</v>
      </c>
      <c r="K399" s="1" t="s">
        <v>3717</v>
      </c>
      <c r="L399" s="1" t="s">
        <v>7</v>
      </c>
      <c r="M399" s="1" t="s">
        <v>9</v>
      </c>
      <c r="N399" s="1" t="s">
        <v>3718</v>
      </c>
      <c r="O399" s="1" t="s">
        <v>3719</v>
      </c>
      <c r="P399" s="1"/>
      <c r="Q399" s="1"/>
      <c r="R399" s="1" t="s">
        <v>11</v>
      </c>
      <c r="S399" s="1"/>
      <c r="T399" s="1"/>
      <c r="U399" s="1"/>
      <c r="V399" s="1"/>
      <c r="W399" s="1"/>
      <c r="X399" s="1"/>
      <c r="Y399" s="1"/>
      <c r="Z399" s="1"/>
      <c r="AA399" s="1"/>
      <c r="AB399" s="1" t="s">
        <v>3720</v>
      </c>
      <c r="AC399" s="1"/>
      <c r="AD399" s="1"/>
      <c r="AE399" s="1"/>
      <c r="AF399" s="1"/>
      <c r="AG399" s="1"/>
      <c r="AH399" s="1" t="s">
        <v>3721</v>
      </c>
      <c r="AI399" s="1"/>
      <c r="AJ399" s="1" t="s">
        <v>423</v>
      </c>
      <c r="AK399" s="1" t="s">
        <v>218</v>
      </c>
      <c r="AL399" s="1" t="s">
        <v>424</v>
      </c>
      <c r="AM399" s="1" t="s">
        <v>3722</v>
      </c>
      <c r="AN399" s="1" t="s">
        <v>218</v>
      </c>
      <c r="AO399" s="1" t="s">
        <v>3723</v>
      </c>
      <c r="AP399" s="2" t="s">
        <v>3724</v>
      </c>
      <c r="AQ399" s="2" t="s">
        <v>1153</v>
      </c>
      <c r="AR399" s="1" t="s">
        <v>287</v>
      </c>
      <c r="AS399" s="1"/>
      <c r="AT399" s="1" t="s">
        <v>5</v>
      </c>
    </row>
    <row r="400" spans="1:46" hidden="1" x14ac:dyDescent="0.4">
      <c r="A400" s="1" t="s">
        <v>4253</v>
      </c>
      <c r="B400" s="10"/>
      <c r="C400" s="1" t="s">
        <v>2705</v>
      </c>
      <c r="D400" s="1" t="s">
        <v>2157</v>
      </c>
      <c r="E400" s="1" t="s">
        <v>2078</v>
      </c>
      <c r="F400" s="1" t="s">
        <v>14</v>
      </c>
      <c r="G400" s="1" t="s">
        <v>1</v>
      </c>
      <c r="H400" s="1" t="s">
        <v>6</v>
      </c>
      <c r="I400" s="1" t="s">
        <v>2</v>
      </c>
      <c r="J400" s="1" t="s">
        <v>2813</v>
      </c>
      <c r="K400" s="1" t="s">
        <v>4254</v>
      </c>
      <c r="L400" s="1" t="s">
        <v>7</v>
      </c>
      <c r="M400" s="1" t="s">
        <v>9</v>
      </c>
      <c r="N400" s="1" t="s">
        <v>4255</v>
      </c>
      <c r="O400" s="1" t="s">
        <v>3719</v>
      </c>
      <c r="P400" s="1"/>
      <c r="Q400" s="1"/>
      <c r="R400" s="1" t="s">
        <v>11</v>
      </c>
      <c r="S400" s="1"/>
      <c r="T400" s="1"/>
      <c r="U400" s="1"/>
      <c r="V400" s="1"/>
      <c r="W400" s="1"/>
      <c r="X400" s="1" t="s">
        <v>4256</v>
      </c>
      <c r="Y400" s="1"/>
      <c r="Z400" s="1"/>
      <c r="AA400" s="1"/>
      <c r="AB400" s="1" t="s">
        <v>4257</v>
      </c>
      <c r="AC400" s="1"/>
      <c r="AD400" s="1"/>
      <c r="AE400" s="1" t="s">
        <v>4258</v>
      </c>
      <c r="AF400" s="1"/>
      <c r="AG400" s="1"/>
      <c r="AH400" s="1" t="s">
        <v>4259</v>
      </c>
      <c r="AI400" s="1"/>
      <c r="AJ400" s="1" t="s">
        <v>4260</v>
      </c>
      <c r="AK400" s="1" t="s">
        <v>4261</v>
      </c>
      <c r="AL400" s="1"/>
      <c r="AM400" s="1" t="s">
        <v>4262</v>
      </c>
      <c r="AN400" s="1" t="s">
        <v>4261</v>
      </c>
      <c r="AO400" s="1" t="s">
        <v>4263</v>
      </c>
      <c r="AP400" s="2" t="s">
        <v>4264</v>
      </c>
      <c r="AQ400" s="2" t="s">
        <v>1153</v>
      </c>
      <c r="AR400" s="1" t="s">
        <v>286</v>
      </c>
      <c r="AS400" s="1" t="s">
        <v>4265</v>
      </c>
      <c r="AT400" s="1" t="s">
        <v>5</v>
      </c>
    </row>
    <row r="401" spans="1:46" hidden="1" x14ac:dyDescent="0.4">
      <c r="A401" s="1" t="s">
        <v>5548</v>
      </c>
      <c r="B401" s="10"/>
      <c r="C401" s="1" t="s">
        <v>5198</v>
      </c>
      <c r="D401" s="1" t="s">
        <v>2076</v>
      </c>
      <c r="E401" s="1" t="s">
        <v>2078</v>
      </c>
      <c r="F401" s="1" t="s">
        <v>14</v>
      </c>
      <c r="G401" s="1" t="s">
        <v>1</v>
      </c>
      <c r="H401" s="1" t="s">
        <v>6</v>
      </c>
      <c r="I401" s="1" t="s">
        <v>2</v>
      </c>
      <c r="J401" s="1" t="s">
        <v>5199</v>
      </c>
      <c r="K401" s="1" t="s">
        <v>5549</v>
      </c>
      <c r="L401" s="1" t="s">
        <v>7</v>
      </c>
      <c r="M401" s="1"/>
      <c r="N401" s="1" t="s">
        <v>5550</v>
      </c>
      <c r="O401" s="1" t="s">
        <v>5551</v>
      </c>
      <c r="P401" s="1"/>
      <c r="Q401" s="1"/>
      <c r="R401" s="1" t="s">
        <v>11</v>
      </c>
      <c r="S401" s="1"/>
      <c r="T401" s="1"/>
      <c r="U401" s="1"/>
      <c r="V401" s="1"/>
      <c r="W401" s="1" t="s">
        <v>5552</v>
      </c>
      <c r="X401" s="1"/>
      <c r="Y401" s="1"/>
      <c r="Z401" s="1"/>
      <c r="AA401" s="1"/>
      <c r="AB401" s="1" t="s">
        <v>5553</v>
      </c>
      <c r="AC401" s="1"/>
      <c r="AD401" s="1"/>
      <c r="AE401" s="1" t="s">
        <v>5554</v>
      </c>
      <c r="AF401" s="1"/>
      <c r="AG401" s="1"/>
      <c r="AH401" s="1" t="s">
        <v>5555</v>
      </c>
      <c r="AI401" s="1"/>
      <c r="AJ401" s="1" t="s">
        <v>5448</v>
      </c>
      <c r="AK401" s="1" t="s">
        <v>5449</v>
      </c>
      <c r="AL401" s="1" t="s">
        <v>5450</v>
      </c>
      <c r="AM401" s="1" t="s">
        <v>5451</v>
      </c>
      <c r="AN401" s="1" t="s">
        <v>5452</v>
      </c>
      <c r="AO401" s="1" t="s">
        <v>5453</v>
      </c>
      <c r="AP401" s="2" t="s">
        <v>5556</v>
      </c>
      <c r="AQ401" s="2" t="s">
        <v>1077</v>
      </c>
      <c r="AR401" s="1" t="s">
        <v>286</v>
      </c>
      <c r="AS401" s="1"/>
      <c r="AT401" s="1" t="s">
        <v>5</v>
      </c>
    </row>
    <row r="402" spans="1:46" hidden="1" x14ac:dyDescent="0.4">
      <c r="A402" s="1" t="s">
        <v>10039</v>
      </c>
      <c r="B402" s="10"/>
      <c r="C402" s="1" t="s">
        <v>0</v>
      </c>
      <c r="D402" s="1" t="s">
        <v>2157</v>
      </c>
      <c r="E402" s="1" t="s">
        <v>2078</v>
      </c>
      <c r="F402" s="1" t="s">
        <v>14</v>
      </c>
      <c r="G402" s="1" t="s">
        <v>1</v>
      </c>
      <c r="H402" s="1" t="s">
        <v>6</v>
      </c>
      <c r="I402" s="1" t="s">
        <v>2</v>
      </c>
      <c r="J402" s="1" t="s">
        <v>3</v>
      </c>
      <c r="K402" s="1" t="s">
        <v>10040</v>
      </c>
      <c r="L402" s="1" t="s">
        <v>7</v>
      </c>
      <c r="M402" s="1" t="s">
        <v>9</v>
      </c>
      <c r="N402" s="1" t="s">
        <v>10041</v>
      </c>
      <c r="O402" s="1" t="s">
        <v>2160</v>
      </c>
      <c r="P402" s="1"/>
      <c r="Q402" s="1"/>
      <c r="R402" s="1" t="s">
        <v>11</v>
      </c>
      <c r="S402" s="1"/>
      <c r="T402" s="1"/>
      <c r="U402" s="1"/>
      <c r="V402" s="1"/>
      <c r="W402" s="1" t="s">
        <v>9836</v>
      </c>
      <c r="X402" s="1" t="s">
        <v>10042</v>
      </c>
      <c r="Y402" s="1"/>
      <c r="Z402" s="1"/>
      <c r="AA402" s="1"/>
      <c r="AB402" s="1" t="s">
        <v>10043</v>
      </c>
      <c r="AC402" s="1"/>
      <c r="AD402" s="1"/>
      <c r="AE402" s="1" t="s">
        <v>10044</v>
      </c>
      <c r="AF402" s="1"/>
      <c r="AG402" s="1"/>
      <c r="AH402" s="1" t="s">
        <v>10045</v>
      </c>
      <c r="AI402" s="1"/>
      <c r="AJ402" s="1" t="s">
        <v>78</v>
      </c>
      <c r="AK402" s="1" t="s">
        <v>519</v>
      </c>
      <c r="AL402" s="1" t="s">
        <v>130</v>
      </c>
      <c r="AM402" s="1" t="s">
        <v>10046</v>
      </c>
      <c r="AN402" s="1" t="s">
        <v>519</v>
      </c>
      <c r="AO402" s="1" t="s">
        <v>10047</v>
      </c>
      <c r="AP402" s="2" t="s">
        <v>10048</v>
      </c>
      <c r="AQ402" s="2" t="s">
        <v>1155</v>
      </c>
      <c r="AR402" s="1" t="s">
        <v>286</v>
      </c>
      <c r="AS402" s="1" t="s">
        <v>10049</v>
      </c>
      <c r="AT402" s="1" t="s">
        <v>5</v>
      </c>
    </row>
    <row r="403" spans="1:46" hidden="1" x14ac:dyDescent="0.4">
      <c r="A403" s="1" t="s">
        <v>2735</v>
      </c>
      <c r="B403" s="10"/>
      <c r="C403" s="1" t="s">
        <v>0</v>
      </c>
      <c r="D403" s="1" t="s">
        <v>2157</v>
      </c>
      <c r="E403" s="1" t="s">
        <v>2078</v>
      </c>
      <c r="F403" s="1" t="s">
        <v>14</v>
      </c>
      <c r="G403" s="1" t="s">
        <v>1</v>
      </c>
      <c r="H403" s="1" t="s">
        <v>6</v>
      </c>
      <c r="I403" s="1" t="s">
        <v>2</v>
      </c>
      <c r="J403" s="1" t="s">
        <v>3</v>
      </c>
      <c r="K403" s="1" t="s">
        <v>2736</v>
      </c>
      <c r="L403" s="1" t="s">
        <v>7</v>
      </c>
      <c r="M403" s="1" t="s">
        <v>9</v>
      </c>
      <c r="N403" s="1" t="s">
        <v>2737</v>
      </c>
      <c r="O403" s="1" t="s">
        <v>2160</v>
      </c>
      <c r="P403" s="1"/>
      <c r="Q403" s="1"/>
      <c r="R403" s="1" t="s">
        <v>11</v>
      </c>
      <c r="S403" s="1"/>
      <c r="T403" s="1"/>
      <c r="U403" s="1"/>
      <c r="V403" s="1"/>
      <c r="W403" s="1"/>
      <c r="X403" s="1"/>
      <c r="Y403" s="1"/>
      <c r="Z403" s="1"/>
      <c r="AA403" s="1"/>
      <c r="AB403" s="1" t="s">
        <v>2738</v>
      </c>
      <c r="AC403" s="1"/>
      <c r="AD403" s="1"/>
      <c r="AE403" s="1"/>
      <c r="AF403" s="1"/>
      <c r="AG403" s="1"/>
      <c r="AH403" s="1" t="s">
        <v>2739</v>
      </c>
      <c r="AI403" s="1"/>
      <c r="AJ403" s="1" t="s">
        <v>2740</v>
      </c>
      <c r="AK403" s="1" t="s">
        <v>2741</v>
      </c>
      <c r="AL403" s="1"/>
      <c r="AM403" s="1" t="s">
        <v>2742</v>
      </c>
      <c r="AN403" s="1" t="s">
        <v>2743</v>
      </c>
      <c r="AO403" s="1" t="s">
        <v>2744</v>
      </c>
      <c r="AP403" s="2" t="s">
        <v>2745</v>
      </c>
      <c r="AQ403" s="2" t="s">
        <v>1155</v>
      </c>
      <c r="AR403" s="1"/>
      <c r="AS403" s="1"/>
      <c r="AT403" s="1" t="s">
        <v>10</v>
      </c>
    </row>
    <row r="404" spans="1:46" hidden="1" x14ac:dyDescent="0.4">
      <c r="A404" s="1" t="s">
        <v>6651</v>
      </c>
      <c r="B404" s="10"/>
      <c r="C404" s="1" t="s">
        <v>0</v>
      </c>
      <c r="D404" s="1" t="s">
        <v>2157</v>
      </c>
      <c r="E404" s="1" t="s">
        <v>2078</v>
      </c>
      <c r="F404" s="1" t="s">
        <v>14</v>
      </c>
      <c r="G404" s="1" t="s">
        <v>1</v>
      </c>
      <c r="H404" s="1" t="s">
        <v>6</v>
      </c>
      <c r="I404" s="1" t="s">
        <v>2</v>
      </c>
      <c r="J404" s="1" t="s">
        <v>3</v>
      </c>
      <c r="K404" s="1" t="s">
        <v>6652</v>
      </c>
      <c r="L404" s="1" t="s">
        <v>4</v>
      </c>
      <c r="M404" s="1" t="s">
        <v>9</v>
      </c>
      <c r="N404" s="1" t="s">
        <v>6653</v>
      </c>
      <c r="O404" s="1" t="s">
        <v>2160</v>
      </c>
      <c r="P404" s="1"/>
      <c r="Q404" s="1"/>
      <c r="R404" s="1" t="s">
        <v>11</v>
      </c>
      <c r="S404" s="1"/>
      <c r="T404" s="1"/>
      <c r="U404" s="1"/>
      <c r="V404" s="1"/>
      <c r="W404" s="1"/>
      <c r="X404" s="1" t="s">
        <v>6654</v>
      </c>
      <c r="Y404" s="1"/>
      <c r="Z404" s="1"/>
      <c r="AA404" s="1"/>
      <c r="AB404" s="1" t="s">
        <v>6655</v>
      </c>
      <c r="AC404" s="1"/>
      <c r="AD404" s="1"/>
      <c r="AE404" s="1" t="s">
        <v>2341</v>
      </c>
      <c r="AF404" s="1"/>
      <c r="AG404" s="1"/>
      <c r="AH404" s="1" t="s">
        <v>6656</v>
      </c>
      <c r="AI404" s="1"/>
      <c r="AJ404" s="1" t="s">
        <v>5332</v>
      </c>
      <c r="AK404" s="1" t="s">
        <v>1806</v>
      </c>
      <c r="AL404" s="1"/>
      <c r="AM404" s="1" t="s">
        <v>6657</v>
      </c>
      <c r="AN404" s="1" t="s">
        <v>1806</v>
      </c>
      <c r="AO404" s="1" t="s">
        <v>6658</v>
      </c>
      <c r="AP404" s="2" t="s">
        <v>6659</v>
      </c>
      <c r="AQ404" s="2" t="s">
        <v>1077</v>
      </c>
      <c r="AR404" s="1" t="s">
        <v>287</v>
      </c>
      <c r="AS404" s="1"/>
      <c r="AT404" s="1" t="s">
        <v>5</v>
      </c>
    </row>
    <row r="405" spans="1:46" hidden="1" x14ac:dyDescent="0.4">
      <c r="A405" s="1" t="s">
        <v>9833</v>
      </c>
      <c r="B405" s="10"/>
      <c r="C405" s="1" t="s">
        <v>0</v>
      </c>
      <c r="D405" s="1" t="s">
        <v>2157</v>
      </c>
      <c r="E405" s="1" t="s">
        <v>2078</v>
      </c>
      <c r="F405" s="1" t="s">
        <v>14</v>
      </c>
      <c r="G405" s="1" t="s">
        <v>1</v>
      </c>
      <c r="H405" s="1" t="s">
        <v>6</v>
      </c>
      <c r="I405" s="1" t="s">
        <v>2</v>
      </c>
      <c r="J405" s="1" t="s">
        <v>3</v>
      </c>
      <c r="K405" s="1" t="s">
        <v>9834</v>
      </c>
      <c r="L405" s="1" t="s">
        <v>7</v>
      </c>
      <c r="M405" s="1"/>
      <c r="N405" s="1" t="s">
        <v>9835</v>
      </c>
      <c r="O405" s="1" t="s">
        <v>2160</v>
      </c>
      <c r="P405" s="1"/>
      <c r="Q405" s="1"/>
      <c r="R405" s="1" t="s">
        <v>11</v>
      </c>
      <c r="S405" s="1"/>
      <c r="T405" s="1"/>
      <c r="U405" s="1"/>
      <c r="V405" s="1"/>
      <c r="W405" s="1" t="s">
        <v>9836</v>
      </c>
      <c r="X405" s="1"/>
      <c r="Y405" s="1"/>
      <c r="Z405" s="1"/>
      <c r="AA405" s="1"/>
      <c r="AB405" s="1" t="s">
        <v>9837</v>
      </c>
      <c r="AC405" s="1"/>
      <c r="AD405" s="1"/>
      <c r="AE405" s="1" t="s">
        <v>9838</v>
      </c>
      <c r="AF405" s="1"/>
      <c r="AG405" s="1"/>
      <c r="AH405" s="1" t="s">
        <v>9839</v>
      </c>
      <c r="AI405" s="1"/>
      <c r="AJ405" s="1" t="s">
        <v>1805</v>
      </c>
      <c r="AK405" s="1" t="s">
        <v>1806</v>
      </c>
      <c r="AL405" s="1" t="s">
        <v>1807</v>
      </c>
      <c r="AM405" s="1" t="s">
        <v>6657</v>
      </c>
      <c r="AN405" s="1" t="s">
        <v>1806</v>
      </c>
      <c r="AO405" s="1" t="s">
        <v>6658</v>
      </c>
      <c r="AP405" s="2" t="s">
        <v>9840</v>
      </c>
      <c r="AQ405" s="2" t="s">
        <v>1155</v>
      </c>
      <c r="AR405" s="1" t="s">
        <v>286</v>
      </c>
      <c r="AS405" s="1" t="s">
        <v>9841</v>
      </c>
      <c r="AT405" s="1" t="s">
        <v>5</v>
      </c>
    </row>
    <row r="406" spans="1:46" hidden="1" x14ac:dyDescent="0.4">
      <c r="A406" s="1" t="s">
        <v>9130</v>
      </c>
      <c r="B406" s="10"/>
      <c r="C406" s="1" t="s">
        <v>2491</v>
      </c>
      <c r="D406" s="1" t="s">
        <v>2157</v>
      </c>
      <c r="E406" s="1" t="s">
        <v>2078</v>
      </c>
      <c r="F406" s="1" t="s">
        <v>14</v>
      </c>
      <c r="G406" s="1" t="s">
        <v>1</v>
      </c>
      <c r="H406" s="1" t="s">
        <v>6</v>
      </c>
      <c r="I406" s="1" t="s">
        <v>2</v>
      </c>
      <c r="J406" s="1" t="s">
        <v>2492</v>
      </c>
      <c r="K406" s="1" t="s">
        <v>9131</v>
      </c>
      <c r="L406" s="1" t="s">
        <v>7</v>
      </c>
      <c r="M406" s="1" t="s">
        <v>9</v>
      </c>
      <c r="N406" s="1" t="s">
        <v>9132</v>
      </c>
      <c r="O406" s="1" t="s">
        <v>2160</v>
      </c>
      <c r="P406" s="1"/>
      <c r="Q406" s="1"/>
      <c r="R406" s="1" t="s">
        <v>11</v>
      </c>
      <c r="S406" s="1"/>
      <c r="T406" s="1"/>
      <c r="U406" s="1"/>
      <c r="V406" s="1"/>
      <c r="W406" s="1" t="s">
        <v>9133</v>
      </c>
      <c r="X406" s="1"/>
      <c r="Y406" s="1"/>
      <c r="Z406" s="1"/>
      <c r="AA406" s="1"/>
      <c r="AB406" s="1" t="s">
        <v>9134</v>
      </c>
      <c r="AC406" s="1"/>
      <c r="AD406" s="1"/>
      <c r="AE406" s="1" t="s">
        <v>9135</v>
      </c>
      <c r="AF406" s="1"/>
      <c r="AG406" s="1"/>
      <c r="AH406" s="1" t="s">
        <v>9136</v>
      </c>
      <c r="AI406" s="1"/>
      <c r="AJ406" s="1" t="s">
        <v>5747</v>
      </c>
      <c r="AK406" s="1" t="s">
        <v>3494</v>
      </c>
      <c r="AL406" s="1" t="s">
        <v>5748</v>
      </c>
      <c r="AM406" s="1" t="s">
        <v>5749</v>
      </c>
      <c r="AN406" s="1" t="s">
        <v>3494</v>
      </c>
      <c r="AO406" s="1" t="s">
        <v>5750</v>
      </c>
      <c r="AP406" s="2" t="s">
        <v>9137</v>
      </c>
      <c r="AQ406" s="2" t="s">
        <v>1154</v>
      </c>
      <c r="AR406" s="1" t="s">
        <v>286</v>
      </c>
      <c r="AS406" s="1"/>
      <c r="AT406" s="1" t="s">
        <v>5</v>
      </c>
    </row>
    <row r="407" spans="1:46" hidden="1" x14ac:dyDescent="0.4">
      <c r="A407" s="1" t="s">
        <v>5689</v>
      </c>
      <c r="B407" s="10"/>
      <c r="C407" s="1" t="s">
        <v>93</v>
      </c>
      <c r="D407" s="1" t="s">
        <v>2211</v>
      </c>
      <c r="E407" s="1" t="s">
        <v>2078</v>
      </c>
      <c r="F407" s="1" t="s">
        <v>14</v>
      </c>
      <c r="G407" s="1" t="s">
        <v>1</v>
      </c>
      <c r="H407" s="1" t="s">
        <v>6</v>
      </c>
      <c r="I407" s="1" t="s">
        <v>2</v>
      </c>
      <c r="J407" s="1" t="s">
        <v>3</v>
      </c>
      <c r="K407" s="1" t="s">
        <v>5690</v>
      </c>
      <c r="L407" s="1" t="s">
        <v>7</v>
      </c>
      <c r="M407" s="1"/>
      <c r="N407" s="1" t="s">
        <v>5691</v>
      </c>
      <c r="O407" s="1" t="s">
        <v>3055</v>
      </c>
      <c r="P407" s="1"/>
      <c r="Q407" s="1"/>
      <c r="R407" s="1" t="s">
        <v>11</v>
      </c>
      <c r="S407" s="1"/>
      <c r="T407" s="1"/>
      <c r="U407" s="1"/>
      <c r="V407" s="1"/>
      <c r="W407" s="1" t="s">
        <v>5692</v>
      </c>
      <c r="X407" s="1" t="s">
        <v>5683</v>
      </c>
      <c r="Y407" s="1"/>
      <c r="Z407" s="1"/>
      <c r="AA407" s="1"/>
      <c r="AB407" s="1" t="s">
        <v>5693</v>
      </c>
      <c r="AC407" s="1"/>
      <c r="AD407" s="1"/>
      <c r="AE407" s="1"/>
      <c r="AF407" s="1"/>
      <c r="AG407" s="1"/>
      <c r="AH407" s="1" t="s">
        <v>5694</v>
      </c>
      <c r="AI407" s="1"/>
      <c r="AJ407" s="1" t="s">
        <v>4386</v>
      </c>
      <c r="AK407" s="1" t="s">
        <v>3792</v>
      </c>
      <c r="AL407" s="1" t="s">
        <v>4387</v>
      </c>
      <c r="AM407" s="1" t="s">
        <v>4386</v>
      </c>
      <c r="AN407" s="1" t="s">
        <v>3792</v>
      </c>
      <c r="AO407" s="1" t="s">
        <v>4387</v>
      </c>
      <c r="AP407" s="2" t="s">
        <v>5695</v>
      </c>
      <c r="AQ407" s="2" t="s">
        <v>1155</v>
      </c>
      <c r="AR407" s="1" t="s">
        <v>286</v>
      </c>
      <c r="AS407" s="1"/>
      <c r="AT407" s="1" t="s">
        <v>5</v>
      </c>
    </row>
    <row r="408" spans="1:46" hidden="1" x14ac:dyDescent="0.4">
      <c r="A408" s="1" t="s">
        <v>6946</v>
      </c>
      <c r="B408" s="10"/>
      <c r="C408" s="1" t="s">
        <v>2705</v>
      </c>
      <c r="D408" s="1" t="s">
        <v>2157</v>
      </c>
      <c r="E408" s="1" t="s">
        <v>2078</v>
      </c>
      <c r="F408" s="1" t="s">
        <v>14</v>
      </c>
      <c r="G408" s="1" t="s">
        <v>1</v>
      </c>
      <c r="H408" s="1" t="s">
        <v>6</v>
      </c>
      <c r="I408" s="1" t="s">
        <v>2</v>
      </c>
      <c r="J408" s="1" t="s">
        <v>2813</v>
      </c>
      <c r="K408" s="1" t="s">
        <v>6947</v>
      </c>
      <c r="L408" s="1" t="s">
        <v>7</v>
      </c>
      <c r="M408" s="1" t="s">
        <v>9</v>
      </c>
      <c r="N408" s="1" t="s">
        <v>6948</v>
      </c>
      <c r="O408" s="1" t="s">
        <v>6949</v>
      </c>
      <c r="P408" s="1"/>
      <c r="Q408" s="1"/>
      <c r="R408" s="1" t="s">
        <v>11</v>
      </c>
      <c r="S408" s="1"/>
      <c r="T408" s="1"/>
      <c r="U408" s="1"/>
      <c r="V408" s="1"/>
      <c r="W408" s="1"/>
      <c r="X408" s="1" t="s">
        <v>6950</v>
      </c>
      <c r="Y408" s="1"/>
      <c r="Z408" s="1"/>
      <c r="AA408" s="1"/>
      <c r="AB408" s="1" t="s">
        <v>6951</v>
      </c>
      <c r="AC408" s="1"/>
      <c r="AD408" s="1"/>
      <c r="AE408" s="1"/>
      <c r="AF408" s="1"/>
      <c r="AG408" s="1"/>
      <c r="AH408" s="1" t="s">
        <v>6952</v>
      </c>
      <c r="AI408" s="1"/>
      <c r="AJ408" s="1" t="s">
        <v>6953</v>
      </c>
      <c r="AK408" s="1" t="s">
        <v>5609</v>
      </c>
      <c r="AL408" s="1" t="s">
        <v>6954</v>
      </c>
      <c r="AM408" s="1" t="s">
        <v>6955</v>
      </c>
      <c r="AN408" s="1" t="s">
        <v>6956</v>
      </c>
      <c r="AO408" s="1" t="s">
        <v>6957</v>
      </c>
      <c r="AP408" s="2" t="s">
        <v>6958</v>
      </c>
      <c r="AQ408" s="2" t="s">
        <v>1077</v>
      </c>
      <c r="AR408" s="1" t="s">
        <v>286</v>
      </c>
      <c r="AS408" s="1"/>
      <c r="AT408" s="1" t="s">
        <v>5</v>
      </c>
    </row>
    <row r="409" spans="1:46" hidden="1" x14ac:dyDescent="0.4">
      <c r="A409" s="1" t="s">
        <v>5399</v>
      </c>
      <c r="B409" s="10"/>
      <c r="C409" s="1" t="s">
        <v>0</v>
      </c>
      <c r="D409" s="1" t="s">
        <v>2076</v>
      </c>
      <c r="E409" s="1" t="s">
        <v>2078</v>
      </c>
      <c r="F409" s="1" t="s">
        <v>14</v>
      </c>
      <c r="G409" s="1" t="s">
        <v>1</v>
      </c>
      <c r="H409" s="1" t="s">
        <v>6</v>
      </c>
      <c r="I409" s="1" t="s">
        <v>2</v>
      </c>
      <c r="J409" s="1" t="s">
        <v>3</v>
      </c>
      <c r="K409" s="1" t="s">
        <v>5400</v>
      </c>
      <c r="L409" s="1" t="s">
        <v>4</v>
      </c>
      <c r="M409" s="1" t="s">
        <v>9</v>
      </c>
      <c r="N409" s="1" t="s">
        <v>5401</v>
      </c>
      <c r="O409" s="1" t="s">
        <v>5402</v>
      </c>
      <c r="P409" s="1"/>
      <c r="Q409" s="1"/>
      <c r="R409" s="1" t="s">
        <v>11</v>
      </c>
      <c r="S409" s="1"/>
      <c r="T409" s="1"/>
      <c r="U409" s="1"/>
      <c r="V409" s="1"/>
      <c r="W409" s="1"/>
      <c r="X409" s="1" t="s">
        <v>5403</v>
      </c>
      <c r="Y409" s="1"/>
      <c r="Z409" s="1"/>
      <c r="AA409" s="1"/>
      <c r="AB409" s="1" t="s">
        <v>5404</v>
      </c>
      <c r="AC409" s="1"/>
      <c r="AD409" s="1"/>
      <c r="AE409" s="1" t="s">
        <v>5405</v>
      </c>
      <c r="AF409" s="1"/>
      <c r="AG409" s="1"/>
      <c r="AH409" s="1" t="s">
        <v>5406</v>
      </c>
      <c r="AI409" s="1"/>
      <c r="AJ409" s="1" t="s">
        <v>363</v>
      </c>
      <c r="AK409" s="1" t="s">
        <v>517</v>
      </c>
      <c r="AL409" s="1" t="s">
        <v>364</v>
      </c>
      <c r="AM409" s="1" t="s">
        <v>5407</v>
      </c>
      <c r="AN409" s="1" t="s">
        <v>517</v>
      </c>
      <c r="AO409" s="1" t="s">
        <v>5408</v>
      </c>
      <c r="AP409" s="2" t="s">
        <v>5409</v>
      </c>
      <c r="AQ409" s="2" t="s">
        <v>1077</v>
      </c>
      <c r="AR409" s="1" t="s">
        <v>286</v>
      </c>
      <c r="AS409" s="1"/>
      <c r="AT409" s="1" t="s">
        <v>5</v>
      </c>
    </row>
    <row r="410" spans="1:46" hidden="1" x14ac:dyDescent="0.4">
      <c r="A410" s="1" t="s">
        <v>5410</v>
      </c>
      <c r="B410" s="10"/>
      <c r="C410" s="1" t="s">
        <v>0</v>
      </c>
      <c r="D410" s="1" t="s">
        <v>2076</v>
      </c>
      <c r="E410" s="1" t="s">
        <v>2078</v>
      </c>
      <c r="F410" s="1" t="s">
        <v>14</v>
      </c>
      <c r="G410" s="1" t="s">
        <v>1</v>
      </c>
      <c r="H410" s="1" t="s">
        <v>6</v>
      </c>
      <c r="I410" s="1" t="s">
        <v>2</v>
      </c>
      <c r="J410" s="1" t="s">
        <v>3</v>
      </c>
      <c r="K410" s="1" t="s">
        <v>5411</v>
      </c>
      <c r="L410" s="1" t="s">
        <v>4</v>
      </c>
      <c r="M410" s="1" t="s">
        <v>9</v>
      </c>
      <c r="N410" s="1" t="s">
        <v>5412</v>
      </c>
      <c r="O410" s="1" t="s">
        <v>5402</v>
      </c>
      <c r="P410" s="1"/>
      <c r="Q410" s="1"/>
      <c r="R410" s="1" t="s">
        <v>11</v>
      </c>
      <c r="S410" s="1"/>
      <c r="T410" s="1"/>
      <c r="U410" s="1"/>
      <c r="V410" s="1"/>
      <c r="W410" s="1"/>
      <c r="X410" s="1" t="s">
        <v>5413</v>
      </c>
      <c r="Y410" s="1"/>
      <c r="Z410" s="1"/>
      <c r="AA410" s="1"/>
      <c r="AB410" s="1" t="s">
        <v>5414</v>
      </c>
      <c r="AC410" s="1"/>
      <c r="AD410" s="1"/>
      <c r="AE410" s="1" t="s">
        <v>5405</v>
      </c>
      <c r="AF410" s="1"/>
      <c r="AG410" s="1"/>
      <c r="AH410" s="1" t="s">
        <v>5415</v>
      </c>
      <c r="AI410" s="1"/>
      <c r="AJ410" s="1" t="s">
        <v>363</v>
      </c>
      <c r="AK410" s="1" t="s">
        <v>517</v>
      </c>
      <c r="AL410" s="1" t="s">
        <v>364</v>
      </c>
      <c r="AM410" s="1" t="s">
        <v>5407</v>
      </c>
      <c r="AN410" s="1" t="s">
        <v>517</v>
      </c>
      <c r="AO410" s="1" t="s">
        <v>5408</v>
      </c>
      <c r="AP410" s="2" t="s">
        <v>5416</v>
      </c>
      <c r="AQ410" s="2" t="s">
        <v>1077</v>
      </c>
      <c r="AR410" s="1" t="s">
        <v>286</v>
      </c>
      <c r="AS410" s="1"/>
      <c r="AT410" s="1" t="s">
        <v>5</v>
      </c>
    </row>
    <row r="411" spans="1:46" hidden="1" x14ac:dyDescent="0.4">
      <c r="A411" s="1" t="s">
        <v>9825</v>
      </c>
      <c r="B411" s="10"/>
      <c r="C411" s="1" t="s">
        <v>0</v>
      </c>
      <c r="D411" s="1" t="s">
        <v>2076</v>
      </c>
      <c r="E411" s="1" t="s">
        <v>2078</v>
      </c>
      <c r="F411" s="1" t="s">
        <v>14</v>
      </c>
      <c r="G411" s="1" t="s">
        <v>1</v>
      </c>
      <c r="H411" s="1" t="s">
        <v>6</v>
      </c>
      <c r="I411" s="1" t="s">
        <v>2</v>
      </c>
      <c r="J411" s="1" t="s">
        <v>3</v>
      </c>
      <c r="K411" s="1" t="s">
        <v>9826</v>
      </c>
      <c r="L411" s="1" t="s">
        <v>7</v>
      </c>
      <c r="M411" s="1" t="s">
        <v>9</v>
      </c>
      <c r="N411" s="1" t="s">
        <v>9827</v>
      </c>
      <c r="O411" s="1" t="s">
        <v>2160</v>
      </c>
      <c r="P411" s="1"/>
      <c r="Q411" s="1"/>
      <c r="R411" s="1" t="s">
        <v>11</v>
      </c>
      <c r="S411" s="1"/>
      <c r="T411" s="1"/>
      <c r="U411" s="1"/>
      <c r="V411" s="1"/>
      <c r="W411" s="1"/>
      <c r="X411" s="1"/>
      <c r="Y411" s="1"/>
      <c r="Z411" s="1"/>
      <c r="AA411" s="1"/>
      <c r="AB411" s="1" t="s">
        <v>9828</v>
      </c>
      <c r="AC411" s="1"/>
      <c r="AD411" s="1"/>
      <c r="AE411" s="1" t="s">
        <v>9829</v>
      </c>
      <c r="AF411" s="1"/>
      <c r="AG411" s="1"/>
      <c r="AH411" s="1" t="s">
        <v>9830</v>
      </c>
      <c r="AI411" s="1"/>
      <c r="AJ411" s="1" t="s">
        <v>9514</v>
      </c>
      <c r="AK411" s="1" t="s">
        <v>4564</v>
      </c>
      <c r="AL411" s="1" t="s">
        <v>9515</v>
      </c>
      <c r="AM411" s="1" t="s">
        <v>4563</v>
      </c>
      <c r="AN411" s="1" t="s">
        <v>4564</v>
      </c>
      <c r="AO411" s="1" t="s">
        <v>4565</v>
      </c>
      <c r="AP411" s="2" t="s">
        <v>9831</v>
      </c>
      <c r="AQ411" s="2" t="s">
        <v>1155</v>
      </c>
      <c r="AR411" s="1" t="s">
        <v>286</v>
      </c>
      <c r="AS411" s="1" t="s">
        <v>9832</v>
      </c>
      <c r="AT411" s="1" t="s">
        <v>5</v>
      </c>
    </row>
    <row r="412" spans="1:46" hidden="1" x14ac:dyDescent="0.4">
      <c r="A412" s="1" t="s">
        <v>7573</v>
      </c>
      <c r="B412" s="10"/>
      <c r="C412" s="1" t="s">
        <v>0</v>
      </c>
      <c r="D412" s="1" t="s">
        <v>2076</v>
      </c>
      <c r="E412" s="1" t="s">
        <v>2078</v>
      </c>
      <c r="F412" s="1" t="s">
        <v>14</v>
      </c>
      <c r="G412" s="1" t="s">
        <v>1</v>
      </c>
      <c r="H412" s="1" t="s">
        <v>6</v>
      </c>
      <c r="I412" s="1" t="s">
        <v>2</v>
      </c>
      <c r="J412" s="1" t="s">
        <v>3</v>
      </c>
      <c r="K412" s="1" t="s">
        <v>7574</v>
      </c>
      <c r="L412" s="1" t="s">
        <v>7</v>
      </c>
      <c r="M412" s="1" t="s">
        <v>9</v>
      </c>
      <c r="N412" s="1" t="s">
        <v>7575</v>
      </c>
      <c r="O412" s="1" t="s">
        <v>2160</v>
      </c>
      <c r="P412" s="1"/>
      <c r="Q412" s="1"/>
      <c r="R412" s="1" t="s">
        <v>11</v>
      </c>
      <c r="S412" s="1"/>
      <c r="T412" s="1"/>
      <c r="U412" s="1"/>
      <c r="V412" s="1"/>
      <c r="W412" s="1"/>
      <c r="X412" s="1" t="s">
        <v>4335</v>
      </c>
      <c r="Y412" s="1"/>
      <c r="Z412" s="1"/>
      <c r="AA412" s="1"/>
      <c r="AB412" s="1" t="s">
        <v>7576</v>
      </c>
      <c r="AC412" s="1"/>
      <c r="AD412" s="1"/>
      <c r="AE412" s="1"/>
      <c r="AF412" s="1"/>
      <c r="AG412" s="1"/>
      <c r="AH412" s="1" t="s">
        <v>7577</v>
      </c>
      <c r="AI412" s="1"/>
      <c r="AJ412" s="1" t="s">
        <v>51</v>
      </c>
      <c r="AK412" s="1" t="s">
        <v>518</v>
      </c>
      <c r="AL412" s="1" t="s">
        <v>136</v>
      </c>
      <c r="AM412" s="1" t="s">
        <v>7578</v>
      </c>
      <c r="AN412" s="1" t="s">
        <v>518</v>
      </c>
      <c r="AO412" s="1" t="s">
        <v>7579</v>
      </c>
      <c r="AP412" s="2" t="s">
        <v>7580</v>
      </c>
      <c r="AQ412" s="2" t="s">
        <v>1154</v>
      </c>
      <c r="AR412" s="1" t="s">
        <v>286</v>
      </c>
      <c r="AS412" s="1" t="s">
        <v>7581</v>
      </c>
      <c r="AT412" s="1" t="s">
        <v>5</v>
      </c>
    </row>
    <row r="413" spans="1:46" hidden="1" x14ac:dyDescent="0.4">
      <c r="A413" s="1" t="s">
        <v>11256</v>
      </c>
      <c r="B413" s="10"/>
      <c r="C413" s="1" t="s">
        <v>0</v>
      </c>
      <c r="D413" s="1" t="s">
        <v>2396</v>
      </c>
      <c r="E413" s="1" t="s">
        <v>2078</v>
      </c>
      <c r="F413" s="1" t="s">
        <v>14</v>
      </c>
      <c r="G413" s="1" t="s">
        <v>1</v>
      </c>
      <c r="H413" s="1" t="s">
        <v>6</v>
      </c>
      <c r="I413" s="1" t="s">
        <v>2</v>
      </c>
      <c r="J413" s="1" t="s">
        <v>3</v>
      </c>
      <c r="K413" s="1" t="s">
        <v>11257</v>
      </c>
      <c r="L413" s="1" t="s">
        <v>4</v>
      </c>
      <c r="M413" s="1" t="s">
        <v>9</v>
      </c>
      <c r="N413" s="1" t="s">
        <v>11258</v>
      </c>
      <c r="O413" s="1" t="s">
        <v>11259</v>
      </c>
      <c r="P413" s="1"/>
      <c r="Q413" s="1"/>
      <c r="R413" s="1" t="s">
        <v>11</v>
      </c>
      <c r="S413" s="1"/>
      <c r="T413" s="1"/>
      <c r="U413" s="1"/>
      <c r="V413" s="1"/>
      <c r="W413" s="1"/>
      <c r="X413" s="1"/>
      <c r="Y413" s="1"/>
      <c r="Z413" s="1"/>
      <c r="AA413" s="1"/>
      <c r="AB413" s="1" t="s">
        <v>11260</v>
      </c>
      <c r="AC413" s="1"/>
      <c r="AD413" s="1"/>
      <c r="AE413" s="1" t="s">
        <v>11261</v>
      </c>
      <c r="AF413" s="1"/>
      <c r="AG413" s="1"/>
      <c r="AH413" s="1" t="s">
        <v>11262</v>
      </c>
      <c r="AI413" s="1"/>
      <c r="AJ413" s="1" t="s">
        <v>79</v>
      </c>
      <c r="AK413" s="1" t="s">
        <v>503</v>
      </c>
      <c r="AL413" s="1" t="s">
        <v>121</v>
      </c>
      <c r="AM413" s="1" t="s">
        <v>1719</v>
      </c>
      <c r="AN413" s="1" t="s">
        <v>503</v>
      </c>
      <c r="AO413" s="1" t="s">
        <v>11263</v>
      </c>
      <c r="AP413" s="2" t="s">
        <v>11264</v>
      </c>
      <c r="AQ413" s="2" t="s">
        <v>1155</v>
      </c>
      <c r="AR413" s="1" t="s">
        <v>286</v>
      </c>
      <c r="AS413" s="1" t="s">
        <v>11265</v>
      </c>
      <c r="AT413" s="1" t="s">
        <v>5</v>
      </c>
    </row>
    <row r="414" spans="1:46" hidden="1" x14ac:dyDescent="0.4">
      <c r="A414" s="1" t="s">
        <v>3580</v>
      </c>
      <c r="B414" s="10"/>
      <c r="C414" s="1" t="s">
        <v>0</v>
      </c>
      <c r="D414" s="1" t="s">
        <v>2076</v>
      </c>
      <c r="E414" s="1" t="s">
        <v>2078</v>
      </c>
      <c r="F414" s="1" t="s">
        <v>14</v>
      </c>
      <c r="G414" s="1" t="s">
        <v>1</v>
      </c>
      <c r="H414" s="1" t="s">
        <v>6</v>
      </c>
      <c r="I414" s="1" t="s">
        <v>2</v>
      </c>
      <c r="J414" s="1" t="s">
        <v>3</v>
      </c>
      <c r="K414" s="1" t="s">
        <v>3581</v>
      </c>
      <c r="L414" s="1" t="s">
        <v>4</v>
      </c>
      <c r="M414" s="1" t="s">
        <v>9</v>
      </c>
      <c r="N414" s="1" t="s">
        <v>3582</v>
      </c>
      <c r="O414" s="1" t="s">
        <v>3583</v>
      </c>
      <c r="P414" s="1"/>
      <c r="Q414" s="1"/>
      <c r="R414" s="1" t="s">
        <v>11</v>
      </c>
      <c r="S414" s="1"/>
      <c r="T414" s="1"/>
      <c r="U414" s="1"/>
      <c r="V414" s="1"/>
      <c r="W414" s="1" t="s">
        <v>3584</v>
      </c>
      <c r="X414" s="1" t="s">
        <v>3585</v>
      </c>
      <c r="Y414" s="1"/>
      <c r="Z414" s="1"/>
      <c r="AA414" s="1"/>
      <c r="AB414" s="1" t="s">
        <v>3586</v>
      </c>
      <c r="AC414" s="1"/>
      <c r="AD414" s="1"/>
      <c r="AE414" s="1" t="s">
        <v>3587</v>
      </c>
      <c r="AF414" s="1"/>
      <c r="AG414" s="1"/>
      <c r="AH414" s="1" t="s">
        <v>3588</v>
      </c>
      <c r="AI414" s="1"/>
      <c r="AJ414" s="1" t="s">
        <v>26</v>
      </c>
      <c r="AK414" s="1" t="s">
        <v>280</v>
      </c>
      <c r="AL414" s="1"/>
      <c r="AM414" s="1" t="s">
        <v>3589</v>
      </c>
      <c r="AN414" s="1" t="s">
        <v>280</v>
      </c>
      <c r="AO414" s="1"/>
      <c r="AP414" s="2" t="s">
        <v>3590</v>
      </c>
      <c r="AQ414" s="2" t="s">
        <v>1153</v>
      </c>
      <c r="AR414" s="1" t="s">
        <v>286</v>
      </c>
      <c r="AS414" s="1" t="s">
        <v>3591</v>
      </c>
      <c r="AT414" s="1" t="s">
        <v>5</v>
      </c>
    </row>
    <row r="415" spans="1:46" hidden="1" x14ac:dyDescent="0.4">
      <c r="A415" s="1" t="s">
        <v>6898</v>
      </c>
      <c r="B415" s="10"/>
      <c r="C415" s="1" t="s">
        <v>2841</v>
      </c>
      <c r="D415" s="1" t="s">
        <v>2220</v>
      </c>
      <c r="E415" s="1" t="s">
        <v>2078</v>
      </c>
      <c r="F415" s="1" t="s">
        <v>14</v>
      </c>
      <c r="G415" s="1" t="s">
        <v>1</v>
      </c>
      <c r="H415" s="1" t="s">
        <v>6</v>
      </c>
      <c r="I415" s="1" t="s">
        <v>2</v>
      </c>
      <c r="J415" s="1" t="s">
        <v>2842</v>
      </c>
      <c r="K415" s="1" t="s">
        <v>6899</v>
      </c>
      <c r="L415" s="1" t="s">
        <v>7</v>
      </c>
      <c r="M415" s="1"/>
      <c r="N415" s="1" t="s">
        <v>6900</v>
      </c>
      <c r="O415" s="1" t="s">
        <v>2160</v>
      </c>
      <c r="P415" s="1"/>
      <c r="Q415" s="1"/>
      <c r="R415" s="1" t="s">
        <v>11</v>
      </c>
      <c r="S415" s="1"/>
      <c r="T415" s="1"/>
      <c r="U415" s="1"/>
      <c r="V415" s="1"/>
      <c r="W415" s="1" t="s">
        <v>6901</v>
      </c>
      <c r="X415" s="1" t="s">
        <v>6001</v>
      </c>
      <c r="Y415" s="1"/>
      <c r="Z415" s="1"/>
      <c r="AA415" s="1"/>
      <c r="AB415" s="1" t="s">
        <v>6902</v>
      </c>
      <c r="AC415" s="1"/>
      <c r="AD415" s="1"/>
      <c r="AE415" s="1"/>
      <c r="AF415" s="1"/>
      <c r="AG415" s="1"/>
      <c r="AH415" s="1" t="s">
        <v>6903</v>
      </c>
      <c r="AI415" s="1"/>
      <c r="AJ415" s="1" t="s">
        <v>4327</v>
      </c>
      <c r="AK415" s="1" t="s">
        <v>3471</v>
      </c>
      <c r="AL415" s="1" t="s">
        <v>4328</v>
      </c>
      <c r="AM415" s="1" t="s">
        <v>4327</v>
      </c>
      <c r="AN415" s="1" t="s">
        <v>3471</v>
      </c>
      <c r="AO415" s="1" t="s">
        <v>4328</v>
      </c>
      <c r="AP415" s="2" t="s">
        <v>6904</v>
      </c>
      <c r="AQ415" s="2" t="s">
        <v>1077</v>
      </c>
      <c r="AR415" s="1" t="s">
        <v>286</v>
      </c>
      <c r="AS415" s="1"/>
      <c r="AT415" s="1" t="s">
        <v>5</v>
      </c>
    </row>
    <row r="416" spans="1:46" hidden="1" x14ac:dyDescent="0.4">
      <c r="A416" s="1" t="s">
        <v>6887</v>
      </c>
      <c r="B416" s="10"/>
      <c r="C416" s="1" t="s">
        <v>2705</v>
      </c>
      <c r="D416" s="1" t="s">
        <v>2076</v>
      </c>
      <c r="E416" s="1" t="s">
        <v>13</v>
      </c>
      <c r="F416" s="1" t="s">
        <v>14</v>
      </c>
      <c r="G416" s="1" t="s">
        <v>1</v>
      </c>
      <c r="H416" s="1" t="s">
        <v>6</v>
      </c>
      <c r="I416" s="1" t="s">
        <v>2</v>
      </c>
      <c r="J416" s="1" t="s">
        <v>2813</v>
      </c>
      <c r="K416" s="1" t="s">
        <v>6888</v>
      </c>
      <c r="L416" s="1" t="s">
        <v>4</v>
      </c>
      <c r="M416" s="1"/>
      <c r="N416" s="1" t="s">
        <v>6889</v>
      </c>
      <c r="O416" s="1" t="s">
        <v>2238</v>
      </c>
      <c r="P416" s="1"/>
      <c r="Q416" s="1"/>
      <c r="R416" s="1" t="s">
        <v>11</v>
      </c>
      <c r="S416" s="1"/>
      <c r="T416" s="1"/>
      <c r="U416" s="1"/>
      <c r="V416" s="1"/>
      <c r="W416" s="1"/>
      <c r="X416" s="1" t="s">
        <v>6890</v>
      </c>
      <c r="Y416" s="1"/>
      <c r="Z416" s="1"/>
      <c r="AA416" s="1"/>
      <c r="AB416" s="1" t="s">
        <v>6891</v>
      </c>
      <c r="AC416" s="1"/>
      <c r="AD416" s="1"/>
      <c r="AE416" s="1"/>
      <c r="AF416" s="1"/>
      <c r="AG416" s="1"/>
      <c r="AH416" s="1" t="s">
        <v>6892</v>
      </c>
      <c r="AI416" s="1"/>
      <c r="AJ416" s="1" t="s">
        <v>6893</v>
      </c>
      <c r="AK416" s="1" t="s">
        <v>2955</v>
      </c>
      <c r="AL416" s="1" t="s">
        <v>6894</v>
      </c>
      <c r="AM416" s="1" t="s">
        <v>6895</v>
      </c>
      <c r="AN416" s="1" t="s">
        <v>2955</v>
      </c>
      <c r="AO416" s="1" t="s">
        <v>6896</v>
      </c>
      <c r="AP416" s="2" t="s">
        <v>6897</v>
      </c>
      <c r="AQ416" s="2" t="s">
        <v>1077</v>
      </c>
      <c r="AR416" s="1" t="s">
        <v>286</v>
      </c>
      <c r="AS416" s="1"/>
      <c r="AT416" s="1" t="s">
        <v>5</v>
      </c>
    </row>
    <row r="417" spans="1:46" hidden="1" x14ac:dyDescent="0.4">
      <c r="A417" s="1" t="s">
        <v>6219</v>
      </c>
      <c r="B417" s="10"/>
      <c r="C417" s="1" t="s">
        <v>4980</v>
      </c>
      <c r="D417" s="1" t="s">
        <v>2076</v>
      </c>
      <c r="E417" s="1" t="s">
        <v>2078</v>
      </c>
      <c r="F417" s="1" t="s">
        <v>14</v>
      </c>
      <c r="G417" s="1" t="s">
        <v>1</v>
      </c>
      <c r="H417" s="1" t="s">
        <v>6</v>
      </c>
      <c r="I417" s="1" t="s">
        <v>2</v>
      </c>
      <c r="J417" s="1" t="s">
        <v>4519</v>
      </c>
      <c r="K417" s="1" t="s">
        <v>6220</v>
      </c>
      <c r="L417" s="1" t="s">
        <v>7</v>
      </c>
      <c r="M417" s="1"/>
      <c r="N417" s="1" t="s">
        <v>6221</v>
      </c>
      <c r="O417" s="1" t="s">
        <v>6222</v>
      </c>
      <c r="P417" s="1"/>
      <c r="Q417" s="1"/>
      <c r="R417" s="1" t="s">
        <v>11</v>
      </c>
      <c r="S417" s="1"/>
      <c r="T417" s="1"/>
      <c r="U417" s="1"/>
      <c r="V417" s="1"/>
      <c r="W417" s="1" t="s">
        <v>6223</v>
      </c>
      <c r="X417" s="1" t="s">
        <v>6224</v>
      </c>
      <c r="Y417" s="1"/>
      <c r="Z417" s="1"/>
      <c r="AA417" s="1"/>
      <c r="AB417" s="1" t="s">
        <v>6225</v>
      </c>
      <c r="AC417" s="1"/>
      <c r="AD417" s="1"/>
      <c r="AE417" s="1"/>
      <c r="AF417" s="1"/>
      <c r="AG417" s="1"/>
      <c r="AH417" s="1" t="s">
        <v>6226</v>
      </c>
      <c r="AI417" s="1"/>
      <c r="AJ417" s="1" t="s">
        <v>4988</v>
      </c>
      <c r="AK417" s="1" t="s">
        <v>3521</v>
      </c>
      <c r="AL417" s="1" t="s">
        <v>4989</v>
      </c>
      <c r="AM417" s="1" t="s">
        <v>4988</v>
      </c>
      <c r="AN417" s="1" t="s">
        <v>3521</v>
      </c>
      <c r="AO417" s="1" t="s">
        <v>4989</v>
      </c>
      <c r="AP417" s="2" t="s">
        <v>6227</v>
      </c>
      <c r="AQ417" s="2" t="s">
        <v>1077</v>
      </c>
      <c r="AR417" s="1" t="s">
        <v>286</v>
      </c>
      <c r="AS417" s="1"/>
      <c r="AT417" s="1" t="s">
        <v>5</v>
      </c>
    </row>
    <row r="418" spans="1:46" hidden="1" x14ac:dyDescent="0.4">
      <c r="A418" s="1" t="s">
        <v>2666</v>
      </c>
      <c r="B418" s="10"/>
      <c r="C418" s="1" t="s">
        <v>2491</v>
      </c>
      <c r="D418" s="1" t="s">
        <v>2157</v>
      </c>
      <c r="E418" s="1" t="s">
        <v>2078</v>
      </c>
      <c r="F418" s="1" t="s">
        <v>14</v>
      </c>
      <c r="G418" s="1" t="s">
        <v>1</v>
      </c>
      <c r="H418" s="1" t="s">
        <v>6</v>
      </c>
      <c r="I418" s="1" t="s">
        <v>2</v>
      </c>
      <c r="J418" s="1" t="s">
        <v>2492</v>
      </c>
      <c r="K418" s="1" t="s">
        <v>2667</v>
      </c>
      <c r="L418" s="1" t="s">
        <v>7</v>
      </c>
      <c r="M418" s="1" t="s">
        <v>9</v>
      </c>
      <c r="N418" s="1" t="s">
        <v>2668</v>
      </c>
      <c r="O418" s="1" t="s">
        <v>2238</v>
      </c>
      <c r="P418" s="1"/>
      <c r="Q418" s="1"/>
      <c r="R418" s="1"/>
      <c r="S418" s="1"/>
      <c r="T418" s="1"/>
      <c r="U418" s="1"/>
      <c r="V418" s="1"/>
      <c r="W418" s="1"/>
      <c r="X418" s="1"/>
      <c r="Y418" s="1"/>
      <c r="Z418" s="1"/>
      <c r="AA418" s="1"/>
      <c r="AB418" s="1" t="s">
        <v>2669</v>
      </c>
      <c r="AC418" s="1"/>
      <c r="AD418" s="1"/>
      <c r="AE418" s="1"/>
      <c r="AF418" s="1"/>
      <c r="AG418" s="1"/>
      <c r="AH418" s="1" t="s">
        <v>2670</v>
      </c>
      <c r="AI418" s="1"/>
      <c r="AJ418" s="1" t="s">
        <v>2627</v>
      </c>
      <c r="AK418" s="1" t="s">
        <v>2628</v>
      </c>
      <c r="AL418" s="1"/>
      <c r="AM418" s="1" t="s">
        <v>2671</v>
      </c>
      <c r="AN418" s="1" t="s">
        <v>2628</v>
      </c>
      <c r="AO418" s="1" t="s">
        <v>2672</v>
      </c>
      <c r="AP418" s="2" t="s">
        <v>2673</v>
      </c>
      <c r="AQ418" s="2" t="s">
        <v>1077</v>
      </c>
      <c r="AR418" s="1"/>
      <c r="AS418" s="1"/>
      <c r="AT418" s="1" t="s">
        <v>5</v>
      </c>
    </row>
    <row r="419" spans="1:46" hidden="1" x14ac:dyDescent="0.4">
      <c r="A419" s="1" t="s">
        <v>4612</v>
      </c>
      <c r="B419" s="10"/>
      <c r="C419" s="1" t="s">
        <v>4518</v>
      </c>
      <c r="D419" s="1" t="s">
        <v>2076</v>
      </c>
      <c r="E419" s="1" t="s">
        <v>2078</v>
      </c>
      <c r="F419" s="1" t="s">
        <v>14</v>
      </c>
      <c r="G419" s="1" t="s">
        <v>1</v>
      </c>
      <c r="H419" s="1" t="s">
        <v>6</v>
      </c>
      <c r="I419" s="1" t="s">
        <v>2</v>
      </c>
      <c r="J419" s="1" t="s">
        <v>4519</v>
      </c>
      <c r="K419" s="1" t="s">
        <v>4613</v>
      </c>
      <c r="L419" s="1" t="s">
        <v>4</v>
      </c>
      <c r="M419" s="1" t="s">
        <v>9</v>
      </c>
      <c r="N419" s="1" t="s">
        <v>4614</v>
      </c>
      <c r="O419" s="1" t="s">
        <v>2238</v>
      </c>
      <c r="P419" s="1" t="s">
        <v>4615</v>
      </c>
      <c r="Q419" s="1"/>
      <c r="R419" s="1" t="s">
        <v>11</v>
      </c>
      <c r="S419" s="1"/>
      <c r="T419" s="1"/>
      <c r="U419" s="1"/>
      <c r="V419" s="1"/>
      <c r="W419" s="1"/>
      <c r="X419" s="1" t="s">
        <v>4616</v>
      </c>
      <c r="Y419" s="1"/>
      <c r="Z419" s="1"/>
      <c r="AA419" s="1"/>
      <c r="AB419" s="1" t="s">
        <v>4617</v>
      </c>
      <c r="AC419" s="1"/>
      <c r="AD419" s="1"/>
      <c r="AE419" s="1" t="s">
        <v>4618</v>
      </c>
      <c r="AF419" s="1"/>
      <c r="AG419" s="1"/>
      <c r="AH419" s="1" t="s">
        <v>4619</v>
      </c>
      <c r="AI419" s="1"/>
      <c r="AJ419" s="1" t="s">
        <v>4620</v>
      </c>
      <c r="AK419" s="1" t="s">
        <v>4527</v>
      </c>
      <c r="AL419" s="1" t="s">
        <v>4621</v>
      </c>
      <c r="AM419" s="1" t="s">
        <v>4622</v>
      </c>
      <c r="AN419" s="1" t="s">
        <v>4527</v>
      </c>
      <c r="AO419" s="1" t="s">
        <v>4623</v>
      </c>
      <c r="AP419" s="2" t="s">
        <v>4624</v>
      </c>
      <c r="AQ419" s="2" t="s">
        <v>1153</v>
      </c>
      <c r="AR419" s="1" t="s">
        <v>286</v>
      </c>
      <c r="AS419" s="1"/>
      <c r="AT419" s="1" t="s">
        <v>5</v>
      </c>
    </row>
    <row r="420" spans="1:46" hidden="1" x14ac:dyDescent="0.4">
      <c r="A420" s="1" t="s">
        <v>8409</v>
      </c>
      <c r="B420" s="10"/>
      <c r="C420" s="1" t="s">
        <v>0</v>
      </c>
      <c r="D420" s="1" t="s">
        <v>2157</v>
      </c>
      <c r="E420" s="1" t="s">
        <v>2078</v>
      </c>
      <c r="F420" s="1" t="s">
        <v>14</v>
      </c>
      <c r="G420" s="1" t="s">
        <v>1</v>
      </c>
      <c r="H420" s="1" t="s">
        <v>6</v>
      </c>
      <c r="I420" s="1" t="s">
        <v>2</v>
      </c>
      <c r="J420" s="1" t="s">
        <v>3</v>
      </c>
      <c r="K420" s="1" t="s">
        <v>8410</v>
      </c>
      <c r="L420" s="1" t="s">
        <v>7</v>
      </c>
      <c r="M420" s="1" t="s">
        <v>9</v>
      </c>
      <c r="N420" s="1" t="s">
        <v>8411</v>
      </c>
      <c r="O420" s="1" t="s">
        <v>2238</v>
      </c>
      <c r="P420" s="1"/>
      <c r="Q420" s="1"/>
      <c r="R420" s="1" t="s">
        <v>11</v>
      </c>
      <c r="S420" s="1"/>
      <c r="T420" s="1"/>
      <c r="U420" s="1"/>
      <c r="V420" s="1"/>
      <c r="W420" s="1"/>
      <c r="X420" s="1" t="s">
        <v>8412</v>
      </c>
      <c r="Y420" s="1"/>
      <c r="Z420" s="1"/>
      <c r="AA420" s="1"/>
      <c r="AB420" s="1" t="s">
        <v>8413</v>
      </c>
      <c r="AC420" s="1"/>
      <c r="AD420" s="1"/>
      <c r="AE420" s="1" t="s">
        <v>8414</v>
      </c>
      <c r="AF420" s="1"/>
      <c r="AG420" s="1"/>
      <c r="AH420" s="1" t="s">
        <v>8415</v>
      </c>
      <c r="AI420" s="1"/>
      <c r="AJ420" s="1" t="s">
        <v>59</v>
      </c>
      <c r="AK420" s="1" t="s">
        <v>598</v>
      </c>
      <c r="AL420" s="1" t="s">
        <v>126</v>
      </c>
      <c r="AM420" s="1" t="s">
        <v>8205</v>
      </c>
      <c r="AN420" s="1" t="s">
        <v>598</v>
      </c>
      <c r="AO420" s="1" t="s">
        <v>8206</v>
      </c>
      <c r="AP420" s="2" t="s">
        <v>8416</v>
      </c>
      <c r="AQ420" s="2" t="s">
        <v>1154</v>
      </c>
      <c r="AR420" s="1" t="s">
        <v>286</v>
      </c>
      <c r="AS420" s="1" t="s">
        <v>8417</v>
      </c>
      <c r="AT420" s="1" t="s">
        <v>5</v>
      </c>
    </row>
    <row r="421" spans="1:46" hidden="1" x14ac:dyDescent="0.4">
      <c r="A421" s="1" t="s">
        <v>5071</v>
      </c>
      <c r="B421" s="10"/>
      <c r="C421" s="1" t="s">
        <v>3626</v>
      </c>
      <c r="D421" s="1" t="s">
        <v>2076</v>
      </c>
      <c r="E421" s="1" t="s">
        <v>2078</v>
      </c>
      <c r="F421" s="1" t="s">
        <v>14</v>
      </c>
      <c r="G421" s="1" t="s">
        <v>1</v>
      </c>
      <c r="H421" s="1" t="s">
        <v>6</v>
      </c>
      <c r="I421" s="1" t="s">
        <v>2</v>
      </c>
      <c r="J421" s="1" t="s">
        <v>3514</v>
      </c>
      <c r="K421" s="1" t="s">
        <v>5072</v>
      </c>
      <c r="L421" s="1" t="s">
        <v>4</v>
      </c>
      <c r="M421" s="1" t="s">
        <v>9</v>
      </c>
      <c r="N421" s="1" t="s">
        <v>5073</v>
      </c>
      <c r="O421" s="1" t="s">
        <v>2238</v>
      </c>
      <c r="P421" s="1"/>
      <c r="Q421" s="1"/>
      <c r="R421" s="1" t="s">
        <v>11</v>
      </c>
      <c r="S421" s="1"/>
      <c r="T421" s="1"/>
      <c r="U421" s="1"/>
      <c r="V421" s="1"/>
      <c r="W421" s="1" t="s">
        <v>5074</v>
      </c>
      <c r="X421" s="1" t="s">
        <v>5075</v>
      </c>
      <c r="Y421" s="1"/>
      <c r="Z421" s="1"/>
      <c r="AA421" s="1"/>
      <c r="AB421" s="1" t="s">
        <v>5076</v>
      </c>
      <c r="AC421" s="1"/>
      <c r="AD421" s="1"/>
      <c r="AE421" s="1" t="s">
        <v>5077</v>
      </c>
      <c r="AF421" s="1"/>
      <c r="AG421" s="1"/>
      <c r="AH421" s="1" t="s">
        <v>5078</v>
      </c>
      <c r="AI421" s="1"/>
      <c r="AJ421" s="1" t="s">
        <v>4034</v>
      </c>
      <c r="AK421" s="1" t="s">
        <v>4035</v>
      </c>
      <c r="AL421" s="1" t="s">
        <v>4036</v>
      </c>
      <c r="AM421" s="1" t="s">
        <v>4034</v>
      </c>
      <c r="AN421" s="1" t="s">
        <v>4035</v>
      </c>
      <c r="AO421" s="1" t="s">
        <v>4036</v>
      </c>
      <c r="AP421" s="2" t="s">
        <v>5079</v>
      </c>
      <c r="AQ421" s="2" t="s">
        <v>1153</v>
      </c>
      <c r="AR421" s="1" t="s">
        <v>286</v>
      </c>
      <c r="AS421" s="1"/>
      <c r="AT421" s="1" t="s">
        <v>5</v>
      </c>
    </row>
    <row r="422" spans="1:46" hidden="1" x14ac:dyDescent="0.4">
      <c r="A422" s="1" t="s">
        <v>7058</v>
      </c>
      <c r="B422" s="10"/>
      <c r="C422" s="1" t="s">
        <v>93</v>
      </c>
      <c r="D422" s="1" t="s">
        <v>2157</v>
      </c>
      <c r="E422" s="1" t="s">
        <v>2478</v>
      </c>
      <c r="F422" s="1" t="s">
        <v>14</v>
      </c>
      <c r="G422" s="1" t="s">
        <v>1</v>
      </c>
      <c r="H422" s="1" t="s">
        <v>6</v>
      </c>
      <c r="I422" s="1" t="s">
        <v>2</v>
      </c>
      <c r="J422" s="1" t="s">
        <v>3</v>
      </c>
      <c r="K422" s="1" t="s">
        <v>7059</v>
      </c>
      <c r="L422" s="1" t="s">
        <v>7</v>
      </c>
      <c r="M422" s="1"/>
      <c r="N422" s="1" t="s">
        <v>6725</v>
      </c>
      <c r="O422" s="1" t="s">
        <v>5495</v>
      </c>
      <c r="P422" s="1"/>
      <c r="Q422" s="1"/>
      <c r="R422" s="1" t="s">
        <v>11</v>
      </c>
      <c r="S422" s="1"/>
      <c r="T422" s="1"/>
      <c r="U422" s="1"/>
      <c r="V422" s="1"/>
      <c r="W422" s="1"/>
      <c r="X422" s="1"/>
      <c r="Y422" s="1"/>
      <c r="Z422" s="1"/>
      <c r="AA422" s="1"/>
      <c r="AB422" s="1" t="s">
        <v>7060</v>
      </c>
      <c r="AC422" s="1"/>
      <c r="AD422" s="1"/>
      <c r="AE422" s="1" t="s">
        <v>6716</v>
      </c>
      <c r="AF422" s="1"/>
      <c r="AG422" s="1"/>
      <c r="AH422" s="1" t="s">
        <v>7061</v>
      </c>
      <c r="AI422" s="1"/>
      <c r="AJ422" s="1" t="s">
        <v>6930</v>
      </c>
      <c r="AK422" s="1" t="s">
        <v>6931</v>
      </c>
      <c r="AL422" s="1" t="s">
        <v>6932</v>
      </c>
      <c r="AM422" s="1" t="s">
        <v>6930</v>
      </c>
      <c r="AN422" s="1" t="s">
        <v>6931</v>
      </c>
      <c r="AO422" s="1" t="s">
        <v>6932</v>
      </c>
      <c r="AP422" s="2" t="s">
        <v>7043</v>
      </c>
      <c r="AQ422" s="2" t="s">
        <v>1077</v>
      </c>
      <c r="AR422" s="1" t="s">
        <v>286</v>
      </c>
      <c r="AS422" s="1"/>
      <c r="AT422" s="1" t="s">
        <v>5</v>
      </c>
    </row>
    <row r="423" spans="1:46" hidden="1" x14ac:dyDescent="0.4">
      <c r="A423" s="1" t="s">
        <v>7081</v>
      </c>
      <c r="B423" s="10"/>
      <c r="C423" s="1" t="s">
        <v>93</v>
      </c>
      <c r="D423" s="1" t="s">
        <v>2157</v>
      </c>
      <c r="E423" s="1" t="s">
        <v>2078</v>
      </c>
      <c r="F423" s="1" t="s">
        <v>14</v>
      </c>
      <c r="G423" s="1" t="s">
        <v>1</v>
      </c>
      <c r="H423" s="1" t="s">
        <v>6</v>
      </c>
      <c r="I423" s="1" t="s">
        <v>2</v>
      </c>
      <c r="J423" s="1" t="s">
        <v>3</v>
      </c>
      <c r="K423" s="1" t="s">
        <v>7082</v>
      </c>
      <c r="L423" s="1" t="s">
        <v>7</v>
      </c>
      <c r="M423" s="1"/>
      <c r="N423" s="1" t="s">
        <v>7083</v>
      </c>
      <c r="O423" s="1" t="s">
        <v>5495</v>
      </c>
      <c r="P423" s="1"/>
      <c r="Q423" s="1" t="s">
        <v>12</v>
      </c>
      <c r="R423" s="1" t="s">
        <v>11</v>
      </c>
      <c r="S423" s="1"/>
      <c r="T423" s="1" t="s">
        <v>12</v>
      </c>
      <c r="U423" s="1" t="s">
        <v>11</v>
      </c>
      <c r="V423" s="1"/>
      <c r="W423" s="1" t="s">
        <v>7084</v>
      </c>
      <c r="X423" s="1"/>
      <c r="Y423" s="1"/>
      <c r="Z423" s="1"/>
      <c r="AA423" s="1"/>
      <c r="AB423" s="1" t="s">
        <v>7085</v>
      </c>
      <c r="AC423" s="1"/>
      <c r="AD423" s="1"/>
      <c r="AE423" s="1" t="s">
        <v>6716</v>
      </c>
      <c r="AF423" s="1"/>
      <c r="AG423" s="1"/>
      <c r="AH423" s="1" t="s">
        <v>7086</v>
      </c>
      <c r="AI423" s="1"/>
      <c r="AJ423" s="1" t="s">
        <v>6930</v>
      </c>
      <c r="AK423" s="1" t="s">
        <v>6931</v>
      </c>
      <c r="AL423" s="1" t="s">
        <v>6932</v>
      </c>
      <c r="AM423" s="1" t="s">
        <v>6930</v>
      </c>
      <c r="AN423" s="1" t="s">
        <v>6931</v>
      </c>
      <c r="AO423" s="1" t="s">
        <v>6932</v>
      </c>
      <c r="AP423" s="2" t="s">
        <v>7087</v>
      </c>
      <c r="AQ423" s="2" t="s">
        <v>1156</v>
      </c>
      <c r="AR423" s="1" t="s">
        <v>286</v>
      </c>
      <c r="AS423" s="1"/>
      <c r="AT423" s="1" t="s">
        <v>5</v>
      </c>
    </row>
    <row r="424" spans="1:46" hidden="1" x14ac:dyDescent="0.4">
      <c r="A424" s="1" t="s">
        <v>5383</v>
      </c>
      <c r="B424" s="10"/>
      <c r="C424" s="1" t="s">
        <v>3626</v>
      </c>
      <c r="D424" s="1" t="s">
        <v>2076</v>
      </c>
      <c r="E424" s="1" t="s">
        <v>2078</v>
      </c>
      <c r="F424" s="1" t="s">
        <v>14</v>
      </c>
      <c r="G424" s="1" t="s">
        <v>1</v>
      </c>
      <c r="H424" s="1" t="s">
        <v>6</v>
      </c>
      <c r="I424" s="1" t="s">
        <v>2</v>
      </c>
      <c r="J424" s="1" t="s">
        <v>3514</v>
      </c>
      <c r="K424" s="1" t="s">
        <v>5384</v>
      </c>
      <c r="L424" s="1" t="s">
        <v>7</v>
      </c>
      <c r="M424" s="1" t="s">
        <v>9</v>
      </c>
      <c r="N424" s="1" t="s">
        <v>5385</v>
      </c>
      <c r="O424" s="1" t="s">
        <v>5386</v>
      </c>
      <c r="P424" s="1"/>
      <c r="Q424" s="1"/>
      <c r="R424" s="1" t="s">
        <v>11</v>
      </c>
      <c r="S424" s="1"/>
      <c r="T424" s="1"/>
      <c r="U424" s="1"/>
      <c r="V424" s="1"/>
      <c r="W424" s="1" t="s">
        <v>5387</v>
      </c>
      <c r="X424" s="1"/>
      <c r="Y424" s="1"/>
      <c r="Z424" s="1"/>
      <c r="AA424" s="1"/>
      <c r="AB424" s="1" t="s">
        <v>5388</v>
      </c>
      <c r="AC424" s="1"/>
      <c r="AD424" s="1"/>
      <c r="AE424" s="1"/>
      <c r="AF424" s="1"/>
      <c r="AG424" s="1"/>
      <c r="AH424" s="1" t="s">
        <v>5389</v>
      </c>
      <c r="AI424" s="1"/>
      <c r="AJ424" s="1" t="s">
        <v>5313</v>
      </c>
      <c r="AK424" s="1" t="s">
        <v>5314</v>
      </c>
      <c r="AL424" s="1" t="s">
        <v>5315</v>
      </c>
      <c r="AM424" s="1" t="s">
        <v>5313</v>
      </c>
      <c r="AN424" s="1" t="s">
        <v>5314</v>
      </c>
      <c r="AO424" s="1" t="s">
        <v>5315</v>
      </c>
      <c r="AP424" s="2" t="s">
        <v>5390</v>
      </c>
      <c r="AQ424" s="2" t="s">
        <v>1077</v>
      </c>
      <c r="AR424" s="1" t="s">
        <v>286</v>
      </c>
      <c r="AS424" s="1" t="s">
        <v>5263</v>
      </c>
      <c r="AT424" s="1" t="s">
        <v>5</v>
      </c>
    </row>
    <row r="425" spans="1:46" hidden="1" x14ac:dyDescent="0.4">
      <c r="A425" s="1" t="s">
        <v>5391</v>
      </c>
      <c r="B425" s="10"/>
      <c r="C425" s="1" t="s">
        <v>3626</v>
      </c>
      <c r="D425" s="1" t="s">
        <v>2157</v>
      </c>
      <c r="E425" s="1" t="s">
        <v>2078</v>
      </c>
      <c r="F425" s="1" t="s">
        <v>14</v>
      </c>
      <c r="G425" s="1" t="s">
        <v>1</v>
      </c>
      <c r="H425" s="1" t="s">
        <v>6</v>
      </c>
      <c r="I425" s="1" t="s">
        <v>2</v>
      </c>
      <c r="J425" s="1" t="s">
        <v>3514</v>
      </c>
      <c r="K425" s="1" t="s">
        <v>5392</v>
      </c>
      <c r="L425" s="1" t="s">
        <v>7</v>
      </c>
      <c r="M425" s="1" t="s">
        <v>9</v>
      </c>
      <c r="N425" s="1" t="s">
        <v>5393</v>
      </c>
      <c r="O425" s="1" t="s">
        <v>5386</v>
      </c>
      <c r="P425" s="1"/>
      <c r="Q425" s="1"/>
      <c r="R425" s="1" t="s">
        <v>11</v>
      </c>
      <c r="S425" s="1"/>
      <c r="T425" s="1"/>
      <c r="U425" s="1"/>
      <c r="V425" s="1"/>
      <c r="W425" s="1" t="s">
        <v>5394</v>
      </c>
      <c r="X425" s="1"/>
      <c r="Y425" s="1"/>
      <c r="Z425" s="1"/>
      <c r="AA425" s="1"/>
      <c r="AB425" s="1" t="s">
        <v>5395</v>
      </c>
      <c r="AC425" s="1"/>
      <c r="AD425" s="1"/>
      <c r="AE425" s="1"/>
      <c r="AF425" s="1"/>
      <c r="AG425" s="1"/>
      <c r="AH425" s="1" t="s">
        <v>5396</v>
      </c>
      <c r="AI425" s="1"/>
      <c r="AJ425" s="1" t="s">
        <v>5313</v>
      </c>
      <c r="AK425" s="1" t="s">
        <v>5314</v>
      </c>
      <c r="AL425" s="1" t="s">
        <v>5315</v>
      </c>
      <c r="AM425" s="1" t="s">
        <v>5313</v>
      </c>
      <c r="AN425" s="1" t="s">
        <v>5314</v>
      </c>
      <c r="AO425" s="1" t="s">
        <v>5315</v>
      </c>
      <c r="AP425" s="2" t="s">
        <v>5397</v>
      </c>
      <c r="AQ425" s="2" t="s">
        <v>1077</v>
      </c>
      <c r="AR425" s="1" t="s">
        <v>286</v>
      </c>
      <c r="AS425" s="1" t="s">
        <v>5398</v>
      </c>
      <c r="AT425" s="1" t="s">
        <v>5</v>
      </c>
    </row>
    <row r="426" spans="1:46" hidden="1" x14ac:dyDescent="0.4">
      <c r="A426" s="1" t="s">
        <v>4163</v>
      </c>
      <c r="B426" s="10"/>
      <c r="C426" s="1" t="s">
        <v>0</v>
      </c>
      <c r="D426" s="1" t="s">
        <v>2220</v>
      </c>
      <c r="E426" s="1" t="s">
        <v>2078</v>
      </c>
      <c r="F426" s="1" t="s">
        <v>14</v>
      </c>
      <c r="G426" s="1" t="s">
        <v>1</v>
      </c>
      <c r="H426" s="1" t="s">
        <v>6</v>
      </c>
      <c r="I426" s="1" t="s">
        <v>2</v>
      </c>
      <c r="J426" s="1" t="s">
        <v>3</v>
      </c>
      <c r="K426" s="1" t="s">
        <v>4164</v>
      </c>
      <c r="L426" s="1" t="s">
        <v>7</v>
      </c>
      <c r="M426" s="1" t="s">
        <v>9</v>
      </c>
      <c r="N426" s="1" t="s">
        <v>4165</v>
      </c>
      <c r="O426" s="1" t="s">
        <v>4145</v>
      </c>
      <c r="P426" s="1"/>
      <c r="Q426" s="1"/>
      <c r="R426" s="1" t="s">
        <v>11</v>
      </c>
      <c r="S426" s="1"/>
      <c r="T426" s="1"/>
      <c r="U426" s="1"/>
      <c r="V426" s="1"/>
      <c r="W426" s="1"/>
      <c r="X426" s="1" t="s">
        <v>4166</v>
      </c>
      <c r="Y426" s="1"/>
      <c r="Z426" s="1"/>
      <c r="AA426" s="1"/>
      <c r="AB426" s="1" t="s">
        <v>4167</v>
      </c>
      <c r="AC426" s="1"/>
      <c r="AD426" s="1"/>
      <c r="AE426" s="1" t="s">
        <v>4148</v>
      </c>
      <c r="AF426" s="1"/>
      <c r="AG426" s="1"/>
      <c r="AH426" s="1" t="s">
        <v>4168</v>
      </c>
      <c r="AI426" s="1"/>
      <c r="AJ426" s="1" t="s">
        <v>4150</v>
      </c>
      <c r="AK426" s="1" t="s">
        <v>3335</v>
      </c>
      <c r="AL426" s="1" t="s">
        <v>4151</v>
      </c>
      <c r="AM426" s="1" t="s">
        <v>4152</v>
      </c>
      <c r="AN426" s="1" t="s">
        <v>4153</v>
      </c>
      <c r="AO426" s="1" t="s">
        <v>4154</v>
      </c>
      <c r="AP426" s="2" t="s">
        <v>4169</v>
      </c>
      <c r="AQ426" s="2" t="s">
        <v>1153</v>
      </c>
      <c r="AR426" s="1" t="s">
        <v>286</v>
      </c>
      <c r="AS426" s="1"/>
      <c r="AT426" s="1" t="s">
        <v>5</v>
      </c>
    </row>
    <row r="427" spans="1:46" hidden="1" x14ac:dyDescent="0.4">
      <c r="A427" s="1" t="s">
        <v>3486</v>
      </c>
      <c r="B427" s="10"/>
      <c r="C427" s="1" t="s">
        <v>0</v>
      </c>
      <c r="D427" s="1" t="s">
        <v>2290</v>
      </c>
      <c r="E427" s="1" t="s">
        <v>2291</v>
      </c>
      <c r="F427" s="1" t="s">
        <v>14</v>
      </c>
      <c r="G427" s="1" t="s">
        <v>1</v>
      </c>
      <c r="H427" s="1" t="s">
        <v>6</v>
      </c>
      <c r="I427" s="1" t="s">
        <v>2</v>
      </c>
      <c r="J427" s="1" t="s">
        <v>3</v>
      </c>
      <c r="K427" s="1" t="s">
        <v>3487</v>
      </c>
      <c r="L427" s="1" t="s">
        <v>7</v>
      </c>
      <c r="M427" s="1" t="s">
        <v>9</v>
      </c>
      <c r="N427" s="1" t="s">
        <v>3488</v>
      </c>
      <c r="O427" s="1" t="s">
        <v>3489</v>
      </c>
      <c r="P427" s="1"/>
      <c r="Q427" s="1"/>
      <c r="R427" s="1" t="s">
        <v>11</v>
      </c>
      <c r="S427" s="1"/>
      <c r="T427" s="1"/>
      <c r="U427" s="1"/>
      <c r="V427" s="1"/>
      <c r="W427" s="1"/>
      <c r="X427" s="1"/>
      <c r="Y427" s="1"/>
      <c r="Z427" s="1"/>
      <c r="AA427" s="1"/>
      <c r="AB427" s="1" t="s">
        <v>3490</v>
      </c>
      <c r="AC427" s="1"/>
      <c r="AD427" s="1"/>
      <c r="AE427" s="1" t="s">
        <v>3491</v>
      </c>
      <c r="AF427" s="1"/>
      <c r="AG427" s="1"/>
      <c r="AH427" s="1" t="s">
        <v>3492</v>
      </c>
      <c r="AI427" s="1"/>
      <c r="AJ427" s="1" t="s">
        <v>3493</v>
      </c>
      <c r="AK427" s="1" t="s">
        <v>3494</v>
      </c>
      <c r="AL427" s="1" t="s">
        <v>3495</v>
      </c>
      <c r="AM427" s="1" t="s">
        <v>3496</v>
      </c>
      <c r="AN427" s="1" t="s">
        <v>3494</v>
      </c>
      <c r="AO427" s="1" t="s">
        <v>3497</v>
      </c>
      <c r="AP427" s="2" t="s">
        <v>3498</v>
      </c>
      <c r="AQ427" s="2" t="s">
        <v>1155</v>
      </c>
      <c r="AR427" s="1"/>
      <c r="AS427" s="1"/>
      <c r="AT427" s="1" t="s">
        <v>5</v>
      </c>
    </row>
    <row r="428" spans="1:46" hidden="1" x14ac:dyDescent="0.4">
      <c r="A428" s="1" t="s">
        <v>7980</v>
      </c>
      <c r="B428" s="10"/>
      <c r="C428" s="1" t="s">
        <v>2491</v>
      </c>
      <c r="D428" s="1" t="s">
        <v>2076</v>
      </c>
      <c r="E428" s="1" t="s">
        <v>13</v>
      </c>
      <c r="F428" s="1" t="s">
        <v>14</v>
      </c>
      <c r="G428" s="1" t="s">
        <v>1</v>
      </c>
      <c r="H428" s="1" t="s">
        <v>6</v>
      </c>
      <c r="I428" s="1" t="s">
        <v>2</v>
      </c>
      <c r="J428" s="1" t="s">
        <v>2492</v>
      </c>
      <c r="K428" s="1" t="s">
        <v>7981</v>
      </c>
      <c r="L428" s="1" t="s">
        <v>4</v>
      </c>
      <c r="M428" s="1"/>
      <c r="N428" s="1" t="s">
        <v>7982</v>
      </c>
      <c r="O428" s="1" t="s">
        <v>7983</v>
      </c>
      <c r="P428" s="1"/>
      <c r="Q428" s="1"/>
      <c r="R428" s="1" t="s">
        <v>11</v>
      </c>
      <c r="S428" s="1"/>
      <c r="T428" s="1"/>
      <c r="U428" s="1"/>
      <c r="V428" s="1"/>
      <c r="W428" s="1" t="s">
        <v>7984</v>
      </c>
      <c r="X428" s="1" t="s">
        <v>7985</v>
      </c>
      <c r="Y428" s="1"/>
      <c r="Z428" s="1"/>
      <c r="AA428" s="1"/>
      <c r="AB428" s="1" t="s">
        <v>7986</v>
      </c>
      <c r="AC428" s="1"/>
      <c r="AD428" s="1"/>
      <c r="AE428" s="1" t="s">
        <v>7987</v>
      </c>
      <c r="AF428" s="1"/>
      <c r="AG428" s="1"/>
      <c r="AH428" s="1" t="s">
        <v>7988</v>
      </c>
      <c r="AI428" s="1"/>
      <c r="AJ428" s="1" t="s">
        <v>5747</v>
      </c>
      <c r="AK428" s="1" t="s">
        <v>3494</v>
      </c>
      <c r="AL428" s="1" t="s">
        <v>5748</v>
      </c>
      <c r="AM428" s="1" t="s">
        <v>6235</v>
      </c>
      <c r="AN428" s="1" t="s">
        <v>3494</v>
      </c>
      <c r="AO428" s="1" t="s">
        <v>6236</v>
      </c>
      <c r="AP428" s="2" t="s">
        <v>7989</v>
      </c>
      <c r="AQ428" s="2" t="s">
        <v>1154</v>
      </c>
      <c r="AR428" s="1" t="s">
        <v>286</v>
      </c>
      <c r="AS428" s="1"/>
      <c r="AT428" s="1" t="s">
        <v>5</v>
      </c>
    </row>
    <row r="429" spans="1:46" hidden="1" x14ac:dyDescent="0.4">
      <c r="A429" s="1" t="s">
        <v>10708</v>
      </c>
      <c r="B429" s="10"/>
      <c r="C429" s="1" t="s">
        <v>2705</v>
      </c>
      <c r="D429" s="1" t="s">
        <v>2290</v>
      </c>
      <c r="E429" s="1" t="s">
        <v>2291</v>
      </c>
      <c r="F429" s="1" t="s">
        <v>14</v>
      </c>
      <c r="G429" s="1" t="s">
        <v>1</v>
      </c>
      <c r="H429" s="1" t="s">
        <v>6</v>
      </c>
      <c r="I429" s="1" t="s">
        <v>2</v>
      </c>
      <c r="J429" s="1" t="s">
        <v>2813</v>
      </c>
      <c r="K429" s="1" t="s">
        <v>10709</v>
      </c>
      <c r="L429" s="1" t="s">
        <v>7</v>
      </c>
      <c r="M429" s="1" t="s">
        <v>9</v>
      </c>
      <c r="N429" s="1" t="s">
        <v>10710</v>
      </c>
      <c r="O429" s="1" t="s">
        <v>10711</v>
      </c>
      <c r="P429" s="1"/>
      <c r="Q429" s="1"/>
      <c r="R429" s="1" t="s">
        <v>11</v>
      </c>
      <c r="S429" s="1"/>
      <c r="T429" s="1"/>
      <c r="U429" s="1"/>
      <c r="V429" s="1"/>
      <c r="W429" s="1" t="s">
        <v>10712</v>
      </c>
      <c r="X429" s="1"/>
      <c r="Y429" s="1"/>
      <c r="Z429" s="1"/>
      <c r="AA429" s="1"/>
      <c r="AB429" s="1" t="s">
        <v>10713</v>
      </c>
      <c r="AC429" s="1"/>
      <c r="AD429" s="1"/>
      <c r="AE429" s="1" t="s">
        <v>10714</v>
      </c>
      <c r="AF429" s="1"/>
      <c r="AG429" s="1"/>
      <c r="AH429" s="1" t="s">
        <v>10715</v>
      </c>
      <c r="AI429" s="1"/>
      <c r="AJ429" s="1" t="s">
        <v>10716</v>
      </c>
      <c r="AK429" s="1" t="s">
        <v>6568</v>
      </c>
      <c r="AL429" s="1" t="s">
        <v>10717</v>
      </c>
      <c r="AM429" s="1" t="s">
        <v>10716</v>
      </c>
      <c r="AN429" s="1" t="s">
        <v>6568</v>
      </c>
      <c r="AO429" s="1" t="s">
        <v>10717</v>
      </c>
      <c r="AP429" s="2" t="s">
        <v>10718</v>
      </c>
      <c r="AQ429" s="2" t="s">
        <v>1155</v>
      </c>
      <c r="AR429" s="1" t="s">
        <v>286</v>
      </c>
      <c r="AS429" s="1" t="s">
        <v>970</v>
      </c>
      <c r="AT429" s="1" t="s">
        <v>5</v>
      </c>
    </row>
    <row r="430" spans="1:46" hidden="1" x14ac:dyDescent="0.4">
      <c r="A430" s="1" t="s">
        <v>4053</v>
      </c>
      <c r="B430" s="10"/>
      <c r="C430" s="1" t="s">
        <v>3626</v>
      </c>
      <c r="D430" s="1" t="s">
        <v>2290</v>
      </c>
      <c r="E430" s="1" t="s">
        <v>2291</v>
      </c>
      <c r="F430" s="1" t="s">
        <v>14</v>
      </c>
      <c r="G430" s="1" t="s">
        <v>1</v>
      </c>
      <c r="H430" s="1" t="s">
        <v>6</v>
      </c>
      <c r="I430" s="1" t="s">
        <v>2</v>
      </c>
      <c r="J430" s="1" t="s">
        <v>3514</v>
      </c>
      <c r="K430" s="1" t="s">
        <v>4054</v>
      </c>
      <c r="L430" s="1" t="s">
        <v>7</v>
      </c>
      <c r="M430" s="1" t="s">
        <v>9</v>
      </c>
      <c r="N430" s="1" t="s">
        <v>4055</v>
      </c>
      <c r="O430" s="1" t="s">
        <v>2457</v>
      </c>
      <c r="P430" s="1"/>
      <c r="Q430" s="1"/>
      <c r="R430" s="1" t="s">
        <v>11</v>
      </c>
      <c r="S430" s="1"/>
      <c r="T430" s="1"/>
      <c r="U430" s="1"/>
      <c r="V430" s="1"/>
      <c r="W430" s="1"/>
      <c r="X430" s="1"/>
      <c r="Y430" s="1"/>
      <c r="Z430" s="1"/>
      <c r="AA430" s="1"/>
      <c r="AB430" s="1" t="s">
        <v>4056</v>
      </c>
      <c r="AC430" s="1"/>
      <c r="AD430" s="1"/>
      <c r="AE430" s="1" t="s">
        <v>4057</v>
      </c>
      <c r="AF430" s="1"/>
      <c r="AG430" s="1"/>
      <c r="AH430" s="1" t="s">
        <v>4058</v>
      </c>
      <c r="AI430" s="1"/>
      <c r="AJ430" s="1" t="s">
        <v>4059</v>
      </c>
      <c r="AK430" s="1" t="s">
        <v>4060</v>
      </c>
      <c r="AL430" s="1" t="s">
        <v>4061</v>
      </c>
      <c r="AM430" s="1" t="s">
        <v>4059</v>
      </c>
      <c r="AN430" s="1" t="s">
        <v>4060</v>
      </c>
      <c r="AO430" s="1" t="s">
        <v>4061</v>
      </c>
      <c r="AP430" s="2" t="s">
        <v>4062</v>
      </c>
      <c r="AQ430" s="2" t="s">
        <v>1153</v>
      </c>
      <c r="AR430" s="1" t="s">
        <v>287</v>
      </c>
      <c r="AS430" s="1"/>
      <c r="AT430" s="1" t="s">
        <v>5</v>
      </c>
    </row>
    <row r="431" spans="1:46" hidden="1" x14ac:dyDescent="0.4">
      <c r="A431" s="1" t="s">
        <v>6934</v>
      </c>
      <c r="B431" s="10"/>
      <c r="C431" s="1" t="s">
        <v>2705</v>
      </c>
      <c r="D431" s="1" t="s">
        <v>2211</v>
      </c>
      <c r="E431" s="1" t="s">
        <v>13</v>
      </c>
      <c r="F431" s="1" t="s">
        <v>14</v>
      </c>
      <c r="G431" s="1" t="s">
        <v>1</v>
      </c>
      <c r="H431" s="1" t="s">
        <v>6</v>
      </c>
      <c r="I431" s="1" t="s">
        <v>2</v>
      </c>
      <c r="J431" s="1" t="s">
        <v>2813</v>
      </c>
      <c r="K431" s="1" t="s">
        <v>6935</v>
      </c>
      <c r="L431" s="1" t="s">
        <v>4</v>
      </c>
      <c r="M431" s="1"/>
      <c r="N431" s="1" t="s">
        <v>6936</v>
      </c>
      <c r="O431" s="1" t="s">
        <v>6937</v>
      </c>
      <c r="P431" s="1"/>
      <c r="Q431" s="1"/>
      <c r="R431" s="1" t="s">
        <v>11</v>
      </c>
      <c r="S431" s="1"/>
      <c r="T431" s="1"/>
      <c r="U431" s="1"/>
      <c r="V431" s="1"/>
      <c r="W431" s="1"/>
      <c r="X431" s="1"/>
      <c r="Y431" s="1"/>
      <c r="Z431" s="1"/>
      <c r="AA431" s="1"/>
      <c r="AB431" s="1" t="s">
        <v>6938</v>
      </c>
      <c r="AC431" s="1"/>
      <c r="AD431" s="1"/>
      <c r="AE431" s="1" t="s">
        <v>6939</v>
      </c>
      <c r="AF431" s="1"/>
      <c r="AG431" s="1"/>
      <c r="AH431" s="1" t="s">
        <v>6940</v>
      </c>
      <c r="AI431" s="1"/>
      <c r="AJ431" s="1" t="s">
        <v>6941</v>
      </c>
      <c r="AK431" s="1" t="s">
        <v>6568</v>
      </c>
      <c r="AL431" s="1" t="s">
        <v>6942</v>
      </c>
      <c r="AM431" s="1" t="s">
        <v>6943</v>
      </c>
      <c r="AN431" s="1" t="s">
        <v>6568</v>
      </c>
      <c r="AO431" s="1" t="s">
        <v>6944</v>
      </c>
      <c r="AP431" s="2" t="s">
        <v>6945</v>
      </c>
      <c r="AQ431" s="2" t="s">
        <v>1077</v>
      </c>
      <c r="AR431" s="1" t="s">
        <v>286</v>
      </c>
      <c r="AS431" s="1"/>
      <c r="AT431" s="1" t="s">
        <v>5</v>
      </c>
    </row>
    <row r="432" spans="1:46" x14ac:dyDescent="0.4">
      <c r="A432" s="1" t="s">
        <v>2105</v>
      </c>
      <c r="B432" s="10">
        <v>0</v>
      </c>
      <c r="C432" s="1" t="s">
        <v>0</v>
      </c>
      <c r="D432" s="1" t="s">
        <v>2076</v>
      </c>
      <c r="E432" s="1" t="s">
        <v>2078</v>
      </c>
      <c r="F432" s="1" t="s">
        <v>14</v>
      </c>
      <c r="G432" s="1" t="s">
        <v>1</v>
      </c>
      <c r="H432" s="1" t="s">
        <v>6</v>
      </c>
      <c r="I432" s="1" t="s">
        <v>2</v>
      </c>
      <c r="J432" s="1" t="s">
        <v>3</v>
      </c>
      <c r="K432" s="1" t="s">
        <v>2106</v>
      </c>
      <c r="L432" s="1" t="s">
        <v>7</v>
      </c>
      <c r="M432" s="1" t="s">
        <v>9</v>
      </c>
      <c r="N432" s="1" t="s">
        <v>10759</v>
      </c>
      <c r="O432" s="1" t="s">
        <v>10756</v>
      </c>
      <c r="P432" s="1"/>
      <c r="Q432" s="1"/>
      <c r="R432" s="1" t="s">
        <v>11</v>
      </c>
      <c r="S432" s="1"/>
      <c r="T432" s="1"/>
      <c r="U432" s="1"/>
      <c r="V432" s="1"/>
      <c r="W432" s="1"/>
      <c r="X432" s="1"/>
      <c r="Y432" s="1"/>
      <c r="Z432" s="1"/>
      <c r="AA432" s="1"/>
      <c r="AB432" s="1" t="s">
        <v>14280</v>
      </c>
      <c r="AC432" s="1"/>
      <c r="AD432" s="1"/>
      <c r="AE432" s="1" t="s">
        <v>2104</v>
      </c>
      <c r="AF432" s="1"/>
      <c r="AG432" s="1"/>
      <c r="AH432" s="1" t="s">
        <v>10760</v>
      </c>
      <c r="AI432" s="1"/>
      <c r="AJ432" s="1" t="s">
        <v>202</v>
      </c>
      <c r="AK432" s="1" t="s">
        <v>518</v>
      </c>
      <c r="AL432" s="1" t="s">
        <v>203</v>
      </c>
      <c r="AM432" s="1" t="s">
        <v>146</v>
      </c>
      <c r="AN432" s="1" t="s">
        <v>518</v>
      </c>
      <c r="AO432" s="1" t="s">
        <v>147</v>
      </c>
      <c r="AP432" s="2" t="s">
        <v>10761</v>
      </c>
      <c r="AQ432" s="2" t="s">
        <v>1155</v>
      </c>
      <c r="AR432" s="1" t="s">
        <v>286</v>
      </c>
      <c r="AS432" s="1" t="s">
        <v>970</v>
      </c>
      <c r="AT432" s="1" t="s">
        <v>5</v>
      </c>
    </row>
    <row r="433" spans="1:46" x14ac:dyDescent="0.4">
      <c r="A433" s="1" t="s">
        <v>2102</v>
      </c>
      <c r="B433" s="10">
        <v>0</v>
      </c>
      <c r="C433" s="1" t="s">
        <v>0</v>
      </c>
      <c r="D433" s="1" t="s">
        <v>2076</v>
      </c>
      <c r="E433" s="1" t="s">
        <v>2078</v>
      </c>
      <c r="F433" s="1" t="s">
        <v>14</v>
      </c>
      <c r="G433" s="1" t="s">
        <v>1</v>
      </c>
      <c r="H433" s="1" t="s">
        <v>6</v>
      </c>
      <c r="I433" s="1" t="s">
        <v>2</v>
      </c>
      <c r="J433" s="1" t="s">
        <v>3</v>
      </c>
      <c r="K433" s="1" t="s">
        <v>2103</v>
      </c>
      <c r="L433" s="1" t="s">
        <v>7</v>
      </c>
      <c r="M433" s="1" t="s">
        <v>9</v>
      </c>
      <c r="N433" s="1" t="s">
        <v>10762</v>
      </c>
      <c r="O433" s="1" t="s">
        <v>10756</v>
      </c>
      <c r="P433" s="1"/>
      <c r="Q433" s="1"/>
      <c r="R433" s="1" t="s">
        <v>11</v>
      </c>
      <c r="S433" s="1"/>
      <c r="T433" s="1"/>
      <c r="U433" s="1"/>
      <c r="V433" s="1"/>
      <c r="W433" s="1"/>
      <c r="X433" s="1"/>
      <c r="Y433" s="1"/>
      <c r="Z433" s="1"/>
      <c r="AA433" s="1"/>
      <c r="AB433" s="1" t="s">
        <v>14281</v>
      </c>
      <c r="AC433" s="1"/>
      <c r="AD433" s="1"/>
      <c r="AE433" s="1" t="s">
        <v>2104</v>
      </c>
      <c r="AF433" s="1"/>
      <c r="AG433" s="1"/>
      <c r="AH433" s="1" t="s">
        <v>10763</v>
      </c>
      <c r="AI433" s="1"/>
      <c r="AJ433" s="1" t="s">
        <v>202</v>
      </c>
      <c r="AK433" s="1" t="s">
        <v>518</v>
      </c>
      <c r="AL433" s="1" t="s">
        <v>203</v>
      </c>
      <c r="AM433" s="1" t="s">
        <v>146</v>
      </c>
      <c r="AN433" s="1" t="s">
        <v>518</v>
      </c>
      <c r="AO433" s="1" t="s">
        <v>147</v>
      </c>
      <c r="AP433" s="2" t="s">
        <v>10764</v>
      </c>
      <c r="AQ433" s="2" t="s">
        <v>1155</v>
      </c>
      <c r="AR433" s="1" t="s">
        <v>286</v>
      </c>
      <c r="AS433" s="1" t="s">
        <v>970</v>
      </c>
      <c r="AT433" s="1" t="s">
        <v>5</v>
      </c>
    </row>
    <row r="434" spans="1:46" x14ac:dyDescent="0.4">
      <c r="A434" s="1" t="s">
        <v>10753</v>
      </c>
      <c r="B434" s="10">
        <v>0</v>
      </c>
      <c r="C434" s="1" t="s">
        <v>0</v>
      </c>
      <c r="D434" s="1" t="s">
        <v>2157</v>
      </c>
      <c r="E434" s="1" t="s">
        <v>2078</v>
      </c>
      <c r="F434" s="1" t="s">
        <v>14</v>
      </c>
      <c r="G434" s="1" t="s">
        <v>1</v>
      </c>
      <c r="H434" s="1" t="s">
        <v>6</v>
      </c>
      <c r="I434" s="1" t="s">
        <v>2</v>
      </c>
      <c r="J434" s="1" t="s">
        <v>3</v>
      </c>
      <c r="K434" s="1" t="s">
        <v>10754</v>
      </c>
      <c r="L434" s="1" t="s">
        <v>7</v>
      </c>
      <c r="M434" s="1" t="s">
        <v>9</v>
      </c>
      <c r="N434" s="1" t="s">
        <v>10755</v>
      </c>
      <c r="O434" s="1" t="s">
        <v>10756</v>
      </c>
      <c r="P434" s="1"/>
      <c r="Q434" s="1"/>
      <c r="R434" s="1" t="s">
        <v>11</v>
      </c>
      <c r="S434" s="1"/>
      <c r="T434" s="1"/>
      <c r="U434" s="1"/>
      <c r="V434" s="1"/>
      <c r="W434" s="1"/>
      <c r="X434" s="1"/>
      <c r="Y434" s="1"/>
      <c r="Z434" s="1"/>
      <c r="AA434" s="1"/>
      <c r="AB434" s="1" t="s">
        <v>14279</v>
      </c>
      <c r="AC434" s="1"/>
      <c r="AD434" s="1"/>
      <c r="AE434" s="1" t="s">
        <v>2104</v>
      </c>
      <c r="AF434" s="1"/>
      <c r="AG434" s="1"/>
      <c r="AH434" s="1" t="s">
        <v>10757</v>
      </c>
      <c r="AI434" s="1"/>
      <c r="AJ434" s="1" t="s">
        <v>202</v>
      </c>
      <c r="AK434" s="1" t="s">
        <v>518</v>
      </c>
      <c r="AL434" s="1" t="s">
        <v>203</v>
      </c>
      <c r="AM434" s="1" t="s">
        <v>146</v>
      </c>
      <c r="AN434" s="1" t="s">
        <v>518</v>
      </c>
      <c r="AO434" s="1" t="s">
        <v>147</v>
      </c>
      <c r="AP434" s="2" t="s">
        <v>10758</v>
      </c>
      <c r="AQ434" s="2" t="s">
        <v>1155</v>
      </c>
      <c r="AR434" s="1" t="s">
        <v>286</v>
      </c>
      <c r="AS434" s="1" t="s">
        <v>970</v>
      </c>
      <c r="AT434" s="1" t="s">
        <v>5</v>
      </c>
    </row>
    <row r="435" spans="1:46" hidden="1" x14ac:dyDescent="0.4">
      <c r="A435" s="1" t="s">
        <v>10771</v>
      </c>
      <c r="B435" s="10"/>
      <c r="C435" s="1" t="s">
        <v>0</v>
      </c>
      <c r="D435" s="1" t="s">
        <v>2157</v>
      </c>
      <c r="E435" s="1" t="s">
        <v>2078</v>
      </c>
      <c r="F435" s="1" t="s">
        <v>14</v>
      </c>
      <c r="G435" s="1" t="s">
        <v>1</v>
      </c>
      <c r="H435" s="1" t="s">
        <v>6</v>
      </c>
      <c r="I435" s="1" t="s">
        <v>2</v>
      </c>
      <c r="J435" s="1" t="s">
        <v>3</v>
      </c>
      <c r="K435" s="1" t="s">
        <v>10772</v>
      </c>
      <c r="L435" s="1" t="s">
        <v>7</v>
      </c>
      <c r="M435" s="1" t="s">
        <v>9</v>
      </c>
      <c r="N435" s="1" t="s">
        <v>10773</v>
      </c>
      <c r="O435" s="1" t="s">
        <v>10756</v>
      </c>
      <c r="P435" s="1"/>
      <c r="Q435" s="1"/>
      <c r="R435" s="1" t="s">
        <v>11</v>
      </c>
      <c r="S435" s="1"/>
      <c r="T435" s="1"/>
      <c r="U435" s="1"/>
      <c r="V435" s="1"/>
      <c r="W435" s="1"/>
      <c r="X435" s="1"/>
      <c r="Y435" s="1"/>
      <c r="Z435" s="1"/>
      <c r="AA435" s="1"/>
      <c r="AB435" s="1" t="s">
        <v>10774</v>
      </c>
      <c r="AC435" s="1"/>
      <c r="AD435" s="1"/>
      <c r="AE435" s="1" t="s">
        <v>2104</v>
      </c>
      <c r="AF435" s="1"/>
      <c r="AG435" s="1"/>
      <c r="AH435" s="1" t="s">
        <v>10775</v>
      </c>
      <c r="AI435" s="1"/>
      <c r="AJ435" s="1" t="s">
        <v>202</v>
      </c>
      <c r="AK435" s="1" t="s">
        <v>518</v>
      </c>
      <c r="AL435" s="1" t="s">
        <v>203</v>
      </c>
      <c r="AM435" s="1" t="s">
        <v>146</v>
      </c>
      <c r="AN435" s="1" t="s">
        <v>518</v>
      </c>
      <c r="AO435" s="1" t="s">
        <v>147</v>
      </c>
      <c r="AP435" s="2" t="s">
        <v>10776</v>
      </c>
      <c r="AQ435" s="2" t="s">
        <v>1155</v>
      </c>
      <c r="AR435" s="1" t="s">
        <v>286</v>
      </c>
      <c r="AS435" s="1" t="s">
        <v>1017</v>
      </c>
      <c r="AT435" s="1" t="s">
        <v>5</v>
      </c>
    </row>
    <row r="436" spans="1:46" hidden="1" x14ac:dyDescent="0.4">
      <c r="A436" s="1" t="s">
        <v>6051</v>
      </c>
      <c r="B436" s="10"/>
      <c r="C436" s="1" t="s">
        <v>2494</v>
      </c>
      <c r="D436" s="1" t="s">
        <v>2157</v>
      </c>
      <c r="E436" s="1" t="s">
        <v>2078</v>
      </c>
      <c r="F436" s="1" t="s">
        <v>14</v>
      </c>
      <c r="G436" s="1" t="s">
        <v>1</v>
      </c>
      <c r="H436" s="1" t="s">
        <v>6</v>
      </c>
      <c r="I436" s="1" t="s">
        <v>2</v>
      </c>
      <c r="J436" s="1" t="s">
        <v>2450</v>
      </c>
      <c r="K436" s="1" t="s">
        <v>6052</v>
      </c>
      <c r="L436" s="1" t="s">
        <v>2231</v>
      </c>
      <c r="M436" s="1" t="s">
        <v>9</v>
      </c>
      <c r="N436" s="1" t="s">
        <v>6053</v>
      </c>
      <c r="O436" s="1" t="s">
        <v>6054</v>
      </c>
      <c r="P436" s="1"/>
      <c r="Q436" s="1"/>
      <c r="R436" s="1" t="s">
        <v>11</v>
      </c>
      <c r="S436" s="1"/>
      <c r="T436" s="1"/>
      <c r="U436" s="1"/>
      <c r="V436" s="1"/>
      <c r="W436" s="1" t="s">
        <v>6055</v>
      </c>
      <c r="X436" s="1"/>
      <c r="Y436" s="1"/>
      <c r="Z436" s="1"/>
      <c r="AA436" s="1" t="s">
        <v>6056</v>
      </c>
      <c r="AB436" s="1" t="s">
        <v>6057</v>
      </c>
      <c r="AC436" s="1"/>
      <c r="AD436" s="1"/>
      <c r="AE436" s="1" t="s">
        <v>6058</v>
      </c>
      <c r="AF436" s="1"/>
      <c r="AG436" s="1"/>
      <c r="AH436" s="1" t="s">
        <v>6059</v>
      </c>
      <c r="AI436" s="1"/>
      <c r="AJ436" s="1" t="s">
        <v>6060</v>
      </c>
      <c r="AK436" s="1" t="s">
        <v>6061</v>
      </c>
      <c r="AL436" s="1" t="s">
        <v>6062</v>
      </c>
      <c r="AM436" s="1" t="s">
        <v>6060</v>
      </c>
      <c r="AN436" s="1" t="s">
        <v>6061</v>
      </c>
      <c r="AO436" s="1" t="s">
        <v>6062</v>
      </c>
      <c r="AP436" s="2" t="s">
        <v>6063</v>
      </c>
      <c r="AQ436" s="2" t="s">
        <v>1077</v>
      </c>
      <c r="AR436" s="1" t="s">
        <v>286</v>
      </c>
      <c r="AS436" s="1"/>
      <c r="AT436" s="1" t="s">
        <v>5</v>
      </c>
    </row>
    <row r="437" spans="1:46" hidden="1" x14ac:dyDescent="0.4">
      <c r="A437" s="1" t="s">
        <v>2143</v>
      </c>
      <c r="B437" s="10"/>
      <c r="C437" s="1" t="s">
        <v>0</v>
      </c>
      <c r="D437" s="1" t="s">
        <v>2076</v>
      </c>
      <c r="E437" s="1" t="s">
        <v>2078</v>
      </c>
      <c r="F437" s="1" t="s">
        <v>14</v>
      </c>
      <c r="G437" s="1" t="s">
        <v>1</v>
      </c>
      <c r="H437" s="1" t="s">
        <v>6</v>
      </c>
      <c r="I437" s="1" t="s">
        <v>2</v>
      </c>
      <c r="J437" s="1" t="s">
        <v>3</v>
      </c>
      <c r="K437" s="1" t="s">
        <v>2144</v>
      </c>
      <c r="L437" s="1" t="s">
        <v>7</v>
      </c>
      <c r="M437" s="1"/>
      <c r="N437" s="1" t="s">
        <v>11874</v>
      </c>
      <c r="O437" s="1" t="s">
        <v>10756</v>
      </c>
      <c r="P437" s="1"/>
      <c r="Q437" s="1" t="s">
        <v>12</v>
      </c>
      <c r="R437" s="1" t="s">
        <v>11</v>
      </c>
      <c r="S437" s="1"/>
      <c r="T437" s="1" t="s">
        <v>12</v>
      </c>
      <c r="U437" s="1" t="s">
        <v>11</v>
      </c>
      <c r="V437" s="1"/>
      <c r="W437" s="1"/>
      <c r="X437" s="1"/>
      <c r="Y437" s="1"/>
      <c r="Z437" s="1"/>
      <c r="AA437" s="1"/>
      <c r="AB437" s="1" t="s">
        <v>11875</v>
      </c>
      <c r="AC437" s="1"/>
      <c r="AD437" s="1"/>
      <c r="AE437" s="1" t="s">
        <v>2145</v>
      </c>
      <c r="AF437" s="1"/>
      <c r="AG437" s="1"/>
      <c r="AH437" s="1" t="s">
        <v>11876</v>
      </c>
      <c r="AI437" s="1"/>
      <c r="AJ437" s="1" t="s">
        <v>202</v>
      </c>
      <c r="AK437" s="1" t="s">
        <v>518</v>
      </c>
      <c r="AL437" s="1" t="s">
        <v>203</v>
      </c>
      <c r="AM437" s="1" t="s">
        <v>1504</v>
      </c>
      <c r="AN437" s="1" t="s">
        <v>518</v>
      </c>
      <c r="AO437" s="1" t="s">
        <v>1505</v>
      </c>
      <c r="AP437" s="2" t="s">
        <v>11877</v>
      </c>
      <c r="AQ437" s="2" t="s">
        <v>1156</v>
      </c>
      <c r="AR437" s="1" t="s">
        <v>286</v>
      </c>
      <c r="AS437" s="1" t="s">
        <v>11873</v>
      </c>
      <c r="AT437" s="1" t="s">
        <v>5</v>
      </c>
    </row>
    <row r="438" spans="1:46" hidden="1" x14ac:dyDescent="0.4">
      <c r="A438" s="1" t="s">
        <v>5752</v>
      </c>
      <c r="B438" s="10"/>
      <c r="C438" s="1" t="s">
        <v>0</v>
      </c>
      <c r="D438" s="1" t="s">
        <v>2290</v>
      </c>
      <c r="E438" s="1" t="s">
        <v>2291</v>
      </c>
      <c r="F438" s="1" t="s">
        <v>14</v>
      </c>
      <c r="G438" s="1" t="s">
        <v>1</v>
      </c>
      <c r="H438" s="1" t="s">
        <v>6</v>
      </c>
      <c r="I438" s="1" t="s">
        <v>2</v>
      </c>
      <c r="J438" s="1" t="s">
        <v>3</v>
      </c>
      <c r="K438" s="1" t="s">
        <v>5753</v>
      </c>
      <c r="L438" s="1" t="s">
        <v>7</v>
      </c>
      <c r="M438" s="1" t="s">
        <v>9</v>
      </c>
      <c r="N438" s="1" t="s">
        <v>5754</v>
      </c>
      <c r="O438" s="1" t="s">
        <v>5755</v>
      </c>
      <c r="P438" s="1"/>
      <c r="Q438" s="1"/>
      <c r="R438" s="1" t="s">
        <v>11</v>
      </c>
      <c r="S438" s="1"/>
      <c r="T438" s="1"/>
      <c r="U438" s="1"/>
      <c r="V438" s="1"/>
      <c r="W438" s="1"/>
      <c r="X438" s="1"/>
      <c r="Y438" s="1"/>
      <c r="Z438" s="1"/>
      <c r="AA438" s="1"/>
      <c r="AB438" s="1" t="s">
        <v>5756</v>
      </c>
      <c r="AC438" s="1"/>
      <c r="AD438" s="1"/>
      <c r="AE438" s="1" t="s">
        <v>5757</v>
      </c>
      <c r="AF438" s="1"/>
      <c r="AG438" s="1"/>
      <c r="AH438" s="1" t="s">
        <v>5758</v>
      </c>
      <c r="AI438" s="1"/>
      <c r="AJ438" s="1" t="s">
        <v>1682</v>
      </c>
      <c r="AK438" s="1" t="s">
        <v>1683</v>
      </c>
      <c r="AL438" s="1" t="s">
        <v>1684</v>
      </c>
      <c r="AM438" s="1" t="s">
        <v>5759</v>
      </c>
      <c r="AN438" s="1" t="s">
        <v>1683</v>
      </c>
      <c r="AO438" s="1" t="s">
        <v>5760</v>
      </c>
      <c r="AP438" s="2" t="s">
        <v>5761</v>
      </c>
      <c r="AQ438" s="2" t="s">
        <v>1077</v>
      </c>
      <c r="AR438" s="1" t="s">
        <v>287</v>
      </c>
      <c r="AS438" s="1"/>
      <c r="AT438" s="1" t="s">
        <v>5</v>
      </c>
    </row>
    <row r="439" spans="1:46" hidden="1" x14ac:dyDescent="0.4">
      <c r="A439" s="1" t="s">
        <v>10953</v>
      </c>
      <c r="B439" s="10"/>
      <c r="C439" s="1" t="s">
        <v>2091</v>
      </c>
      <c r="D439" s="1" t="s">
        <v>2290</v>
      </c>
      <c r="E439" s="1" t="s">
        <v>2291</v>
      </c>
      <c r="F439" s="1" t="s">
        <v>14</v>
      </c>
      <c r="G439" s="1" t="s">
        <v>1</v>
      </c>
      <c r="H439" s="1" t="s">
        <v>6</v>
      </c>
      <c r="I439" s="1" t="s">
        <v>2</v>
      </c>
      <c r="J439" s="1" t="s">
        <v>3</v>
      </c>
      <c r="K439" s="1" t="s">
        <v>10954</v>
      </c>
      <c r="L439" s="1" t="s">
        <v>7</v>
      </c>
      <c r="M439" s="1"/>
      <c r="N439" s="1" t="s">
        <v>10955</v>
      </c>
      <c r="O439" s="1" t="s">
        <v>5755</v>
      </c>
      <c r="P439" s="1"/>
      <c r="Q439" s="1"/>
      <c r="R439" s="1" t="s">
        <v>11</v>
      </c>
      <c r="S439" s="1"/>
      <c r="T439" s="1"/>
      <c r="U439" s="1"/>
      <c r="V439" s="1"/>
      <c r="W439" s="1"/>
      <c r="X439" s="1"/>
      <c r="Y439" s="1"/>
      <c r="Z439" s="1"/>
      <c r="AA439" s="1"/>
      <c r="AB439" s="1" t="s">
        <v>10956</v>
      </c>
      <c r="AC439" s="1"/>
      <c r="AD439" s="1"/>
      <c r="AE439" s="1" t="s">
        <v>10957</v>
      </c>
      <c r="AF439" s="1"/>
      <c r="AG439" s="1"/>
      <c r="AH439" s="1" t="s">
        <v>10958</v>
      </c>
      <c r="AI439" s="1"/>
      <c r="AJ439" s="1" t="s">
        <v>4885</v>
      </c>
      <c r="AK439" s="1" t="s">
        <v>4886</v>
      </c>
      <c r="AL439" s="1" t="s">
        <v>9041</v>
      </c>
      <c r="AM439" s="1" t="s">
        <v>10959</v>
      </c>
      <c r="AN439" s="1" t="s">
        <v>4886</v>
      </c>
      <c r="AO439" s="1" t="s">
        <v>10960</v>
      </c>
      <c r="AP439" s="2" t="s">
        <v>10961</v>
      </c>
      <c r="AQ439" s="2" t="s">
        <v>1155</v>
      </c>
      <c r="AR439" s="1" t="s">
        <v>286</v>
      </c>
      <c r="AS439" s="1"/>
      <c r="AT439" s="1" t="s">
        <v>5</v>
      </c>
    </row>
    <row r="440" spans="1:46" hidden="1" x14ac:dyDescent="0.4">
      <c r="A440" s="1" t="s">
        <v>10585</v>
      </c>
      <c r="B440" s="10"/>
      <c r="C440" s="1" t="s">
        <v>93</v>
      </c>
      <c r="D440" s="1" t="s">
        <v>2220</v>
      </c>
      <c r="E440" s="1" t="s">
        <v>2078</v>
      </c>
      <c r="F440" s="1" t="s">
        <v>14</v>
      </c>
      <c r="G440" s="1" t="s">
        <v>1</v>
      </c>
      <c r="H440" s="1" t="s">
        <v>6</v>
      </c>
      <c r="I440" s="1" t="s">
        <v>2</v>
      </c>
      <c r="J440" s="1" t="s">
        <v>3</v>
      </c>
      <c r="K440" s="1" t="s">
        <v>10586</v>
      </c>
      <c r="L440" s="1" t="s">
        <v>7</v>
      </c>
      <c r="M440" s="1"/>
      <c r="N440" s="1" t="s">
        <v>10587</v>
      </c>
      <c r="O440" s="1" t="s">
        <v>10588</v>
      </c>
      <c r="P440" s="1"/>
      <c r="Q440" s="1"/>
      <c r="R440" s="1" t="s">
        <v>11</v>
      </c>
      <c r="S440" s="1"/>
      <c r="T440" s="1"/>
      <c r="U440" s="1"/>
      <c r="V440" s="1"/>
      <c r="W440" s="1"/>
      <c r="X440" s="1" t="s">
        <v>10589</v>
      </c>
      <c r="Y440" s="1"/>
      <c r="Z440" s="1"/>
      <c r="AA440" s="1"/>
      <c r="AB440" s="1" t="s">
        <v>10590</v>
      </c>
      <c r="AC440" s="1"/>
      <c r="AD440" s="1"/>
      <c r="AE440" s="1" t="s">
        <v>10591</v>
      </c>
      <c r="AF440" s="1"/>
      <c r="AG440" s="1"/>
      <c r="AH440" s="1" t="s">
        <v>10592</v>
      </c>
      <c r="AI440" s="1"/>
      <c r="AJ440" s="1" t="s">
        <v>10303</v>
      </c>
      <c r="AK440" s="1" t="s">
        <v>1787</v>
      </c>
      <c r="AL440" s="1" t="s">
        <v>10304</v>
      </c>
      <c r="AM440" s="1" t="s">
        <v>10593</v>
      </c>
      <c r="AN440" s="1" t="s">
        <v>1787</v>
      </c>
      <c r="AO440" s="1" t="s">
        <v>10594</v>
      </c>
      <c r="AP440" s="2" t="s">
        <v>10595</v>
      </c>
      <c r="AQ440" s="2" t="s">
        <v>1155</v>
      </c>
      <c r="AR440" s="1" t="s">
        <v>286</v>
      </c>
      <c r="AS440" s="1" t="s">
        <v>970</v>
      </c>
      <c r="AT440" s="1" t="s">
        <v>5</v>
      </c>
    </row>
    <row r="441" spans="1:46" hidden="1" x14ac:dyDescent="0.4">
      <c r="A441" s="1" t="s">
        <v>10596</v>
      </c>
      <c r="B441" s="10"/>
      <c r="C441" s="1" t="s">
        <v>93</v>
      </c>
      <c r="D441" s="1" t="s">
        <v>2220</v>
      </c>
      <c r="E441" s="1" t="s">
        <v>2078</v>
      </c>
      <c r="F441" s="1" t="s">
        <v>14</v>
      </c>
      <c r="G441" s="1" t="s">
        <v>1</v>
      </c>
      <c r="H441" s="1" t="s">
        <v>6</v>
      </c>
      <c r="I441" s="1" t="s">
        <v>2</v>
      </c>
      <c r="J441" s="1" t="s">
        <v>3</v>
      </c>
      <c r="K441" s="1" t="s">
        <v>10597</v>
      </c>
      <c r="L441" s="1" t="s">
        <v>7</v>
      </c>
      <c r="M441" s="1"/>
      <c r="N441" s="1" t="s">
        <v>10598</v>
      </c>
      <c r="O441" s="1" t="s">
        <v>10588</v>
      </c>
      <c r="P441" s="1"/>
      <c r="Q441" s="1"/>
      <c r="R441" s="1" t="s">
        <v>11</v>
      </c>
      <c r="S441" s="1"/>
      <c r="T441" s="1"/>
      <c r="U441" s="1"/>
      <c r="V441" s="1"/>
      <c r="W441" s="1"/>
      <c r="X441" s="1" t="s">
        <v>10589</v>
      </c>
      <c r="Y441" s="1"/>
      <c r="Z441" s="1"/>
      <c r="AA441" s="1"/>
      <c r="AB441" s="1" t="s">
        <v>10599</v>
      </c>
      <c r="AC441" s="1"/>
      <c r="AD441" s="1"/>
      <c r="AE441" s="1" t="s">
        <v>10591</v>
      </c>
      <c r="AF441" s="1"/>
      <c r="AG441" s="1"/>
      <c r="AH441" s="1" t="s">
        <v>10600</v>
      </c>
      <c r="AI441" s="1"/>
      <c r="AJ441" s="1" t="s">
        <v>10303</v>
      </c>
      <c r="AK441" s="1" t="s">
        <v>1787</v>
      </c>
      <c r="AL441" s="1" t="s">
        <v>10304</v>
      </c>
      <c r="AM441" s="1" t="s">
        <v>10593</v>
      </c>
      <c r="AN441" s="1" t="s">
        <v>1787</v>
      </c>
      <c r="AO441" s="1" t="s">
        <v>10594</v>
      </c>
      <c r="AP441" s="2" t="s">
        <v>10601</v>
      </c>
      <c r="AQ441" s="2" t="s">
        <v>1155</v>
      </c>
      <c r="AR441" s="1" t="s">
        <v>286</v>
      </c>
      <c r="AS441" s="1" t="s">
        <v>970</v>
      </c>
      <c r="AT441" s="1" t="s">
        <v>5</v>
      </c>
    </row>
    <row r="442" spans="1:46" hidden="1" x14ac:dyDescent="0.4">
      <c r="A442" s="1" t="s">
        <v>4904</v>
      </c>
      <c r="B442" s="10"/>
      <c r="C442" s="1" t="s">
        <v>4098</v>
      </c>
      <c r="D442" s="1" t="s">
        <v>2396</v>
      </c>
      <c r="E442" s="1" t="s">
        <v>2078</v>
      </c>
      <c r="F442" s="1" t="s">
        <v>14</v>
      </c>
      <c r="G442" s="1" t="s">
        <v>1</v>
      </c>
      <c r="H442" s="1" t="s">
        <v>6</v>
      </c>
      <c r="I442" s="1" t="s">
        <v>2</v>
      </c>
      <c r="J442" s="1" t="s">
        <v>3</v>
      </c>
      <c r="K442" s="1" t="s">
        <v>4905</v>
      </c>
      <c r="L442" s="1" t="s">
        <v>4</v>
      </c>
      <c r="M442" s="1"/>
      <c r="N442" s="1" t="s">
        <v>4906</v>
      </c>
      <c r="O442" s="1" t="s">
        <v>4907</v>
      </c>
      <c r="P442" s="1"/>
      <c r="Q442" s="1"/>
      <c r="R442" s="1" t="s">
        <v>11</v>
      </c>
      <c r="S442" s="1"/>
      <c r="T442" s="1"/>
      <c r="U442" s="1"/>
      <c r="V442" s="1"/>
      <c r="W442" s="1" t="s">
        <v>4908</v>
      </c>
      <c r="X442" s="1"/>
      <c r="Y442" s="1"/>
      <c r="Z442" s="1"/>
      <c r="AA442" s="1"/>
      <c r="AB442" s="1" t="s">
        <v>4909</v>
      </c>
      <c r="AC442" s="1"/>
      <c r="AD442" s="1"/>
      <c r="AE442" s="1"/>
      <c r="AF442" s="1"/>
      <c r="AG442" s="1"/>
      <c r="AH442" s="1" t="s">
        <v>4910</v>
      </c>
      <c r="AI442" s="1"/>
      <c r="AJ442" s="1" t="s">
        <v>4844</v>
      </c>
      <c r="AK442" s="1" t="s">
        <v>4845</v>
      </c>
      <c r="AL442" s="1" t="s">
        <v>4846</v>
      </c>
      <c r="AM442" s="1" t="s">
        <v>4847</v>
      </c>
      <c r="AN442" s="1" t="s">
        <v>4845</v>
      </c>
      <c r="AO442" s="1" t="s">
        <v>4848</v>
      </c>
      <c r="AP442" s="2" t="s">
        <v>4911</v>
      </c>
      <c r="AQ442" s="2" t="s">
        <v>1153</v>
      </c>
      <c r="AR442" s="1" t="s">
        <v>286</v>
      </c>
      <c r="AS442" s="1"/>
      <c r="AT442" s="1" t="s">
        <v>5</v>
      </c>
    </row>
    <row r="443" spans="1:46" hidden="1" x14ac:dyDescent="0.4">
      <c r="A443" s="1" t="s">
        <v>7523</v>
      </c>
      <c r="B443" s="10"/>
      <c r="C443" s="1" t="s">
        <v>4098</v>
      </c>
      <c r="D443" s="1" t="s">
        <v>2827</v>
      </c>
      <c r="E443" s="1" t="s">
        <v>2478</v>
      </c>
      <c r="F443" s="1" t="s">
        <v>14</v>
      </c>
      <c r="G443" s="1" t="s">
        <v>1</v>
      </c>
      <c r="H443" s="1" t="s">
        <v>6</v>
      </c>
      <c r="I443" s="1" t="s">
        <v>2</v>
      </c>
      <c r="J443" s="1" t="s">
        <v>3</v>
      </c>
      <c r="K443" s="1" t="s">
        <v>7524</v>
      </c>
      <c r="L443" s="1" t="s">
        <v>4</v>
      </c>
      <c r="M443" s="1"/>
      <c r="N443" s="1" t="s">
        <v>7525</v>
      </c>
      <c r="O443" s="1" t="s">
        <v>4840</v>
      </c>
      <c r="P443" s="1"/>
      <c r="Q443" s="1"/>
      <c r="R443" s="1" t="s">
        <v>11</v>
      </c>
      <c r="S443" s="1"/>
      <c r="T443" s="1"/>
      <c r="U443" s="1"/>
      <c r="V443" s="1"/>
      <c r="W443" s="1"/>
      <c r="X443" s="1"/>
      <c r="Y443" s="1"/>
      <c r="Z443" s="1"/>
      <c r="AA443" s="1"/>
      <c r="AB443" s="1" t="s">
        <v>7526</v>
      </c>
      <c r="AC443" s="1"/>
      <c r="AD443" s="1"/>
      <c r="AE443" s="1" t="s">
        <v>7527</v>
      </c>
      <c r="AF443" s="1"/>
      <c r="AG443" s="1"/>
      <c r="AH443" s="1" t="s">
        <v>7528</v>
      </c>
      <c r="AI443" s="1"/>
      <c r="AJ443" s="1" t="s">
        <v>7529</v>
      </c>
      <c r="AK443" s="1" t="s">
        <v>4845</v>
      </c>
      <c r="AL443" s="1" t="s">
        <v>7530</v>
      </c>
      <c r="AM443" s="1" t="s">
        <v>4847</v>
      </c>
      <c r="AN443" s="1" t="s">
        <v>4845</v>
      </c>
      <c r="AO443" s="1" t="s">
        <v>4848</v>
      </c>
      <c r="AP443" s="2" t="s">
        <v>7531</v>
      </c>
      <c r="AQ443" s="2" t="s">
        <v>1154</v>
      </c>
      <c r="AR443" s="1" t="s">
        <v>286</v>
      </c>
      <c r="AS443" s="1" t="s">
        <v>7532</v>
      </c>
      <c r="AT443" s="1" t="s">
        <v>5</v>
      </c>
    </row>
    <row r="444" spans="1:46" hidden="1" x14ac:dyDescent="0.4">
      <c r="A444" s="1" t="s">
        <v>4850</v>
      </c>
      <c r="B444" s="10"/>
      <c r="C444" s="1" t="s">
        <v>4098</v>
      </c>
      <c r="D444" s="1" t="s">
        <v>2827</v>
      </c>
      <c r="E444" s="1" t="s">
        <v>2078</v>
      </c>
      <c r="F444" s="1" t="s">
        <v>14</v>
      </c>
      <c r="G444" s="1" t="s">
        <v>1</v>
      </c>
      <c r="H444" s="1" t="s">
        <v>6</v>
      </c>
      <c r="I444" s="1" t="s">
        <v>2</v>
      </c>
      <c r="J444" s="1" t="s">
        <v>3</v>
      </c>
      <c r="K444" s="1" t="s">
        <v>4851</v>
      </c>
      <c r="L444" s="1" t="s">
        <v>4</v>
      </c>
      <c r="M444" s="1"/>
      <c r="N444" s="1" t="s">
        <v>4852</v>
      </c>
      <c r="O444" s="1" t="s">
        <v>4840</v>
      </c>
      <c r="P444" s="1"/>
      <c r="Q444" s="1"/>
      <c r="R444" s="1" t="s">
        <v>11</v>
      </c>
      <c r="S444" s="1"/>
      <c r="T444" s="1"/>
      <c r="U444" s="1"/>
      <c r="V444" s="1"/>
      <c r="W444" s="1" t="s">
        <v>4853</v>
      </c>
      <c r="X444" s="1"/>
      <c r="Y444" s="1"/>
      <c r="Z444" s="1"/>
      <c r="AA444" s="1"/>
      <c r="AB444" s="1" t="s">
        <v>4854</v>
      </c>
      <c r="AC444" s="1"/>
      <c r="AD444" s="1"/>
      <c r="AE444" s="1"/>
      <c r="AF444" s="1"/>
      <c r="AG444" s="1"/>
      <c r="AH444" s="1" t="s">
        <v>4855</v>
      </c>
      <c r="AI444" s="1"/>
      <c r="AJ444" s="1" t="s">
        <v>4844</v>
      </c>
      <c r="AK444" s="1" t="s">
        <v>4845</v>
      </c>
      <c r="AL444" s="1" t="s">
        <v>4846</v>
      </c>
      <c r="AM444" s="1" t="s">
        <v>4847</v>
      </c>
      <c r="AN444" s="1" t="s">
        <v>4845</v>
      </c>
      <c r="AO444" s="1" t="s">
        <v>4848</v>
      </c>
      <c r="AP444" s="2" t="s">
        <v>4856</v>
      </c>
      <c r="AQ444" s="2" t="s">
        <v>1153</v>
      </c>
      <c r="AR444" s="1" t="s">
        <v>286</v>
      </c>
      <c r="AS444" s="1"/>
      <c r="AT444" s="1" t="s">
        <v>5</v>
      </c>
    </row>
    <row r="445" spans="1:46" hidden="1" x14ac:dyDescent="0.4">
      <c r="A445" s="1" t="s">
        <v>4837</v>
      </c>
      <c r="B445" s="10"/>
      <c r="C445" s="1" t="s">
        <v>4098</v>
      </c>
      <c r="D445" s="1" t="s">
        <v>2827</v>
      </c>
      <c r="E445" s="1" t="s">
        <v>2078</v>
      </c>
      <c r="F445" s="1" t="s">
        <v>14</v>
      </c>
      <c r="G445" s="1" t="s">
        <v>1</v>
      </c>
      <c r="H445" s="1" t="s">
        <v>6</v>
      </c>
      <c r="I445" s="1" t="s">
        <v>2</v>
      </c>
      <c r="J445" s="1" t="s">
        <v>3</v>
      </c>
      <c r="K445" s="1" t="s">
        <v>4838</v>
      </c>
      <c r="L445" s="1" t="s">
        <v>4</v>
      </c>
      <c r="M445" s="1"/>
      <c r="N445" s="1" t="s">
        <v>4839</v>
      </c>
      <c r="O445" s="1" t="s">
        <v>4840</v>
      </c>
      <c r="P445" s="1"/>
      <c r="Q445" s="1"/>
      <c r="R445" s="1" t="s">
        <v>11</v>
      </c>
      <c r="S445" s="1"/>
      <c r="T445" s="1"/>
      <c r="U445" s="1"/>
      <c r="V445" s="1"/>
      <c r="W445" s="1" t="s">
        <v>4841</v>
      </c>
      <c r="X445" s="1"/>
      <c r="Y445" s="1"/>
      <c r="Z445" s="1"/>
      <c r="AA445" s="1"/>
      <c r="AB445" s="1" t="s">
        <v>4842</v>
      </c>
      <c r="AC445" s="1"/>
      <c r="AD445" s="1"/>
      <c r="AE445" s="1"/>
      <c r="AF445" s="1"/>
      <c r="AG445" s="1"/>
      <c r="AH445" s="1" t="s">
        <v>4843</v>
      </c>
      <c r="AI445" s="1"/>
      <c r="AJ445" s="1" t="s">
        <v>4844</v>
      </c>
      <c r="AK445" s="1" t="s">
        <v>4845</v>
      </c>
      <c r="AL445" s="1" t="s">
        <v>4846</v>
      </c>
      <c r="AM445" s="1" t="s">
        <v>4847</v>
      </c>
      <c r="AN445" s="1" t="s">
        <v>4845</v>
      </c>
      <c r="AO445" s="1" t="s">
        <v>4848</v>
      </c>
      <c r="AP445" s="2" t="s">
        <v>4849</v>
      </c>
      <c r="AQ445" s="2" t="s">
        <v>1153</v>
      </c>
      <c r="AR445" s="1" t="s">
        <v>286</v>
      </c>
      <c r="AS445" s="1"/>
      <c r="AT445" s="1" t="s">
        <v>5</v>
      </c>
    </row>
    <row r="446" spans="1:46" hidden="1" x14ac:dyDescent="0.4">
      <c r="A446" s="1" t="s">
        <v>3852</v>
      </c>
      <c r="B446" s="10"/>
      <c r="C446" s="1" t="s">
        <v>0</v>
      </c>
      <c r="D446" s="1" t="s">
        <v>2157</v>
      </c>
      <c r="E446" s="1" t="s">
        <v>2078</v>
      </c>
      <c r="F446" s="1" t="s">
        <v>14</v>
      </c>
      <c r="G446" s="1" t="s">
        <v>1</v>
      </c>
      <c r="H446" s="1" t="s">
        <v>6</v>
      </c>
      <c r="I446" s="1" t="s">
        <v>2</v>
      </c>
      <c r="J446" s="1" t="s">
        <v>3</v>
      </c>
      <c r="K446" s="1" t="s">
        <v>3853</v>
      </c>
      <c r="L446" s="1" t="s">
        <v>7</v>
      </c>
      <c r="M446" s="1" t="s">
        <v>9</v>
      </c>
      <c r="N446" s="1" t="s">
        <v>3854</v>
      </c>
      <c r="O446" s="1" t="s">
        <v>3855</v>
      </c>
      <c r="P446" s="1"/>
      <c r="Q446" s="1"/>
      <c r="R446" s="1" t="s">
        <v>11</v>
      </c>
      <c r="S446" s="1"/>
      <c r="T446" s="1"/>
      <c r="U446" s="1"/>
      <c r="V446" s="1"/>
      <c r="W446" s="1"/>
      <c r="X446" s="1"/>
      <c r="Y446" s="1"/>
      <c r="Z446" s="1"/>
      <c r="AA446" s="1"/>
      <c r="AB446" s="1" t="s">
        <v>3856</v>
      </c>
      <c r="AC446" s="1"/>
      <c r="AD446" s="1"/>
      <c r="AE446" s="1"/>
      <c r="AF446" s="1"/>
      <c r="AG446" s="1"/>
      <c r="AH446" s="1" t="s">
        <v>3857</v>
      </c>
      <c r="AI446" s="1"/>
      <c r="AJ446" s="1" t="s">
        <v>3825</v>
      </c>
      <c r="AK446" s="1" t="s">
        <v>3826</v>
      </c>
      <c r="AL446" s="1" t="s">
        <v>3827</v>
      </c>
      <c r="AM446" s="1" t="s">
        <v>3858</v>
      </c>
      <c r="AN446" s="1" t="s">
        <v>3859</v>
      </c>
      <c r="AO446" s="1" t="s">
        <v>3860</v>
      </c>
      <c r="AP446" s="2" t="s">
        <v>3861</v>
      </c>
      <c r="AQ446" s="2" t="s">
        <v>1153</v>
      </c>
      <c r="AR446" s="1" t="s">
        <v>286</v>
      </c>
      <c r="AS446" s="1"/>
      <c r="AT446" s="1" t="s">
        <v>5</v>
      </c>
    </row>
    <row r="447" spans="1:46" hidden="1" x14ac:dyDescent="0.4">
      <c r="A447" s="1" t="s">
        <v>5539</v>
      </c>
      <c r="B447" s="10"/>
      <c r="C447" s="1" t="s">
        <v>5198</v>
      </c>
      <c r="D447" s="1" t="s">
        <v>2076</v>
      </c>
      <c r="E447" s="1" t="s">
        <v>2078</v>
      </c>
      <c r="F447" s="1" t="s">
        <v>14</v>
      </c>
      <c r="G447" s="1" t="s">
        <v>1</v>
      </c>
      <c r="H447" s="1" t="s">
        <v>6</v>
      </c>
      <c r="I447" s="1" t="s">
        <v>2</v>
      </c>
      <c r="J447" s="1" t="s">
        <v>5199</v>
      </c>
      <c r="K447" s="1" t="s">
        <v>5540</v>
      </c>
      <c r="L447" s="1" t="s">
        <v>7</v>
      </c>
      <c r="M447" s="1"/>
      <c r="N447" s="1" t="s">
        <v>5541</v>
      </c>
      <c r="O447" s="1" t="s">
        <v>5542</v>
      </c>
      <c r="P447" s="1"/>
      <c r="Q447" s="1"/>
      <c r="R447" s="1" t="s">
        <v>11</v>
      </c>
      <c r="S447" s="1"/>
      <c r="T447" s="1"/>
      <c r="U447" s="1"/>
      <c r="V447" s="1"/>
      <c r="W447" s="1" t="s">
        <v>5543</v>
      </c>
      <c r="X447" s="1"/>
      <c r="Y447" s="1"/>
      <c r="Z447" s="1"/>
      <c r="AA447" s="1"/>
      <c r="AB447" s="1" t="s">
        <v>5544</v>
      </c>
      <c r="AC447" s="1"/>
      <c r="AD447" s="1"/>
      <c r="AE447" s="1" t="s">
        <v>5545</v>
      </c>
      <c r="AF447" s="1"/>
      <c r="AG447" s="1"/>
      <c r="AH447" s="1" t="s">
        <v>5546</v>
      </c>
      <c r="AI447" s="1"/>
      <c r="AJ447" s="1" t="s">
        <v>5448</v>
      </c>
      <c r="AK447" s="1" t="s">
        <v>5449</v>
      </c>
      <c r="AL447" s="1" t="s">
        <v>5450</v>
      </c>
      <c r="AM447" s="1" t="s">
        <v>5451</v>
      </c>
      <c r="AN447" s="1" t="s">
        <v>5452</v>
      </c>
      <c r="AO447" s="1" t="s">
        <v>5453</v>
      </c>
      <c r="AP447" s="2" t="s">
        <v>5547</v>
      </c>
      <c r="AQ447" s="2" t="s">
        <v>1077</v>
      </c>
      <c r="AR447" s="1" t="s">
        <v>286</v>
      </c>
      <c r="AS447" s="1"/>
      <c r="AT447" s="1" t="s">
        <v>5</v>
      </c>
    </row>
    <row r="448" spans="1:46" hidden="1" x14ac:dyDescent="0.4">
      <c r="A448" s="1" t="s">
        <v>5928</v>
      </c>
      <c r="B448" s="10"/>
      <c r="C448" s="1" t="s">
        <v>93</v>
      </c>
      <c r="D448" s="1" t="s">
        <v>2827</v>
      </c>
      <c r="E448" s="1" t="s">
        <v>2078</v>
      </c>
      <c r="F448" s="1" t="s">
        <v>14</v>
      </c>
      <c r="G448" s="1" t="s">
        <v>1</v>
      </c>
      <c r="H448" s="1" t="s">
        <v>6</v>
      </c>
      <c r="I448" s="1" t="s">
        <v>2</v>
      </c>
      <c r="J448" s="1" t="s">
        <v>3</v>
      </c>
      <c r="K448" s="1" t="s">
        <v>5929</v>
      </c>
      <c r="L448" s="1" t="s">
        <v>7</v>
      </c>
      <c r="M448" s="1"/>
      <c r="N448" s="1" t="s">
        <v>5930</v>
      </c>
      <c r="O448" s="1" t="s">
        <v>5931</v>
      </c>
      <c r="P448" s="1"/>
      <c r="Q448" s="1"/>
      <c r="R448" s="1" t="s">
        <v>11</v>
      </c>
      <c r="S448" s="1"/>
      <c r="T448" s="1"/>
      <c r="U448" s="1"/>
      <c r="V448" s="1"/>
      <c r="W448" s="1"/>
      <c r="X448" s="1"/>
      <c r="Y448" s="1"/>
      <c r="Z448" s="1"/>
      <c r="AA448" s="1"/>
      <c r="AB448" s="1" t="s">
        <v>5932</v>
      </c>
      <c r="AC448" s="1"/>
      <c r="AD448" s="1"/>
      <c r="AE448" s="1" t="s">
        <v>5933</v>
      </c>
      <c r="AF448" s="1"/>
      <c r="AG448" s="1"/>
      <c r="AH448" s="1" t="s">
        <v>5934</v>
      </c>
      <c r="AI448" s="1"/>
      <c r="AJ448" s="1" t="s">
        <v>5935</v>
      </c>
      <c r="AK448" s="1" t="s">
        <v>1787</v>
      </c>
      <c r="AL448" s="1" t="s">
        <v>5936</v>
      </c>
      <c r="AM448" s="1" t="s">
        <v>5937</v>
      </c>
      <c r="AN448" s="1" t="s">
        <v>1787</v>
      </c>
      <c r="AO448" s="1" t="s">
        <v>5938</v>
      </c>
      <c r="AP448" s="2" t="s">
        <v>5939</v>
      </c>
      <c r="AQ448" s="2" t="s">
        <v>1077</v>
      </c>
      <c r="AR448" s="1" t="s">
        <v>286</v>
      </c>
      <c r="AS448" s="1"/>
      <c r="AT448" s="1" t="s">
        <v>5</v>
      </c>
    </row>
    <row r="449" spans="1:46" hidden="1" x14ac:dyDescent="0.4">
      <c r="A449" s="1" t="s">
        <v>7225</v>
      </c>
      <c r="B449" s="10"/>
      <c r="C449" s="1" t="s">
        <v>0</v>
      </c>
      <c r="D449" s="1" t="s">
        <v>2157</v>
      </c>
      <c r="E449" s="1" t="s">
        <v>2078</v>
      </c>
      <c r="F449" s="1" t="s">
        <v>14</v>
      </c>
      <c r="G449" s="1" t="s">
        <v>1</v>
      </c>
      <c r="H449" s="1" t="s">
        <v>6</v>
      </c>
      <c r="I449" s="1" t="s">
        <v>2</v>
      </c>
      <c r="J449" s="1" t="s">
        <v>3</v>
      </c>
      <c r="K449" s="1" t="s">
        <v>7226</v>
      </c>
      <c r="L449" s="1" t="s">
        <v>7</v>
      </c>
      <c r="M449" s="1" t="s">
        <v>9</v>
      </c>
      <c r="N449" s="1" t="s">
        <v>7227</v>
      </c>
      <c r="O449" s="1" t="s">
        <v>7228</v>
      </c>
      <c r="P449" s="1"/>
      <c r="Q449" s="1"/>
      <c r="R449" s="1" t="s">
        <v>11</v>
      </c>
      <c r="S449" s="1"/>
      <c r="T449" s="1"/>
      <c r="U449" s="1"/>
      <c r="V449" s="1"/>
      <c r="W449" s="1" t="s">
        <v>7229</v>
      </c>
      <c r="X449" s="1" t="s">
        <v>7230</v>
      </c>
      <c r="Y449" s="1"/>
      <c r="Z449" s="1"/>
      <c r="AA449" s="1"/>
      <c r="AB449" s="1" t="s">
        <v>7231</v>
      </c>
      <c r="AC449" s="1"/>
      <c r="AD449" s="1"/>
      <c r="AE449" s="1" t="s">
        <v>7232</v>
      </c>
      <c r="AF449" s="1"/>
      <c r="AG449" s="1"/>
      <c r="AH449" s="1" t="s">
        <v>7233</v>
      </c>
      <c r="AI449" s="1"/>
      <c r="AJ449" s="1" t="s">
        <v>2115</v>
      </c>
      <c r="AK449" s="1" t="s">
        <v>4227</v>
      </c>
      <c r="AL449" s="1" t="s">
        <v>7234</v>
      </c>
      <c r="AM449" s="1" t="s">
        <v>7235</v>
      </c>
      <c r="AN449" s="1" t="s">
        <v>4227</v>
      </c>
      <c r="AO449" s="1"/>
      <c r="AP449" s="2" t="s">
        <v>7236</v>
      </c>
      <c r="AQ449" s="2" t="s">
        <v>1077</v>
      </c>
      <c r="AR449" s="1" t="s">
        <v>286</v>
      </c>
      <c r="AS449" s="1"/>
      <c r="AT449" s="1" t="s">
        <v>5</v>
      </c>
    </row>
    <row r="450" spans="1:46" hidden="1" x14ac:dyDescent="0.4">
      <c r="A450" s="1" t="s">
        <v>10244</v>
      </c>
      <c r="B450" s="10"/>
      <c r="C450" s="1" t="s">
        <v>0</v>
      </c>
      <c r="D450" s="1" t="s">
        <v>2827</v>
      </c>
      <c r="E450" s="1" t="s">
        <v>2078</v>
      </c>
      <c r="F450" s="1" t="s">
        <v>14</v>
      </c>
      <c r="G450" s="1" t="s">
        <v>1</v>
      </c>
      <c r="H450" s="1" t="s">
        <v>6</v>
      </c>
      <c r="I450" s="1" t="s">
        <v>2</v>
      </c>
      <c r="J450" s="1" t="s">
        <v>3</v>
      </c>
      <c r="K450" s="1" t="s">
        <v>10245</v>
      </c>
      <c r="L450" s="1" t="s">
        <v>7</v>
      </c>
      <c r="M450" s="1" t="s">
        <v>9</v>
      </c>
      <c r="N450" s="1" t="s">
        <v>10246</v>
      </c>
      <c r="O450" s="1" t="s">
        <v>10247</v>
      </c>
      <c r="P450" s="1"/>
      <c r="Q450" s="1"/>
      <c r="R450" s="1" t="s">
        <v>11</v>
      </c>
      <c r="S450" s="1"/>
      <c r="T450" s="1"/>
      <c r="U450" s="1"/>
      <c r="V450" s="1"/>
      <c r="W450" s="1"/>
      <c r="X450" s="1"/>
      <c r="Y450" s="1"/>
      <c r="Z450" s="1"/>
      <c r="AA450" s="1"/>
      <c r="AB450" s="1" t="s">
        <v>10248</v>
      </c>
      <c r="AC450" s="1"/>
      <c r="AD450" s="1"/>
      <c r="AE450" s="1" t="s">
        <v>10249</v>
      </c>
      <c r="AF450" s="1"/>
      <c r="AG450" s="1"/>
      <c r="AH450" s="1" t="s">
        <v>10250</v>
      </c>
      <c r="AI450" s="1"/>
      <c r="AJ450" s="1" t="s">
        <v>725</v>
      </c>
      <c r="AK450" s="1" t="s">
        <v>213</v>
      </c>
      <c r="AL450" s="1" t="s">
        <v>726</v>
      </c>
      <c r="AM450" s="1" t="s">
        <v>725</v>
      </c>
      <c r="AN450" s="1" t="s">
        <v>213</v>
      </c>
      <c r="AO450" s="1" t="s">
        <v>726</v>
      </c>
      <c r="AP450" s="2" t="s">
        <v>10251</v>
      </c>
      <c r="AQ450" s="2" t="s">
        <v>1155</v>
      </c>
      <c r="AR450" s="1" t="s">
        <v>286</v>
      </c>
      <c r="AS450" s="1" t="s">
        <v>10252</v>
      </c>
      <c r="AT450" s="1" t="s">
        <v>5</v>
      </c>
    </row>
    <row r="451" spans="1:46" hidden="1" x14ac:dyDescent="0.4">
      <c r="A451" s="1" t="s">
        <v>10253</v>
      </c>
      <c r="B451" s="10"/>
      <c r="C451" s="1" t="s">
        <v>0</v>
      </c>
      <c r="D451" s="1" t="s">
        <v>2827</v>
      </c>
      <c r="E451" s="1" t="s">
        <v>2078</v>
      </c>
      <c r="F451" s="1" t="s">
        <v>14</v>
      </c>
      <c r="G451" s="1" t="s">
        <v>1</v>
      </c>
      <c r="H451" s="1" t="s">
        <v>6</v>
      </c>
      <c r="I451" s="1" t="s">
        <v>2</v>
      </c>
      <c r="J451" s="1" t="s">
        <v>3</v>
      </c>
      <c r="K451" s="1" t="s">
        <v>10254</v>
      </c>
      <c r="L451" s="1" t="s">
        <v>7</v>
      </c>
      <c r="M451" s="1" t="s">
        <v>9</v>
      </c>
      <c r="N451" s="1" t="s">
        <v>10255</v>
      </c>
      <c r="O451" s="1" t="s">
        <v>10247</v>
      </c>
      <c r="P451" s="1"/>
      <c r="Q451" s="1"/>
      <c r="R451" s="1" t="s">
        <v>11</v>
      </c>
      <c r="S451" s="1"/>
      <c r="T451" s="1"/>
      <c r="U451" s="1"/>
      <c r="V451" s="1"/>
      <c r="W451" s="1"/>
      <c r="X451" s="1"/>
      <c r="Y451" s="1"/>
      <c r="Z451" s="1"/>
      <c r="AA451" s="1"/>
      <c r="AB451" s="1" t="s">
        <v>10256</v>
      </c>
      <c r="AC451" s="1"/>
      <c r="AD451" s="1"/>
      <c r="AE451" s="1" t="s">
        <v>10249</v>
      </c>
      <c r="AF451" s="1"/>
      <c r="AG451" s="1"/>
      <c r="AH451" s="1" t="s">
        <v>10257</v>
      </c>
      <c r="AI451" s="1"/>
      <c r="AJ451" s="1" t="s">
        <v>725</v>
      </c>
      <c r="AK451" s="1" t="s">
        <v>213</v>
      </c>
      <c r="AL451" s="1" t="s">
        <v>726</v>
      </c>
      <c r="AM451" s="1" t="s">
        <v>725</v>
      </c>
      <c r="AN451" s="1" t="s">
        <v>213</v>
      </c>
      <c r="AO451" s="1" t="s">
        <v>726</v>
      </c>
      <c r="AP451" s="2" t="s">
        <v>10258</v>
      </c>
      <c r="AQ451" s="2" t="s">
        <v>1155</v>
      </c>
      <c r="AR451" s="1" t="s">
        <v>286</v>
      </c>
      <c r="AS451" s="1" t="s">
        <v>10259</v>
      </c>
      <c r="AT451" s="1" t="s">
        <v>5</v>
      </c>
    </row>
    <row r="452" spans="1:46" hidden="1" x14ac:dyDescent="0.4">
      <c r="A452" s="1" t="s">
        <v>10272</v>
      </c>
      <c r="B452" s="10"/>
      <c r="C452" s="1" t="s">
        <v>0</v>
      </c>
      <c r="D452" s="1" t="s">
        <v>2827</v>
      </c>
      <c r="E452" s="1" t="s">
        <v>2078</v>
      </c>
      <c r="F452" s="1" t="s">
        <v>14</v>
      </c>
      <c r="G452" s="1" t="s">
        <v>1</v>
      </c>
      <c r="H452" s="1" t="s">
        <v>6</v>
      </c>
      <c r="I452" s="1" t="s">
        <v>2</v>
      </c>
      <c r="J452" s="1" t="s">
        <v>3</v>
      </c>
      <c r="K452" s="1" t="s">
        <v>10273</v>
      </c>
      <c r="L452" s="1" t="s">
        <v>7</v>
      </c>
      <c r="M452" s="1" t="s">
        <v>9</v>
      </c>
      <c r="N452" s="1" t="s">
        <v>10274</v>
      </c>
      <c r="O452" s="1" t="s">
        <v>10247</v>
      </c>
      <c r="P452" s="1"/>
      <c r="Q452" s="1"/>
      <c r="R452" s="1" t="s">
        <v>11</v>
      </c>
      <c r="S452" s="1"/>
      <c r="T452" s="1"/>
      <c r="U452" s="1"/>
      <c r="V452" s="1"/>
      <c r="W452" s="1"/>
      <c r="X452" s="1"/>
      <c r="Y452" s="1"/>
      <c r="Z452" s="1"/>
      <c r="AA452" s="1"/>
      <c r="AB452" s="1" t="s">
        <v>10275</v>
      </c>
      <c r="AC452" s="1"/>
      <c r="AD452" s="1"/>
      <c r="AE452" s="1" t="s">
        <v>10249</v>
      </c>
      <c r="AF452" s="1"/>
      <c r="AG452" s="1"/>
      <c r="AH452" s="1" t="s">
        <v>10276</v>
      </c>
      <c r="AI452" s="1"/>
      <c r="AJ452" s="1" t="s">
        <v>725</v>
      </c>
      <c r="AK452" s="1" t="s">
        <v>213</v>
      </c>
      <c r="AL452" s="1" t="s">
        <v>726</v>
      </c>
      <c r="AM452" s="1" t="s">
        <v>725</v>
      </c>
      <c r="AN452" s="1" t="s">
        <v>213</v>
      </c>
      <c r="AO452" s="1" t="s">
        <v>726</v>
      </c>
      <c r="AP452" s="2" t="s">
        <v>10277</v>
      </c>
      <c r="AQ452" s="2" t="s">
        <v>1155</v>
      </c>
      <c r="AR452" s="1" t="s">
        <v>286</v>
      </c>
      <c r="AS452" s="1" t="s">
        <v>10278</v>
      </c>
      <c r="AT452" s="1" t="s">
        <v>5</v>
      </c>
    </row>
    <row r="453" spans="1:46" hidden="1" x14ac:dyDescent="0.4">
      <c r="A453" s="1" t="s">
        <v>5876</v>
      </c>
      <c r="B453" s="10"/>
      <c r="C453" s="1" t="s">
        <v>5198</v>
      </c>
      <c r="D453" s="1" t="s">
        <v>2157</v>
      </c>
      <c r="E453" s="1" t="s">
        <v>2078</v>
      </c>
      <c r="F453" s="1" t="s">
        <v>14</v>
      </c>
      <c r="G453" s="1" t="s">
        <v>1</v>
      </c>
      <c r="H453" s="1" t="s">
        <v>6</v>
      </c>
      <c r="I453" s="1" t="s">
        <v>2</v>
      </c>
      <c r="J453" s="1" t="s">
        <v>5199</v>
      </c>
      <c r="K453" s="1" t="s">
        <v>5877</v>
      </c>
      <c r="L453" s="1" t="s">
        <v>7</v>
      </c>
      <c r="M453" s="1"/>
      <c r="N453" s="1" t="s">
        <v>5878</v>
      </c>
      <c r="O453" s="1" t="s">
        <v>5879</v>
      </c>
      <c r="P453" s="1"/>
      <c r="Q453" s="1"/>
      <c r="R453" s="1" t="s">
        <v>11</v>
      </c>
      <c r="S453" s="1"/>
      <c r="T453" s="1"/>
      <c r="U453" s="1"/>
      <c r="V453" s="1"/>
      <c r="W453" s="1"/>
      <c r="X453" s="1"/>
      <c r="Y453" s="1"/>
      <c r="Z453" s="1"/>
      <c r="AA453" s="1"/>
      <c r="AB453" s="1" t="s">
        <v>5880</v>
      </c>
      <c r="AC453" s="1"/>
      <c r="AD453" s="1"/>
      <c r="AE453" s="1" t="s">
        <v>5881</v>
      </c>
      <c r="AF453" s="1"/>
      <c r="AG453" s="1"/>
      <c r="AH453" s="1" t="s">
        <v>5882</v>
      </c>
      <c r="AI453" s="1"/>
      <c r="AJ453" s="1" t="s">
        <v>5448</v>
      </c>
      <c r="AK453" s="1" t="s">
        <v>5449</v>
      </c>
      <c r="AL453" s="1" t="s">
        <v>5450</v>
      </c>
      <c r="AM453" s="1" t="s">
        <v>5451</v>
      </c>
      <c r="AN453" s="1" t="s">
        <v>5452</v>
      </c>
      <c r="AO453" s="1" t="s">
        <v>5453</v>
      </c>
      <c r="AP453" s="2" t="s">
        <v>5883</v>
      </c>
      <c r="AQ453" s="2" t="s">
        <v>1077</v>
      </c>
      <c r="AR453" s="1" t="s">
        <v>286</v>
      </c>
      <c r="AS453" s="1"/>
      <c r="AT453" s="1" t="s">
        <v>5</v>
      </c>
    </row>
    <row r="454" spans="1:46" hidden="1" x14ac:dyDescent="0.4">
      <c r="A454" s="1" t="s">
        <v>5601</v>
      </c>
      <c r="B454" s="10"/>
      <c r="C454" s="1" t="s">
        <v>2705</v>
      </c>
      <c r="D454" s="1" t="s">
        <v>2396</v>
      </c>
      <c r="E454" s="1" t="s">
        <v>2078</v>
      </c>
      <c r="F454" s="1" t="s">
        <v>14</v>
      </c>
      <c r="G454" s="1" t="s">
        <v>1</v>
      </c>
      <c r="H454" s="1" t="s">
        <v>6</v>
      </c>
      <c r="I454" s="1" t="s">
        <v>2</v>
      </c>
      <c r="J454" s="1" t="s">
        <v>2813</v>
      </c>
      <c r="K454" s="1" t="s">
        <v>5602</v>
      </c>
      <c r="L454" s="1" t="s">
        <v>7</v>
      </c>
      <c r="M454" s="1" t="s">
        <v>9</v>
      </c>
      <c r="N454" s="1" t="s">
        <v>5603</v>
      </c>
      <c r="O454" s="1" t="s">
        <v>5604</v>
      </c>
      <c r="P454" s="1"/>
      <c r="Q454" s="1"/>
      <c r="R454" s="1" t="s">
        <v>11</v>
      </c>
      <c r="S454" s="1"/>
      <c r="T454" s="1"/>
      <c r="U454" s="1"/>
      <c r="V454" s="1"/>
      <c r="W454" s="1" t="s">
        <v>5605</v>
      </c>
      <c r="X454" s="1"/>
      <c r="Y454" s="1"/>
      <c r="Z454" s="1"/>
      <c r="AA454" s="1"/>
      <c r="AB454" s="1" t="s">
        <v>5606</v>
      </c>
      <c r="AC454" s="1"/>
      <c r="AD454" s="1"/>
      <c r="AE454" s="1"/>
      <c r="AF454" s="1"/>
      <c r="AG454" s="1"/>
      <c r="AH454" s="1" t="s">
        <v>5607</v>
      </c>
      <c r="AI454" s="1"/>
      <c r="AJ454" s="1" t="s">
        <v>5608</v>
      </c>
      <c r="AK454" s="1" t="s">
        <v>5609</v>
      </c>
      <c r="AL454" s="1"/>
      <c r="AM454" s="1" t="s">
        <v>5608</v>
      </c>
      <c r="AN454" s="1" t="s">
        <v>5609</v>
      </c>
      <c r="AO454" s="1"/>
      <c r="AP454" s="2" t="s">
        <v>5610</v>
      </c>
      <c r="AQ454" s="2" t="s">
        <v>1077</v>
      </c>
      <c r="AR454" s="1" t="s">
        <v>286</v>
      </c>
      <c r="AS454" s="1"/>
      <c r="AT454" s="1" t="s">
        <v>5</v>
      </c>
    </row>
    <row r="455" spans="1:46" hidden="1" x14ac:dyDescent="0.4">
      <c r="A455" s="1" t="s">
        <v>2632</v>
      </c>
      <c r="B455" s="10"/>
      <c r="C455" s="1" t="s">
        <v>0</v>
      </c>
      <c r="D455" s="1" t="s">
        <v>2157</v>
      </c>
      <c r="E455" s="1" t="s">
        <v>2078</v>
      </c>
      <c r="F455" s="1" t="s">
        <v>14</v>
      </c>
      <c r="G455" s="1" t="s">
        <v>1</v>
      </c>
      <c r="H455" s="1" t="s">
        <v>6</v>
      </c>
      <c r="I455" s="1" t="s">
        <v>2</v>
      </c>
      <c r="J455" s="1" t="s">
        <v>3</v>
      </c>
      <c r="K455" s="1" t="s">
        <v>2633</v>
      </c>
      <c r="L455" s="1" t="s">
        <v>7</v>
      </c>
      <c r="M455" s="1" t="s">
        <v>9</v>
      </c>
      <c r="N455" s="1" t="s">
        <v>2634</v>
      </c>
      <c r="O455" s="1" t="s">
        <v>2427</v>
      </c>
      <c r="P455" s="1"/>
      <c r="Q455" s="1"/>
      <c r="R455" s="1" t="s">
        <v>11</v>
      </c>
      <c r="S455" s="1"/>
      <c r="T455" s="1"/>
      <c r="U455" s="1"/>
      <c r="V455" s="1"/>
      <c r="W455" s="1" t="s">
        <v>2635</v>
      </c>
      <c r="X455" s="1" t="s">
        <v>2636</v>
      </c>
      <c r="Y455" s="1"/>
      <c r="Z455" s="1"/>
      <c r="AA455" s="1"/>
      <c r="AB455" s="1" t="s">
        <v>2637</v>
      </c>
      <c r="AC455" s="1"/>
      <c r="AD455" s="1"/>
      <c r="AE455" s="1" t="s">
        <v>2430</v>
      </c>
      <c r="AF455" s="1"/>
      <c r="AG455" s="1"/>
      <c r="AH455" s="1" t="s">
        <v>2638</v>
      </c>
      <c r="AI455" s="1"/>
      <c r="AJ455" s="1" t="s">
        <v>2639</v>
      </c>
      <c r="AK455" s="1" t="s">
        <v>2640</v>
      </c>
      <c r="AL455" s="1" t="s">
        <v>2641</v>
      </c>
      <c r="AM455" s="1" t="s">
        <v>2642</v>
      </c>
      <c r="AN455" s="1" t="s">
        <v>2640</v>
      </c>
      <c r="AO455" s="1" t="s">
        <v>2643</v>
      </c>
      <c r="AP455" s="2" t="s">
        <v>2644</v>
      </c>
      <c r="AQ455" s="2" t="s">
        <v>1154</v>
      </c>
      <c r="AR455" s="1"/>
      <c r="AS455" s="1"/>
      <c r="AT455" s="1" t="s">
        <v>5</v>
      </c>
    </row>
    <row r="456" spans="1:46" hidden="1" x14ac:dyDescent="0.4">
      <c r="A456" s="1" t="s">
        <v>9341</v>
      </c>
      <c r="B456" s="10"/>
      <c r="C456" s="1" t="s">
        <v>2705</v>
      </c>
      <c r="D456" s="1" t="s">
        <v>2076</v>
      </c>
      <c r="E456" s="1" t="s">
        <v>2078</v>
      </c>
      <c r="F456" s="1" t="s">
        <v>14</v>
      </c>
      <c r="G456" s="1" t="s">
        <v>1</v>
      </c>
      <c r="H456" s="1" t="s">
        <v>6</v>
      </c>
      <c r="I456" s="1" t="s">
        <v>2</v>
      </c>
      <c r="J456" s="1" t="s">
        <v>2813</v>
      </c>
      <c r="K456" s="1" t="s">
        <v>9342</v>
      </c>
      <c r="L456" s="1" t="s">
        <v>7</v>
      </c>
      <c r="M456" s="1" t="s">
        <v>9</v>
      </c>
      <c r="N456" s="1" t="s">
        <v>9343</v>
      </c>
      <c r="O456" s="1" t="s">
        <v>2911</v>
      </c>
      <c r="P456" s="1"/>
      <c r="Q456" s="1"/>
      <c r="R456" s="1" t="s">
        <v>11</v>
      </c>
      <c r="S456" s="1"/>
      <c r="T456" s="1"/>
      <c r="U456" s="1"/>
      <c r="V456" s="1"/>
      <c r="W456" s="1" t="s">
        <v>9344</v>
      </c>
      <c r="X456" s="1" t="s">
        <v>9345</v>
      </c>
      <c r="Y456" s="1"/>
      <c r="Z456" s="1"/>
      <c r="AA456" s="1"/>
      <c r="AB456" s="1" t="s">
        <v>9346</v>
      </c>
      <c r="AC456" s="1"/>
      <c r="AD456" s="1"/>
      <c r="AE456" s="1" t="s">
        <v>2089</v>
      </c>
      <c r="AF456" s="1"/>
      <c r="AG456" s="1"/>
      <c r="AH456" s="1" t="s">
        <v>9347</v>
      </c>
      <c r="AI456" s="1"/>
      <c r="AJ456" s="1" t="s">
        <v>9348</v>
      </c>
      <c r="AK456" s="1" t="s">
        <v>6568</v>
      </c>
      <c r="AL456" s="1" t="s">
        <v>9349</v>
      </c>
      <c r="AM456" s="1" t="s">
        <v>9350</v>
      </c>
      <c r="AN456" s="1" t="s">
        <v>6568</v>
      </c>
      <c r="AO456" s="1" t="s">
        <v>9351</v>
      </c>
      <c r="AP456" s="2" t="s">
        <v>9352</v>
      </c>
      <c r="AQ456" s="2" t="s">
        <v>1154</v>
      </c>
      <c r="AR456" s="1" t="s">
        <v>286</v>
      </c>
      <c r="AS456" s="1"/>
      <c r="AT456" s="1" t="s">
        <v>5</v>
      </c>
    </row>
    <row r="457" spans="1:46" hidden="1" x14ac:dyDescent="0.4">
      <c r="A457" s="1" t="s">
        <v>7604</v>
      </c>
      <c r="B457" s="10"/>
      <c r="C457" s="1" t="s">
        <v>93</v>
      </c>
      <c r="D457" s="1" t="s">
        <v>2396</v>
      </c>
      <c r="E457" s="1" t="s">
        <v>7590</v>
      </c>
      <c r="F457" s="1" t="s">
        <v>14</v>
      </c>
      <c r="G457" s="1" t="s">
        <v>1</v>
      </c>
      <c r="H457" s="1" t="s">
        <v>6</v>
      </c>
      <c r="I457" s="1" t="s">
        <v>2</v>
      </c>
      <c r="J457" s="1" t="s">
        <v>3</v>
      </c>
      <c r="K457" s="1" t="s">
        <v>7605</v>
      </c>
      <c r="L457" s="1" t="s">
        <v>7</v>
      </c>
      <c r="M457" s="1"/>
      <c r="N457" s="1" t="s">
        <v>7606</v>
      </c>
      <c r="O457" s="1" t="s">
        <v>6435</v>
      </c>
      <c r="P457" s="1"/>
      <c r="Q457" s="1"/>
      <c r="R457" s="1" t="s">
        <v>11</v>
      </c>
      <c r="S457" s="1"/>
      <c r="T457" s="1"/>
      <c r="U457" s="1"/>
      <c r="V457" s="1"/>
      <c r="W457" s="1" t="s">
        <v>7607</v>
      </c>
      <c r="X457" s="1"/>
      <c r="Y457" s="1"/>
      <c r="Z457" s="1"/>
      <c r="AA457" s="1"/>
      <c r="AB457" s="1" t="s">
        <v>7608</v>
      </c>
      <c r="AC457" s="1"/>
      <c r="AD457" s="1"/>
      <c r="AE457" s="1" t="s">
        <v>6437</v>
      </c>
      <c r="AF457" s="1"/>
      <c r="AG457" s="1"/>
      <c r="AH457" s="1" t="s">
        <v>7609</v>
      </c>
      <c r="AI457" s="1"/>
      <c r="AJ457" s="1" t="s">
        <v>5935</v>
      </c>
      <c r="AK457" s="1" t="s">
        <v>1787</v>
      </c>
      <c r="AL457" s="1" t="s">
        <v>5936</v>
      </c>
      <c r="AM457" s="1" t="s">
        <v>6439</v>
      </c>
      <c r="AN457" s="1" t="s">
        <v>1787</v>
      </c>
      <c r="AO457" s="1" t="s">
        <v>6440</v>
      </c>
      <c r="AP457" s="2" t="s">
        <v>7610</v>
      </c>
      <c r="AQ457" s="2" t="s">
        <v>1154</v>
      </c>
      <c r="AR457" s="1" t="s">
        <v>286</v>
      </c>
      <c r="AS457" s="1"/>
      <c r="AT457" s="1" t="s">
        <v>5</v>
      </c>
    </row>
    <row r="458" spans="1:46" hidden="1" x14ac:dyDescent="0.4">
      <c r="A458" s="1" t="s">
        <v>7895</v>
      </c>
      <c r="B458" s="10"/>
      <c r="C458" s="1" t="s">
        <v>0</v>
      </c>
      <c r="D458" s="1" t="s">
        <v>2220</v>
      </c>
      <c r="E458" s="1" t="s">
        <v>2078</v>
      </c>
      <c r="F458" s="1" t="s">
        <v>14</v>
      </c>
      <c r="G458" s="1" t="s">
        <v>1</v>
      </c>
      <c r="H458" s="1" t="s">
        <v>6</v>
      </c>
      <c r="I458" s="1" t="s">
        <v>2</v>
      </c>
      <c r="J458" s="1" t="s">
        <v>3</v>
      </c>
      <c r="K458" s="1" t="s">
        <v>7896</v>
      </c>
      <c r="L458" s="1" t="s">
        <v>7</v>
      </c>
      <c r="M458" s="1" t="s">
        <v>9</v>
      </c>
      <c r="N458" s="1" t="s">
        <v>7897</v>
      </c>
      <c r="O458" s="1" t="s">
        <v>7898</v>
      </c>
      <c r="P458" s="1"/>
      <c r="Q458" s="1"/>
      <c r="R458" s="1" t="s">
        <v>11</v>
      </c>
      <c r="S458" s="1"/>
      <c r="T458" s="1"/>
      <c r="U458" s="1"/>
      <c r="V458" s="1"/>
      <c r="W458" s="1" t="s">
        <v>7899</v>
      </c>
      <c r="X458" s="1" t="s">
        <v>7900</v>
      </c>
      <c r="Y458" s="1"/>
      <c r="Z458" s="1"/>
      <c r="AA458" s="1"/>
      <c r="AB458" s="1" t="s">
        <v>7901</v>
      </c>
      <c r="AC458" s="1"/>
      <c r="AD458" s="1"/>
      <c r="AE458" s="1" t="s">
        <v>7902</v>
      </c>
      <c r="AF458" s="1"/>
      <c r="AG458" s="1"/>
      <c r="AH458" s="1" t="s">
        <v>7903</v>
      </c>
      <c r="AI458" s="1"/>
      <c r="AJ458" s="1" t="s">
        <v>7143</v>
      </c>
      <c r="AK458" s="1" t="s">
        <v>3826</v>
      </c>
      <c r="AL458" s="1"/>
      <c r="AM458" s="1" t="s">
        <v>7904</v>
      </c>
      <c r="AN458" s="1" t="s">
        <v>7905</v>
      </c>
      <c r="AO458" s="1" t="s">
        <v>7906</v>
      </c>
      <c r="AP458" s="2" t="s">
        <v>7907</v>
      </c>
      <c r="AQ458" s="2" t="s">
        <v>1154</v>
      </c>
      <c r="AR458" s="1" t="s">
        <v>286</v>
      </c>
      <c r="AS458" s="1" t="s">
        <v>7908</v>
      </c>
      <c r="AT458" s="1" t="s">
        <v>5</v>
      </c>
    </row>
    <row r="459" spans="1:46" hidden="1" x14ac:dyDescent="0.4">
      <c r="A459" s="1" t="s">
        <v>7909</v>
      </c>
      <c r="B459" s="10"/>
      <c r="C459" s="1" t="s">
        <v>0</v>
      </c>
      <c r="D459" s="1" t="s">
        <v>2220</v>
      </c>
      <c r="E459" s="1" t="s">
        <v>2078</v>
      </c>
      <c r="F459" s="1" t="s">
        <v>14</v>
      </c>
      <c r="G459" s="1" t="s">
        <v>1</v>
      </c>
      <c r="H459" s="1" t="s">
        <v>6</v>
      </c>
      <c r="I459" s="1" t="s">
        <v>2</v>
      </c>
      <c r="J459" s="1" t="s">
        <v>3</v>
      </c>
      <c r="K459" s="1" t="s">
        <v>7910</v>
      </c>
      <c r="L459" s="1" t="s">
        <v>7</v>
      </c>
      <c r="M459" s="1" t="s">
        <v>9</v>
      </c>
      <c r="N459" s="1" t="s">
        <v>7911</v>
      </c>
      <c r="O459" s="1" t="s">
        <v>7898</v>
      </c>
      <c r="P459" s="1"/>
      <c r="Q459" s="1"/>
      <c r="R459" s="1" t="s">
        <v>11</v>
      </c>
      <c r="S459" s="1"/>
      <c r="T459" s="1"/>
      <c r="U459" s="1"/>
      <c r="V459" s="1"/>
      <c r="W459" s="1" t="s">
        <v>7912</v>
      </c>
      <c r="X459" s="1" t="s">
        <v>7900</v>
      </c>
      <c r="Y459" s="1"/>
      <c r="Z459" s="1"/>
      <c r="AA459" s="1"/>
      <c r="AB459" s="1" t="s">
        <v>7913</v>
      </c>
      <c r="AC459" s="1"/>
      <c r="AD459" s="1"/>
      <c r="AE459" s="1" t="s">
        <v>7902</v>
      </c>
      <c r="AF459" s="1"/>
      <c r="AG459" s="1"/>
      <c r="AH459" s="1" t="s">
        <v>7914</v>
      </c>
      <c r="AI459" s="1"/>
      <c r="AJ459" s="1" t="s">
        <v>7143</v>
      </c>
      <c r="AK459" s="1" t="s">
        <v>3826</v>
      </c>
      <c r="AL459" s="1"/>
      <c r="AM459" s="1" t="s">
        <v>7904</v>
      </c>
      <c r="AN459" s="1" t="s">
        <v>7905</v>
      </c>
      <c r="AO459" s="1" t="s">
        <v>7906</v>
      </c>
      <c r="AP459" s="2" t="s">
        <v>7915</v>
      </c>
      <c r="AQ459" s="2" t="s">
        <v>1154</v>
      </c>
      <c r="AR459" s="1" t="s">
        <v>286</v>
      </c>
      <c r="AS459" s="1" t="s">
        <v>7916</v>
      </c>
      <c r="AT459" s="1" t="s">
        <v>5</v>
      </c>
    </row>
    <row r="460" spans="1:46" hidden="1" x14ac:dyDescent="0.4">
      <c r="A460" s="1" t="s">
        <v>6157</v>
      </c>
      <c r="B460" s="10"/>
      <c r="C460" s="1" t="s">
        <v>0</v>
      </c>
      <c r="D460" s="1" t="s">
        <v>2076</v>
      </c>
      <c r="E460" s="1" t="s">
        <v>2078</v>
      </c>
      <c r="F460" s="1" t="s">
        <v>14</v>
      </c>
      <c r="G460" s="1" t="s">
        <v>1</v>
      </c>
      <c r="H460" s="1" t="s">
        <v>6</v>
      </c>
      <c r="I460" s="1" t="s">
        <v>2</v>
      </c>
      <c r="J460" s="1" t="s">
        <v>3</v>
      </c>
      <c r="K460" s="1" t="s">
        <v>6158</v>
      </c>
      <c r="L460" s="1" t="s">
        <v>7</v>
      </c>
      <c r="M460" s="1" t="s">
        <v>9</v>
      </c>
      <c r="N460" s="1" t="s">
        <v>6159</v>
      </c>
      <c r="O460" s="1" t="s">
        <v>6160</v>
      </c>
      <c r="P460" s="1"/>
      <c r="Q460" s="1"/>
      <c r="R460" s="1" t="s">
        <v>11</v>
      </c>
      <c r="S460" s="1"/>
      <c r="T460" s="1"/>
      <c r="U460" s="1"/>
      <c r="V460" s="1"/>
      <c r="W460" s="1"/>
      <c r="X460" s="1"/>
      <c r="Y460" s="1"/>
      <c r="Z460" s="1"/>
      <c r="AA460" s="1"/>
      <c r="AB460" s="1" t="s">
        <v>6161</v>
      </c>
      <c r="AC460" s="1"/>
      <c r="AD460" s="1"/>
      <c r="AE460" s="1"/>
      <c r="AF460" s="1"/>
      <c r="AG460" s="1"/>
      <c r="AH460" s="1" t="s">
        <v>6162</v>
      </c>
      <c r="AI460" s="1"/>
      <c r="AJ460" s="1" t="s">
        <v>160</v>
      </c>
      <c r="AK460" s="1" t="s">
        <v>515</v>
      </c>
      <c r="AL460" s="1" t="s">
        <v>161</v>
      </c>
      <c r="AM460" s="1" t="s">
        <v>261</v>
      </c>
      <c r="AN460" s="1" t="s">
        <v>515</v>
      </c>
      <c r="AO460" s="1"/>
      <c r="AP460" s="2" t="s">
        <v>6163</v>
      </c>
      <c r="AQ460" s="2" t="s">
        <v>1077</v>
      </c>
      <c r="AR460" s="1" t="s">
        <v>286</v>
      </c>
      <c r="AS460" s="1"/>
      <c r="AT460" s="1" t="s">
        <v>5</v>
      </c>
    </row>
    <row r="461" spans="1:46" hidden="1" x14ac:dyDescent="0.4">
      <c r="A461" s="1" t="s">
        <v>11323</v>
      </c>
      <c r="B461" s="10"/>
      <c r="C461" s="1" t="s">
        <v>2705</v>
      </c>
      <c r="D461" s="1" t="s">
        <v>2076</v>
      </c>
      <c r="E461" s="1" t="s">
        <v>2078</v>
      </c>
      <c r="F461" s="1" t="s">
        <v>14</v>
      </c>
      <c r="G461" s="1" t="s">
        <v>1</v>
      </c>
      <c r="H461" s="1" t="s">
        <v>6</v>
      </c>
      <c r="I461" s="1" t="s">
        <v>2</v>
      </c>
      <c r="J461" s="1" t="s">
        <v>2813</v>
      </c>
      <c r="K461" s="1" t="s">
        <v>11324</v>
      </c>
      <c r="L461" s="1" t="s">
        <v>7</v>
      </c>
      <c r="M461" s="1" t="s">
        <v>9</v>
      </c>
      <c r="N461" s="1" t="s">
        <v>11325</v>
      </c>
      <c r="O461" s="1" t="s">
        <v>2238</v>
      </c>
      <c r="P461" s="1"/>
      <c r="Q461" s="1"/>
      <c r="R461" s="1" t="s">
        <v>11</v>
      </c>
      <c r="S461" s="1"/>
      <c r="T461" s="1"/>
      <c r="U461" s="1"/>
      <c r="V461" s="1"/>
      <c r="W461" s="1" t="s">
        <v>11326</v>
      </c>
      <c r="X461" s="1" t="s">
        <v>11327</v>
      </c>
      <c r="Y461" s="1"/>
      <c r="Z461" s="1"/>
      <c r="AA461" s="1"/>
      <c r="AB461" s="1" t="s">
        <v>11328</v>
      </c>
      <c r="AC461" s="1"/>
      <c r="AD461" s="1"/>
      <c r="AE461" s="1" t="s">
        <v>11329</v>
      </c>
      <c r="AF461" s="1"/>
      <c r="AG461" s="1"/>
      <c r="AH461" s="1" t="s">
        <v>11330</v>
      </c>
      <c r="AI461" s="1" t="s">
        <v>11331</v>
      </c>
      <c r="AJ461" s="1" t="s">
        <v>11332</v>
      </c>
      <c r="AK461" s="1" t="s">
        <v>6568</v>
      </c>
      <c r="AL461" s="1" t="s">
        <v>11333</v>
      </c>
      <c r="AM461" s="1" t="s">
        <v>11332</v>
      </c>
      <c r="AN461" s="1" t="s">
        <v>6568</v>
      </c>
      <c r="AO461" s="1" t="s">
        <v>11333</v>
      </c>
      <c r="AP461" s="2" t="s">
        <v>11334</v>
      </c>
      <c r="AQ461" s="2" t="s">
        <v>1155</v>
      </c>
      <c r="AR461" s="1" t="s">
        <v>286</v>
      </c>
      <c r="AS461" s="1" t="s">
        <v>11265</v>
      </c>
      <c r="AT461" s="1" t="s">
        <v>5</v>
      </c>
    </row>
    <row r="462" spans="1:46" hidden="1" x14ac:dyDescent="0.4">
      <c r="A462" s="1" t="s">
        <v>8913</v>
      </c>
      <c r="B462" s="10"/>
      <c r="C462" s="1" t="s">
        <v>0</v>
      </c>
      <c r="D462" s="1" t="s">
        <v>2157</v>
      </c>
      <c r="E462" s="1" t="s">
        <v>2078</v>
      </c>
      <c r="F462" s="1" t="s">
        <v>14</v>
      </c>
      <c r="G462" s="1" t="s">
        <v>1</v>
      </c>
      <c r="H462" s="1" t="s">
        <v>6</v>
      </c>
      <c r="I462" s="1" t="s">
        <v>2</v>
      </c>
      <c r="J462" s="1" t="s">
        <v>3</v>
      </c>
      <c r="K462" s="1" t="s">
        <v>8914</v>
      </c>
      <c r="L462" s="1" t="s">
        <v>7</v>
      </c>
      <c r="M462" s="1" t="s">
        <v>9</v>
      </c>
      <c r="N462" s="1" t="s">
        <v>2888</v>
      </c>
      <c r="O462" s="1" t="s">
        <v>2648</v>
      </c>
      <c r="P462" s="1"/>
      <c r="Q462" s="1"/>
      <c r="R462" s="1" t="s">
        <v>11</v>
      </c>
      <c r="S462" s="1"/>
      <c r="T462" s="1"/>
      <c r="U462" s="1"/>
      <c r="V462" s="1"/>
      <c r="W462" s="1"/>
      <c r="X462" s="1" t="s">
        <v>8915</v>
      </c>
      <c r="Y462" s="1"/>
      <c r="Z462" s="1"/>
      <c r="AA462" s="1"/>
      <c r="AB462" s="1" t="s">
        <v>8916</v>
      </c>
      <c r="AC462" s="1"/>
      <c r="AD462" s="1"/>
      <c r="AE462" s="1" t="s">
        <v>8917</v>
      </c>
      <c r="AF462" s="1"/>
      <c r="AG462" s="1"/>
      <c r="AH462" s="1" t="s">
        <v>8918</v>
      </c>
      <c r="AI462" s="1"/>
      <c r="AJ462" s="1" t="s">
        <v>1528</v>
      </c>
      <c r="AK462" s="1" t="s">
        <v>279</v>
      </c>
      <c r="AL462" s="1" t="s">
        <v>1529</v>
      </c>
      <c r="AM462" s="1" t="s">
        <v>8919</v>
      </c>
      <c r="AN462" s="1" t="s">
        <v>279</v>
      </c>
      <c r="AO462" s="1" t="s">
        <v>8920</v>
      </c>
      <c r="AP462" s="2" t="s">
        <v>8921</v>
      </c>
      <c r="AQ462" s="2" t="s">
        <v>1154</v>
      </c>
      <c r="AR462" s="1" t="s">
        <v>286</v>
      </c>
      <c r="AS462" s="1" t="s">
        <v>8922</v>
      </c>
      <c r="AT462" s="1" t="s">
        <v>5</v>
      </c>
    </row>
    <row r="463" spans="1:46" hidden="1" x14ac:dyDescent="0.4">
      <c r="A463" s="1" t="s">
        <v>8748</v>
      </c>
      <c r="B463" s="10"/>
      <c r="C463" s="1" t="s">
        <v>93</v>
      </c>
      <c r="D463" s="1" t="s">
        <v>2211</v>
      </c>
      <c r="E463" s="1" t="s">
        <v>2078</v>
      </c>
      <c r="F463" s="1" t="s">
        <v>14</v>
      </c>
      <c r="G463" s="1" t="s">
        <v>1</v>
      </c>
      <c r="H463" s="1" t="s">
        <v>6</v>
      </c>
      <c r="I463" s="1" t="s">
        <v>2</v>
      </c>
      <c r="J463" s="1" t="s">
        <v>3</v>
      </c>
      <c r="K463" s="1" t="s">
        <v>8749</v>
      </c>
      <c r="L463" s="1" t="s">
        <v>7</v>
      </c>
      <c r="M463" s="1"/>
      <c r="N463" s="1" t="s">
        <v>8750</v>
      </c>
      <c r="O463" s="1" t="s">
        <v>2481</v>
      </c>
      <c r="P463" s="1"/>
      <c r="Q463" s="1"/>
      <c r="R463" s="1" t="s">
        <v>11</v>
      </c>
      <c r="S463" s="1"/>
      <c r="T463" s="1"/>
      <c r="U463" s="1"/>
      <c r="V463" s="1"/>
      <c r="W463" s="1"/>
      <c r="X463" s="1"/>
      <c r="Y463" s="1"/>
      <c r="Z463" s="1"/>
      <c r="AA463" s="1"/>
      <c r="AB463" s="1" t="s">
        <v>8751</v>
      </c>
      <c r="AC463" s="1"/>
      <c r="AD463" s="1"/>
      <c r="AE463" s="1" t="s">
        <v>8752</v>
      </c>
      <c r="AF463" s="1"/>
      <c r="AG463" s="1"/>
      <c r="AH463" s="1" t="s">
        <v>8753</v>
      </c>
      <c r="AI463" s="1"/>
      <c r="AJ463" s="1" t="s">
        <v>6718</v>
      </c>
      <c r="AK463" s="1" t="s">
        <v>4240</v>
      </c>
      <c r="AL463" s="1" t="s">
        <v>6719</v>
      </c>
      <c r="AM463" s="1" t="s">
        <v>8754</v>
      </c>
      <c r="AN463" s="1" t="s">
        <v>4240</v>
      </c>
      <c r="AO463" s="1" t="s">
        <v>8755</v>
      </c>
      <c r="AP463" s="2" t="s">
        <v>8756</v>
      </c>
      <c r="AQ463" s="2" t="s">
        <v>1154</v>
      </c>
      <c r="AR463" s="1" t="s">
        <v>286</v>
      </c>
      <c r="AS463" s="1" t="s">
        <v>8757</v>
      </c>
      <c r="AT463" s="1" t="s">
        <v>5</v>
      </c>
    </row>
    <row r="464" spans="1:46" hidden="1" x14ac:dyDescent="0.4">
      <c r="A464" s="1" t="s">
        <v>2768</v>
      </c>
      <c r="B464" s="10"/>
      <c r="C464" s="1" t="s">
        <v>0</v>
      </c>
      <c r="D464" s="1" t="s">
        <v>2211</v>
      </c>
      <c r="E464" s="1" t="s">
        <v>13</v>
      </c>
      <c r="F464" s="1" t="s">
        <v>14</v>
      </c>
      <c r="G464" s="1" t="s">
        <v>1</v>
      </c>
      <c r="H464" s="1" t="s">
        <v>6</v>
      </c>
      <c r="I464" s="1" t="s">
        <v>2</v>
      </c>
      <c r="J464" s="1" t="s">
        <v>3</v>
      </c>
      <c r="K464" s="1" t="s">
        <v>2769</v>
      </c>
      <c r="L464" s="1" t="s">
        <v>4</v>
      </c>
      <c r="M464" s="1" t="s">
        <v>9</v>
      </c>
      <c r="N464" s="1" t="s">
        <v>2770</v>
      </c>
      <c r="O464" s="1" t="s">
        <v>2771</v>
      </c>
      <c r="P464" s="1"/>
      <c r="Q464" s="1"/>
      <c r="R464" s="1" t="s">
        <v>11</v>
      </c>
      <c r="S464" s="1"/>
      <c r="T464" s="1"/>
      <c r="U464" s="1"/>
      <c r="V464" s="1"/>
      <c r="W464" s="1" t="s">
        <v>2772</v>
      </c>
      <c r="X464" s="1"/>
      <c r="Y464" s="1"/>
      <c r="Z464" s="1"/>
      <c r="AA464" s="1"/>
      <c r="AB464" s="1" t="s">
        <v>2773</v>
      </c>
      <c r="AC464" s="1"/>
      <c r="AD464" s="1"/>
      <c r="AE464" s="1" t="s">
        <v>2774</v>
      </c>
      <c r="AF464" s="1"/>
      <c r="AG464" s="1"/>
      <c r="AH464" s="1" t="s">
        <v>2775</v>
      </c>
      <c r="AI464" s="1"/>
      <c r="AJ464" s="1" t="s">
        <v>2776</v>
      </c>
      <c r="AK464" s="1" t="s">
        <v>2777</v>
      </c>
      <c r="AL464" s="1"/>
      <c r="AM464" s="1" t="s">
        <v>2778</v>
      </c>
      <c r="AN464" s="1" t="s">
        <v>2777</v>
      </c>
      <c r="AO464" s="1" t="s">
        <v>2779</v>
      </c>
      <c r="AP464" s="2" t="s">
        <v>2780</v>
      </c>
      <c r="AQ464" s="2" t="s">
        <v>1153</v>
      </c>
      <c r="AR464" s="1"/>
      <c r="AS464" s="1"/>
      <c r="AT464" s="1" t="s">
        <v>5</v>
      </c>
    </row>
    <row r="465" spans="1:46" hidden="1" x14ac:dyDescent="0.4">
      <c r="A465" s="1" t="s">
        <v>9224</v>
      </c>
      <c r="B465" s="10"/>
      <c r="C465" s="1" t="s">
        <v>6443</v>
      </c>
      <c r="D465" s="1" t="s">
        <v>2688</v>
      </c>
      <c r="E465" s="1" t="s">
        <v>3289</v>
      </c>
      <c r="F465" s="1" t="s">
        <v>2690</v>
      </c>
      <c r="G465" s="1" t="s">
        <v>1</v>
      </c>
      <c r="H465" s="1" t="s">
        <v>6</v>
      </c>
      <c r="I465" s="1" t="s">
        <v>2</v>
      </c>
      <c r="J465" s="1" t="s">
        <v>3</v>
      </c>
      <c r="K465" s="1" t="s">
        <v>9225</v>
      </c>
      <c r="L465" s="1" t="s">
        <v>4</v>
      </c>
      <c r="M465" s="1"/>
      <c r="N465" s="1" t="s">
        <v>9226</v>
      </c>
      <c r="O465" s="1" t="s">
        <v>6212</v>
      </c>
      <c r="P465" s="1"/>
      <c r="Q465" s="1"/>
      <c r="R465" s="1" t="s">
        <v>11</v>
      </c>
      <c r="S465" s="1"/>
      <c r="T465" s="1"/>
      <c r="U465" s="1"/>
      <c r="V465" s="1"/>
      <c r="W465" s="1" t="s">
        <v>1201</v>
      </c>
      <c r="X465" s="1"/>
      <c r="Y465" s="1"/>
      <c r="Z465" s="1"/>
      <c r="AA465" s="1"/>
      <c r="AB465" s="1" t="s">
        <v>9227</v>
      </c>
      <c r="AC465" s="1"/>
      <c r="AD465" s="1"/>
      <c r="AE465" s="1" t="s">
        <v>9228</v>
      </c>
      <c r="AF465" s="1"/>
      <c r="AG465" s="1"/>
      <c r="AH465" s="1" t="s">
        <v>9229</v>
      </c>
      <c r="AI465" s="1"/>
      <c r="AJ465" s="1" t="s">
        <v>8631</v>
      </c>
      <c r="AK465" s="1" t="s">
        <v>4889</v>
      </c>
      <c r="AL465" s="1" t="s">
        <v>8632</v>
      </c>
      <c r="AM465" s="1" t="s">
        <v>8631</v>
      </c>
      <c r="AN465" s="1" t="s">
        <v>4889</v>
      </c>
      <c r="AO465" s="1" t="s">
        <v>8632</v>
      </c>
      <c r="AP465" s="2" t="s">
        <v>9230</v>
      </c>
      <c r="AQ465" s="2" t="s">
        <v>1154</v>
      </c>
      <c r="AR465" s="1" t="s">
        <v>287</v>
      </c>
      <c r="AS465" s="1"/>
      <c r="AT465" s="1" t="s">
        <v>5</v>
      </c>
    </row>
    <row r="466" spans="1:46" hidden="1" x14ac:dyDescent="0.4">
      <c r="A466" s="1" t="s">
        <v>3463</v>
      </c>
      <c r="B466" s="10"/>
      <c r="C466" s="1" t="s">
        <v>2841</v>
      </c>
      <c r="D466" s="1" t="s">
        <v>2076</v>
      </c>
      <c r="E466" s="1" t="s">
        <v>13</v>
      </c>
      <c r="F466" s="1" t="s">
        <v>14</v>
      </c>
      <c r="G466" s="1" t="s">
        <v>1</v>
      </c>
      <c r="H466" s="1" t="s">
        <v>6</v>
      </c>
      <c r="I466" s="1" t="s">
        <v>2</v>
      </c>
      <c r="J466" s="1" t="s">
        <v>2842</v>
      </c>
      <c r="K466" s="1" t="s">
        <v>3464</v>
      </c>
      <c r="L466" s="1" t="s">
        <v>7</v>
      </c>
      <c r="M466" s="1"/>
      <c r="N466" s="1" t="s">
        <v>3465</v>
      </c>
      <c r="O466" s="1" t="s">
        <v>2258</v>
      </c>
      <c r="P466" s="1"/>
      <c r="Q466" s="1"/>
      <c r="R466" s="1" t="s">
        <v>11</v>
      </c>
      <c r="S466" s="1"/>
      <c r="T466" s="1"/>
      <c r="U466" s="1"/>
      <c r="V466" s="1"/>
      <c r="W466" s="1"/>
      <c r="X466" s="1" t="s">
        <v>3466</v>
      </c>
      <c r="Y466" s="1"/>
      <c r="Z466" s="1"/>
      <c r="AA466" s="1"/>
      <c r="AB466" s="1" t="s">
        <v>3467</v>
      </c>
      <c r="AC466" s="1"/>
      <c r="AD466" s="1"/>
      <c r="AE466" s="1" t="s">
        <v>3468</v>
      </c>
      <c r="AF466" s="1"/>
      <c r="AG466" s="1"/>
      <c r="AH466" s="1" t="s">
        <v>3469</v>
      </c>
      <c r="AI466" s="1"/>
      <c r="AJ466" s="1" t="s">
        <v>3470</v>
      </c>
      <c r="AK466" s="1" t="s">
        <v>3471</v>
      </c>
      <c r="AL466" s="1"/>
      <c r="AM466" s="1" t="s">
        <v>3470</v>
      </c>
      <c r="AN466" s="1" t="s">
        <v>3471</v>
      </c>
      <c r="AO466" s="1"/>
      <c r="AP466" s="2" t="s">
        <v>3472</v>
      </c>
      <c r="AQ466" s="2" t="s">
        <v>1077</v>
      </c>
      <c r="AR466" s="1"/>
      <c r="AS466" s="1"/>
      <c r="AT466" s="1" t="s">
        <v>5</v>
      </c>
    </row>
    <row r="467" spans="1:46" hidden="1" x14ac:dyDescent="0.4">
      <c r="A467" s="1" t="s">
        <v>6881</v>
      </c>
      <c r="B467" s="10"/>
      <c r="C467" s="1" t="s">
        <v>6443</v>
      </c>
      <c r="D467" s="1" t="s">
        <v>2157</v>
      </c>
      <c r="E467" s="1" t="s">
        <v>2078</v>
      </c>
      <c r="F467" s="1" t="s">
        <v>14</v>
      </c>
      <c r="G467" s="1" t="s">
        <v>1</v>
      </c>
      <c r="H467" s="1" t="s">
        <v>6</v>
      </c>
      <c r="I467" s="1" t="s">
        <v>2</v>
      </c>
      <c r="J467" s="1" t="s">
        <v>3</v>
      </c>
      <c r="K467" s="1" t="s">
        <v>6882</v>
      </c>
      <c r="L467" s="1" t="s">
        <v>7</v>
      </c>
      <c r="M467" s="1"/>
      <c r="N467" s="1" t="s">
        <v>6883</v>
      </c>
      <c r="O467" s="1" t="s">
        <v>6869</v>
      </c>
      <c r="P467" s="1"/>
      <c r="Q467" s="1"/>
      <c r="R467" s="1" t="s">
        <v>11</v>
      </c>
      <c r="S467" s="1"/>
      <c r="T467" s="1"/>
      <c r="U467" s="1"/>
      <c r="V467" s="1"/>
      <c r="W467" s="1"/>
      <c r="X467" s="1"/>
      <c r="Y467" s="1"/>
      <c r="Z467" s="1"/>
      <c r="AA467" s="1"/>
      <c r="AB467" s="1" t="s">
        <v>6884</v>
      </c>
      <c r="AC467" s="1"/>
      <c r="AD467" s="1"/>
      <c r="AE467" s="1" t="s">
        <v>6878</v>
      </c>
      <c r="AF467" s="1"/>
      <c r="AG467" s="1"/>
      <c r="AH467" s="1" t="s">
        <v>6885</v>
      </c>
      <c r="AI467" s="1"/>
      <c r="AJ467" s="1" t="s">
        <v>6451</v>
      </c>
      <c r="AK467" s="1" t="s">
        <v>6452</v>
      </c>
      <c r="AL467" s="1" t="s">
        <v>6453</v>
      </c>
      <c r="AM467" s="1" t="s">
        <v>6451</v>
      </c>
      <c r="AN467" s="1" t="s">
        <v>6452</v>
      </c>
      <c r="AO467" s="1" t="s">
        <v>6453</v>
      </c>
      <c r="AP467" s="2" t="s">
        <v>6886</v>
      </c>
      <c r="AQ467" s="2" t="s">
        <v>1077</v>
      </c>
      <c r="AR467" s="1" t="s">
        <v>286</v>
      </c>
      <c r="AS467" s="1"/>
      <c r="AT467" s="1" t="s">
        <v>5</v>
      </c>
    </row>
    <row r="468" spans="1:46" hidden="1" x14ac:dyDescent="0.4">
      <c r="A468" s="1" t="s">
        <v>5696</v>
      </c>
      <c r="B468" s="10"/>
      <c r="C468" s="1" t="s">
        <v>2494</v>
      </c>
      <c r="D468" s="1" t="s">
        <v>2290</v>
      </c>
      <c r="E468" s="1" t="s">
        <v>2291</v>
      </c>
      <c r="F468" s="1" t="s">
        <v>14</v>
      </c>
      <c r="G468" s="1" t="s">
        <v>1</v>
      </c>
      <c r="H468" s="1" t="s">
        <v>6</v>
      </c>
      <c r="I468" s="1" t="s">
        <v>2</v>
      </c>
      <c r="J468" s="1" t="s">
        <v>2450</v>
      </c>
      <c r="K468" s="1" t="s">
        <v>5697</v>
      </c>
      <c r="L468" s="1" t="s">
        <v>7</v>
      </c>
      <c r="M468" s="1"/>
      <c r="N468" s="1" t="s">
        <v>5698</v>
      </c>
      <c r="O468" s="1" t="s">
        <v>5699</v>
      </c>
      <c r="P468" s="1"/>
      <c r="Q468" s="1"/>
      <c r="R468" s="1" t="s">
        <v>11</v>
      </c>
      <c r="S468" s="1"/>
      <c r="T468" s="1"/>
      <c r="U468" s="1"/>
      <c r="V468" s="1"/>
      <c r="W468" s="1" t="s">
        <v>5700</v>
      </c>
      <c r="X468" s="1"/>
      <c r="Y468" s="1"/>
      <c r="Z468" s="1"/>
      <c r="AA468" s="1"/>
      <c r="AB468" s="1" t="s">
        <v>5701</v>
      </c>
      <c r="AC468" s="1"/>
      <c r="AD468" s="1"/>
      <c r="AE468" s="1"/>
      <c r="AF468" s="1"/>
      <c r="AG468" s="1"/>
      <c r="AH468" s="1" t="s">
        <v>5702</v>
      </c>
      <c r="AI468" s="1"/>
      <c r="AJ468" s="1" t="s">
        <v>5703</v>
      </c>
      <c r="AK468" s="1" t="s">
        <v>4818</v>
      </c>
      <c r="AL468" s="1" t="s">
        <v>5704</v>
      </c>
      <c r="AM468" s="1" t="s">
        <v>5703</v>
      </c>
      <c r="AN468" s="1" t="s">
        <v>4818</v>
      </c>
      <c r="AO468" s="1" t="s">
        <v>5704</v>
      </c>
      <c r="AP468" s="2" t="s">
        <v>5705</v>
      </c>
      <c r="AQ468" s="2" t="s">
        <v>1077</v>
      </c>
      <c r="AR468" s="1" t="s">
        <v>287</v>
      </c>
      <c r="AS468" s="1"/>
      <c r="AT468" s="1" t="s">
        <v>5</v>
      </c>
    </row>
    <row r="469" spans="1:46" hidden="1" x14ac:dyDescent="0.4">
      <c r="A469" s="1" t="s">
        <v>9427</v>
      </c>
      <c r="B469" s="10"/>
      <c r="C469" s="1" t="s">
        <v>0</v>
      </c>
      <c r="D469" s="1" t="s">
        <v>2076</v>
      </c>
      <c r="E469" s="1" t="s">
        <v>13</v>
      </c>
      <c r="F469" s="1" t="s">
        <v>14</v>
      </c>
      <c r="G469" s="1" t="s">
        <v>1</v>
      </c>
      <c r="H469" s="1" t="s">
        <v>6</v>
      </c>
      <c r="I469" s="1" t="s">
        <v>2</v>
      </c>
      <c r="J469" s="1" t="s">
        <v>3</v>
      </c>
      <c r="K469" s="1" t="s">
        <v>9428</v>
      </c>
      <c r="L469" s="1" t="s">
        <v>4</v>
      </c>
      <c r="M469" s="1" t="s">
        <v>9</v>
      </c>
      <c r="N469" s="1" t="s">
        <v>9429</v>
      </c>
      <c r="O469" s="1" t="s">
        <v>2238</v>
      </c>
      <c r="P469" s="1"/>
      <c r="Q469" s="1"/>
      <c r="R469" s="1" t="s">
        <v>11</v>
      </c>
      <c r="S469" s="1"/>
      <c r="T469" s="1"/>
      <c r="U469" s="1"/>
      <c r="V469" s="1"/>
      <c r="W469" s="1" t="s">
        <v>8779</v>
      </c>
      <c r="X469" s="1" t="s">
        <v>9430</v>
      </c>
      <c r="Y469" s="1"/>
      <c r="Z469" s="1"/>
      <c r="AA469" s="1"/>
      <c r="AB469" s="1" t="s">
        <v>9431</v>
      </c>
      <c r="AC469" s="1"/>
      <c r="AD469" s="1"/>
      <c r="AE469" s="1" t="s">
        <v>9432</v>
      </c>
      <c r="AF469" s="1"/>
      <c r="AG469" s="1"/>
      <c r="AH469" s="1" t="s">
        <v>9433</v>
      </c>
      <c r="AI469" s="1"/>
      <c r="AJ469" s="1" t="s">
        <v>2071</v>
      </c>
      <c r="AK469" s="1" t="s">
        <v>1829</v>
      </c>
      <c r="AL469" s="1" t="s">
        <v>2072</v>
      </c>
      <c r="AM469" s="1" t="s">
        <v>3017</v>
      </c>
      <c r="AN469" s="1" t="s">
        <v>1829</v>
      </c>
      <c r="AO469" s="1" t="s">
        <v>3018</v>
      </c>
      <c r="AP469" s="2" t="s">
        <v>9434</v>
      </c>
      <c r="AQ469" s="2" t="s">
        <v>1154</v>
      </c>
      <c r="AR469" s="1" t="s">
        <v>286</v>
      </c>
      <c r="AS469" s="1" t="s">
        <v>9435</v>
      </c>
      <c r="AT469" s="1" t="s">
        <v>5</v>
      </c>
    </row>
    <row r="470" spans="1:46" hidden="1" x14ac:dyDescent="0.4">
      <c r="A470" s="1" t="s">
        <v>8190</v>
      </c>
      <c r="B470" s="10"/>
      <c r="C470" s="1" t="s">
        <v>93</v>
      </c>
      <c r="D470" s="1" t="s">
        <v>2827</v>
      </c>
      <c r="E470" s="1" t="s">
        <v>2078</v>
      </c>
      <c r="F470" s="1" t="s">
        <v>14</v>
      </c>
      <c r="G470" s="1" t="s">
        <v>1</v>
      </c>
      <c r="H470" s="1" t="s">
        <v>6</v>
      </c>
      <c r="I470" s="1" t="s">
        <v>2</v>
      </c>
      <c r="J470" s="1" t="s">
        <v>3</v>
      </c>
      <c r="K470" s="1" t="s">
        <v>8191</v>
      </c>
      <c r="L470" s="1" t="s">
        <v>7</v>
      </c>
      <c r="M470" s="1"/>
      <c r="N470" s="1" t="s">
        <v>8192</v>
      </c>
      <c r="O470" s="1" t="s">
        <v>8193</v>
      </c>
      <c r="P470" s="1"/>
      <c r="Q470" s="1"/>
      <c r="R470" s="1" t="s">
        <v>11</v>
      </c>
      <c r="S470" s="1"/>
      <c r="T470" s="1"/>
      <c r="U470" s="1"/>
      <c r="V470" s="1"/>
      <c r="W470" s="1"/>
      <c r="X470" s="1"/>
      <c r="Y470" s="1"/>
      <c r="Z470" s="1"/>
      <c r="AA470" s="1"/>
      <c r="AB470" s="1" t="s">
        <v>8194</v>
      </c>
      <c r="AC470" s="1"/>
      <c r="AD470" s="1"/>
      <c r="AE470" s="1" t="s">
        <v>8195</v>
      </c>
      <c r="AF470" s="1"/>
      <c r="AG470" s="1"/>
      <c r="AH470" s="1" t="s">
        <v>8196</v>
      </c>
      <c r="AI470" s="1" t="s">
        <v>8197</v>
      </c>
      <c r="AJ470" s="1" t="s">
        <v>8178</v>
      </c>
      <c r="AK470" s="1" t="s">
        <v>1787</v>
      </c>
      <c r="AL470" s="1" t="s">
        <v>8179</v>
      </c>
      <c r="AM470" s="1" t="s">
        <v>8180</v>
      </c>
      <c r="AN470" s="1" t="s">
        <v>1787</v>
      </c>
      <c r="AO470" s="1" t="s">
        <v>8181</v>
      </c>
      <c r="AP470" s="2" t="s">
        <v>8198</v>
      </c>
      <c r="AQ470" s="2" t="s">
        <v>1154</v>
      </c>
      <c r="AR470" s="1" t="s">
        <v>286</v>
      </c>
      <c r="AS470" s="1"/>
      <c r="AT470" s="1" t="s">
        <v>5</v>
      </c>
    </row>
    <row r="471" spans="1:46" hidden="1" x14ac:dyDescent="0.4">
      <c r="A471" s="1" t="s">
        <v>11384</v>
      </c>
      <c r="B471" s="10"/>
      <c r="C471" s="1" t="s">
        <v>2705</v>
      </c>
      <c r="D471" s="1" t="s">
        <v>2157</v>
      </c>
      <c r="E471" s="1" t="s">
        <v>2078</v>
      </c>
      <c r="F471" s="1" t="s">
        <v>14</v>
      </c>
      <c r="G471" s="1" t="s">
        <v>1</v>
      </c>
      <c r="H471" s="1" t="s">
        <v>6</v>
      </c>
      <c r="I471" s="1" t="s">
        <v>2</v>
      </c>
      <c r="J471" s="1" t="s">
        <v>2813</v>
      </c>
      <c r="K471" s="1" t="s">
        <v>11385</v>
      </c>
      <c r="L471" s="1" t="s">
        <v>7</v>
      </c>
      <c r="M471" s="1"/>
      <c r="N471" s="1" t="s">
        <v>11386</v>
      </c>
      <c r="O471" s="1" t="s">
        <v>11387</v>
      </c>
      <c r="P471" s="1"/>
      <c r="Q471" s="1"/>
      <c r="R471" s="1" t="s">
        <v>11</v>
      </c>
      <c r="S471" s="1"/>
      <c r="T471" s="1"/>
      <c r="U471" s="1"/>
      <c r="V471" s="1"/>
      <c r="W471" s="1" t="s">
        <v>11388</v>
      </c>
      <c r="X471" s="1"/>
      <c r="Y471" s="1"/>
      <c r="Z471" s="1"/>
      <c r="AA471" s="1"/>
      <c r="AB471" s="1" t="s">
        <v>11389</v>
      </c>
      <c r="AC471" s="1"/>
      <c r="AD471" s="1"/>
      <c r="AE471" s="1" t="s">
        <v>11390</v>
      </c>
      <c r="AF471" s="1"/>
      <c r="AG471" s="1"/>
      <c r="AH471" s="1" t="s">
        <v>11391</v>
      </c>
      <c r="AI471" s="1"/>
      <c r="AJ471" s="1" t="s">
        <v>6519</v>
      </c>
      <c r="AK471" s="1" t="s">
        <v>6520</v>
      </c>
      <c r="AL471" s="1" t="s">
        <v>6521</v>
      </c>
      <c r="AM471" s="1" t="s">
        <v>6519</v>
      </c>
      <c r="AN471" s="1" t="s">
        <v>6520</v>
      </c>
      <c r="AO471" s="1" t="s">
        <v>6521</v>
      </c>
      <c r="AP471" s="2" t="s">
        <v>11392</v>
      </c>
      <c r="AQ471" s="2" t="s">
        <v>1155</v>
      </c>
      <c r="AR471" s="1" t="s">
        <v>286</v>
      </c>
      <c r="AS471" s="1" t="s">
        <v>11265</v>
      </c>
      <c r="AT471" s="1" t="s">
        <v>5</v>
      </c>
    </row>
    <row r="472" spans="1:46" hidden="1" x14ac:dyDescent="0.4">
      <c r="A472" s="1" t="s">
        <v>7846</v>
      </c>
      <c r="B472" s="10"/>
      <c r="C472" s="1" t="s">
        <v>0</v>
      </c>
      <c r="D472" s="1" t="s">
        <v>2076</v>
      </c>
      <c r="E472" s="1" t="s">
        <v>2078</v>
      </c>
      <c r="F472" s="1" t="s">
        <v>14</v>
      </c>
      <c r="G472" s="1" t="s">
        <v>1</v>
      </c>
      <c r="H472" s="1" t="s">
        <v>6</v>
      </c>
      <c r="I472" s="1" t="s">
        <v>2</v>
      </c>
      <c r="J472" s="1" t="s">
        <v>3</v>
      </c>
      <c r="K472" s="1" t="s">
        <v>7847</v>
      </c>
      <c r="L472" s="1" t="s">
        <v>7</v>
      </c>
      <c r="M472" s="1"/>
      <c r="N472" s="1" t="s">
        <v>7848</v>
      </c>
      <c r="O472" s="1" t="s">
        <v>2160</v>
      </c>
      <c r="P472" s="1"/>
      <c r="Q472" s="1"/>
      <c r="R472" s="1" t="s">
        <v>11</v>
      </c>
      <c r="S472" s="1"/>
      <c r="T472" s="1"/>
      <c r="U472" s="1"/>
      <c r="V472" s="1"/>
      <c r="W472" s="1" t="s">
        <v>7849</v>
      </c>
      <c r="X472" s="1"/>
      <c r="Y472" s="1"/>
      <c r="Z472" s="1"/>
      <c r="AA472" s="1"/>
      <c r="AB472" s="1" t="s">
        <v>7850</v>
      </c>
      <c r="AC472" s="1"/>
      <c r="AD472" s="1"/>
      <c r="AE472" s="1" t="s">
        <v>7851</v>
      </c>
      <c r="AF472" s="1"/>
      <c r="AG472" s="1"/>
      <c r="AH472" s="1" t="s">
        <v>7852</v>
      </c>
      <c r="AI472" s="1"/>
      <c r="AJ472" s="1" t="s">
        <v>51</v>
      </c>
      <c r="AK472" s="1" t="s">
        <v>518</v>
      </c>
      <c r="AL472" s="1" t="s">
        <v>136</v>
      </c>
      <c r="AM472" s="1" t="s">
        <v>7853</v>
      </c>
      <c r="AN472" s="1" t="s">
        <v>518</v>
      </c>
      <c r="AO472" s="1"/>
      <c r="AP472" s="2" t="s">
        <v>7854</v>
      </c>
      <c r="AQ472" s="2" t="s">
        <v>1154</v>
      </c>
      <c r="AR472" s="1" t="s">
        <v>286</v>
      </c>
      <c r="AS472" s="1"/>
      <c r="AT472" s="1" t="s">
        <v>5</v>
      </c>
    </row>
    <row r="473" spans="1:46" hidden="1" x14ac:dyDescent="0.4">
      <c r="A473" s="1" t="s">
        <v>8075</v>
      </c>
      <c r="B473" s="10"/>
      <c r="C473" s="1" t="s">
        <v>0</v>
      </c>
      <c r="D473" s="1" t="s">
        <v>2076</v>
      </c>
      <c r="E473" s="1" t="s">
        <v>2078</v>
      </c>
      <c r="F473" s="1" t="s">
        <v>14</v>
      </c>
      <c r="G473" s="1" t="s">
        <v>1</v>
      </c>
      <c r="H473" s="1" t="s">
        <v>6</v>
      </c>
      <c r="I473" s="1" t="s">
        <v>2</v>
      </c>
      <c r="J473" s="1" t="s">
        <v>3</v>
      </c>
      <c r="K473" s="1" t="s">
        <v>8076</v>
      </c>
      <c r="L473" s="1" t="s">
        <v>7</v>
      </c>
      <c r="M473" s="1" t="s">
        <v>9</v>
      </c>
      <c r="N473" s="1" t="s">
        <v>8077</v>
      </c>
      <c r="O473" s="1" t="s">
        <v>2160</v>
      </c>
      <c r="P473" s="1"/>
      <c r="Q473" s="1"/>
      <c r="R473" s="1" t="s">
        <v>11</v>
      </c>
      <c r="S473" s="1"/>
      <c r="T473" s="1"/>
      <c r="U473" s="1"/>
      <c r="V473" s="1"/>
      <c r="W473" s="1" t="s">
        <v>8078</v>
      </c>
      <c r="X473" s="1"/>
      <c r="Y473" s="1"/>
      <c r="Z473" s="1"/>
      <c r="AA473" s="1"/>
      <c r="AB473" s="1" t="s">
        <v>8079</v>
      </c>
      <c r="AC473" s="1"/>
      <c r="AD473" s="1"/>
      <c r="AE473" s="1" t="s">
        <v>8080</v>
      </c>
      <c r="AF473" s="1"/>
      <c r="AG473" s="1"/>
      <c r="AH473" s="1" t="s">
        <v>8081</v>
      </c>
      <c r="AI473" s="1"/>
      <c r="AJ473" s="1" t="s">
        <v>51</v>
      </c>
      <c r="AK473" s="1" t="s">
        <v>518</v>
      </c>
      <c r="AL473" s="1" t="s">
        <v>136</v>
      </c>
      <c r="AM473" s="1" t="s">
        <v>7853</v>
      </c>
      <c r="AN473" s="1" t="s">
        <v>518</v>
      </c>
      <c r="AO473" s="1"/>
      <c r="AP473" s="2" t="s">
        <v>8082</v>
      </c>
      <c r="AQ473" s="2" t="s">
        <v>1154</v>
      </c>
      <c r="AR473" s="1" t="s">
        <v>286</v>
      </c>
      <c r="AS473" s="1" t="s">
        <v>8083</v>
      </c>
      <c r="AT473" s="1" t="s">
        <v>5</v>
      </c>
    </row>
    <row r="474" spans="1:46" hidden="1" x14ac:dyDescent="0.4">
      <c r="A474" s="1" t="s">
        <v>10807</v>
      </c>
      <c r="B474" s="10"/>
      <c r="C474" s="1" t="s">
        <v>2675</v>
      </c>
      <c r="D474" s="1" t="s">
        <v>2157</v>
      </c>
      <c r="E474" s="1" t="s">
        <v>2078</v>
      </c>
      <c r="F474" s="1" t="s">
        <v>14</v>
      </c>
      <c r="G474" s="1" t="s">
        <v>1</v>
      </c>
      <c r="H474" s="1" t="s">
        <v>6</v>
      </c>
      <c r="I474" s="1" t="s">
        <v>2</v>
      </c>
      <c r="J474" s="1" t="s">
        <v>2450</v>
      </c>
      <c r="K474" s="1" t="s">
        <v>10808</v>
      </c>
      <c r="L474" s="1" t="s">
        <v>7</v>
      </c>
      <c r="M474" s="1" t="s">
        <v>9</v>
      </c>
      <c r="N474" s="1" t="s">
        <v>10809</v>
      </c>
      <c r="O474" s="1" t="s">
        <v>4208</v>
      </c>
      <c r="P474" s="1"/>
      <c r="Q474" s="1"/>
      <c r="R474" s="1" t="s">
        <v>11</v>
      </c>
      <c r="S474" s="1"/>
      <c r="T474" s="1"/>
      <c r="U474" s="1"/>
      <c r="V474" s="1"/>
      <c r="W474" s="1"/>
      <c r="X474" s="1" t="s">
        <v>10810</v>
      </c>
      <c r="Y474" s="1"/>
      <c r="Z474" s="1"/>
      <c r="AA474" s="1"/>
      <c r="AB474" s="1" t="s">
        <v>10811</v>
      </c>
      <c r="AC474" s="1"/>
      <c r="AD474" s="1"/>
      <c r="AE474" s="1" t="s">
        <v>10812</v>
      </c>
      <c r="AF474" s="1"/>
      <c r="AG474" s="1"/>
      <c r="AH474" s="1" t="s">
        <v>10813</v>
      </c>
      <c r="AI474" s="1"/>
      <c r="AJ474" s="1" t="s">
        <v>10814</v>
      </c>
      <c r="AK474" s="1" t="s">
        <v>10815</v>
      </c>
      <c r="AL474" s="1" t="s">
        <v>10816</v>
      </c>
      <c r="AM474" s="1" t="s">
        <v>10814</v>
      </c>
      <c r="AN474" s="1" t="s">
        <v>10815</v>
      </c>
      <c r="AO474" s="1" t="s">
        <v>10816</v>
      </c>
      <c r="AP474" s="2" t="s">
        <v>10817</v>
      </c>
      <c r="AQ474" s="2" t="s">
        <v>1155</v>
      </c>
      <c r="AR474" s="1" t="s">
        <v>286</v>
      </c>
      <c r="AS474" s="1" t="s">
        <v>10818</v>
      </c>
      <c r="AT474" s="1" t="s">
        <v>5</v>
      </c>
    </row>
    <row r="475" spans="1:46" hidden="1" x14ac:dyDescent="0.4">
      <c r="A475" s="1" t="s">
        <v>7486</v>
      </c>
      <c r="B475" s="10"/>
      <c r="C475" s="1" t="s">
        <v>93</v>
      </c>
      <c r="D475" s="1" t="s">
        <v>2827</v>
      </c>
      <c r="E475" s="1" t="s">
        <v>2478</v>
      </c>
      <c r="F475" s="1" t="s">
        <v>14</v>
      </c>
      <c r="G475" s="1" t="s">
        <v>1</v>
      </c>
      <c r="H475" s="1" t="s">
        <v>6</v>
      </c>
      <c r="I475" s="1" t="s">
        <v>2</v>
      </c>
      <c r="J475" s="1" t="s">
        <v>3</v>
      </c>
      <c r="K475" s="1" t="s">
        <v>7487</v>
      </c>
      <c r="L475" s="1" t="s">
        <v>7</v>
      </c>
      <c r="M475" s="1"/>
      <c r="N475" s="1" t="s">
        <v>7488</v>
      </c>
      <c r="O475" s="1" t="s">
        <v>7468</v>
      </c>
      <c r="P475" s="1"/>
      <c r="Q475" s="1"/>
      <c r="R475" s="1" t="s">
        <v>11</v>
      </c>
      <c r="S475" s="1"/>
      <c r="T475" s="1"/>
      <c r="U475" s="1"/>
      <c r="V475" s="1"/>
      <c r="W475" s="1"/>
      <c r="X475" s="1"/>
      <c r="Y475" s="1"/>
      <c r="Z475" s="1"/>
      <c r="AA475" s="1"/>
      <c r="AB475" s="1" t="s">
        <v>7489</v>
      </c>
      <c r="AC475" s="1"/>
      <c r="AD475" s="1"/>
      <c r="AE475" s="1" t="s">
        <v>7470</v>
      </c>
      <c r="AF475" s="1"/>
      <c r="AG475" s="1"/>
      <c r="AH475" s="1" t="s">
        <v>7490</v>
      </c>
      <c r="AI475" s="1"/>
      <c r="AJ475" s="1" t="s">
        <v>5110</v>
      </c>
      <c r="AK475" s="1" t="s">
        <v>5111</v>
      </c>
      <c r="AL475" s="1" t="s">
        <v>5112</v>
      </c>
      <c r="AM475" s="1" t="s">
        <v>5110</v>
      </c>
      <c r="AN475" s="1" t="s">
        <v>5111</v>
      </c>
      <c r="AO475" s="1" t="s">
        <v>5112</v>
      </c>
      <c r="AP475" s="2" t="s">
        <v>7491</v>
      </c>
      <c r="AQ475" s="2" t="s">
        <v>1077</v>
      </c>
      <c r="AR475" s="1" t="s">
        <v>286</v>
      </c>
      <c r="AS475" s="1" t="s">
        <v>7485</v>
      </c>
      <c r="AT475" s="1" t="s">
        <v>5</v>
      </c>
    </row>
    <row r="476" spans="1:46" hidden="1" x14ac:dyDescent="0.4">
      <c r="A476" s="1" t="s">
        <v>7465</v>
      </c>
      <c r="B476" s="10"/>
      <c r="C476" s="1" t="s">
        <v>93</v>
      </c>
      <c r="D476" s="1" t="s">
        <v>2827</v>
      </c>
      <c r="E476" s="1" t="s">
        <v>2078</v>
      </c>
      <c r="F476" s="1" t="s">
        <v>14</v>
      </c>
      <c r="G476" s="1" t="s">
        <v>1</v>
      </c>
      <c r="H476" s="1" t="s">
        <v>6</v>
      </c>
      <c r="I476" s="1" t="s">
        <v>2</v>
      </c>
      <c r="J476" s="1" t="s">
        <v>3</v>
      </c>
      <c r="K476" s="1" t="s">
        <v>7466</v>
      </c>
      <c r="L476" s="1" t="s">
        <v>7</v>
      </c>
      <c r="M476" s="1"/>
      <c r="N476" s="1" t="s">
        <v>7467</v>
      </c>
      <c r="O476" s="1" t="s">
        <v>7468</v>
      </c>
      <c r="P476" s="1"/>
      <c r="Q476" s="1"/>
      <c r="R476" s="1" t="s">
        <v>11</v>
      </c>
      <c r="S476" s="1"/>
      <c r="T476" s="1"/>
      <c r="U476" s="1"/>
      <c r="V476" s="1"/>
      <c r="W476" s="1"/>
      <c r="X476" s="1"/>
      <c r="Y476" s="1"/>
      <c r="Z476" s="1"/>
      <c r="AA476" s="1"/>
      <c r="AB476" s="1" t="s">
        <v>7469</v>
      </c>
      <c r="AC476" s="1"/>
      <c r="AD476" s="1"/>
      <c r="AE476" s="1" t="s">
        <v>7470</v>
      </c>
      <c r="AF476" s="1"/>
      <c r="AG476" s="1"/>
      <c r="AH476" s="1" t="s">
        <v>7471</v>
      </c>
      <c r="AI476" s="1"/>
      <c r="AJ476" s="1" t="s">
        <v>5110</v>
      </c>
      <c r="AK476" s="1" t="s">
        <v>5111</v>
      </c>
      <c r="AL476" s="1" t="s">
        <v>5112</v>
      </c>
      <c r="AM476" s="1" t="s">
        <v>5110</v>
      </c>
      <c r="AN476" s="1" t="s">
        <v>5111</v>
      </c>
      <c r="AO476" s="1" t="s">
        <v>5112</v>
      </c>
      <c r="AP476" s="2" t="s">
        <v>7472</v>
      </c>
      <c r="AQ476" s="2" t="s">
        <v>1077</v>
      </c>
      <c r="AR476" s="1" t="s">
        <v>286</v>
      </c>
      <c r="AS476" s="1" t="s">
        <v>7439</v>
      </c>
      <c r="AT476" s="1" t="s">
        <v>5</v>
      </c>
    </row>
    <row r="477" spans="1:46" hidden="1" x14ac:dyDescent="0.4">
      <c r="A477" s="1" t="s">
        <v>9027</v>
      </c>
      <c r="B477" s="10"/>
      <c r="C477" s="1" t="s">
        <v>0</v>
      </c>
      <c r="D477" s="1" t="s">
        <v>2076</v>
      </c>
      <c r="E477" s="1" t="s">
        <v>2078</v>
      </c>
      <c r="F477" s="1" t="s">
        <v>14</v>
      </c>
      <c r="G477" s="1" t="s">
        <v>1</v>
      </c>
      <c r="H477" s="1" t="s">
        <v>6</v>
      </c>
      <c r="I477" s="1" t="s">
        <v>2</v>
      </c>
      <c r="J477" s="1" t="s">
        <v>3</v>
      </c>
      <c r="K477" s="1" t="s">
        <v>9028</v>
      </c>
      <c r="L477" s="1" t="s">
        <v>7</v>
      </c>
      <c r="M477" s="1" t="s">
        <v>9</v>
      </c>
      <c r="N477" s="1" t="s">
        <v>9029</v>
      </c>
      <c r="O477" s="1" t="s">
        <v>4880</v>
      </c>
      <c r="P477" s="1"/>
      <c r="Q477" s="1"/>
      <c r="R477" s="1" t="s">
        <v>11</v>
      </c>
      <c r="S477" s="1"/>
      <c r="T477" s="1"/>
      <c r="U477" s="1"/>
      <c r="V477" s="1"/>
      <c r="W477" s="1"/>
      <c r="X477" s="1"/>
      <c r="Y477" s="1"/>
      <c r="Z477" s="1"/>
      <c r="AA477" s="1"/>
      <c r="AB477" s="1" t="s">
        <v>9030</v>
      </c>
      <c r="AC477" s="1"/>
      <c r="AD477" s="1"/>
      <c r="AE477" s="1" t="s">
        <v>9018</v>
      </c>
      <c r="AF477" s="1"/>
      <c r="AG477" s="1"/>
      <c r="AH477" s="1" t="s">
        <v>9031</v>
      </c>
      <c r="AI477" s="1"/>
      <c r="AJ477" s="1" t="s">
        <v>9020</v>
      </c>
      <c r="AK477" s="1" t="s">
        <v>9021</v>
      </c>
      <c r="AL477" s="1" t="s">
        <v>9022</v>
      </c>
      <c r="AM477" s="1" t="s">
        <v>9023</v>
      </c>
      <c r="AN477" s="1" t="s">
        <v>9021</v>
      </c>
      <c r="AO477" s="1" t="s">
        <v>9024</v>
      </c>
      <c r="AP477" s="2" t="s">
        <v>9032</v>
      </c>
      <c r="AQ477" s="2" t="s">
        <v>1154</v>
      </c>
      <c r="AR477" s="1" t="s">
        <v>286</v>
      </c>
      <c r="AS477" s="1" t="s">
        <v>9033</v>
      </c>
      <c r="AT477" s="1" t="s">
        <v>5</v>
      </c>
    </row>
    <row r="478" spans="1:46" hidden="1" x14ac:dyDescent="0.4">
      <c r="A478" s="1" t="s">
        <v>9014</v>
      </c>
      <c r="B478" s="10"/>
      <c r="C478" s="1" t="s">
        <v>0</v>
      </c>
      <c r="D478" s="1" t="s">
        <v>2076</v>
      </c>
      <c r="E478" s="1" t="s">
        <v>2078</v>
      </c>
      <c r="F478" s="1" t="s">
        <v>14</v>
      </c>
      <c r="G478" s="1" t="s">
        <v>1</v>
      </c>
      <c r="H478" s="1" t="s">
        <v>6</v>
      </c>
      <c r="I478" s="1" t="s">
        <v>2</v>
      </c>
      <c r="J478" s="1" t="s">
        <v>3</v>
      </c>
      <c r="K478" s="1" t="s">
        <v>9015</v>
      </c>
      <c r="L478" s="1" t="s">
        <v>7</v>
      </c>
      <c r="M478" s="1" t="s">
        <v>9</v>
      </c>
      <c r="N478" s="1" t="s">
        <v>9016</v>
      </c>
      <c r="O478" s="1" t="s">
        <v>4880</v>
      </c>
      <c r="P478" s="1"/>
      <c r="Q478" s="1"/>
      <c r="R478" s="1" t="s">
        <v>11</v>
      </c>
      <c r="S478" s="1"/>
      <c r="T478" s="1"/>
      <c r="U478" s="1"/>
      <c r="V478" s="1"/>
      <c r="W478" s="1"/>
      <c r="X478" s="1"/>
      <c r="Y478" s="1"/>
      <c r="Z478" s="1"/>
      <c r="AA478" s="1"/>
      <c r="AB478" s="1" t="s">
        <v>9017</v>
      </c>
      <c r="AC478" s="1"/>
      <c r="AD478" s="1"/>
      <c r="AE478" s="1" t="s">
        <v>9018</v>
      </c>
      <c r="AF478" s="1"/>
      <c r="AG478" s="1"/>
      <c r="AH478" s="1" t="s">
        <v>9019</v>
      </c>
      <c r="AI478" s="1"/>
      <c r="AJ478" s="1" t="s">
        <v>9020</v>
      </c>
      <c r="AK478" s="1" t="s">
        <v>9021</v>
      </c>
      <c r="AL478" s="1" t="s">
        <v>9022</v>
      </c>
      <c r="AM478" s="1" t="s">
        <v>9023</v>
      </c>
      <c r="AN478" s="1" t="s">
        <v>9021</v>
      </c>
      <c r="AO478" s="1" t="s">
        <v>9024</v>
      </c>
      <c r="AP478" s="2" t="s">
        <v>9025</v>
      </c>
      <c r="AQ478" s="2" t="s">
        <v>1154</v>
      </c>
      <c r="AR478" s="1" t="s">
        <v>286</v>
      </c>
      <c r="AS478" s="1" t="s">
        <v>9026</v>
      </c>
      <c r="AT478" s="1" t="s">
        <v>5</v>
      </c>
    </row>
    <row r="479" spans="1:46" hidden="1" x14ac:dyDescent="0.4">
      <c r="A479" s="1" t="s">
        <v>11659</v>
      </c>
      <c r="B479" s="10"/>
      <c r="C479" s="1" t="s">
        <v>93</v>
      </c>
      <c r="D479" s="1" t="s">
        <v>2396</v>
      </c>
      <c r="E479" s="1" t="s">
        <v>2078</v>
      </c>
      <c r="F479" s="1" t="s">
        <v>14</v>
      </c>
      <c r="G479" s="1" t="s">
        <v>1</v>
      </c>
      <c r="H479" s="1" t="s">
        <v>6</v>
      </c>
      <c r="I479" s="1" t="s">
        <v>2</v>
      </c>
      <c r="J479" s="1" t="s">
        <v>3</v>
      </c>
      <c r="K479" s="1" t="s">
        <v>11660</v>
      </c>
      <c r="L479" s="1" t="s">
        <v>4</v>
      </c>
      <c r="M479" s="1"/>
      <c r="N479" s="1" t="s">
        <v>11661</v>
      </c>
      <c r="O479" s="1" t="s">
        <v>11662</v>
      </c>
      <c r="P479" s="1"/>
      <c r="Q479" s="1" t="s">
        <v>12</v>
      </c>
      <c r="R479" s="1" t="s">
        <v>11</v>
      </c>
      <c r="S479" s="1"/>
      <c r="T479" s="1" t="s">
        <v>12</v>
      </c>
      <c r="U479" s="1" t="s">
        <v>11</v>
      </c>
      <c r="V479" s="1"/>
      <c r="W479" s="1"/>
      <c r="X479" s="1"/>
      <c r="Y479" s="1"/>
      <c r="Z479" s="1"/>
      <c r="AA479" s="1"/>
      <c r="AB479" s="1" t="s">
        <v>11663</v>
      </c>
      <c r="AC479" s="1"/>
      <c r="AD479" s="1"/>
      <c r="AE479" s="1" t="s">
        <v>11664</v>
      </c>
      <c r="AF479" s="1"/>
      <c r="AG479" s="1"/>
      <c r="AH479" s="1" t="s">
        <v>11665</v>
      </c>
      <c r="AI479" s="1"/>
      <c r="AJ479" s="1" t="s">
        <v>1458</v>
      </c>
      <c r="AK479" s="1" t="s">
        <v>1456</v>
      </c>
      <c r="AL479" s="1" t="s">
        <v>1459</v>
      </c>
      <c r="AM479" s="1" t="s">
        <v>1458</v>
      </c>
      <c r="AN479" s="1" t="s">
        <v>1456</v>
      </c>
      <c r="AO479" s="1" t="s">
        <v>1459</v>
      </c>
      <c r="AP479" s="2" t="s">
        <v>11666</v>
      </c>
      <c r="AQ479" s="2" t="s">
        <v>1156</v>
      </c>
      <c r="AR479" s="1" t="s">
        <v>286</v>
      </c>
      <c r="AS479" s="1" t="s">
        <v>11667</v>
      </c>
      <c r="AT479" s="1" t="s">
        <v>5</v>
      </c>
    </row>
    <row r="480" spans="1:46" hidden="1" x14ac:dyDescent="0.4">
      <c r="A480" s="1" t="s">
        <v>8183</v>
      </c>
      <c r="B480" s="10"/>
      <c r="C480" s="1" t="s">
        <v>93</v>
      </c>
      <c r="D480" s="1" t="s">
        <v>2827</v>
      </c>
      <c r="E480" s="1" t="s">
        <v>2078</v>
      </c>
      <c r="F480" s="1" t="s">
        <v>14</v>
      </c>
      <c r="G480" s="1" t="s">
        <v>1</v>
      </c>
      <c r="H480" s="1" t="s">
        <v>6</v>
      </c>
      <c r="I480" s="1" t="s">
        <v>2</v>
      </c>
      <c r="J480" s="1" t="s">
        <v>3</v>
      </c>
      <c r="K480" s="1" t="s">
        <v>8184</v>
      </c>
      <c r="L480" s="1" t="s">
        <v>7</v>
      </c>
      <c r="M480" s="1"/>
      <c r="N480" s="1" t="s">
        <v>8185</v>
      </c>
      <c r="O480" s="1" t="s">
        <v>8173</v>
      </c>
      <c r="P480" s="1"/>
      <c r="Q480" s="1"/>
      <c r="R480" s="1" t="s">
        <v>11</v>
      </c>
      <c r="S480" s="1"/>
      <c r="T480" s="1"/>
      <c r="U480" s="1"/>
      <c r="V480" s="1"/>
      <c r="W480" s="1"/>
      <c r="X480" s="1"/>
      <c r="Y480" s="1"/>
      <c r="Z480" s="1"/>
      <c r="AA480" s="1"/>
      <c r="AB480" s="1" t="s">
        <v>8186</v>
      </c>
      <c r="AC480" s="1"/>
      <c r="AD480" s="1"/>
      <c r="AE480" s="1" t="s">
        <v>8175</v>
      </c>
      <c r="AF480" s="1"/>
      <c r="AG480" s="1"/>
      <c r="AH480" s="1" t="s">
        <v>8187</v>
      </c>
      <c r="AI480" s="1" t="s">
        <v>8188</v>
      </c>
      <c r="AJ480" s="1" t="s">
        <v>8178</v>
      </c>
      <c r="AK480" s="1" t="s">
        <v>1787</v>
      </c>
      <c r="AL480" s="1" t="s">
        <v>8179</v>
      </c>
      <c r="AM480" s="1" t="s">
        <v>8180</v>
      </c>
      <c r="AN480" s="1" t="s">
        <v>1787</v>
      </c>
      <c r="AO480" s="1" t="s">
        <v>8181</v>
      </c>
      <c r="AP480" s="2" t="s">
        <v>8189</v>
      </c>
      <c r="AQ480" s="2" t="s">
        <v>1154</v>
      </c>
      <c r="AR480" s="1" t="s">
        <v>286</v>
      </c>
      <c r="AS480" s="1"/>
      <c r="AT480" s="1" t="s">
        <v>5</v>
      </c>
    </row>
    <row r="481" spans="1:46" hidden="1" x14ac:dyDescent="0.4">
      <c r="A481" s="1" t="s">
        <v>8170</v>
      </c>
      <c r="B481" s="10"/>
      <c r="C481" s="1" t="s">
        <v>93</v>
      </c>
      <c r="D481" s="1" t="s">
        <v>2827</v>
      </c>
      <c r="E481" s="1" t="s">
        <v>2078</v>
      </c>
      <c r="F481" s="1" t="s">
        <v>14</v>
      </c>
      <c r="G481" s="1" t="s">
        <v>1</v>
      </c>
      <c r="H481" s="1" t="s">
        <v>6</v>
      </c>
      <c r="I481" s="1" t="s">
        <v>2</v>
      </c>
      <c r="J481" s="1" t="s">
        <v>3</v>
      </c>
      <c r="K481" s="1" t="s">
        <v>8171</v>
      </c>
      <c r="L481" s="1" t="s">
        <v>7</v>
      </c>
      <c r="M481" s="1"/>
      <c r="N481" s="1" t="s">
        <v>8172</v>
      </c>
      <c r="O481" s="1" t="s">
        <v>8173</v>
      </c>
      <c r="P481" s="1"/>
      <c r="Q481" s="1"/>
      <c r="R481" s="1" t="s">
        <v>11</v>
      </c>
      <c r="S481" s="1"/>
      <c r="T481" s="1"/>
      <c r="U481" s="1"/>
      <c r="V481" s="1"/>
      <c r="W481" s="1"/>
      <c r="X481" s="1"/>
      <c r="Y481" s="1"/>
      <c r="Z481" s="1"/>
      <c r="AA481" s="1"/>
      <c r="AB481" s="1" t="s">
        <v>8174</v>
      </c>
      <c r="AC481" s="1"/>
      <c r="AD481" s="1"/>
      <c r="AE481" s="1" t="s">
        <v>8175</v>
      </c>
      <c r="AF481" s="1"/>
      <c r="AG481" s="1"/>
      <c r="AH481" s="1" t="s">
        <v>8176</v>
      </c>
      <c r="AI481" s="1" t="s">
        <v>8177</v>
      </c>
      <c r="AJ481" s="1" t="s">
        <v>8178</v>
      </c>
      <c r="AK481" s="1" t="s">
        <v>1787</v>
      </c>
      <c r="AL481" s="1" t="s">
        <v>8179</v>
      </c>
      <c r="AM481" s="1" t="s">
        <v>8180</v>
      </c>
      <c r="AN481" s="1" t="s">
        <v>1787</v>
      </c>
      <c r="AO481" s="1" t="s">
        <v>8181</v>
      </c>
      <c r="AP481" s="2" t="s">
        <v>8182</v>
      </c>
      <c r="AQ481" s="2" t="s">
        <v>1154</v>
      </c>
      <c r="AR481" s="1" t="s">
        <v>286</v>
      </c>
      <c r="AS481" s="1"/>
      <c r="AT481" s="1" t="s">
        <v>5</v>
      </c>
    </row>
    <row r="482" spans="1:46" hidden="1" x14ac:dyDescent="0.4">
      <c r="A482" s="1" t="s">
        <v>7990</v>
      </c>
      <c r="B482" s="10"/>
      <c r="C482" s="1" t="s">
        <v>2841</v>
      </c>
      <c r="D482" s="1" t="s">
        <v>2157</v>
      </c>
      <c r="E482" s="1" t="s">
        <v>2078</v>
      </c>
      <c r="F482" s="1" t="s">
        <v>14</v>
      </c>
      <c r="G482" s="1" t="s">
        <v>1</v>
      </c>
      <c r="H482" s="1" t="s">
        <v>6</v>
      </c>
      <c r="I482" s="1" t="s">
        <v>2</v>
      </c>
      <c r="J482" s="1" t="s">
        <v>2842</v>
      </c>
      <c r="K482" s="1" t="s">
        <v>7991</v>
      </c>
      <c r="L482" s="1" t="s">
        <v>4</v>
      </c>
      <c r="M482" s="1" t="s">
        <v>9</v>
      </c>
      <c r="N482" s="1" t="s">
        <v>7992</v>
      </c>
      <c r="O482" s="1" t="s">
        <v>7993</v>
      </c>
      <c r="P482" s="1" t="s">
        <v>7994</v>
      </c>
      <c r="Q482" s="1"/>
      <c r="R482" s="1" t="s">
        <v>11</v>
      </c>
      <c r="S482" s="1"/>
      <c r="T482" s="1"/>
      <c r="U482" s="1"/>
      <c r="V482" s="1"/>
      <c r="W482" s="1" t="s">
        <v>7995</v>
      </c>
      <c r="X482" s="1" t="s">
        <v>7996</v>
      </c>
      <c r="Y482" s="1"/>
      <c r="Z482" s="1"/>
      <c r="AA482" s="1"/>
      <c r="AB482" s="1" t="s">
        <v>7997</v>
      </c>
      <c r="AC482" s="1"/>
      <c r="AD482" s="1"/>
      <c r="AE482" s="1"/>
      <c r="AF482" s="1"/>
      <c r="AG482" s="1"/>
      <c r="AH482" s="1" t="s">
        <v>7998</v>
      </c>
      <c r="AI482" s="1"/>
      <c r="AJ482" s="1" t="s">
        <v>4327</v>
      </c>
      <c r="AK482" s="1" t="s">
        <v>3471</v>
      </c>
      <c r="AL482" s="1" t="s">
        <v>4328</v>
      </c>
      <c r="AM482" s="1" t="s">
        <v>4327</v>
      </c>
      <c r="AN482" s="1" t="s">
        <v>3471</v>
      </c>
      <c r="AO482" s="1" t="s">
        <v>4328</v>
      </c>
      <c r="AP482" s="2" t="s">
        <v>7999</v>
      </c>
      <c r="AQ482" s="2" t="s">
        <v>1154</v>
      </c>
      <c r="AR482" s="1" t="s">
        <v>286</v>
      </c>
      <c r="AS482" s="1" t="s">
        <v>8000</v>
      </c>
      <c r="AT482" s="1" t="s">
        <v>5</v>
      </c>
    </row>
    <row r="483" spans="1:46" hidden="1" x14ac:dyDescent="0.4">
      <c r="A483" s="1" t="s">
        <v>7684</v>
      </c>
      <c r="B483" s="10"/>
      <c r="C483" s="1" t="s">
        <v>2454</v>
      </c>
      <c r="D483" s="1" t="s">
        <v>2220</v>
      </c>
      <c r="E483" s="1" t="s">
        <v>2078</v>
      </c>
      <c r="F483" s="1" t="s">
        <v>14</v>
      </c>
      <c r="G483" s="1" t="s">
        <v>1</v>
      </c>
      <c r="H483" s="1" t="s">
        <v>6</v>
      </c>
      <c r="I483" s="1" t="s">
        <v>2</v>
      </c>
      <c r="J483" s="1" t="s">
        <v>3676</v>
      </c>
      <c r="K483" s="1" t="s">
        <v>7685</v>
      </c>
      <c r="L483" s="1" t="s">
        <v>4</v>
      </c>
      <c r="M483" s="1"/>
      <c r="N483" s="1" t="s">
        <v>7686</v>
      </c>
      <c r="O483" s="1" t="s">
        <v>4311</v>
      </c>
      <c r="P483" s="1"/>
      <c r="Q483" s="1"/>
      <c r="R483" s="1" t="s">
        <v>11</v>
      </c>
      <c r="S483" s="1"/>
      <c r="T483" s="1"/>
      <c r="U483" s="1"/>
      <c r="V483" s="1"/>
      <c r="W483" s="1" t="s">
        <v>7687</v>
      </c>
      <c r="X483" s="1" t="s">
        <v>2568</v>
      </c>
      <c r="Y483" s="1"/>
      <c r="Z483" s="1"/>
      <c r="AA483" s="1"/>
      <c r="AB483" s="1" t="s">
        <v>7688</v>
      </c>
      <c r="AC483" s="1"/>
      <c r="AD483" s="1"/>
      <c r="AE483" s="1" t="s">
        <v>7689</v>
      </c>
      <c r="AF483" s="1"/>
      <c r="AG483" s="1"/>
      <c r="AH483" s="1" t="s">
        <v>7690</v>
      </c>
      <c r="AI483" s="1"/>
      <c r="AJ483" s="1" t="s">
        <v>3682</v>
      </c>
      <c r="AK483" s="1" t="s">
        <v>3106</v>
      </c>
      <c r="AL483" s="1" t="s">
        <v>3683</v>
      </c>
      <c r="AM483" s="1" t="s">
        <v>3682</v>
      </c>
      <c r="AN483" s="1" t="s">
        <v>3106</v>
      </c>
      <c r="AO483" s="1" t="s">
        <v>3683</v>
      </c>
      <c r="AP483" s="2" t="s">
        <v>7691</v>
      </c>
      <c r="AQ483" s="2" t="s">
        <v>1154</v>
      </c>
      <c r="AR483" s="1" t="s">
        <v>286</v>
      </c>
      <c r="AS483" s="1" t="s">
        <v>7692</v>
      </c>
      <c r="AT483" s="1" t="s">
        <v>5</v>
      </c>
    </row>
    <row r="484" spans="1:46" hidden="1" x14ac:dyDescent="0.4">
      <c r="A484" s="1" t="s">
        <v>7693</v>
      </c>
      <c r="B484" s="10"/>
      <c r="C484" s="1" t="s">
        <v>2454</v>
      </c>
      <c r="D484" s="1" t="s">
        <v>2157</v>
      </c>
      <c r="E484" s="1" t="s">
        <v>2478</v>
      </c>
      <c r="F484" s="1" t="s">
        <v>14</v>
      </c>
      <c r="G484" s="1" t="s">
        <v>1</v>
      </c>
      <c r="H484" s="1" t="s">
        <v>6</v>
      </c>
      <c r="I484" s="1" t="s">
        <v>2</v>
      </c>
      <c r="J484" s="1" t="s">
        <v>3676</v>
      </c>
      <c r="K484" s="1" t="s">
        <v>7694</v>
      </c>
      <c r="L484" s="1" t="s">
        <v>7</v>
      </c>
      <c r="M484" s="1"/>
      <c r="N484" s="1" t="s">
        <v>7695</v>
      </c>
      <c r="O484" s="1" t="s">
        <v>4311</v>
      </c>
      <c r="P484" s="1"/>
      <c r="Q484" s="1"/>
      <c r="R484" s="1" t="s">
        <v>11</v>
      </c>
      <c r="S484" s="1"/>
      <c r="T484" s="1"/>
      <c r="U484" s="1"/>
      <c r="V484" s="1"/>
      <c r="W484" s="1" t="s">
        <v>7696</v>
      </c>
      <c r="X484" s="1"/>
      <c r="Y484" s="1"/>
      <c r="Z484" s="1"/>
      <c r="AA484" s="1"/>
      <c r="AB484" s="1" t="s">
        <v>7697</v>
      </c>
      <c r="AC484" s="1"/>
      <c r="AD484" s="1"/>
      <c r="AE484" s="1"/>
      <c r="AF484" s="1"/>
      <c r="AG484" s="1"/>
      <c r="AH484" s="1" t="s">
        <v>7698</v>
      </c>
      <c r="AI484" s="1"/>
      <c r="AJ484" s="1" t="s">
        <v>3682</v>
      </c>
      <c r="AK484" s="1" t="s">
        <v>3106</v>
      </c>
      <c r="AL484" s="1" t="s">
        <v>3683</v>
      </c>
      <c r="AM484" s="1" t="s">
        <v>3682</v>
      </c>
      <c r="AN484" s="1" t="s">
        <v>3106</v>
      </c>
      <c r="AO484" s="1" t="s">
        <v>3683</v>
      </c>
      <c r="AP484" s="2" t="s">
        <v>7699</v>
      </c>
      <c r="AQ484" s="2" t="s">
        <v>1154</v>
      </c>
      <c r="AR484" s="1" t="s">
        <v>286</v>
      </c>
      <c r="AS484" s="1" t="s">
        <v>7700</v>
      </c>
      <c r="AT484" s="1" t="s">
        <v>5</v>
      </c>
    </row>
    <row r="485" spans="1:46" hidden="1" x14ac:dyDescent="0.4">
      <c r="A485" s="1" t="s">
        <v>4213</v>
      </c>
      <c r="B485" s="10"/>
      <c r="C485" s="1" t="s">
        <v>2454</v>
      </c>
      <c r="D485" s="1" t="s">
        <v>2157</v>
      </c>
      <c r="E485" s="1" t="s">
        <v>2078</v>
      </c>
      <c r="F485" s="1" t="s">
        <v>14</v>
      </c>
      <c r="G485" s="1" t="s">
        <v>1</v>
      </c>
      <c r="H485" s="1" t="s">
        <v>6</v>
      </c>
      <c r="I485" s="1" t="s">
        <v>2</v>
      </c>
      <c r="J485" s="1" t="s">
        <v>3676</v>
      </c>
      <c r="K485" s="1" t="s">
        <v>4214</v>
      </c>
      <c r="L485" s="1" t="s">
        <v>4</v>
      </c>
      <c r="M485" s="1"/>
      <c r="N485" s="1" t="s">
        <v>4215</v>
      </c>
      <c r="O485" s="1" t="s">
        <v>4208</v>
      </c>
      <c r="P485" s="1"/>
      <c r="Q485" s="1"/>
      <c r="R485" s="1" t="s">
        <v>11</v>
      </c>
      <c r="S485" s="1"/>
      <c r="T485" s="1"/>
      <c r="U485" s="1"/>
      <c r="V485" s="1"/>
      <c r="W485" s="1" t="s">
        <v>4216</v>
      </c>
      <c r="X485" s="1"/>
      <c r="Y485" s="1"/>
      <c r="Z485" s="1"/>
      <c r="AA485" s="1"/>
      <c r="AB485" s="1" t="s">
        <v>4217</v>
      </c>
      <c r="AC485" s="1"/>
      <c r="AD485" s="1"/>
      <c r="AE485" s="1"/>
      <c r="AF485" s="1"/>
      <c r="AG485" s="1"/>
      <c r="AH485" s="1" t="s">
        <v>4218</v>
      </c>
      <c r="AI485" s="1"/>
      <c r="AJ485" s="1" t="s">
        <v>3682</v>
      </c>
      <c r="AK485" s="1" t="s">
        <v>3106</v>
      </c>
      <c r="AL485" s="1" t="s">
        <v>3683</v>
      </c>
      <c r="AM485" s="1" t="s">
        <v>3682</v>
      </c>
      <c r="AN485" s="1" t="s">
        <v>3106</v>
      </c>
      <c r="AO485" s="1" t="s">
        <v>3683</v>
      </c>
      <c r="AP485" s="2" t="s">
        <v>4219</v>
      </c>
      <c r="AQ485" s="2" t="s">
        <v>1153</v>
      </c>
      <c r="AR485" s="1" t="s">
        <v>286</v>
      </c>
      <c r="AS485" s="1"/>
      <c r="AT485" s="1" t="s">
        <v>5</v>
      </c>
    </row>
    <row r="486" spans="1:46" hidden="1" x14ac:dyDescent="0.4">
      <c r="A486" s="1" t="s">
        <v>11493</v>
      </c>
      <c r="B486" s="10"/>
      <c r="C486" s="1" t="s">
        <v>0</v>
      </c>
      <c r="D486" s="1" t="s">
        <v>2157</v>
      </c>
      <c r="E486" s="1" t="s">
        <v>2078</v>
      </c>
      <c r="F486" s="1" t="s">
        <v>14</v>
      </c>
      <c r="G486" s="1" t="s">
        <v>1</v>
      </c>
      <c r="H486" s="1" t="s">
        <v>6</v>
      </c>
      <c r="I486" s="1" t="s">
        <v>2</v>
      </c>
      <c r="J486" s="1" t="s">
        <v>3</v>
      </c>
      <c r="K486" s="1" t="s">
        <v>11494</v>
      </c>
      <c r="L486" s="1" t="s">
        <v>7</v>
      </c>
      <c r="M486" s="1" t="s">
        <v>9</v>
      </c>
      <c r="N486" s="1" t="s">
        <v>11495</v>
      </c>
      <c r="O486" s="1" t="s">
        <v>4311</v>
      </c>
      <c r="P486" s="1"/>
      <c r="Q486" s="1" t="s">
        <v>12</v>
      </c>
      <c r="R486" s="1" t="s">
        <v>11</v>
      </c>
      <c r="S486" s="1"/>
      <c r="T486" s="1" t="s">
        <v>12</v>
      </c>
      <c r="U486" s="1" t="s">
        <v>11</v>
      </c>
      <c r="V486" s="1"/>
      <c r="W486" s="1"/>
      <c r="X486" s="1"/>
      <c r="Y486" s="1"/>
      <c r="Z486" s="1"/>
      <c r="AA486" s="1"/>
      <c r="AB486" s="1" t="s">
        <v>11496</v>
      </c>
      <c r="AC486" s="1"/>
      <c r="AD486" s="1"/>
      <c r="AE486" s="1"/>
      <c r="AF486" s="1"/>
      <c r="AG486" s="1"/>
      <c r="AH486" s="1" t="s">
        <v>11497</v>
      </c>
      <c r="AI486" s="1"/>
      <c r="AJ486" s="1" t="s">
        <v>2124</v>
      </c>
      <c r="AK486" s="1" t="s">
        <v>5322</v>
      </c>
      <c r="AL486" s="1" t="s">
        <v>10434</v>
      </c>
      <c r="AM486" s="1" t="s">
        <v>11438</v>
      </c>
      <c r="AN486" s="1" t="s">
        <v>5322</v>
      </c>
      <c r="AO486" s="1" t="s">
        <v>11439</v>
      </c>
      <c r="AP486" s="2" t="s">
        <v>11498</v>
      </c>
      <c r="AQ486" s="2" t="s">
        <v>1155</v>
      </c>
      <c r="AR486" s="1" t="s">
        <v>286</v>
      </c>
      <c r="AS486" s="1" t="s">
        <v>1076</v>
      </c>
      <c r="AT486" s="1" t="s">
        <v>5</v>
      </c>
    </row>
    <row r="487" spans="1:46" hidden="1" x14ac:dyDescent="0.4">
      <c r="A487" s="1" t="s">
        <v>7044</v>
      </c>
      <c r="B487" s="10"/>
      <c r="C487" s="1" t="s">
        <v>93</v>
      </c>
      <c r="D487" s="1" t="s">
        <v>2157</v>
      </c>
      <c r="E487" s="1" t="s">
        <v>2078</v>
      </c>
      <c r="F487" s="1" t="s">
        <v>14</v>
      </c>
      <c r="G487" s="1" t="s">
        <v>1</v>
      </c>
      <c r="H487" s="1" t="s">
        <v>6</v>
      </c>
      <c r="I487" s="1" t="s">
        <v>2</v>
      </c>
      <c r="J487" s="1" t="s">
        <v>3</v>
      </c>
      <c r="K487" s="1" t="s">
        <v>7045</v>
      </c>
      <c r="L487" s="1" t="s">
        <v>7</v>
      </c>
      <c r="M487" s="1"/>
      <c r="N487" s="1" t="s">
        <v>7046</v>
      </c>
      <c r="O487" s="1" t="s">
        <v>7039</v>
      </c>
      <c r="P487" s="1"/>
      <c r="Q487" s="1"/>
      <c r="R487" s="1" t="s">
        <v>11</v>
      </c>
      <c r="S487" s="1"/>
      <c r="T487" s="1"/>
      <c r="U487" s="1"/>
      <c r="V487" s="1"/>
      <c r="W487" s="1" t="s">
        <v>7047</v>
      </c>
      <c r="X487" s="1"/>
      <c r="Y487" s="1"/>
      <c r="Z487" s="1"/>
      <c r="AA487" s="1"/>
      <c r="AB487" s="1" t="s">
        <v>7048</v>
      </c>
      <c r="AC487" s="1"/>
      <c r="AD487" s="1"/>
      <c r="AE487" s="1" t="s">
        <v>7041</v>
      </c>
      <c r="AF487" s="1"/>
      <c r="AG487" s="1"/>
      <c r="AH487" s="1" t="s">
        <v>7049</v>
      </c>
      <c r="AI487" s="1"/>
      <c r="AJ487" s="1" t="s">
        <v>6930</v>
      </c>
      <c r="AK487" s="1" t="s">
        <v>6931</v>
      </c>
      <c r="AL487" s="1" t="s">
        <v>6932</v>
      </c>
      <c r="AM487" s="1" t="s">
        <v>6930</v>
      </c>
      <c r="AN487" s="1" t="s">
        <v>6931</v>
      </c>
      <c r="AO487" s="1" t="s">
        <v>6932</v>
      </c>
      <c r="AP487" s="2" t="s">
        <v>7050</v>
      </c>
      <c r="AQ487" s="2" t="s">
        <v>1077</v>
      </c>
      <c r="AR487" s="1" t="s">
        <v>286</v>
      </c>
      <c r="AS487" s="1"/>
      <c r="AT487" s="1" t="s">
        <v>5</v>
      </c>
    </row>
    <row r="488" spans="1:46" hidden="1" x14ac:dyDescent="0.4">
      <c r="A488" s="1" t="s">
        <v>7237</v>
      </c>
      <c r="B488" s="10"/>
      <c r="C488" s="1" t="s">
        <v>0</v>
      </c>
      <c r="D488" s="1" t="s">
        <v>2827</v>
      </c>
      <c r="E488" s="1" t="s">
        <v>2078</v>
      </c>
      <c r="F488" s="1" t="s">
        <v>14</v>
      </c>
      <c r="G488" s="1" t="s">
        <v>1</v>
      </c>
      <c r="H488" s="1" t="s">
        <v>6</v>
      </c>
      <c r="I488" s="1" t="s">
        <v>2</v>
      </c>
      <c r="J488" s="1" t="s">
        <v>3</v>
      </c>
      <c r="K488" s="1" t="s">
        <v>7238</v>
      </c>
      <c r="L488" s="1" t="s">
        <v>7</v>
      </c>
      <c r="M488" s="1" t="s">
        <v>9</v>
      </c>
      <c r="N488" s="1" t="s">
        <v>7239</v>
      </c>
      <c r="O488" s="1" t="s">
        <v>5061</v>
      </c>
      <c r="P488" s="1"/>
      <c r="Q488" s="1"/>
      <c r="R488" s="1" t="s">
        <v>11</v>
      </c>
      <c r="S488" s="1"/>
      <c r="T488" s="1"/>
      <c r="U488" s="1"/>
      <c r="V488" s="1"/>
      <c r="W488" s="1" t="s">
        <v>7240</v>
      </c>
      <c r="X488" s="1" t="s">
        <v>7241</v>
      </c>
      <c r="Y488" s="1"/>
      <c r="Z488" s="1"/>
      <c r="AA488" s="1"/>
      <c r="AB488" s="1" t="s">
        <v>7242</v>
      </c>
      <c r="AC488" s="1"/>
      <c r="AD488" s="1"/>
      <c r="AE488" s="1" t="s">
        <v>7243</v>
      </c>
      <c r="AF488" s="1"/>
      <c r="AG488" s="1"/>
      <c r="AH488" s="1" t="s">
        <v>7244</v>
      </c>
      <c r="AI488" s="1"/>
      <c r="AJ488" s="1" t="s">
        <v>7245</v>
      </c>
      <c r="AK488" s="1" t="s">
        <v>7246</v>
      </c>
      <c r="AL488" s="1" t="s">
        <v>7247</v>
      </c>
      <c r="AM488" s="1" t="s">
        <v>7248</v>
      </c>
      <c r="AN488" s="1" t="s">
        <v>7246</v>
      </c>
      <c r="AO488" s="1" t="s">
        <v>7249</v>
      </c>
      <c r="AP488" s="2" t="s">
        <v>7250</v>
      </c>
      <c r="AQ488" s="2" t="s">
        <v>1077</v>
      </c>
      <c r="AR488" s="1" t="s">
        <v>286</v>
      </c>
      <c r="AS488" s="1" t="s">
        <v>735</v>
      </c>
      <c r="AT488" s="1" t="s">
        <v>5</v>
      </c>
    </row>
    <row r="489" spans="1:46" hidden="1" x14ac:dyDescent="0.4">
      <c r="A489" s="1" t="s">
        <v>4470</v>
      </c>
      <c r="B489" s="10"/>
      <c r="C489" s="1" t="s">
        <v>0</v>
      </c>
      <c r="D489" s="1" t="s">
        <v>2211</v>
      </c>
      <c r="E489" s="1" t="s">
        <v>2078</v>
      </c>
      <c r="F489" s="1" t="s">
        <v>14</v>
      </c>
      <c r="G489" s="1" t="s">
        <v>1</v>
      </c>
      <c r="H489" s="1" t="s">
        <v>6</v>
      </c>
      <c r="I489" s="1" t="s">
        <v>2</v>
      </c>
      <c r="J489" s="1" t="s">
        <v>3</v>
      </c>
      <c r="K489" s="1" t="s">
        <v>4471</v>
      </c>
      <c r="L489" s="1" t="s">
        <v>7</v>
      </c>
      <c r="M489" s="1" t="s">
        <v>9</v>
      </c>
      <c r="N489" s="1" t="s">
        <v>4472</v>
      </c>
      <c r="O489" s="1" t="s">
        <v>4448</v>
      </c>
      <c r="P489" s="1"/>
      <c r="Q489" s="1"/>
      <c r="R489" s="1" t="s">
        <v>11</v>
      </c>
      <c r="S489" s="1"/>
      <c r="T489" s="1"/>
      <c r="U489" s="1"/>
      <c r="V489" s="1"/>
      <c r="W489" s="1" t="s">
        <v>4449</v>
      </c>
      <c r="X489" s="1" t="s">
        <v>4450</v>
      </c>
      <c r="Y489" s="1"/>
      <c r="Z489" s="1"/>
      <c r="AA489" s="1"/>
      <c r="AB489" s="1" t="s">
        <v>4473</v>
      </c>
      <c r="AC489" s="1"/>
      <c r="AD489" s="1"/>
      <c r="AE489" s="1" t="s">
        <v>4452</v>
      </c>
      <c r="AF489" s="1"/>
      <c r="AG489" s="1"/>
      <c r="AH489" s="1" t="s">
        <v>4474</v>
      </c>
      <c r="AI489" s="1"/>
      <c r="AJ489" s="1" t="s">
        <v>4454</v>
      </c>
      <c r="AK489" s="1" t="s">
        <v>3223</v>
      </c>
      <c r="AL489" s="1" t="s">
        <v>4455</v>
      </c>
      <c r="AM489" s="1" t="s">
        <v>3222</v>
      </c>
      <c r="AN489" s="1" t="s">
        <v>3223</v>
      </c>
      <c r="AO489" s="1" t="s">
        <v>3224</v>
      </c>
      <c r="AP489" s="2" t="s">
        <v>4475</v>
      </c>
      <c r="AQ489" s="2" t="s">
        <v>1153</v>
      </c>
      <c r="AR489" s="1" t="s">
        <v>286</v>
      </c>
      <c r="AS489" s="1"/>
      <c r="AT489" s="1" t="s">
        <v>5</v>
      </c>
    </row>
    <row r="490" spans="1:46" hidden="1" x14ac:dyDescent="0.4">
      <c r="A490" s="1" t="s">
        <v>4464</v>
      </c>
      <c r="B490" s="10"/>
      <c r="C490" s="1" t="s">
        <v>0</v>
      </c>
      <c r="D490" s="1" t="s">
        <v>2211</v>
      </c>
      <c r="E490" s="1" t="s">
        <v>2078</v>
      </c>
      <c r="F490" s="1" t="s">
        <v>14</v>
      </c>
      <c r="G490" s="1" t="s">
        <v>1</v>
      </c>
      <c r="H490" s="1" t="s">
        <v>6</v>
      </c>
      <c r="I490" s="1" t="s">
        <v>2</v>
      </c>
      <c r="J490" s="1" t="s">
        <v>3</v>
      </c>
      <c r="K490" s="1" t="s">
        <v>4465</v>
      </c>
      <c r="L490" s="1" t="s">
        <v>7</v>
      </c>
      <c r="M490" s="1" t="s">
        <v>9</v>
      </c>
      <c r="N490" s="1" t="s">
        <v>4466</v>
      </c>
      <c r="O490" s="1" t="s">
        <v>4448</v>
      </c>
      <c r="P490" s="1"/>
      <c r="Q490" s="1"/>
      <c r="R490" s="1" t="s">
        <v>11</v>
      </c>
      <c r="S490" s="1"/>
      <c r="T490" s="1"/>
      <c r="U490" s="1"/>
      <c r="V490" s="1"/>
      <c r="W490" s="1" t="s">
        <v>4460</v>
      </c>
      <c r="X490" s="1" t="s">
        <v>4450</v>
      </c>
      <c r="Y490" s="1"/>
      <c r="Z490" s="1"/>
      <c r="AA490" s="1"/>
      <c r="AB490" s="1" t="s">
        <v>4467</v>
      </c>
      <c r="AC490" s="1"/>
      <c r="AD490" s="1"/>
      <c r="AE490" s="1" t="s">
        <v>4452</v>
      </c>
      <c r="AF490" s="1"/>
      <c r="AG490" s="1"/>
      <c r="AH490" s="1" t="s">
        <v>4468</v>
      </c>
      <c r="AI490" s="1"/>
      <c r="AJ490" s="1" t="s">
        <v>4454</v>
      </c>
      <c r="AK490" s="1" t="s">
        <v>3223</v>
      </c>
      <c r="AL490" s="1" t="s">
        <v>4455</v>
      </c>
      <c r="AM490" s="1" t="s">
        <v>3222</v>
      </c>
      <c r="AN490" s="1" t="s">
        <v>3223</v>
      </c>
      <c r="AO490" s="1" t="s">
        <v>3224</v>
      </c>
      <c r="AP490" s="2" t="s">
        <v>4469</v>
      </c>
      <c r="AQ490" s="2" t="s">
        <v>1153</v>
      </c>
      <c r="AR490" s="1" t="s">
        <v>286</v>
      </c>
      <c r="AS490" s="1"/>
      <c r="AT490" s="1" t="s">
        <v>5</v>
      </c>
    </row>
    <row r="491" spans="1:46" hidden="1" x14ac:dyDescent="0.4">
      <c r="A491" s="1" t="s">
        <v>4445</v>
      </c>
      <c r="B491" s="10"/>
      <c r="C491" s="1" t="s">
        <v>0</v>
      </c>
      <c r="D491" s="1" t="s">
        <v>2211</v>
      </c>
      <c r="E491" s="1" t="s">
        <v>2078</v>
      </c>
      <c r="F491" s="1" t="s">
        <v>14</v>
      </c>
      <c r="G491" s="1" t="s">
        <v>1</v>
      </c>
      <c r="H491" s="1" t="s">
        <v>6</v>
      </c>
      <c r="I491" s="1" t="s">
        <v>2</v>
      </c>
      <c r="J491" s="1" t="s">
        <v>3</v>
      </c>
      <c r="K491" s="1" t="s">
        <v>4446</v>
      </c>
      <c r="L491" s="1" t="s">
        <v>7</v>
      </c>
      <c r="M491" s="1" t="s">
        <v>9</v>
      </c>
      <c r="N491" s="1" t="s">
        <v>4447</v>
      </c>
      <c r="O491" s="1" t="s">
        <v>4448</v>
      </c>
      <c r="P491" s="1"/>
      <c r="Q491" s="1"/>
      <c r="R491" s="1" t="s">
        <v>11</v>
      </c>
      <c r="S491" s="1"/>
      <c r="T491" s="1"/>
      <c r="U491" s="1"/>
      <c r="V491" s="1"/>
      <c r="W491" s="1" t="s">
        <v>4449</v>
      </c>
      <c r="X491" s="1" t="s">
        <v>4450</v>
      </c>
      <c r="Y491" s="1"/>
      <c r="Z491" s="1"/>
      <c r="AA491" s="1"/>
      <c r="AB491" s="1" t="s">
        <v>4451</v>
      </c>
      <c r="AC491" s="1"/>
      <c r="AD491" s="1"/>
      <c r="AE491" s="1" t="s">
        <v>4452</v>
      </c>
      <c r="AF491" s="1"/>
      <c r="AG491" s="1"/>
      <c r="AH491" s="1" t="s">
        <v>4453</v>
      </c>
      <c r="AI491" s="1"/>
      <c r="AJ491" s="1" t="s">
        <v>4454</v>
      </c>
      <c r="AK491" s="1" t="s">
        <v>3223</v>
      </c>
      <c r="AL491" s="1" t="s">
        <v>4455</v>
      </c>
      <c r="AM491" s="1" t="s">
        <v>3222</v>
      </c>
      <c r="AN491" s="1" t="s">
        <v>3223</v>
      </c>
      <c r="AO491" s="1" t="s">
        <v>3224</v>
      </c>
      <c r="AP491" s="2" t="s">
        <v>4456</v>
      </c>
      <c r="AQ491" s="2" t="s">
        <v>1153</v>
      </c>
      <c r="AR491" s="1" t="s">
        <v>286</v>
      </c>
      <c r="AS491" s="1"/>
      <c r="AT491" s="1" t="s">
        <v>5</v>
      </c>
    </row>
    <row r="492" spans="1:46" hidden="1" x14ac:dyDescent="0.4">
      <c r="A492" s="1" t="s">
        <v>4457</v>
      </c>
      <c r="B492" s="10"/>
      <c r="C492" s="1" t="s">
        <v>0</v>
      </c>
      <c r="D492" s="1" t="s">
        <v>2211</v>
      </c>
      <c r="E492" s="1" t="s">
        <v>2078</v>
      </c>
      <c r="F492" s="1" t="s">
        <v>14</v>
      </c>
      <c r="G492" s="1" t="s">
        <v>1</v>
      </c>
      <c r="H492" s="1" t="s">
        <v>6</v>
      </c>
      <c r="I492" s="1" t="s">
        <v>2</v>
      </c>
      <c r="J492" s="1" t="s">
        <v>3</v>
      </c>
      <c r="K492" s="1" t="s">
        <v>4458</v>
      </c>
      <c r="L492" s="1" t="s">
        <v>7</v>
      </c>
      <c r="M492" s="1" t="s">
        <v>9</v>
      </c>
      <c r="N492" s="1" t="s">
        <v>4459</v>
      </c>
      <c r="O492" s="1" t="s">
        <v>4448</v>
      </c>
      <c r="P492" s="1"/>
      <c r="Q492" s="1"/>
      <c r="R492" s="1" t="s">
        <v>11</v>
      </c>
      <c r="S492" s="1"/>
      <c r="T492" s="1"/>
      <c r="U492" s="1"/>
      <c r="V492" s="1"/>
      <c r="W492" s="1" t="s">
        <v>4460</v>
      </c>
      <c r="X492" s="1" t="s">
        <v>4450</v>
      </c>
      <c r="Y492" s="1"/>
      <c r="Z492" s="1"/>
      <c r="AA492" s="1"/>
      <c r="AB492" s="1" t="s">
        <v>4461</v>
      </c>
      <c r="AC492" s="1"/>
      <c r="AD492" s="1"/>
      <c r="AE492" s="1" t="s">
        <v>4452</v>
      </c>
      <c r="AF492" s="1"/>
      <c r="AG492" s="1"/>
      <c r="AH492" s="1" t="s">
        <v>4462</v>
      </c>
      <c r="AI492" s="1"/>
      <c r="AJ492" s="1" t="s">
        <v>4454</v>
      </c>
      <c r="AK492" s="1" t="s">
        <v>3223</v>
      </c>
      <c r="AL492" s="1" t="s">
        <v>4455</v>
      </c>
      <c r="AM492" s="1" t="s">
        <v>3222</v>
      </c>
      <c r="AN492" s="1" t="s">
        <v>3223</v>
      </c>
      <c r="AO492" s="1" t="s">
        <v>3224</v>
      </c>
      <c r="AP492" s="2" t="s">
        <v>4463</v>
      </c>
      <c r="AQ492" s="2" t="s">
        <v>1153</v>
      </c>
      <c r="AR492" s="1" t="s">
        <v>286</v>
      </c>
      <c r="AS492" s="1"/>
      <c r="AT492" s="1" t="s">
        <v>5</v>
      </c>
    </row>
    <row r="493" spans="1:46" hidden="1" x14ac:dyDescent="0.4">
      <c r="A493" s="1" t="s">
        <v>8738</v>
      </c>
      <c r="B493" s="10"/>
      <c r="C493" s="1" t="s">
        <v>2675</v>
      </c>
      <c r="D493" s="1" t="s">
        <v>2220</v>
      </c>
      <c r="E493" s="1" t="s">
        <v>2078</v>
      </c>
      <c r="F493" s="1" t="s">
        <v>14</v>
      </c>
      <c r="G493" s="1" t="s">
        <v>1</v>
      </c>
      <c r="H493" s="1" t="s">
        <v>6</v>
      </c>
      <c r="I493" s="1" t="s">
        <v>2</v>
      </c>
      <c r="J493" s="1" t="s">
        <v>2450</v>
      </c>
      <c r="K493" s="1" t="s">
        <v>8739</v>
      </c>
      <c r="L493" s="1" t="s">
        <v>4</v>
      </c>
      <c r="M493" s="1" t="s">
        <v>9</v>
      </c>
      <c r="N493" s="1" t="s">
        <v>8740</v>
      </c>
      <c r="O493" s="1" t="s">
        <v>8741</v>
      </c>
      <c r="P493" s="1"/>
      <c r="Q493" s="1"/>
      <c r="R493" s="1" t="s">
        <v>11</v>
      </c>
      <c r="S493" s="1"/>
      <c r="T493" s="1"/>
      <c r="U493" s="1"/>
      <c r="V493" s="1"/>
      <c r="W493" s="1"/>
      <c r="X493" s="1" t="s">
        <v>8742</v>
      </c>
      <c r="Y493" s="1"/>
      <c r="Z493" s="1"/>
      <c r="AA493" s="1"/>
      <c r="AB493" s="1" t="s">
        <v>8743</v>
      </c>
      <c r="AC493" s="1"/>
      <c r="AD493" s="1"/>
      <c r="AE493" s="1" t="s">
        <v>8744</v>
      </c>
      <c r="AF493" s="1"/>
      <c r="AG493" s="1"/>
      <c r="AH493" s="1" t="s">
        <v>8745</v>
      </c>
      <c r="AI493" s="1"/>
      <c r="AJ493" s="1" t="s">
        <v>8238</v>
      </c>
      <c r="AK493" s="1" t="s">
        <v>8239</v>
      </c>
      <c r="AL493" s="1" t="s">
        <v>8240</v>
      </c>
      <c r="AM493" s="1" t="s">
        <v>8238</v>
      </c>
      <c r="AN493" s="1" t="s">
        <v>8239</v>
      </c>
      <c r="AO493" s="1" t="s">
        <v>8240</v>
      </c>
      <c r="AP493" s="2" t="s">
        <v>8746</v>
      </c>
      <c r="AQ493" s="2" t="s">
        <v>1154</v>
      </c>
      <c r="AR493" s="1" t="s">
        <v>286</v>
      </c>
      <c r="AS493" s="1" t="s">
        <v>8747</v>
      </c>
      <c r="AT493" s="1" t="s">
        <v>5</v>
      </c>
    </row>
    <row r="494" spans="1:46" hidden="1" x14ac:dyDescent="0.4">
      <c r="A494" s="1" t="s">
        <v>8852</v>
      </c>
      <c r="B494" s="10"/>
      <c r="C494" s="1" t="s">
        <v>2675</v>
      </c>
      <c r="D494" s="1" t="s">
        <v>2220</v>
      </c>
      <c r="E494" s="1" t="s">
        <v>2078</v>
      </c>
      <c r="F494" s="1" t="s">
        <v>14</v>
      </c>
      <c r="G494" s="1" t="s">
        <v>1</v>
      </c>
      <c r="H494" s="1" t="s">
        <v>6</v>
      </c>
      <c r="I494" s="1" t="s">
        <v>2</v>
      </c>
      <c r="J494" s="1" t="s">
        <v>2450</v>
      </c>
      <c r="K494" s="1" t="s">
        <v>8853</v>
      </c>
      <c r="L494" s="1" t="s">
        <v>4</v>
      </c>
      <c r="M494" s="1" t="s">
        <v>9</v>
      </c>
      <c r="N494" s="1" t="s">
        <v>8854</v>
      </c>
      <c r="O494" s="1" t="s">
        <v>8741</v>
      </c>
      <c r="P494" s="1"/>
      <c r="Q494" s="1"/>
      <c r="R494" s="1" t="s">
        <v>11</v>
      </c>
      <c r="S494" s="1"/>
      <c r="T494" s="1"/>
      <c r="U494" s="1"/>
      <c r="V494" s="1"/>
      <c r="W494" s="1"/>
      <c r="X494" s="1" t="s">
        <v>8742</v>
      </c>
      <c r="Y494" s="1"/>
      <c r="Z494" s="1"/>
      <c r="AA494" s="1"/>
      <c r="AB494" s="1" t="s">
        <v>8855</v>
      </c>
      <c r="AC494" s="1"/>
      <c r="AD494" s="1"/>
      <c r="AE494" s="1" t="s">
        <v>8744</v>
      </c>
      <c r="AF494" s="1"/>
      <c r="AG494" s="1"/>
      <c r="AH494" s="1" t="s">
        <v>8856</v>
      </c>
      <c r="AI494" s="1"/>
      <c r="AJ494" s="1" t="s">
        <v>8238</v>
      </c>
      <c r="AK494" s="1" t="s">
        <v>8239</v>
      </c>
      <c r="AL494" s="1" t="s">
        <v>8240</v>
      </c>
      <c r="AM494" s="1" t="s">
        <v>8238</v>
      </c>
      <c r="AN494" s="1" t="s">
        <v>8239</v>
      </c>
      <c r="AO494" s="1" t="s">
        <v>8240</v>
      </c>
      <c r="AP494" s="2" t="s">
        <v>8857</v>
      </c>
      <c r="AQ494" s="2" t="s">
        <v>1154</v>
      </c>
      <c r="AR494" s="1" t="s">
        <v>286</v>
      </c>
      <c r="AS494" s="1" t="s">
        <v>8858</v>
      </c>
      <c r="AT494" s="1" t="s">
        <v>5</v>
      </c>
    </row>
    <row r="495" spans="1:46" hidden="1" x14ac:dyDescent="0.4">
      <c r="A495" s="1" t="s">
        <v>4063</v>
      </c>
      <c r="B495" s="10"/>
      <c r="C495" s="1" t="s">
        <v>0</v>
      </c>
      <c r="D495" s="1" t="s">
        <v>2211</v>
      </c>
      <c r="E495" s="1" t="s">
        <v>2078</v>
      </c>
      <c r="F495" s="1" t="s">
        <v>14</v>
      </c>
      <c r="G495" s="1" t="s">
        <v>1</v>
      </c>
      <c r="H495" s="1" t="s">
        <v>6</v>
      </c>
      <c r="I495" s="1" t="s">
        <v>2</v>
      </c>
      <c r="J495" s="1" t="s">
        <v>3</v>
      </c>
      <c r="K495" s="1" t="s">
        <v>4064</v>
      </c>
      <c r="L495" s="1" t="s">
        <v>4</v>
      </c>
      <c r="M495" s="1" t="s">
        <v>9</v>
      </c>
      <c r="N495" s="1" t="s">
        <v>2567</v>
      </c>
      <c r="O495" s="1" t="s">
        <v>2295</v>
      </c>
      <c r="P495" s="1" t="s">
        <v>4065</v>
      </c>
      <c r="Q495" s="1"/>
      <c r="R495" s="1" t="s">
        <v>11</v>
      </c>
      <c r="S495" s="1"/>
      <c r="T495" s="1"/>
      <c r="U495" s="1"/>
      <c r="V495" s="1"/>
      <c r="W495" s="1" t="s">
        <v>4066</v>
      </c>
      <c r="X495" s="1" t="s">
        <v>4067</v>
      </c>
      <c r="Y495" s="1"/>
      <c r="Z495" s="1"/>
      <c r="AA495" s="1"/>
      <c r="AB495" s="1" t="s">
        <v>4068</v>
      </c>
      <c r="AC495" s="1"/>
      <c r="AD495" s="1"/>
      <c r="AE495" s="1" t="s">
        <v>2298</v>
      </c>
      <c r="AF495" s="1"/>
      <c r="AG495" s="1"/>
      <c r="AH495" s="1" t="s">
        <v>4069</v>
      </c>
      <c r="AI495" s="1"/>
      <c r="AJ495" s="1" t="s">
        <v>127</v>
      </c>
      <c r="AK495" s="1" t="s">
        <v>2407</v>
      </c>
      <c r="AL495" s="1" t="s">
        <v>4070</v>
      </c>
      <c r="AM495" s="1" t="s">
        <v>4071</v>
      </c>
      <c r="AN495" s="1" t="s">
        <v>2407</v>
      </c>
      <c r="AO495" s="1" t="s">
        <v>4072</v>
      </c>
      <c r="AP495" s="2" t="s">
        <v>4073</v>
      </c>
      <c r="AQ495" s="2" t="s">
        <v>1153</v>
      </c>
      <c r="AR495" s="1" t="s">
        <v>286</v>
      </c>
      <c r="AS495" s="1"/>
      <c r="AT495" s="1" t="s">
        <v>5</v>
      </c>
    </row>
    <row r="496" spans="1:46" hidden="1" x14ac:dyDescent="0.4">
      <c r="A496" s="1" t="s">
        <v>8030</v>
      </c>
      <c r="B496" s="10"/>
      <c r="C496" s="1" t="s">
        <v>93</v>
      </c>
      <c r="D496" s="1" t="s">
        <v>2290</v>
      </c>
      <c r="E496" s="1" t="s">
        <v>2291</v>
      </c>
      <c r="F496" s="1" t="s">
        <v>14</v>
      </c>
      <c r="G496" s="1" t="s">
        <v>1</v>
      </c>
      <c r="H496" s="1" t="s">
        <v>6</v>
      </c>
      <c r="I496" s="1" t="s">
        <v>2</v>
      </c>
      <c r="J496" s="1" t="s">
        <v>3</v>
      </c>
      <c r="K496" s="1" t="s">
        <v>8031</v>
      </c>
      <c r="L496" s="1" t="s">
        <v>7</v>
      </c>
      <c r="M496" s="1"/>
      <c r="N496" s="1" t="s">
        <v>8032</v>
      </c>
      <c r="O496" s="1" t="s">
        <v>3756</v>
      </c>
      <c r="P496" s="1"/>
      <c r="Q496" s="1"/>
      <c r="R496" s="1" t="s">
        <v>11</v>
      </c>
      <c r="S496" s="1"/>
      <c r="T496" s="1"/>
      <c r="U496" s="1"/>
      <c r="V496" s="1"/>
      <c r="W496" s="1" t="s">
        <v>6385</v>
      </c>
      <c r="X496" s="1"/>
      <c r="Y496" s="1"/>
      <c r="Z496" s="1"/>
      <c r="AA496" s="1"/>
      <c r="AB496" s="1" t="s">
        <v>8033</v>
      </c>
      <c r="AC496" s="1"/>
      <c r="AD496" s="1"/>
      <c r="AE496" s="1" t="s">
        <v>8034</v>
      </c>
      <c r="AF496" s="1"/>
      <c r="AG496" s="1"/>
      <c r="AH496" s="1" t="s">
        <v>8035</v>
      </c>
      <c r="AI496" s="1"/>
      <c r="AJ496" s="1" t="s">
        <v>5935</v>
      </c>
      <c r="AK496" s="1" t="s">
        <v>1787</v>
      </c>
      <c r="AL496" s="1" t="s">
        <v>5936</v>
      </c>
      <c r="AM496" s="1" t="s">
        <v>5935</v>
      </c>
      <c r="AN496" s="1" t="s">
        <v>1787</v>
      </c>
      <c r="AO496" s="1" t="s">
        <v>5936</v>
      </c>
      <c r="AP496" s="2" t="s">
        <v>8036</v>
      </c>
      <c r="AQ496" s="2" t="s">
        <v>1154</v>
      </c>
      <c r="AR496" s="1" t="s">
        <v>286</v>
      </c>
      <c r="AS496" s="1" t="s">
        <v>8037</v>
      </c>
      <c r="AT496" s="1" t="s">
        <v>5</v>
      </c>
    </row>
    <row r="497" spans="1:46" hidden="1" x14ac:dyDescent="0.4">
      <c r="A497" s="1" t="s">
        <v>4418</v>
      </c>
      <c r="B497" s="10"/>
      <c r="C497" s="1" t="s">
        <v>93</v>
      </c>
      <c r="D497" s="1" t="s">
        <v>2211</v>
      </c>
      <c r="E497" s="1" t="s">
        <v>2078</v>
      </c>
      <c r="F497" s="1" t="s">
        <v>14</v>
      </c>
      <c r="G497" s="1" t="s">
        <v>1</v>
      </c>
      <c r="H497" s="1" t="s">
        <v>6</v>
      </c>
      <c r="I497" s="1" t="s">
        <v>2</v>
      </c>
      <c r="J497" s="1" t="s">
        <v>3</v>
      </c>
      <c r="K497" s="1" t="s">
        <v>4419</v>
      </c>
      <c r="L497" s="1" t="s">
        <v>7</v>
      </c>
      <c r="M497" s="1"/>
      <c r="N497" s="1" t="s">
        <v>4420</v>
      </c>
      <c r="O497" s="1" t="s">
        <v>4421</v>
      </c>
      <c r="P497" s="1"/>
      <c r="Q497" s="1"/>
      <c r="R497" s="1" t="s">
        <v>11</v>
      </c>
      <c r="S497" s="1"/>
      <c r="T497" s="1"/>
      <c r="U497" s="1"/>
      <c r="V497" s="1"/>
      <c r="W497" s="1"/>
      <c r="X497" s="1" t="s">
        <v>4422</v>
      </c>
      <c r="Y497" s="1"/>
      <c r="Z497" s="1"/>
      <c r="AA497" s="1"/>
      <c r="AB497" s="1" t="s">
        <v>4423</v>
      </c>
      <c r="AC497" s="1"/>
      <c r="AD497" s="1"/>
      <c r="AE497" s="1" t="s">
        <v>4424</v>
      </c>
      <c r="AF497" s="1"/>
      <c r="AG497" s="1"/>
      <c r="AH497" s="1" t="s">
        <v>4425</v>
      </c>
      <c r="AI497" s="1"/>
      <c r="AJ497" s="1" t="s">
        <v>4426</v>
      </c>
      <c r="AK497" s="1" t="s">
        <v>4427</v>
      </c>
      <c r="AL497" s="1" t="s">
        <v>4428</v>
      </c>
      <c r="AM497" s="1" t="s">
        <v>4429</v>
      </c>
      <c r="AN497" s="1" t="s">
        <v>4427</v>
      </c>
      <c r="AO497" s="1" t="s">
        <v>4430</v>
      </c>
      <c r="AP497" s="2" t="s">
        <v>4431</v>
      </c>
      <c r="AQ497" s="2" t="s">
        <v>1153</v>
      </c>
      <c r="AR497" s="1" t="s">
        <v>286</v>
      </c>
      <c r="AS497" s="1" t="s">
        <v>4432</v>
      </c>
      <c r="AT497" s="1" t="s">
        <v>5</v>
      </c>
    </row>
    <row r="498" spans="1:46" hidden="1" x14ac:dyDescent="0.4">
      <c r="A498" s="1" t="s">
        <v>10889</v>
      </c>
      <c r="B498" s="10"/>
      <c r="C498" s="1" t="s">
        <v>0</v>
      </c>
      <c r="D498" s="1" t="s">
        <v>2396</v>
      </c>
      <c r="E498" s="1" t="s">
        <v>2078</v>
      </c>
      <c r="F498" s="1" t="s">
        <v>14</v>
      </c>
      <c r="G498" s="1" t="s">
        <v>1</v>
      </c>
      <c r="H498" s="1" t="s">
        <v>6</v>
      </c>
      <c r="I498" s="1" t="s">
        <v>2</v>
      </c>
      <c r="J498" s="1" t="s">
        <v>3</v>
      </c>
      <c r="K498" s="1" t="s">
        <v>10890</v>
      </c>
      <c r="L498" s="1" t="s">
        <v>4</v>
      </c>
      <c r="M498" s="1" t="s">
        <v>9</v>
      </c>
      <c r="N498" s="1" t="s">
        <v>10891</v>
      </c>
      <c r="O498" s="1" t="s">
        <v>6762</v>
      </c>
      <c r="P498" s="1"/>
      <c r="Q498" s="1"/>
      <c r="R498" s="1" t="s">
        <v>11</v>
      </c>
      <c r="S498" s="1"/>
      <c r="T498" s="1"/>
      <c r="U498" s="1"/>
      <c r="V498" s="1"/>
      <c r="W498" s="1" t="s">
        <v>10892</v>
      </c>
      <c r="X498" s="1"/>
      <c r="Y498" s="1"/>
      <c r="Z498" s="1"/>
      <c r="AA498" s="1"/>
      <c r="AB498" s="1" t="s">
        <v>10893</v>
      </c>
      <c r="AC498" s="1"/>
      <c r="AD498" s="1"/>
      <c r="AE498" s="1" t="s">
        <v>10894</v>
      </c>
      <c r="AF498" s="1"/>
      <c r="AG498" s="1"/>
      <c r="AH498" s="1" t="s">
        <v>10895</v>
      </c>
      <c r="AI498" s="1"/>
      <c r="AJ498" s="1" t="s">
        <v>228</v>
      </c>
      <c r="AK498" s="1" t="s">
        <v>281</v>
      </c>
      <c r="AL498" s="1" t="s">
        <v>229</v>
      </c>
      <c r="AM498" s="1" t="s">
        <v>142</v>
      </c>
      <c r="AN498" s="1" t="s">
        <v>281</v>
      </c>
      <c r="AO498" s="1" t="s">
        <v>143</v>
      </c>
      <c r="AP498" s="2" t="s">
        <v>10896</v>
      </c>
      <c r="AQ498" s="2" t="s">
        <v>1155</v>
      </c>
      <c r="AR498" s="1" t="s">
        <v>286</v>
      </c>
      <c r="AS498" s="1" t="s">
        <v>1017</v>
      </c>
      <c r="AT498" s="1" t="s">
        <v>5</v>
      </c>
    </row>
    <row r="499" spans="1:46" hidden="1" x14ac:dyDescent="0.4">
      <c r="A499" s="1" t="s">
        <v>4355</v>
      </c>
      <c r="B499" s="10"/>
      <c r="C499" s="1" t="s">
        <v>0</v>
      </c>
      <c r="D499" s="1" t="s">
        <v>2076</v>
      </c>
      <c r="E499" s="1" t="s">
        <v>2078</v>
      </c>
      <c r="F499" s="1" t="s">
        <v>14</v>
      </c>
      <c r="G499" s="1" t="s">
        <v>1</v>
      </c>
      <c r="H499" s="1" t="s">
        <v>6</v>
      </c>
      <c r="I499" s="1" t="s">
        <v>2</v>
      </c>
      <c r="J499" s="1" t="s">
        <v>3</v>
      </c>
      <c r="K499" s="1" t="s">
        <v>4356</v>
      </c>
      <c r="L499" s="1" t="s">
        <v>4</v>
      </c>
      <c r="M499" s="1" t="s">
        <v>9</v>
      </c>
      <c r="N499" s="1" t="s">
        <v>4357</v>
      </c>
      <c r="O499" s="1" t="s">
        <v>4358</v>
      </c>
      <c r="P499" s="1"/>
      <c r="Q499" s="1"/>
      <c r="R499" s="1" t="s">
        <v>11</v>
      </c>
      <c r="S499" s="1"/>
      <c r="T499" s="1"/>
      <c r="U499" s="1"/>
      <c r="V499" s="1"/>
      <c r="W499" s="1" t="s">
        <v>4359</v>
      </c>
      <c r="X499" s="1" t="s">
        <v>4360</v>
      </c>
      <c r="Y499" s="1"/>
      <c r="Z499" s="1"/>
      <c r="AA499" s="1"/>
      <c r="AB499" s="1" t="s">
        <v>4361</v>
      </c>
      <c r="AC499" s="1"/>
      <c r="AD499" s="1"/>
      <c r="AE499" s="1" t="s">
        <v>4362</v>
      </c>
      <c r="AF499" s="1"/>
      <c r="AG499" s="1"/>
      <c r="AH499" s="1" t="s">
        <v>4363</v>
      </c>
      <c r="AI499" s="1"/>
      <c r="AJ499" s="1" t="s">
        <v>3804</v>
      </c>
      <c r="AK499" s="1" t="s">
        <v>3805</v>
      </c>
      <c r="AL499" s="1"/>
      <c r="AM499" s="1" t="s">
        <v>3804</v>
      </c>
      <c r="AN499" s="1" t="s">
        <v>3805</v>
      </c>
      <c r="AO499" s="1"/>
      <c r="AP499" s="2" t="s">
        <v>4364</v>
      </c>
      <c r="AQ499" s="2" t="s">
        <v>1153</v>
      </c>
      <c r="AR499" s="1" t="s">
        <v>286</v>
      </c>
      <c r="AS499" s="1"/>
      <c r="AT499" s="1" t="s">
        <v>5</v>
      </c>
    </row>
    <row r="500" spans="1:46" hidden="1" x14ac:dyDescent="0.4">
      <c r="A500" s="1" t="s">
        <v>5134</v>
      </c>
      <c r="B500" s="10"/>
      <c r="C500" s="1" t="s">
        <v>4980</v>
      </c>
      <c r="D500" s="1" t="s">
        <v>2157</v>
      </c>
      <c r="E500" s="1" t="s">
        <v>2078</v>
      </c>
      <c r="F500" s="1" t="s">
        <v>14</v>
      </c>
      <c r="G500" s="1" t="s">
        <v>1</v>
      </c>
      <c r="H500" s="1" t="s">
        <v>6</v>
      </c>
      <c r="I500" s="1" t="s">
        <v>2</v>
      </c>
      <c r="J500" s="1" t="s">
        <v>4519</v>
      </c>
      <c r="K500" s="1" t="s">
        <v>5135</v>
      </c>
      <c r="L500" s="1" t="s">
        <v>7</v>
      </c>
      <c r="M500" s="1"/>
      <c r="N500" s="1" t="s">
        <v>5136</v>
      </c>
      <c r="O500" s="1" t="s">
        <v>4983</v>
      </c>
      <c r="P500" s="1"/>
      <c r="Q500" s="1"/>
      <c r="R500" s="1" t="s">
        <v>11</v>
      </c>
      <c r="S500" s="1"/>
      <c r="T500" s="1"/>
      <c r="U500" s="1"/>
      <c r="V500" s="1"/>
      <c r="W500" s="1"/>
      <c r="X500" s="1" t="s">
        <v>5137</v>
      </c>
      <c r="Y500" s="1"/>
      <c r="Z500" s="1"/>
      <c r="AA500" s="1"/>
      <c r="AB500" s="1" t="s">
        <v>5138</v>
      </c>
      <c r="AC500" s="1"/>
      <c r="AD500" s="1"/>
      <c r="AE500" s="1" t="s">
        <v>4986</v>
      </c>
      <c r="AF500" s="1"/>
      <c r="AG500" s="1"/>
      <c r="AH500" s="1" t="s">
        <v>5139</v>
      </c>
      <c r="AI500" s="1"/>
      <c r="AJ500" s="1" t="s">
        <v>5140</v>
      </c>
      <c r="AK500" s="1" t="s">
        <v>3521</v>
      </c>
      <c r="AL500" s="1" t="s">
        <v>5141</v>
      </c>
      <c r="AM500" s="1" t="s">
        <v>5140</v>
      </c>
      <c r="AN500" s="1" t="s">
        <v>3521</v>
      </c>
      <c r="AO500" s="1" t="s">
        <v>5141</v>
      </c>
      <c r="AP500" s="2" t="s">
        <v>5142</v>
      </c>
      <c r="AQ500" s="2" t="s">
        <v>1153</v>
      </c>
      <c r="AR500" s="1" t="s">
        <v>286</v>
      </c>
      <c r="AS500" s="1"/>
      <c r="AT500" s="1" t="s">
        <v>5</v>
      </c>
    </row>
    <row r="501" spans="1:46" hidden="1" x14ac:dyDescent="0.4">
      <c r="A501" s="1" t="s">
        <v>8993</v>
      </c>
      <c r="B501" s="10"/>
      <c r="C501" s="1" t="s">
        <v>2675</v>
      </c>
      <c r="D501" s="1" t="s">
        <v>2157</v>
      </c>
      <c r="E501" s="1" t="s">
        <v>2078</v>
      </c>
      <c r="F501" s="1" t="s">
        <v>14</v>
      </c>
      <c r="G501" s="1" t="s">
        <v>1</v>
      </c>
      <c r="H501" s="1" t="s">
        <v>6</v>
      </c>
      <c r="I501" s="1" t="s">
        <v>2</v>
      </c>
      <c r="J501" s="1" t="s">
        <v>2450</v>
      </c>
      <c r="K501" s="1" t="s">
        <v>8994</v>
      </c>
      <c r="L501" s="1" t="s">
        <v>4</v>
      </c>
      <c r="M501" s="1"/>
      <c r="N501" s="1" t="s">
        <v>8995</v>
      </c>
      <c r="O501" s="1" t="s">
        <v>8996</v>
      </c>
      <c r="P501" s="1"/>
      <c r="Q501" s="1"/>
      <c r="R501" s="1" t="s">
        <v>11</v>
      </c>
      <c r="S501" s="1"/>
      <c r="T501" s="1"/>
      <c r="U501" s="1"/>
      <c r="V501" s="1"/>
      <c r="W501" s="1"/>
      <c r="X501" s="1" t="s">
        <v>8997</v>
      </c>
      <c r="Y501" s="1"/>
      <c r="Z501" s="1"/>
      <c r="AA501" s="1"/>
      <c r="AB501" s="1" t="s">
        <v>8998</v>
      </c>
      <c r="AC501" s="1"/>
      <c r="AD501" s="1"/>
      <c r="AE501" s="1" t="s">
        <v>8999</v>
      </c>
      <c r="AF501" s="1"/>
      <c r="AG501" s="1"/>
      <c r="AH501" s="1" t="s">
        <v>9000</v>
      </c>
      <c r="AI501" s="1"/>
      <c r="AJ501" s="1" t="s">
        <v>8238</v>
      </c>
      <c r="AK501" s="1" t="s">
        <v>8239</v>
      </c>
      <c r="AL501" s="1" t="s">
        <v>8240</v>
      </c>
      <c r="AM501" s="1" t="s">
        <v>8238</v>
      </c>
      <c r="AN501" s="1" t="s">
        <v>8239</v>
      </c>
      <c r="AO501" s="1" t="s">
        <v>8240</v>
      </c>
      <c r="AP501" s="2" t="s">
        <v>9001</v>
      </c>
      <c r="AQ501" s="2" t="s">
        <v>1154</v>
      </c>
      <c r="AR501" s="1" t="s">
        <v>286</v>
      </c>
      <c r="AS501" s="1"/>
      <c r="AT501" s="1" t="s">
        <v>5</v>
      </c>
    </row>
    <row r="502" spans="1:46" hidden="1" x14ac:dyDescent="0.4">
      <c r="A502" s="1" t="s">
        <v>9002</v>
      </c>
      <c r="B502" s="10"/>
      <c r="C502" s="1" t="s">
        <v>2675</v>
      </c>
      <c r="D502" s="1" t="s">
        <v>2157</v>
      </c>
      <c r="E502" s="1" t="s">
        <v>2078</v>
      </c>
      <c r="F502" s="1" t="s">
        <v>14</v>
      </c>
      <c r="G502" s="1" t="s">
        <v>1</v>
      </c>
      <c r="H502" s="1" t="s">
        <v>6</v>
      </c>
      <c r="I502" s="1" t="s">
        <v>2</v>
      </c>
      <c r="J502" s="1" t="s">
        <v>2450</v>
      </c>
      <c r="K502" s="1" t="s">
        <v>9003</v>
      </c>
      <c r="L502" s="1" t="s">
        <v>4</v>
      </c>
      <c r="M502" s="1"/>
      <c r="N502" s="1" t="s">
        <v>9004</v>
      </c>
      <c r="O502" s="1" t="s">
        <v>8996</v>
      </c>
      <c r="P502" s="1"/>
      <c r="Q502" s="1"/>
      <c r="R502" s="1" t="s">
        <v>11</v>
      </c>
      <c r="S502" s="1"/>
      <c r="T502" s="1"/>
      <c r="U502" s="1"/>
      <c r="V502" s="1"/>
      <c r="W502" s="1"/>
      <c r="X502" s="1" t="s">
        <v>8997</v>
      </c>
      <c r="Y502" s="1"/>
      <c r="Z502" s="1"/>
      <c r="AA502" s="1"/>
      <c r="AB502" s="1" t="s">
        <v>9005</v>
      </c>
      <c r="AC502" s="1"/>
      <c r="AD502" s="1"/>
      <c r="AE502" s="1" t="s">
        <v>8999</v>
      </c>
      <c r="AF502" s="1"/>
      <c r="AG502" s="1"/>
      <c r="AH502" s="1" t="s">
        <v>9006</v>
      </c>
      <c r="AI502" s="1"/>
      <c r="AJ502" s="1" t="s">
        <v>8238</v>
      </c>
      <c r="AK502" s="1" t="s">
        <v>8239</v>
      </c>
      <c r="AL502" s="1" t="s">
        <v>8240</v>
      </c>
      <c r="AM502" s="1" t="s">
        <v>8238</v>
      </c>
      <c r="AN502" s="1" t="s">
        <v>8239</v>
      </c>
      <c r="AO502" s="1" t="s">
        <v>8240</v>
      </c>
      <c r="AP502" s="2" t="s">
        <v>9007</v>
      </c>
      <c r="AQ502" s="2" t="s">
        <v>1154</v>
      </c>
      <c r="AR502" s="1" t="s">
        <v>286</v>
      </c>
      <c r="AS502" s="1"/>
      <c r="AT502" s="1" t="s">
        <v>5</v>
      </c>
    </row>
    <row r="503" spans="1:46" hidden="1" x14ac:dyDescent="0.4">
      <c r="A503" s="1" t="s">
        <v>2984</v>
      </c>
      <c r="B503" s="10"/>
      <c r="C503" s="1" t="s">
        <v>0</v>
      </c>
      <c r="D503" s="1" t="s">
        <v>2076</v>
      </c>
      <c r="E503" s="1" t="s">
        <v>2078</v>
      </c>
      <c r="F503" s="1" t="s">
        <v>14</v>
      </c>
      <c r="G503" s="1" t="s">
        <v>1</v>
      </c>
      <c r="H503" s="1" t="s">
        <v>6</v>
      </c>
      <c r="I503" s="1" t="s">
        <v>2</v>
      </c>
      <c r="J503" s="1" t="s">
        <v>3</v>
      </c>
      <c r="K503" s="1" t="s">
        <v>2985</v>
      </c>
      <c r="L503" s="1" t="s">
        <v>7</v>
      </c>
      <c r="M503" s="1" t="s">
        <v>9</v>
      </c>
      <c r="N503" s="1" t="s">
        <v>2986</v>
      </c>
      <c r="O503" s="1" t="s">
        <v>2987</v>
      </c>
      <c r="P503" s="1"/>
      <c r="Q503" s="1"/>
      <c r="R503" s="1" t="s">
        <v>11</v>
      </c>
      <c r="S503" s="1"/>
      <c r="T503" s="1"/>
      <c r="U503" s="1"/>
      <c r="V503" s="1"/>
      <c r="W503" s="1"/>
      <c r="X503" s="1" t="s">
        <v>2988</v>
      </c>
      <c r="Y503" s="1"/>
      <c r="Z503" s="1"/>
      <c r="AA503" s="1"/>
      <c r="AB503" s="1" t="s">
        <v>2989</v>
      </c>
      <c r="AC503" s="1"/>
      <c r="AD503" s="1"/>
      <c r="AE503" s="1"/>
      <c r="AF503" s="1"/>
      <c r="AG503" s="1"/>
      <c r="AH503" s="1" t="s">
        <v>2990</v>
      </c>
      <c r="AI503" s="1"/>
      <c r="AJ503" s="1" t="s">
        <v>2583</v>
      </c>
      <c r="AK503" s="1" t="s">
        <v>2991</v>
      </c>
      <c r="AL503" s="1" t="s">
        <v>2585</v>
      </c>
      <c r="AM503" s="1" t="s">
        <v>2992</v>
      </c>
      <c r="AN503" s="1" t="s">
        <v>2993</v>
      </c>
      <c r="AO503" s="1" t="s">
        <v>2994</v>
      </c>
      <c r="AP503" s="2" t="s">
        <v>2995</v>
      </c>
      <c r="AQ503" s="2" t="s">
        <v>1077</v>
      </c>
      <c r="AR503" s="1"/>
      <c r="AS503" s="1"/>
      <c r="AT503" s="1" t="s">
        <v>5</v>
      </c>
    </row>
    <row r="504" spans="1:46" hidden="1" x14ac:dyDescent="0.4">
      <c r="A504" s="1" t="s">
        <v>8931</v>
      </c>
      <c r="B504" s="10"/>
      <c r="C504" s="1" t="s">
        <v>0</v>
      </c>
      <c r="D504" s="1" t="s">
        <v>2157</v>
      </c>
      <c r="E504" s="1" t="s">
        <v>2078</v>
      </c>
      <c r="F504" s="1" t="s">
        <v>14</v>
      </c>
      <c r="G504" s="1" t="s">
        <v>1</v>
      </c>
      <c r="H504" s="1" t="s">
        <v>6</v>
      </c>
      <c r="I504" s="1" t="s">
        <v>2</v>
      </c>
      <c r="J504" s="1" t="s">
        <v>3</v>
      </c>
      <c r="K504" s="1" t="s">
        <v>8932</v>
      </c>
      <c r="L504" s="1" t="s">
        <v>4</v>
      </c>
      <c r="M504" s="1" t="s">
        <v>9</v>
      </c>
      <c r="N504" s="1" t="s">
        <v>8933</v>
      </c>
      <c r="O504" s="1" t="s">
        <v>8934</v>
      </c>
      <c r="P504" s="1"/>
      <c r="Q504" s="1"/>
      <c r="R504" s="1" t="s">
        <v>11</v>
      </c>
      <c r="S504" s="1"/>
      <c r="T504" s="1"/>
      <c r="U504" s="1"/>
      <c r="V504" s="1"/>
      <c r="W504" s="1" t="s">
        <v>8935</v>
      </c>
      <c r="X504" s="1" t="s">
        <v>8936</v>
      </c>
      <c r="Y504" s="1"/>
      <c r="Z504" s="1"/>
      <c r="AA504" s="1"/>
      <c r="AB504" s="1" t="s">
        <v>8937</v>
      </c>
      <c r="AC504" s="1"/>
      <c r="AD504" s="1"/>
      <c r="AE504" s="1" t="s">
        <v>8938</v>
      </c>
      <c r="AF504" s="1"/>
      <c r="AG504" s="1"/>
      <c r="AH504" s="1" t="s">
        <v>8939</v>
      </c>
      <c r="AI504" s="1"/>
      <c r="AJ504" s="1" t="s">
        <v>2115</v>
      </c>
      <c r="AK504" s="1" t="s">
        <v>4227</v>
      </c>
      <c r="AL504" s="1" t="s">
        <v>7234</v>
      </c>
      <c r="AM504" s="1" t="s">
        <v>8940</v>
      </c>
      <c r="AN504" s="1" t="s">
        <v>4227</v>
      </c>
      <c r="AO504" s="1" t="s">
        <v>8941</v>
      </c>
      <c r="AP504" s="2" t="s">
        <v>8942</v>
      </c>
      <c r="AQ504" s="2" t="s">
        <v>1154</v>
      </c>
      <c r="AR504" s="1" t="s">
        <v>286</v>
      </c>
      <c r="AS504" s="1"/>
      <c r="AT504" s="1" t="s">
        <v>5</v>
      </c>
    </row>
    <row r="505" spans="1:46" hidden="1" x14ac:dyDescent="0.4">
      <c r="A505" s="1" t="s">
        <v>8943</v>
      </c>
      <c r="B505" s="10"/>
      <c r="C505" s="1" t="s">
        <v>0</v>
      </c>
      <c r="D505" s="1" t="s">
        <v>2157</v>
      </c>
      <c r="E505" s="1" t="s">
        <v>2078</v>
      </c>
      <c r="F505" s="1" t="s">
        <v>14</v>
      </c>
      <c r="G505" s="1" t="s">
        <v>1</v>
      </c>
      <c r="H505" s="1" t="s">
        <v>6</v>
      </c>
      <c r="I505" s="1" t="s">
        <v>2</v>
      </c>
      <c r="J505" s="1" t="s">
        <v>3</v>
      </c>
      <c r="K505" s="1" t="s">
        <v>8944</v>
      </c>
      <c r="L505" s="1" t="s">
        <v>4</v>
      </c>
      <c r="M505" s="1" t="s">
        <v>9</v>
      </c>
      <c r="N505" s="1" t="s">
        <v>8945</v>
      </c>
      <c r="O505" s="1" t="s">
        <v>8934</v>
      </c>
      <c r="P505" s="1"/>
      <c r="Q505" s="1"/>
      <c r="R505" s="1" t="s">
        <v>11</v>
      </c>
      <c r="S505" s="1"/>
      <c r="T505" s="1"/>
      <c r="U505" s="1"/>
      <c r="V505" s="1"/>
      <c r="W505" s="1" t="s">
        <v>8946</v>
      </c>
      <c r="X505" s="1" t="s">
        <v>8936</v>
      </c>
      <c r="Y505" s="1"/>
      <c r="Z505" s="1"/>
      <c r="AA505" s="1"/>
      <c r="AB505" s="1" t="s">
        <v>8947</v>
      </c>
      <c r="AC505" s="1"/>
      <c r="AD505" s="1"/>
      <c r="AE505" s="1" t="s">
        <v>8938</v>
      </c>
      <c r="AF505" s="1"/>
      <c r="AG505" s="1"/>
      <c r="AH505" s="1" t="s">
        <v>8948</v>
      </c>
      <c r="AI505" s="1"/>
      <c r="AJ505" s="1" t="s">
        <v>2115</v>
      </c>
      <c r="AK505" s="1" t="s">
        <v>4227</v>
      </c>
      <c r="AL505" s="1" t="s">
        <v>7234</v>
      </c>
      <c r="AM505" s="1" t="s">
        <v>8940</v>
      </c>
      <c r="AN505" s="1" t="s">
        <v>4227</v>
      </c>
      <c r="AO505" s="1" t="s">
        <v>8941</v>
      </c>
      <c r="AP505" s="2" t="s">
        <v>8949</v>
      </c>
      <c r="AQ505" s="2" t="s">
        <v>1154</v>
      </c>
      <c r="AR505" s="1" t="s">
        <v>286</v>
      </c>
      <c r="AS505" s="1"/>
      <c r="AT505" s="1" t="s">
        <v>5</v>
      </c>
    </row>
    <row r="506" spans="1:46" hidden="1" x14ac:dyDescent="0.4">
      <c r="A506" s="1" t="s">
        <v>5781</v>
      </c>
      <c r="B506" s="10"/>
      <c r="C506" s="1" t="s">
        <v>1664</v>
      </c>
      <c r="D506" s="1" t="s">
        <v>2157</v>
      </c>
      <c r="E506" s="1" t="s">
        <v>2078</v>
      </c>
      <c r="F506" s="1" t="s">
        <v>14</v>
      </c>
      <c r="G506" s="1" t="s">
        <v>1</v>
      </c>
      <c r="H506" s="1" t="s">
        <v>6</v>
      </c>
      <c r="I506" s="1" t="s">
        <v>2</v>
      </c>
      <c r="J506" s="1" t="s">
        <v>3</v>
      </c>
      <c r="K506" s="1" t="s">
        <v>5782</v>
      </c>
      <c r="L506" s="1" t="s">
        <v>7</v>
      </c>
      <c r="M506" s="1" t="s">
        <v>9</v>
      </c>
      <c r="N506" s="1" t="s">
        <v>5783</v>
      </c>
      <c r="O506" s="1" t="s">
        <v>4762</v>
      </c>
      <c r="P506" s="1"/>
      <c r="Q506" s="1"/>
      <c r="R506" s="1" t="s">
        <v>11</v>
      </c>
      <c r="S506" s="1"/>
      <c r="T506" s="1"/>
      <c r="U506" s="1"/>
      <c r="V506" s="1"/>
      <c r="W506" s="1"/>
      <c r="X506" s="1" t="s">
        <v>5784</v>
      </c>
      <c r="Y506" s="1"/>
      <c r="Z506" s="1"/>
      <c r="AA506" s="1"/>
      <c r="AB506" s="1" t="s">
        <v>5785</v>
      </c>
      <c r="AC506" s="1"/>
      <c r="AD506" s="1"/>
      <c r="AE506" s="1" t="s">
        <v>4766</v>
      </c>
      <c r="AF506" s="1"/>
      <c r="AG506" s="1"/>
      <c r="AH506" s="1" t="s">
        <v>5786</v>
      </c>
      <c r="AI506" s="1"/>
      <c r="AJ506" s="1" t="s">
        <v>2586</v>
      </c>
      <c r="AK506" s="1" t="s">
        <v>2587</v>
      </c>
      <c r="AL506" s="1" t="s">
        <v>2588</v>
      </c>
      <c r="AM506" s="1" t="s">
        <v>2586</v>
      </c>
      <c r="AN506" s="1" t="s">
        <v>2587</v>
      </c>
      <c r="AO506" s="1" t="s">
        <v>2588</v>
      </c>
      <c r="AP506" s="2" t="s">
        <v>5787</v>
      </c>
      <c r="AQ506" s="2" t="s">
        <v>1077</v>
      </c>
      <c r="AR506" s="1" t="s">
        <v>286</v>
      </c>
      <c r="AS506" s="1"/>
      <c r="AT506" s="1" t="s">
        <v>5</v>
      </c>
    </row>
    <row r="507" spans="1:46" hidden="1" x14ac:dyDescent="0.4">
      <c r="A507" s="1" t="s">
        <v>3456</v>
      </c>
      <c r="B507" s="10"/>
      <c r="C507" s="1" t="s">
        <v>0</v>
      </c>
      <c r="D507" s="1" t="s">
        <v>2157</v>
      </c>
      <c r="E507" s="1" t="s">
        <v>2078</v>
      </c>
      <c r="F507" s="1" t="s">
        <v>14</v>
      </c>
      <c r="G507" s="1" t="s">
        <v>1</v>
      </c>
      <c r="H507" s="1" t="s">
        <v>6</v>
      </c>
      <c r="I507" s="1" t="s">
        <v>2</v>
      </c>
      <c r="J507" s="1" t="s">
        <v>3</v>
      </c>
      <c r="K507" s="1" t="s">
        <v>3457</v>
      </c>
      <c r="L507" s="1" t="s">
        <v>7</v>
      </c>
      <c r="M507" s="1" t="s">
        <v>9</v>
      </c>
      <c r="N507" s="1" t="s">
        <v>3458</v>
      </c>
      <c r="O507" s="1" t="s">
        <v>2238</v>
      </c>
      <c r="P507" s="1"/>
      <c r="Q507" s="1"/>
      <c r="R507" s="1" t="s">
        <v>11</v>
      </c>
      <c r="S507" s="1"/>
      <c r="T507" s="1"/>
      <c r="U507" s="1"/>
      <c r="V507" s="1"/>
      <c r="W507" s="1"/>
      <c r="X507" s="1"/>
      <c r="Y507" s="1"/>
      <c r="Z507" s="1"/>
      <c r="AA507" s="1"/>
      <c r="AB507" s="1" t="s">
        <v>3459</v>
      </c>
      <c r="AC507" s="1"/>
      <c r="AD507" s="1"/>
      <c r="AE507" s="1"/>
      <c r="AF507" s="1"/>
      <c r="AG507" s="1"/>
      <c r="AH507" s="1" t="s">
        <v>3460</v>
      </c>
      <c r="AI507" s="1" t="s">
        <v>3461</v>
      </c>
      <c r="AJ507" s="1" t="s">
        <v>134</v>
      </c>
      <c r="AK507" s="1" t="s">
        <v>252</v>
      </c>
      <c r="AL507" s="1"/>
      <c r="AM507" s="1" t="s">
        <v>257</v>
      </c>
      <c r="AN507" s="1" t="s">
        <v>252</v>
      </c>
      <c r="AO507" s="1" t="s">
        <v>258</v>
      </c>
      <c r="AP507" s="2" t="s">
        <v>3462</v>
      </c>
      <c r="AQ507" s="2" t="s">
        <v>1155</v>
      </c>
      <c r="AR507" s="1"/>
      <c r="AS507" s="1"/>
      <c r="AT507" s="1" t="s">
        <v>5</v>
      </c>
    </row>
    <row r="508" spans="1:46" hidden="1" x14ac:dyDescent="0.4">
      <c r="A508" s="1" t="s">
        <v>4517</v>
      </c>
      <c r="B508" s="10"/>
      <c r="C508" s="1" t="s">
        <v>4518</v>
      </c>
      <c r="D508" s="1" t="s">
        <v>2211</v>
      </c>
      <c r="E508" s="1" t="s">
        <v>2078</v>
      </c>
      <c r="F508" s="1" t="s">
        <v>14</v>
      </c>
      <c r="G508" s="1" t="s">
        <v>1</v>
      </c>
      <c r="H508" s="1" t="s">
        <v>6</v>
      </c>
      <c r="I508" s="1" t="s">
        <v>2</v>
      </c>
      <c r="J508" s="1" t="s">
        <v>4519</v>
      </c>
      <c r="K508" s="1" t="s">
        <v>4520</v>
      </c>
      <c r="L508" s="1" t="s">
        <v>7</v>
      </c>
      <c r="M508" s="1" t="s">
        <v>9</v>
      </c>
      <c r="N508" s="1" t="s">
        <v>4521</v>
      </c>
      <c r="O508" s="1" t="s">
        <v>15</v>
      </c>
      <c r="P508" s="1"/>
      <c r="Q508" s="1"/>
      <c r="R508" s="1" t="s">
        <v>11</v>
      </c>
      <c r="S508" s="1"/>
      <c r="T508" s="1"/>
      <c r="U508" s="1"/>
      <c r="V508" s="1"/>
      <c r="W508" s="1"/>
      <c r="X508" s="1" t="s">
        <v>4522</v>
      </c>
      <c r="Y508" s="1"/>
      <c r="Z508" s="1"/>
      <c r="AA508" s="1"/>
      <c r="AB508" s="1" t="s">
        <v>4523</v>
      </c>
      <c r="AC508" s="1"/>
      <c r="AD508" s="1"/>
      <c r="AE508" s="1" t="s">
        <v>4524</v>
      </c>
      <c r="AF508" s="1"/>
      <c r="AG508" s="1"/>
      <c r="AH508" s="1" t="s">
        <v>4525</v>
      </c>
      <c r="AI508" s="1"/>
      <c r="AJ508" s="1" t="s">
        <v>4526</v>
      </c>
      <c r="AK508" s="1" t="s">
        <v>4527</v>
      </c>
      <c r="AL508" s="1" t="s">
        <v>4528</v>
      </c>
      <c r="AM508" s="1" t="s">
        <v>4529</v>
      </c>
      <c r="AN508" s="1" t="s">
        <v>4527</v>
      </c>
      <c r="AO508" s="1" t="s">
        <v>4530</v>
      </c>
      <c r="AP508" s="2" t="s">
        <v>4531</v>
      </c>
      <c r="AQ508" s="2" t="s">
        <v>1153</v>
      </c>
      <c r="AR508" s="1" t="s">
        <v>286</v>
      </c>
      <c r="AS508" s="1"/>
      <c r="AT508" s="1" t="s">
        <v>5</v>
      </c>
    </row>
    <row r="509" spans="1:46" hidden="1" x14ac:dyDescent="0.4">
      <c r="A509" s="1" t="s">
        <v>3512</v>
      </c>
      <c r="B509" s="10"/>
      <c r="C509" s="1" t="s">
        <v>3513</v>
      </c>
      <c r="D509" s="1" t="s">
        <v>2396</v>
      </c>
      <c r="E509" s="1" t="s">
        <v>2078</v>
      </c>
      <c r="F509" s="1" t="s">
        <v>14</v>
      </c>
      <c r="G509" s="1" t="s">
        <v>1</v>
      </c>
      <c r="H509" s="1" t="s">
        <v>6</v>
      </c>
      <c r="I509" s="1" t="s">
        <v>2</v>
      </c>
      <c r="J509" s="1" t="s">
        <v>3514</v>
      </c>
      <c r="K509" s="1" t="s">
        <v>3515</v>
      </c>
      <c r="L509" s="1" t="s">
        <v>7</v>
      </c>
      <c r="M509" s="1"/>
      <c r="N509" s="1" t="s">
        <v>3516</v>
      </c>
      <c r="O509" s="1" t="s">
        <v>2452</v>
      </c>
      <c r="P509" s="1"/>
      <c r="Q509" s="1"/>
      <c r="R509" s="1" t="s">
        <v>11</v>
      </c>
      <c r="S509" s="1"/>
      <c r="T509" s="1"/>
      <c r="U509" s="1"/>
      <c r="V509" s="1"/>
      <c r="W509" s="1"/>
      <c r="X509" s="1"/>
      <c r="Y509" s="1"/>
      <c r="Z509" s="1"/>
      <c r="AA509" s="1"/>
      <c r="AB509" s="1" t="s">
        <v>3517</v>
      </c>
      <c r="AC509" s="1"/>
      <c r="AD509" s="1"/>
      <c r="AE509" s="1" t="s">
        <v>3518</v>
      </c>
      <c r="AF509" s="1"/>
      <c r="AG509" s="1"/>
      <c r="AH509" s="1" t="s">
        <v>3519</v>
      </c>
      <c r="AI509" s="1"/>
      <c r="AJ509" s="1" t="s">
        <v>3520</v>
      </c>
      <c r="AK509" s="1" t="s">
        <v>3521</v>
      </c>
      <c r="AL509" s="1" t="s">
        <v>3522</v>
      </c>
      <c r="AM509" s="1" t="s">
        <v>3520</v>
      </c>
      <c r="AN509" s="1" t="s">
        <v>3521</v>
      </c>
      <c r="AO509" s="1" t="s">
        <v>3522</v>
      </c>
      <c r="AP509" s="2" t="s">
        <v>296</v>
      </c>
      <c r="AQ509" s="2" t="s">
        <v>1077</v>
      </c>
      <c r="AR509" s="1" t="s">
        <v>287</v>
      </c>
      <c r="AS509" s="1"/>
      <c r="AT509" s="1" t="s">
        <v>5</v>
      </c>
    </row>
    <row r="510" spans="1:46" hidden="1" x14ac:dyDescent="0.4">
      <c r="A510" s="1" t="s">
        <v>3436</v>
      </c>
      <c r="B510" s="10"/>
      <c r="C510" s="1" t="s">
        <v>3437</v>
      </c>
      <c r="D510" s="1" t="s">
        <v>2211</v>
      </c>
      <c r="E510" s="1" t="s">
        <v>2078</v>
      </c>
      <c r="F510" s="1" t="s">
        <v>14</v>
      </c>
      <c r="G510" s="1" t="s">
        <v>1</v>
      </c>
      <c r="H510" s="1" t="s">
        <v>6</v>
      </c>
      <c r="I510" s="1" t="s">
        <v>2</v>
      </c>
      <c r="J510" s="1" t="s">
        <v>2492</v>
      </c>
      <c r="K510" s="1" t="s">
        <v>3438</v>
      </c>
      <c r="L510" s="1" t="s">
        <v>7</v>
      </c>
      <c r="M510" s="1" t="s">
        <v>9</v>
      </c>
      <c r="N510" s="1" t="s">
        <v>3439</v>
      </c>
      <c r="O510" s="1" t="s">
        <v>3413</v>
      </c>
      <c r="P510" s="1"/>
      <c r="Q510" s="1"/>
      <c r="R510" s="1" t="s">
        <v>11</v>
      </c>
      <c r="S510" s="1"/>
      <c r="T510" s="1"/>
      <c r="U510" s="1"/>
      <c r="V510" s="1"/>
      <c r="W510" s="1" t="s">
        <v>3414</v>
      </c>
      <c r="X510" s="1"/>
      <c r="Y510" s="1"/>
      <c r="Z510" s="1"/>
      <c r="AA510" s="1"/>
      <c r="AB510" s="1" t="s">
        <v>3440</v>
      </c>
      <c r="AC510" s="1"/>
      <c r="AD510" s="1"/>
      <c r="AE510" s="1"/>
      <c r="AF510" s="1"/>
      <c r="AG510" s="1"/>
      <c r="AH510" s="1" t="s">
        <v>3441</v>
      </c>
      <c r="AI510" s="1"/>
      <c r="AJ510" s="1" t="s">
        <v>3418</v>
      </c>
      <c r="AK510" s="1" t="s">
        <v>3419</v>
      </c>
      <c r="AL510" s="1" t="s">
        <v>3420</v>
      </c>
      <c r="AM510" s="1" t="s">
        <v>3418</v>
      </c>
      <c r="AN510" s="1" t="s">
        <v>3419</v>
      </c>
      <c r="AO510" s="1" t="s">
        <v>3420</v>
      </c>
      <c r="AP510" s="2" t="s">
        <v>3442</v>
      </c>
      <c r="AQ510" s="2" t="s">
        <v>1077</v>
      </c>
      <c r="AR510" s="1"/>
      <c r="AS510" s="1"/>
      <c r="AT510" s="1" t="s">
        <v>5</v>
      </c>
    </row>
    <row r="511" spans="1:46" hidden="1" x14ac:dyDescent="0.4">
      <c r="A511" s="1" t="s">
        <v>7101</v>
      </c>
      <c r="B511" s="10"/>
      <c r="C511" s="1" t="s">
        <v>0</v>
      </c>
      <c r="D511" s="1" t="s">
        <v>2076</v>
      </c>
      <c r="E511" s="1" t="s">
        <v>13</v>
      </c>
      <c r="F511" s="1" t="s">
        <v>14</v>
      </c>
      <c r="G511" s="1" t="s">
        <v>1</v>
      </c>
      <c r="H511" s="1" t="s">
        <v>6</v>
      </c>
      <c r="I511" s="1" t="s">
        <v>2</v>
      </c>
      <c r="J511" s="1" t="s">
        <v>3</v>
      </c>
      <c r="K511" s="1" t="s">
        <v>7102</v>
      </c>
      <c r="L511" s="1" t="s">
        <v>7</v>
      </c>
      <c r="M511" s="1"/>
      <c r="N511" s="1" t="s">
        <v>7103</v>
      </c>
      <c r="O511" s="1" t="s">
        <v>2160</v>
      </c>
      <c r="P511" s="1"/>
      <c r="Q511" s="1"/>
      <c r="R511" s="1" t="s">
        <v>11</v>
      </c>
      <c r="S511" s="1"/>
      <c r="T511" s="1"/>
      <c r="U511" s="1"/>
      <c r="V511" s="1"/>
      <c r="W511" s="1"/>
      <c r="X511" s="1" t="s">
        <v>7104</v>
      </c>
      <c r="Y511" s="1"/>
      <c r="Z511" s="1"/>
      <c r="AA511" s="1"/>
      <c r="AB511" s="1" t="s">
        <v>7105</v>
      </c>
      <c r="AC511" s="1"/>
      <c r="AD511" s="1"/>
      <c r="AE511" s="1"/>
      <c r="AF511" s="1"/>
      <c r="AG511" s="1"/>
      <c r="AH511" s="1" t="s">
        <v>7106</v>
      </c>
      <c r="AI511" s="1"/>
      <c r="AJ511" s="1" t="s">
        <v>363</v>
      </c>
      <c r="AK511" s="1" t="s">
        <v>517</v>
      </c>
      <c r="AL511" s="1" t="s">
        <v>364</v>
      </c>
      <c r="AM511" s="1" t="s">
        <v>6977</v>
      </c>
      <c r="AN511" s="1" t="s">
        <v>517</v>
      </c>
      <c r="AO511" s="1" t="s">
        <v>6978</v>
      </c>
      <c r="AP511" s="2" t="s">
        <v>7107</v>
      </c>
      <c r="AQ511" s="2" t="s">
        <v>1077</v>
      </c>
      <c r="AR511" s="1" t="s">
        <v>286</v>
      </c>
      <c r="AS511" s="1"/>
      <c r="AT511" s="1" t="s">
        <v>5</v>
      </c>
    </row>
    <row r="512" spans="1:46" hidden="1" x14ac:dyDescent="0.4">
      <c r="A512" s="1" t="s">
        <v>7108</v>
      </c>
      <c r="B512" s="10"/>
      <c r="C512" s="1" t="s">
        <v>0</v>
      </c>
      <c r="D512" s="1" t="s">
        <v>2076</v>
      </c>
      <c r="E512" s="1" t="s">
        <v>13</v>
      </c>
      <c r="F512" s="1" t="s">
        <v>14</v>
      </c>
      <c r="G512" s="1" t="s">
        <v>1</v>
      </c>
      <c r="H512" s="1" t="s">
        <v>6</v>
      </c>
      <c r="I512" s="1" t="s">
        <v>2</v>
      </c>
      <c r="J512" s="1" t="s">
        <v>3</v>
      </c>
      <c r="K512" s="1" t="s">
        <v>7109</v>
      </c>
      <c r="L512" s="1" t="s">
        <v>7</v>
      </c>
      <c r="M512" s="1"/>
      <c r="N512" s="1" t="s">
        <v>7110</v>
      </c>
      <c r="O512" s="1" t="s">
        <v>2160</v>
      </c>
      <c r="P512" s="1"/>
      <c r="Q512" s="1"/>
      <c r="R512" s="1" t="s">
        <v>11</v>
      </c>
      <c r="S512" s="1"/>
      <c r="T512" s="1"/>
      <c r="U512" s="1"/>
      <c r="V512" s="1"/>
      <c r="W512" s="1"/>
      <c r="X512" s="1" t="s">
        <v>7111</v>
      </c>
      <c r="Y512" s="1"/>
      <c r="Z512" s="1"/>
      <c r="AA512" s="1"/>
      <c r="AB512" s="1" t="s">
        <v>7112</v>
      </c>
      <c r="AC512" s="1"/>
      <c r="AD512" s="1"/>
      <c r="AE512" s="1"/>
      <c r="AF512" s="1"/>
      <c r="AG512" s="1"/>
      <c r="AH512" s="1" t="s">
        <v>7113</v>
      </c>
      <c r="AI512" s="1"/>
      <c r="AJ512" s="1" t="s">
        <v>363</v>
      </c>
      <c r="AK512" s="1" t="s">
        <v>517</v>
      </c>
      <c r="AL512" s="1" t="s">
        <v>364</v>
      </c>
      <c r="AM512" s="1" t="s">
        <v>6977</v>
      </c>
      <c r="AN512" s="1" t="s">
        <v>517</v>
      </c>
      <c r="AO512" s="1" t="s">
        <v>6978</v>
      </c>
      <c r="AP512" s="2" t="s">
        <v>7114</v>
      </c>
      <c r="AQ512" s="2" t="s">
        <v>1077</v>
      </c>
      <c r="AR512" s="1" t="s">
        <v>286</v>
      </c>
      <c r="AS512" s="1"/>
      <c r="AT512" s="1" t="s">
        <v>5</v>
      </c>
    </row>
    <row r="513" spans="1:46" hidden="1" x14ac:dyDescent="0.4">
      <c r="A513" s="1" t="s">
        <v>7115</v>
      </c>
      <c r="B513" s="10"/>
      <c r="C513" s="1" t="s">
        <v>0</v>
      </c>
      <c r="D513" s="1" t="s">
        <v>2076</v>
      </c>
      <c r="E513" s="1" t="s">
        <v>13</v>
      </c>
      <c r="F513" s="1" t="s">
        <v>14</v>
      </c>
      <c r="G513" s="1" t="s">
        <v>1</v>
      </c>
      <c r="H513" s="1" t="s">
        <v>6</v>
      </c>
      <c r="I513" s="1" t="s">
        <v>2</v>
      </c>
      <c r="J513" s="1" t="s">
        <v>3</v>
      </c>
      <c r="K513" s="1" t="s">
        <v>7116</v>
      </c>
      <c r="L513" s="1" t="s">
        <v>7</v>
      </c>
      <c r="M513" s="1" t="s">
        <v>9</v>
      </c>
      <c r="N513" s="1" t="s">
        <v>7117</v>
      </c>
      <c r="O513" s="1" t="s">
        <v>2160</v>
      </c>
      <c r="P513" s="1"/>
      <c r="Q513" s="1"/>
      <c r="R513" s="1" t="s">
        <v>11</v>
      </c>
      <c r="S513" s="1"/>
      <c r="T513" s="1"/>
      <c r="U513" s="1"/>
      <c r="V513" s="1"/>
      <c r="W513" s="1"/>
      <c r="X513" s="1" t="s">
        <v>7118</v>
      </c>
      <c r="Y513" s="1"/>
      <c r="Z513" s="1"/>
      <c r="AA513" s="1"/>
      <c r="AB513" s="1" t="s">
        <v>7119</v>
      </c>
      <c r="AC513" s="1"/>
      <c r="AD513" s="1"/>
      <c r="AE513" s="1"/>
      <c r="AF513" s="1"/>
      <c r="AG513" s="1"/>
      <c r="AH513" s="1" t="s">
        <v>7120</v>
      </c>
      <c r="AI513" s="1"/>
      <c r="AJ513" s="1" t="s">
        <v>363</v>
      </c>
      <c r="AK513" s="1" t="s">
        <v>517</v>
      </c>
      <c r="AL513" s="1" t="s">
        <v>364</v>
      </c>
      <c r="AM513" s="1" t="s">
        <v>6977</v>
      </c>
      <c r="AN513" s="1" t="s">
        <v>517</v>
      </c>
      <c r="AO513" s="1" t="s">
        <v>6978</v>
      </c>
      <c r="AP513" s="2" t="s">
        <v>7121</v>
      </c>
      <c r="AQ513" s="2" t="s">
        <v>1077</v>
      </c>
      <c r="AR513" s="1" t="s">
        <v>286</v>
      </c>
      <c r="AS513" s="1"/>
      <c r="AT513" s="1" t="s">
        <v>5</v>
      </c>
    </row>
    <row r="514" spans="1:46" hidden="1" x14ac:dyDescent="0.4">
      <c r="A514" s="1" t="s">
        <v>3499</v>
      </c>
      <c r="B514" s="10"/>
      <c r="C514" s="1" t="s">
        <v>0</v>
      </c>
      <c r="D514" s="1" t="s">
        <v>2076</v>
      </c>
      <c r="E514" s="1" t="s">
        <v>13</v>
      </c>
      <c r="F514" s="1" t="s">
        <v>14</v>
      </c>
      <c r="G514" s="1" t="s">
        <v>1</v>
      </c>
      <c r="H514" s="1" t="s">
        <v>6</v>
      </c>
      <c r="I514" s="1" t="s">
        <v>2</v>
      </c>
      <c r="J514" s="1" t="s">
        <v>3</v>
      </c>
      <c r="K514" s="1" t="s">
        <v>3500</v>
      </c>
      <c r="L514" s="1" t="s">
        <v>7</v>
      </c>
      <c r="M514" s="1" t="s">
        <v>9</v>
      </c>
      <c r="N514" s="1" t="s">
        <v>3501</v>
      </c>
      <c r="O514" s="1" t="s">
        <v>2258</v>
      </c>
      <c r="P514" s="1"/>
      <c r="Q514" s="1"/>
      <c r="R514" s="1" t="s">
        <v>11</v>
      </c>
      <c r="S514" s="1"/>
      <c r="T514" s="1"/>
      <c r="U514" s="1"/>
      <c r="V514" s="1"/>
      <c r="W514" s="1" t="s">
        <v>3502</v>
      </c>
      <c r="X514" s="1" t="s">
        <v>3503</v>
      </c>
      <c r="Y514" s="1"/>
      <c r="Z514" s="1"/>
      <c r="AA514" s="1"/>
      <c r="AB514" s="1" t="s">
        <v>3504</v>
      </c>
      <c r="AC514" s="1"/>
      <c r="AD514" s="1"/>
      <c r="AE514" s="1" t="s">
        <v>3505</v>
      </c>
      <c r="AF514" s="1"/>
      <c r="AG514" s="1"/>
      <c r="AH514" s="1" t="s">
        <v>3506</v>
      </c>
      <c r="AI514" s="1"/>
      <c r="AJ514" s="1" t="s">
        <v>3507</v>
      </c>
      <c r="AK514" s="1" t="s">
        <v>3508</v>
      </c>
      <c r="AL514" s="1"/>
      <c r="AM514" s="1" t="s">
        <v>3509</v>
      </c>
      <c r="AN514" s="1" t="s">
        <v>3508</v>
      </c>
      <c r="AO514" s="1" t="s">
        <v>3510</v>
      </c>
      <c r="AP514" s="2" t="s">
        <v>3511</v>
      </c>
      <c r="AQ514" s="2" t="s">
        <v>1154</v>
      </c>
      <c r="AR514" s="1" t="s">
        <v>286</v>
      </c>
      <c r="AS514" s="1"/>
      <c r="AT514" s="1" t="s">
        <v>5</v>
      </c>
    </row>
    <row r="515" spans="1:46" hidden="1" x14ac:dyDescent="0.4">
      <c r="A515" s="1" t="s">
        <v>8867</v>
      </c>
      <c r="B515" s="10"/>
      <c r="C515" s="1" t="s">
        <v>0</v>
      </c>
      <c r="D515" s="1" t="s">
        <v>2220</v>
      </c>
      <c r="E515" s="1" t="s">
        <v>2078</v>
      </c>
      <c r="F515" s="1" t="s">
        <v>14</v>
      </c>
      <c r="G515" s="1" t="s">
        <v>1</v>
      </c>
      <c r="H515" s="1" t="s">
        <v>6</v>
      </c>
      <c r="I515" s="1" t="s">
        <v>2</v>
      </c>
      <c r="J515" s="1" t="s">
        <v>3</v>
      </c>
      <c r="K515" s="1" t="s">
        <v>8868</v>
      </c>
      <c r="L515" s="1" t="s">
        <v>7</v>
      </c>
      <c r="M515" s="1" t="s">
        <v>9</v>
      </c>
      <c r="N515" s="1" t="s">
        <v>8869</v>
      </c>
      <c r="O515" s="1" t="s">
        <v>8870</v>
      </c>
      <c r="P515" s="1"/>
      <c r="Q515" s="1"/>
      <c r="R515" s="1" t="s">
        <v>11</v>
      </c>
      <c r="S515" s="1"/>
      <c r="T515" s="1"/>
      <c r="U515" s="1"/>
      <c r="V515" s="1"/>
      <c r="W515" s="1"/>
      <c r="X515" s="1"/>
      <c r="Y515" s="1"/>
      <c r="Z515" s="1"/>
      <c r="AA515" s="1"/>
      <c r="AB515" s="1" t="s">
        <v>8871</v>
      </c>
      <c r="AC515" s="1"/>
      <c r="AD515" s="1"/>
      <c r="AE515" s="1" t="s">
        <v>8872</v>
      </c>
      <c r="AF515" s="1"/>
      <c r="AG515" s="1"/>
      <c r="AH515" s="1" t="s">
        <v>8873</v>
      </c>
      <c r="AI515" s="1"/>
      <c r="AJ515" s="1" t="s">
        <v>1578</v>
      </c>
      <c r="AK515" s="1" t="s">
        <v>1579</v>
      </c>
      <c r="AL515" s="1" t="s">
        <v>1580</v>
      </c>
      <c r="AM515" s="1" t="s">
        <v>75</v>
      </c>
      <c r="AN515" s="1" t="s">
        <v>1579</v>
      </c>
      <c r="AO515" s="1" t="s">
        <v>8874</v>
      </c>
      <c r="AP515" s="2" t="s">
        <v>8875</v>
      </c>
      <c r="AQ515" s="2" t="s">
        <v>1154</v>
      </c>
      <c r="AR515" s="1" t="s">
        <v>286</v>
      </c>
      <c r="AS515" s="1"/>
      <c r="AT515" s="1" t="s">
        <v>5</v>
      </c>
    </row>
    <row r="516" spans="1:46" hidden="1" x14ac:dyDescent="0.4">
      <c r="A516" s="1" t="s">
        <v>8876</v>
      </c>
      <c r="B516" s="10"/>
      <c r="C516" s="1" t="s">
        <v>0</v>
      </c>
      <c r="D516" s="1" t="s">
        <v>2157</v>
      </c>
      <c r="E516" s="1" t="s">
        <v>2078</v>
      </c>
      <c r="F516" s="1" t="s">
        <v>14</v>
      </c>
      <c r="G516" s="1" t="s">
        <v>1</v>
      </c>
      <c r="H516" s="1" t="s">
        <v>6</v>
      </c>
      <c r="I516" s="1" t="s">
        <v>2</v>
      </c>
      <c r="J516" s="1" t="s">
        <v>3</v>
      </c>
      <c r="K516" s="1" t="s">
        <v>8877</v>
      </c>
      <c r="L516" s="1" t="s">
        <v>7</v>
      </c>
      <c r="M516" s="1" t="s">
        <v>9</v>
      </c>
      <c r="N516" s="1" t="s">
        <v>8878</v>
      </c>
      <c r="O516" s="1" t="s">
        <v>8879</v>
      </c>
      <c r="P516" s="1"/>
      <c r="Q516" s="1"/>
      <c r="R516" s="1" t="s">
        <v>11</v>
      </c>
      <c r="S516" s="1"/>
      <c r="T516" s="1"/>
      <c r="U516" s="1"/>
      <c r="V516" s="1"/>
      <c r="W516" s="1"/>
      <c r="X516" s="1"/>
      <c r="Y516" s="1"/>
      <c r="Z516" s="1"/>
      <c r="AA516" s="1"/>
      <c r="AB516" s="1" t="s">
        <v>8880</v>
      </c>
      <c r="AC516" s="1"/>
      <c r="AD516" s="1"/>
      <c r="AE516" s="1" t="s">
        <v>8872</v>
      </c>
      <c r="AF516" s="1"/>
      <c r="AG516" s="1"/>
      <c r="AH516" s="1" t="s">
        <v>8881</v>
      </c>
      <c r="AI516" s="1"/>
      <c r="AJ516" s="1" t="s">
        <v>1578</v>
      </c>
      <c r="AK516" s="1" t="s">
        <v>1579</v>
      </c>
      <c r="AL516" s="1" t="s">
        <v>1580</v>
      </c>
      <c r="AM516" s="1" t="s">
        <v>75</v>
      </c>
      <c r="AN516" s="1" t="s">
        <v>1579</v>
      </c>
      <c r="AO516" s="1" t="s">
        <v>8874</v>
      </c>
      <c r="AP516" s="2" t="s">
        <v>8882</v>
      </c>
      <c r="AQ516" s="2" t="s">
        <v>1154</v>
      </c>
      <c r="AR516" s="1" t="s">
        <v>286</v>
      </c>
      <c r="AS516" s="1"/>
      <c r="AT516" s="1" t="s">
        <v>5</v>
      </c>
    </row>
    <row r="517" spans="1:46" hidden="1" x14ac:dyDescent="0.4">
      <c r="A517" s="1" t="s">
        <v>5033</v>
      </c>
      <c r="B517" s="10"/>
      <c r="C517" s="1" t="s">
        <v>93</v>
      </c>
      <c r="D517" s="1" t="s">
        <v>2396</v>
      </c>
      <c r="E517" s="1" t="s">
        <v>2078</v>
      </c>
      <c r="F517" s="1" t="s">
        <v>14</v>
      </c>
      <c r="G517" s="1" t="s">
        <v>1</v>
      </c>
      <c r="H517" s="1" t="s">
        <v>6</v>
      </c>
      <c r="I517" s="1" t="s">
        <v>2</v>
      </c>
      <c r="J517" s="1" t="s">
        <v>3</v>
      </c>
      <c r="K517" s="1" t="s">
        <v>5034</v>
      </c>
      <c r="L517" s="1" t="s">
        <v>7</v>
      </c>
      <c r="M517" s="1"/>
      <c r="N517" s="1" t="s">
        <v>5035</v>
      </c>
      <c r="O517" s="1" t="s">
        <v>5029</v>
      </c>
      <c r="P517" s="1"/>
      <c r="Q517" s="1"/>
      <c r="R517" s="1" t="s">
        <v>11</v>
      </c>
      <c r="S517" s="1"/>
      <c r="T517" s="1"/>
      <c r="U517" s="1"/>
      <c r="V517" s="1"/>
      <c r="W517" s="1"/>
      <c r="X517" s="1"/>
      <c r="Y517" s="1"/>
      <c r="Z517" s="1"/>
      <c r="AA517" s="1"/>
      <c r="AB517" s="1" t="s">
        <v>5036</v>
      </c>
      <c r="AC517" s="1"/>
      <c r="AD517" s="1"/>
      <c r="AE517" s="1"/>
      <c r="AF517" s="1"/>
      <c r="AG517" s="1"/>
      <c r="AH517" s="1" t="s">
        <v>5037</v>
      </c>
      <c r="AI517" s="1"/>
      <c r="AJ517" s="1" t="s">
        <v>4386</v>
      </c>
      <c r="AK517" s="1" t="s">
        <v>3792</v>
      </c>
      <c r="AL517" s="1" t="s">
        <v>4387</v>
      </c>
      <c r="AM517" s="1" t="s">
        <v>4386</v>
      </c>
      <c r="AN517" s="1" t="s">
        <v>3792</v>
      </c>
      <c r="AO517" s="1" t="s">
        <v>4387</v>
      </c>
      <c r="AP517" s="2" t="s">
        <v>5038</v>
      </c>
      <c r="AQ517" s="2" t="s">
        <v>1153</v>
      </c>
      <c r="AR517" s="1" t="s">
        <v>286</v>
      </c>
      <c r="AS517" s="1"/>
      <c r="AT517" s="1" t="s">
        <v>5</v>
      </c>
    </row>
    <row r="518" spans="1:46" hidden="1" x14ac:dyDescent="0.4">
      <c r="A518" s="1" t="s">
        <v>5026</v>
      </c>
      <c r="B518" s="10"/>
      <c r="C518" s="1" t="s">
        <v>93</v>
      </c>
      <c r="D518" s="1" t="s">
        <v>2396</v>
      </c>
      <c r="E518" s="1" t="s">
        <v>2078</v>
      </c>
      <c r="F518" s="1" t="s">
        <v>14</v>
      </c>
      <c r="G518" s="1" t="s">
        <v>1</v>
      </c>
      <c r="H518" s="1" t="s">
        <v>6</v>
      </c>
      <c r="I518" s="1" t="s">
        <v>2</v>
      </c>
      <c r="J518" s="1" t="s">
        <v>3</v>
      </c>
      <c r="K518" s="1" t="s">
        <v>5027</v>
      </c>
      <c r="L518" s="1" t="s">
        <v>4</v>
      </c>
      <c r="M518" s="1" t="s">
        <v>9</v>
      </c>
      <c r="N518" s="1" t="s">
        <v>5028</v>
      </c>
      <c r="O518" s="1" t="s">
        <v>5029</v>
      </c>
      <c r="P518" s="1"/>
      <c r="Q518" s="1"/>
      <c r="R518" s="1" t="s">
        <v>11</v>
      </c>
      <c r="S518" s="1"/>
      <c r="T518" s="1"/>
      <c r="U518" s="1"/>
      <c r="V518" s="1"/>
      <c r="W518" s="1"/>
      <c r="X518" s="1"/>
      <c r="Y518" s="1"/>
      <c r="Z518" s="1"/>
      <c r="AA518" s="1"/>
      <c r="AB518" s="1" t="s">
        <v>5030</v>
      </c>
      <c r="AC518" s="1"/>
      <c r="AD518" s="1"/>
      <c r="AE518" s="1"/>
      <c r="AF518" s="1"/>
      <c r="AG518" s="1"/>
      <c r="AH518" s="1" t="s">
        <v>5031</v>
      </c>
      <c r="AI518" s="1"/>
      <c r="AJ518" s="1" t="s">
        <v>4386</v>
      </c>
      <c r="AK518" s="1" t="s">
        <v>3792</v>
      </c>
      <c r="AL518" s="1" t="s">
        <v>4387</v>
      </c>
      <c r="AM518" s="1" t="s">
        <v>4386</v>
      </c>
      <c r="AN518" s="1" t="s">
        <v>3792</v>
      </c>
      <c r="AO518" s="1" t="s">
        <v>4387</v>
      </c>
      <c r="AP518" s="2" t="s">
        <v>5032</v>
      </c>
      <c r="AQ518" s="2" t="s">
        <v>1153</v>
      </c>
      <c r="AR518" s="1" t="s">
        <v>286</v>
      </c>
      <c r="AS518" s="1"/>
      <c r="AT518" s="1" t="s">
        <v>5</v>
      </c>
    </row>
    <row r="519" spans="1:46" hidden="1" x14ac:dyDescent="0.4">
      <c r="A519" s="1" t="s">
        <v>11061</v>
      </c>
      <c r="B519" s="10"/>
      <c r="C519" s="1" t="s">
        <v>0</v>
      </c>
      <c r="D519" s="1" t="s">
        <v>2688</v>
      </c>
      <c r="E519" s="1" t="s">
        <v>11062</v>
      </c>
      <c r="F519" s="1" t="s">
        <v>2690</v>
      </c>
      <c r="G519" s="1" t="s">
        <v>1</v>
      </c>
      <c r="H519" s="1" t="s">
        <v>6</v>
      </c>
      <c r="I519" s="1" t="s">
        <v>2</v>
      </c>
      <c r="J519" s="1" t="s">
        <v>3</v>
      </c>
      <c r="K519" s="1" t="s">
        <v>11063</v>
      </c>
      <c r="L519" s="1" t="s">
        <v>4</v>
      </c>
      <c r="M519" s="1" t="s">
        <v>9</v>
      </c>
      <c r="N519" s="1" t="s">
        <v>11064</v>
      </c>
      <c r="O519" s="1" t="s">
        <v>11065</v>
      </c>
      <c r="P519" s="1"/>
      <c r="Q519" s="1"/>
      <c r="R519" s="1" t="s">
        <v>11</v>
      </c>
      <c r="S519" s="1"/>
      <c r="T519" s="1"/>
      <c r="U519" s="1"/>
      <c r="V519" s="1"/>
      <c r="W519" s="1" t="s">
        <v>11066</v>
      </c>
      <c r="X519" s="1"/>
      <c r="Y519" s="1"/>
      <c r="Z519" s="1"/>
      <c r="AA519" s="1"/>
      <c r="AB519" s="1" t="s">
        <v>11067</v>
      </c>
      <c r="AC519" s="1"/>
      <c r="AD519" s="1"/>
      <c r="AE519" s="1" t="s">
        <v>11068</v>
      </c>
      <c r="AF519" s="1"/>
      <c r="AG519" s="1"/>
      <c r="AH519" s="1" t="s">
        <v>11069</v>
      </c>
      <c r="AI519" s="1"/>
      <c r="AJ519" s="1" t="s">
        <v>11070</v>
      </c>
      <c r="AK519" s="1" t="s">
        <v>11071</v>
      </c>
      <c r="AL519" s="1" t="s">
        <v>11072</v>
      </c>
      <c r="AM519" s="1" t="s">
        <v>11073</v>
      </c>
      <c r="AN519" s="1" t="s">
        <v>11071</v>
      </c>
      <c r="AO519" s="1" t="s">
        <v>11074</v>
      </c>
      <c r="AP519" s="2" t="s">
        <v>11075</v>
      </c>
      <c r="AQ519" s="2" t="s">
        <v>1155</v>
      </c>
      <c r="AR519" s="1" t="s">
        <v>286</v>
      </c>
      <c r="AS519" s="1" t="s">
        <v>11076</v>
      </c>
      <c r="AT519" s="1" t="s">
        <v>5</v>
      </c>
    </row>
    <row r="520" spans="1:46" hidden="1" x14ac:dyDescent="0.4">
      <c r="A520" s="1" t="s">
        <v>10791</v>
      </c>
      <c r="B520" s="10"/>
      <c r="C520" s="1" t="s">
        <v>93</v>
      </c>
      <c r="D520" s="1" t="s">
        <v>2396</v>
      </c>
      <c r="E520" s="1" t="s">
        <v>7590</v>
      </c>
      <c r="F520" s="1" t="s">
        <v>14</v>
      </c>
      <c r="G520" s="1" t="s">
        <v>1</v>
      </c>
      <c r="H520" s="1" t="s">
        <v>6</v>
      </c>
      <c r="I520" s="1" t="s">
        <v>2</v>
      </c>
      <c r="J520" s="1" t="s">
        <v>3</v>
      </c>
      <c r="K520" s="1" t="s">
        <v>10792</v>
      </c>
      <c r="L520" s="1" t="s">
        <v>4</v>
      </c>
      <c r="M520" s="1"/>
      <c r="N520" s="1" t="s">
        <v>10793</v>
      </c>
      <c r="O520" s="1" t="s">
        <v>6435</v>
      </c>
      <c r="P520" s="1"/>
      <c r="Q520" s="1"/>
      <c r="R520" s="1" t="s">
        <v>11</v>
      </c>
      <c r="S520" s="1"/>
      <c r="T520" s="1"/>
      <c r="U520" s="1"/>
      <c r="V520" s="1"/>
      <c r="W520" s="1"/>
      <c r="X520" s="1"/>
      <c r="Y520" s="1"/>
      <c r="Z520" s="1"/>
      <c r="AA520" s="1"/>
      <c r="AB520" s="1" t="s">
        <v>10794</v>
      </c>
      <c r="AC520" s="1"/>
      <c r="AD520" s="1"/>
      <c r="AE520" s="1" t="s">
        <v>10781</v>
      </c>
      <c r="AF520" s="1"/>
      <c r="AG520" s="1"/>
      <c r="AH520" s="1" t="s">
        <v>10795</v>
      </c>
      <c r="AI520" s="1"/>
      <c r="AJ520" s="1" t="s">
        <v>9239</v>
      </c>
      <c r="AK520" s="1" t="s">
        <v>9240</v>
      </c>
      <c r="AL520" s="1" t="s">
        <v>9241</v>
      </c>
      <c r="AM520" s="1" t="s">
        <v>9239</v>
      </c>
      <c r="AN520" s="1" t="s">
        <v>9240</v>
      </c>
      <c r="AO520" s="1" t="s">
        <v>9241</v>
      </c>
      <c r="AP520" s="2" t="s">
        <v>10796</v>
      </c>
      <c r="AQ520" s="2" t="s">
        <v>1155</v>
      </c>
      <c r="AR520" s="1" t="s">
        <v>286</v>
      </c>
      <c r="AS520" s="1" t="s">
        <v>1017</v>
      </c>
      <c r="AT520" s="1" t="s">
        <v>5</v>
      </c>
    </row>
    <row r="521" spans="1:46" hidden="1" x14ac:dyDescent="0.4">
      <c r="A521" s="1" t="s">
        <v>10777</v>
      </c>
      <c r="B521" s="10"/>
      <c r="C521" s="1" t="s">
        <v>93</v>
      </c>
      <c r="D521" s="1" t="s">
        <v>2396</v>
      </c>
      <c r="E521" s="1" t="s">
        <v>7590</v>
      </c>
      <c r="F521" s="1" t="s">
        <v>14</v>
      </c>
      <c r="G521" s="1" t="s">
        <v>1</v>
      </c>
      <c r="H521" s="1" t="s">
        <v>6</v>
      </c>
      <c r="I521" s="1" t="s">
        <v>2</v>
      </c>
      <c r="J521" s="1" t="s">
        <v>3</v>
      </c>
      <c r="K521" s="1" t="s">
        <v>10778</v>
      </c>
      <c r="L521" s="1" t="s">
        <v>4</v>
      </c>
      <c r="M521" s="1"/>
      <c r="N521" s="1" t="s">
        <v>10779</v>
      </c>
      <c r="O521" s="1" t="s">
        <v>6435</v>
      </c>
      <c r="P521" s="1"/>
      <c r="Q521" s="1"/>
      <c r="R521" s="1" t="s">
        <v>11</v>
      </c>
      <c r="S521" s="1"/>
      <c r="T521" s="1"/>
      <c r="U521" s="1"/>
      <c r="V521" s="1"/>
      <c r="W521" s="1" t="s">
        <v>10779</v>
      </c>
      <c r="X521" s="1"/>
      <c r="Y521" s="1"/>
      <c r="Z521" s="1"/>
      <c r="AA521" s="1"/>
      <c r="AB521" s="1" t="s">
        <v>10780</v>
      </c>
      <c r="AC521" s="1"/>
      <c r="AD521" s="1"/>
      <c r="AE521" s="1" t="s">
        <v>10781</v>
      </c>
      <c r="AF521" s="1"/>
      <c r="AG521" s="1"/>
      <c r="AH521" s="1" t="s">
        <v>10782</v>
      </c>
      <c r="AI521" s="1"/>
      <c r="AJ521" s="1" t="s">
        <v>9239</v>
      </c>
      <c r="AK521" s="1" t="s">
        <v>9240</v>
      </c>
      <c r="AL521" s="1" t="s">
        <v>9241</v>
      </c>
      <c r="AM521" s="1" t="s">
        <v>9239</v>
      </c>
      <c r="AN521" s="1" t="s">
        <v>9240</v>
      </c>
      <c r="AO521" s="1" t="s">
        <v>9241</v>
      </c>
      <c r="AP521" s="2" t="s">
        <v>10783</v>
      </c>
      <c r="AQ521" s="2" t="s">
        <v>1155</v>
      </c>
      <c r="AR521" s="1" t="s">
        <v>286</v>
      </c>
      <c r="AS521" s="1" t="s">
        <v>10784</v>
      </c>
      <c r="AT521" s="1" t="s">
        <v>5</v>
      </c>
    </row>
    <row r="522" spans="1:46" hidden="1" x14ac:dyDescent="0.4">
      <c r="A522" s="1" t="s">
        <v>10785</v>
      </c>
      <c r="B522" s="10"/>
      <c r="C522" s="1" t="s">
        <v>93</v>
      </c>
      <c r="D522" s="1" t="s">
        <v>2396</v>
      </c>
      <c r="E522" s="1" t="s">
        <v>7590</v>
      </c>
      <c r="F522" s="1" t="s">
        <v>14</v>
      </c>
      <c r="G522" s="1" t="s">
        <v>1</v>
      </c>
      <c r="H522" s="1" t="s">
        <v>6</v>
      </c>
      <c r="I522" s="1" t="s">
        <v>2</v>
      </c>
      <c r="J522" s="1" t="s">
        <v>3</v>
      </c>
      <c r="K522" s="1" t="s">
        <v>10786</v>
      </c>
      <c r="L522" s="1" t="s">
        <v>4</v>
      </c>
      <c r="M522" s="1"/>
      <c r="N522" s="1" t="s">
        <v>10787</v>
      </c>
      <c r="O522" s="1" t="s">
        <v>6435</v>
      </c>
      <c r="P522" s="1"/>
      <c r="Q522" s="1"/>
      <c r="R522" s="1" t="s">
        <v>11</v>
      </c>
      <c r="S522" s="1"/>
      <c r="T522" s="1"/>
      <c r="U522" s="1"/>
      <c r="V522" s="1"/>
      <c r="W522" s="1"/>
      <c r="X522" s="1"/>
      <c r="Y522" s="1"/>
      <c r="Z522" s="1"/>
      <c r="AA522" s="1"/>
      <c r="AB522" s="1" t="s">
        <v>10788</v>
      </c>
      <c r="AC522" s="1"/>
      <c r="AD522" s="1"/>
      <c r="AE522" s="1" t="s">
        <v>10781</v>
      </c>
      <c r="AF522" s="1"/>
      <c r="AG522" s="1"/>
      <c r="AH522" s="1" t="s">
        <v>10789</v>
      </c>
      <c r="AI522" s="1"/>
      <c r="AJ522" s="1" t="s">
        <v>9239</v>
      </c>
      <c r="AK522" s="1" t="s">
        <v>9240</v>
      </c>
      <c r="AL522" s="1" t="s">
        <v>9241</v>
      </c>
      <c r="AM522" s="1" t="s">
        <v>9239</v>
      </c>
      <c r="AN522" s="1" t="s">
        <v>9240</v>
      </c>
      <c r="AO522" s="1" t="s">
        <v>9241</v>
      </c>
      <c r="AP522" s="2" t="s">
        <v>10790</v>
      </c>
      <c r="AQ522" s="2" t="s">
        <v>1155</v>
      </c>
      <c r="AR522" s="1" t="s">
        <v>286</v>
      </c>
      <c r="AS522" s="1" t="s">
        <v>1017</v>
      </c>
      <c r="AT522" s="1" t="s">
        <v>5</v>
      </c>
    </row>
    <row r="523" spans="1:46" hidden="1" x14ac:dyDescent="0.4">
      <c r="A523" s="1" t="s">
        <v>6135</v>
      </c>
      <c r="B523" s="10"/>
      <c r="C523" s="1" t="s">
        <v>93</v>
      </c>
      <c r="D523" s="1" t="s">
        <v>2220</v>
      </c>
      <c r="E523" s="1" t="s">
        <v>2078</v>
      </c>
      <c r="F523" s="1" t="s">
        <v>14</v>
      </c>
      <c r="G523" s="1" t="s">
        <v>1</v>
      </c>
      <c r="H523" s="1" t="s">
        <v>6</v>
      </c>
      <c r="I523" s="1" t="s">
        <v>2</v>
      </c>
      <c r="J523" s="1" t="s">
        <v>3</v>
      </c>
      <c r="K523" s="1" t="s">
        <v>6136</v>
      </c>
      <c r="L523" s="1" t="s">
        <v>7</v>
      </c>
      <c r="M523" s="1"/>
      <c r="N523" s="1" t="s">
        <v>6137</v>
      </c>
      <c r="O523" s="1" t="s">
        <v>6109</v>
      </c>
      <c r="P523" s="1"/>
      <c r="Q523" s="1"/>
      <c r="R523" s="1" t="s">
        <v>11</v>
      </c>
      <c r="S523" s="1"/>
      <c r="T523" s="1"/>
      <c r="U523" s="1"/>
      <c r="V523" s="1"/>
      <c r="W523" s="1"/>
      <c r="X523" s="1"/>
      <c r="Y523" s="1"/>
      <c r="Z523" s="1"/>
      <c r="AA523" s="1"/>
      <c r="AB523" s="1" t="s">
        <v>6138</v>
      </c>
      <c r="AC523" s="1"/>
      <c r="AD523" s="1"/>
      <c r="AE523" s="1"/>
      <c r="AF523" s="1"/>
      <c r="AG523" s="1"/>
      <c r="AH523" s="1" t="s">
        <v>6139</v>
      </c>
      <c r="AI523" s="1"/>
      <c r="AJ523" s="1" t="s">
        <v>6114</v>
      </c>
      <c r="AK523" s="1" t="s">
        <v>6115</v>
      </c>
      <c r="AL523" s="1" t="s">
        <v>6116</v>
      </c>
      <c r="AM523" s="1" t="s">
        <v>6114</v>
      </c>
      <c r="AN523" s="1" t="s">
        <v>6115</v>
      </c>
      <c r="AO523" s="1" t="s">
        <v>6116</v>
      </c>
      <c r="AP523" s="2" t="s">
        <v>6140</v>
      </c>
      <c r="AQ523" s="2" t="s">
        <v>1077</v>
      </c>
      <c r="AR523" s="1" t="s">
        <v>286</v>
      </c>
      <c r="AS523" s="1"/>
      <c r="AT523" s="1" t="s">
        <v>5</v>
      </c>
    </row>
    <row r="524" spans="1:46" hidden="1" x14ac:dyDescent="0.4">
      <c r="A524" s="1" t="s">
        <v>6141</v>
      </c>
      <c r="B524" s="10"/>
      <c r="C524" s="1" t="s">
        <v>93</v>
      </c>
      <c r="D524" s="1" t="s">
        <v>2211</v>
      </c>
      <c r="E524" s="1" t="s">
        <v>2078</v>
      </c>
      <c r="F524" s="1" t="s">
        <v>14</v>
      </c>
      <c r="G524" s="1" t="s">
        <v>1</v>
      </c>
      <c r="H524" s="1" t="s">
        <v>6</v>
      </c>
      <c r="I524" s="1" t="s">
        <v>2</v>
      </c>
      <c r="J524" s="1" t="s">
        <v>3</v>
      </c>
      <c r="K524" s="1" t="s">
        <v>6142</v>
      </c>
      <c r="L524" s="1" t="s">
        <v>7</v>
      </c>
      <c r="M524" s="1"/>
      <c r="N524" s="1" t="s">
        <v>6143</v>
      </c>
      <c r="O524" s="1" t="s">
        <v>6109</v>
      </c>
      <c r="P524" s="1"/>
      <c r="Q524" s="1"/>
      <c r="R524" s="1" t="s">
        <v>11</v>
      </c>
      <c r="S524" s="1"/>
      <c r="T524" s="1"/>
      <c r="U524" s="1"/>
      <c r="V524" s="1"/>
      <c r="W524" s="1"/>
      <c r="X524" s="1"/>
      <c r="Y524" s="1"/>
      <c r="Z524" s="1"/>
      <c r="AA524" s="1"/>
      <c r="AB524" s="1" t="s">
        <v>6144</v>
      </c>
      <c r="AC524" s="1"/>
      <c r="AD524" s="1"/>
      <c r="AE524" s="1" t="s">
        <v>6145</v>
      </c>
      <c r="AF524" s="1"/>
      <c r="AG524" s="1"/>
      <c r="AH524" s="1" t="s">
        <v>6146</v>
      </c>
      <c r="AI524" s="1"/>
      <c r="AJ524" s="1" t="s">
        <v>6114</v>
      </c>
      <c r="AK524" s="1" t="s">
        <v>6115</v>
      </c>
      <c r="AL524" s="1" t="s">
        <v>6116</v>
      </c>
      <c r="AM524" s="1" t="s">
        <v>6114</v>
      </c>
      <c r="AN524" s="1" t="s">
        <v>6115</v>
      </c>
      <c r="AO524" s="1" t="s">
        <v>6116</v>
      </c>
      <c r="AP524" s="2" t="s">
        <v>6147</v>
      </c>
      <c r="AQ524" s="2" t="s">
        <v>1077</v>
      </c>
      <c r="AR524" s="1" t="s">
        <v>286</v>
      </c>
      <c r="AS524" s="1"/>
      <c r="AT524" s="1" t="s">
        <v>5</v>
      </c>
    </row>
    <row r="525" spans="1:46" hidden="1" x14ac:dyDescent="0.4">
      <c r="A525" s="1" t="s">
        <v>11126</v>
      </c>
      <c r="B525" s="10"/>
      <c r="C525" s="1" t="s">
        <v>0</v>
      </c>
      <c r="D525" s="1" t="s">
        <v>2157</v>
      </c>
      <c r="E525" s="1" t="s">
        <v>2078</v>
      </c>
      <c r="F525" s="1" t="s">
        <v>14</v>
      </c>
      <c r="G525" s="1" t="s">
        <v>1</v>
      </c>
      <c r="H525" s="1" t="s">
        <v>6</v>
      </c>
      <c r="I525" s="1" t="s">
        <v>2</v>
      </c>
      <c r="J525" s="1" t="s">
        <v>3</v>
      </c>
      <c r="K525" s="1" t="s">
        <v>11127</v>
      </c>
      <c r="L525" s="1" t="s">
        <v>7</v>
      </c>
      <c r="M525" s="1" t="s">
        <v>9</v>
      </c>
      <c r="N525" s="1" t="s">
        <v>11128</v>
      </c>
      <c r="O525" s="1" t="s">
        <v>11129</v>
      </c>
      <c r="P525" s="1"/>
      <c r="Q525" s="1"/>
      <c r="R525" s="1" t="s">
        <v>11</v>
      </c>
      <c r="S525" s="1"/>
      <c r="T525" s="1"/>
      <c r="U525" s="1"/>
      <c r="V525" s="1"/>
      <c r="W525" s="1"/>
      <c r="X525" s="1"/>
      <c r="Y525" s="1"/>
      <c r="Z525" s="1"/>
      <c r="AA525" s="1"/>
      <c r="AB525" s="1" t="s">
        <v>11130</v>
      </c>
      <c r="AC525" s="1"/>
      <c r="AD525" s="1"/>
      <c r="AE525" s="1" t="s">
        <v>11131</v>
      </c>
      <c r="AF525" s="1"/>
      <c r="AG525" s="1"/>
      <c r="AH525" s="1" t="s">
        <v>11132</v>
      </c>
      <c r="AI525" s="1"/>
      <c r="AJ525" s="1" t="s">
        <v>11133</v>
      </c>
      <c r="AK525" s="1" t="s">
        <v>11134</v>
      </c>
      <c r="AL525" s="1" t="s">
        <v>11135</v>
      </c>
      <c r="AM525" s="1" t="s">
        <v>11136</v>
      </c>
      <c r="AN525" s="1" t="s">
        <v>11134</v>
      </c>
      <c r="AO525" s="1" t="s">
        <v>11137</v>
      </c>
      <c r="AP525" s="2" t="s">
        <v>11138</v>
      </c>
      <c r="AQ525" s="2" t="s">
        <v>1155</v>
      </c>
      <c r="AR525" s="1" t="s">
        <v>286</v>
      </c>
      <c r="AS525" s="1" t="s">
        <v>1882</v>
      </c>
      <c r="AT525" s="1" t="s">
        <v>5</v>
      </c>
    </row>
    <row r="526" spans="1:46" hidden="1" x14ac:dyDescent="0.4">
      <c r="A526" s="1" t="s">
        <v>8351</v>
      </c>
      <c r="B526" s="10"/>
      <c r="C526" s="1" t="s">
        <v>0</v>
      </c>
      <c r="D526" s="1" t="s">
        <v>2396</v>
      </c>
      <c r="E526" s="1" t="s">
        <v>2078</v>
      </c>
      <c r="F526" s="1" t="s">
        <v>14</v>
      </c>
      <c r="G526" s="1" t="s">
        <v>1</v>
      </c>
      <c r="H526" s="1" t="s">
        <v>6</v>
      </c>
      <c r="I526" s="1" t="s">
        <v>2</v>
      </c>
      <c r="J526" s="1" t="s">
        <v>3</v>
      </c>
      <c r="K526" s="1" t="s">
        <v>8352</v>
      </c>
      <c r="L526" s="1" t="s">
        <v>7</v>
      </c>
      <c r="M526" s="1"/>
      <c r="N526" s="1" t="s">
        <v>8353</v>
      </c>
      <c r="O526" s="1" t="s">
        <v>8275</v>
      </c>
      <c r="P526" s="1"/>
      <c r="Q526" s="1"/>
      <c r="R526" s="1" t="s">
        <v>11</v>
      </c>
      <c r="S526" s="1"/>
      <c r="T526" s="1"/>
      <c r="U526" s="1"/>
      <c r="V526" s="1"/>
      <c r="W526" s="1" t="s">
        <v>8277</v>
      </c>
      <c r="X526" s="1"/>
      <c r="Y526" s="1"/>
      <c r="Z526" s="1"/>
      <c r="AA526" s="1"/>
      <c r="AB526" s="1" t="s">
        <v>8354</v>
      </c>
      <c r="AC526" s="1"/>
      <c r="AD526" s="1"/>
      <c r="AE526" s="1" t="s">
        <v>8355</v>
      </c>
      <c r="AF526" s="1"/>
      <c r="AG526" s="1"/>
      <c r="AH526" s="1" t="s">
        <v>8356</v>
      </c>
      <c r="AI526" s="1" t="s">
        <v>8357</v>
      </c>
      <c r="AJ526" s="1" t="s">
        <v>1835</v>
      </c>
      <c r="AK526" s="1" t="s">
        <v>1836</v>
      </c>
      <c r="AL526" s="1" t="s">
        <v>1837</v>
      </c>
      <c r="AM526" s="1" t="s">
        <v>1835</v>
      </c>
      <c r="AN526" s="1" t="s">
        <v>1836</v>
      </c>
      <c r="AO526" s="1" t="s">
        <v>1837</v>
      </c>
      <c r="AP526" s="2" t="s">
        <v>8358</v>
      </c>
      <c r="AQ526" s="2" t="s">
        <v>1154</v>
      </c>
      <c r="AR526" s="1" t="s">
        <v>286</v>
      </c>
      <c r="AS526" s="1"/>
      <c r="AT526" s="1" t="s">
        <v>5</v>
      </c>
    </row>
    <row r="527" spans="1:46" hidden="1" x14ac:dyDescent="0.4">
      <c r="A527" s="1" t="s">
        <v>8344</v>
      </c>
      <c r="B527" s="10"/>
      <c r="C527" s="1" t="s">
        <v>0</v>
      </c>
      <c r="D527" s="1" t="s">
        <v>2396</v>
      </c>
      <c r="E527" s="1" t="s">
        <v>2078</v>
      </c>
      <c r="F527" s="1" t="s">
        <v>14</v>
      </c>
      <c r="G527" s="1" t="s">
        <v>1</v>
      </c>
      <c r="H527" s="1" t="s">
        <v>6</v>
      </c>
      <c r="I527" s="1" t="s">
        <v>2</v>
      </c>
      <c r="J527" s="1" t="s">
        <v>3</v>
      </c>
      <c r="K527" s="1" t="s">
        <v>8345</v>
      </c>
      <c r="L527" s="1" t="s">
        <v>7</v>
      </c>
      <c r="M527" s="1"/>
      <c r="N527" s="1" t="s">
        <v>8346</v>
      </c>
      <c r="O527" s="1" t="s">
        <v>8275</v>
      </c>
      <c r="P527" s="1"/>
      <c r="Q527" s="1"/>
      <c r="R527" s="1" t="s">
        <v>11</v>
      </c>
      <c r="S527" s="1"/>
      <c r="T527" s="1"/>
      <c r="U527" s="1"/>
      <c r="V527" s="1"/>
      <c r="W527" s="1" t="s">
        <v>8277</v>
      </c>
      <c r="X527" s="1"/>
      <c r="Y527" s="1"/>
      <c r="Z527" s="1"/>
      <c r="AA527" s="1"/>
      <c r="AB527" s="1" t="s">
        <v>8347</v>
      </c>
      <c r="AC527" s="1"/>
      <c r="AD527" s="1"/>
      <c r="AE527" s="1" t="s">
        <v>8279</v>
      </c>
      <c r="AF527" s="1"/>
      <c r="AG527" s="1"/>
      <c r="AH527" s="1" t="s">
        <v>8348</v>
      </c>
      <c r="AI527" s="1" t="s">
        <v>8349</v>
      </c>
      <c r="AJ527" s="1" t="s">
        <v>1835</v>
      </c>
      <c r="AK527" s="1" t="s">
        <v>1836</v>
      </c>
      <c r="AL527" s="1" t="s">
        <v>1837</v>
      </c>
      <c r="AM527" s="1" t="s">
        <v>1835</v>
      </c>
      <c r="AN527" s="1" t="s">
        <v>1836</v>
      </c>
      <c r="AO527" s="1" t="s">
        <v>1837</v>
      </c>
      <c r="AP527" s="2" t="s">
        <v>8350</v>
      </c>
      <c r="AQ527" s="2" t="s">
        <v>1154</v>
      </c>
      <c r="AR527" s="1" t="s">
        <v>286</v>
      </c>
      <c r="AS527" s="1"/>
      <c r="AT527" s="1" t="s">
        <v>5</v>
      </c>
    </row>
    <row r="528" spans="1:46" hidden="1" x14ac:dyDescent="0.4">
      <c r="A528" s="1" t="s">
        <v>8291</v>
      </c>
      <c r="B528" s="10"/>
      <c r="C528" s="1" t="s">
        <v>0</v>
      </c>
      <c r="D528" s="1" t="s">
        <v>2396</v>
      </c>
      <c r="E528" s="1" t="s">
        <v>2078</v>
      </c>
      <c r="F528" s="1" t="s">
        <v>14</v>
      </c>
      <c r="G528" s="1" t="s">
        <v>1</v>
      </c>
      <c r="H528" s="1" t="s">
        <v>6</v>
      </c>
      <c r="I528" s="1" t="s">
        <v>2</v>
      </c>
      <c r="J528" s="1" t="s">
        <v>3</v>
      </c>
      <c r="K528" s="1" t="s">
        <v>8292</v>
      </c>
      <c r="L528" s="1" t="s">
        <v>7</v>
      </c>
      <c r="M528" s="1"/>
      <c r="N528" s="1" t="s">
        <v>8293</v>
      </c>
      <c r="O528" s="1" t="s">
        <v>8275</v>
      </c>
      <c r="P528" s="1"/>
      <c r="Q528" s="1"/>
      <c r="R528" s="1" t="s">
        <v>11</v>
      </c>
      <c r="S528" s="1"/>
      <c r="T528" s="1"/>
      <c r="U528" s="1"/>
      <c r="V528" s="1"/>
      <c r="W528" s="1" t="s">
        <v>8277</v>
      </c>
      <c r="X528" s="1"/>
      <c r="Y528" s="1"/>
      <c r="Z528" s="1"/>
      <c r="AA528" s="1"/>
      <c r="AB528" s="1" t="s">
        <v>8294</v>
      </c>
      <c r="AC528" s="1"/>
      <c r="AD528" s="1"/>
      <c r="AE528" s="1" t="s">
        <v>8279</v>
      </c>
      <c r="AF528" s="1"/>
      <c r="AG528" s="1"/>
      <c r="AH528" s="1" t="s">
        <v>8295</v>
      </c>
      <c r="AI528" s="1" t="s">
        <v>8296</v>
      </c>
      <c r="AJ528" s="1" t="s">
        <v>1835</v>
      </c>
      <c r="AK528" s="1" t="s">
        <v>1836</v>
      </c>
      <c r="AL528" s="1" t="s">
        <v>1837</v>
      </c>
      <c r="AM528" s="1" t="s">
        <v>1835</v>
      </c>
      <c r="AN528" s="1" t="s">
        <v>1836</v>
      </c>
      <c r="AO528" s="1" t="s">
        <v>1837</v>
      </c>
      <c r="AP528" s="2" t="s">
        <v>8297</v>
      </c>
      <c r="AQ528" s="2" t="s">
        <v>1154</v>
      </c>
      <c r="AR528" s="1" t="s">
        <v>286</v>
      </c>
      <c r="AS528" s="1"/>
      <c r="AT528" s="1" t="s">
        <v>5</v>
      </c>
    </row>
    <row r="529" spans="1:46" hidden="1" x14ac:dyDescent="0.4">
      <c r="A529" s="1" t="s">
        <v>8330</v>
      </c>
      <c r="B529" s="10"/>
      <c r="C529" s="1" t="s">
        <v>0</v>
      </c>
      <c r="D529" s="1" t="s">
        <v>2396</v>
      </c>
      <c r="E529" s="1" t="s">
        <v>2078</v>
      </c>
      <c r="F529" s="1" t="s">
        <v>14</v>
      </c>
      <c r="G529" s="1" t="s">
        <v>1</v>
      </c>
      <c r="H529" s="1" t="s">
        <v>6</v>
      </c>
      <c r="I529" s="1" t="s">
        <v>2</v>
      </c>
      <c r="J529" s="1" t="s">
        <v>3</v>
      </c>
      <c r="K529" s="1" t="s">
        <v>8331</v>
      </c>
      <c r="L529" s="1" t="s">
        <v>7</v>
      </c>
      <c r="M529" s="1" t="s">
        <v>9</v>
      </c>
      <c r="N529" s="1" t="s">
        <v>8332</v>
      </c>
      <c r="O529" s="1" t="s">
        <v>8275</v>
      </c>
      <c r="P529" s="1"/>
      <c r="Q529" s="1"/>
      <c r="R529" s="1" t="s">
        <v>11</v>
      </c>
      <c r="S529" s="1"/>
      <c r="T529" s="1"/>
      <c r="U529" s="1"/>
      <c r="V529" s="1"/>
      <c r="W529" s="1" t="s">
        <v>8286</v>
      </c>
      <c r="X529" s="1"/>
      <c r="Y529" s="1"/>
      <c r="Z529" s="1"/>
      <c r="AA529" s="1"/>
      <c r="AB529" s="1" t="s">
        <v>8333</v>
      </c>
      <c r="AC529" s="1"/>
      <c r="AD529" s="1"/>
      <c r="AE529" s="1" t="s">
        <v>8279</v>
      </c>
      <c r="AF529" s="1"/>
      <c r="AG529" s="1"/>
      <c r="AH529" s="1" t="s">
        <v>8334</v>
      </c>
      <c r="AI529" s="1" t="s">
        <v>8335</v>
      </c>
      <c r="AJ529" s="1" t="s">
        <v>1835</v>
      </c>
      <c r="AK529" s="1" t="s">
        <v>1836</v>
      </c>
      <c r="AL529" s="1" t="s">
        <v>1837</v>
      </c>
      <c r="AM529" s="1" t="s">
        <v>1835</v>
      </c>
      <c r="AN529" s="1" t="s">
        <v>1836</v>
      </c>
      <c r="AO529" s="1" t="s">
        <v>1837</v>
      </c>
      <c r="AP529" s="2" t="s">
        <v>8336</v>
      </c>
      <c r="AQ529" s="2" t="s">
        <v>1154</v>
      </c>
      <c r="AR529" s="1" t="s">
        <v>286</v>
      </c>
      <c r="AS529" s="1"/>
      <c r="AT529" s="1" t="s">
        <v>5</v>
      </c>
    </row>
    <row r="530" spans="1:46" hidden="1" x14ac:dyDescent="0.4">
      <c r="A530" s="1" t="s">
        <v>8298</v>
      </c>
      <c r="B530" s="10"/>
      <c r="C530" s="1" t="s">
        <v>0</v>
      </c>
      <c r="D530" s="1" t="s">
        <v>2396</v>
      </c>
      <c r="E530" s="1" t="s">
        <v>2078</v>
      </c>
      <c r="F530" s="1" t="s">
        <v>14</v>
      </c>
      <c r="G530" s="1" t="s">
        <v>1</v>
      </c>
      <c r="H530" s="1" t="s">
        <v>6</v>
      </c>
      <c r="I530" s="1" t="s">
        <v>2</v>
      </c>
      <c r="J530" s="1" t="s">
        <v>3</v>
      </c>
      <c r="K530" s="1" t="s">
        <v>8299</v>
      </c>
      <c r="L530" s="1" t="s">
        <v>7</v>
      </c>
      <c r="M530" s="1" t="s">
        <v>9</v>
      </c>
      <c r="N530" s="1" t="s">
        <v>8300</v>
      </c>
      <c r="O530" s="1" t="s">
        <v>8275</v>
      </c>
      <c r="P530" s="1"/>
      <c r="Q530" s="1"/>
      <c r="R530" s="1" t="s">
        <v>11</v>
      </c>
      <c r="S530" s="1"/>
      <c r="T530" s="1"/>
      <c r="U530" s="1"/>
      <c r="V530" s="1"/>
      <c r="W530" s="1" t="s">
        <v>8301</v>
      </c>
      <c r="X530" s="1"/>
      <c r="Y530" s="1"/>
      <c r="Z530" s="1"/>
      <c r="AA530" s="1"/>
      <c r="AB530" s="1" t="s">
        <v>8302</v>
      </c>
      <c r="AC530" s="1"/>
      <c r="AD530" s="1"/>
      <c r="AE530" s="1" t="s">
        <v>8279</v>
      </c>
      <c r="AF530" s="1"/>
      <c r="AG530" s="1"/>
      <c r="AH530" s="1" t="s">
        <v>8303</v>
      </c>
      <c r="AI530" s="1" t="s">
        <v>8304</v>
      </c>
      <c r="AJ530" s="1" t="s">
        <v>1835</v>
      </c>
      <c r="AK530" s="1" t="s">
        <v>1836</v>
      </c>
      <c r="AL530" s="1" t="s">
        <v>1837</v>
      </c>
      <c r="AM530" s="1" t="s">
        <v>1835</v>
      </c>
      <c r="AN530" s="1" t="s">
        <v>1836</v>
      </c>
      <c r="AO530" s="1" t="s">
        <v>1837</v>
      </c>
      <c r="AP530" s="2" t="s">
        <v>8305</v>
      </c>
      <c r="AQ530" s="2" t="s">
        <v>1154</v>
      </c>
      <c r="AR530" s="1" t="s">
        <v>286</v>
      </c>
      <c r="AS530" s="1"/>
      <c r="AT530" s="1" t="s">
        <v>5</v>
      </c>
    </row>
    <row r="531" spans="1:46" hidden="1" x14ac:dyDescent="0.4">
      <c r="A531" s="1" t="s">
        <v>8337</v>
      </c>
      <c r="B531" s="10"/>
      <c r="C531" s="1" t="s">
        <v>0</v>
      </c>
      <c r="D531" s="1" t="s">
        <v>2396</v>
      </c>
      <c r="E531" s="1" t="s">
        <v>2078</v>
      </c>
      <c r="F531" s="1" t="s">
        <v>14</v>
      </c>
      <c r="G531" s="1" t="s">
        <v>1</v>
      </c>
      <c r="H531" s="1" t="s">
        <v>6</v>
      </c>
      <c r="I531" s="1" t="s">
        <v>2</v>
      </c>
      <c r="J531" s="1" t="s">
        <v>3</v>
      </c>
      <c r="K531" s="1" t="s">
        <v>8338</v>
      </c>
      <c r="L531" s="1" t="s">
        <v>7</v>
      </c>
      <c r="M531" s="1"/>
      <c r="N531" s="1" t="s">
        <v>8339</v>
      </c>
      <c r="O531" s="1" t="s">
        <v>8275</v>
      </c>
      <c r="P531" s="1"/>
      <c r="Q531" s="1"/>
      <c r="R531" s="1" t="s">
        <v>11</v>
      </c>
      <c r="S531" s="1"/>
      <c r="T531" s="1"/>
      <c r="U531" s="1"/>
      <c r="V531" s="1"/>
      <c r="W531" s="1" t="s">
        <v>8301</v>
      </c>
      <c r="X531" s="1"/>
      <c r="Y531" s="1"/>
      <c r="Z531" s="1"/>
      <c r="AA531" s="1"/>
      <c r="AB531" s="1" t="s">
        <v>8340</v>
      </c>
      <c r="AC531" s="1"/>
      <c r="AD531" s="1"/>
      <c r="AE531" s="1" t="s">
        <v>8279</v>
      </c>
      <c r="AF531" s="1"/>
      <c r="AG531" s="1"/>
      <c r="AH531" s="1" t="s">
        <v>8341</v>
      </c>
      <c r="AI531" s="1" t="s">
        <v>8342</v>
      </c>
      <c r="AJ531" s="1" t="s">
        <v>1835</v>
      </c>
      <c r="AK531" s="1" t="s">
        <v>1836</v>
      </c>
      <c r="AL531" s="1" t="s">
        <v>1837</v>
      </c>
      <c r="AM531" s="1" t="s">
        <v>1835</v>
      </c>
      <c r="AN531" s="1" t="s">
        <v>1836</v>
      </c>
      <c r="AO531" s="1" t="s">
        <v>1837</v>
      </c>
      <c r="AP531" s="2" t="s">
        <v>8343</v>
      </c>
      <c r="AQ531" s="2" t="s">
        <v>1154</v>
      </c>
      <c r="AR531" s="1" t="s">
        <v>286</v>
      </c>
      <c r="AS531" s="1"/>
      <c r="AT531" s="1" t="s">
        <v>5</v>
      </c>
    </row>
    <row r="532" spans="1:46" hidden="1" x14ac:dyDescent="0.4">
      <c r="A532" s="1" t="s">
        <v>8283</v>
      </c>
      <c r="B532" s="10"/>
      <c r="C532" s="1" t="s">
        <v>0</v>
      </c>
      <c r="D532" s="1" t="s">
        <v>2396</v>
      </c>
      <c r="E532" s="1" t="s">
        <v>2078</v>
      </c>
      <c r="F532" s="1" t="s">
        <v>14</v>
      </c>
      <c r="G532" s="1" t="s">
        <v>1</v>
      </c>
      <c r="H532" s="1" t="s">
        <v>6</v>
      </c>
      <c r="I532" s="1" t="s">
        <v>2</v>
      </c>
      <c r="J532" s="1" t="s">
        <v>3</v>
      </c>
      <c r="K532" s="1" t="s">
        <v>8284</v>
      </c>
      <c r="L532" s="1" t="s">
        <v>7</v>
      </c>
      <c r="M532" s="1"/>
      <c r="N532" s="1" t="s">
        <v>8285</v>
      </c>
      <c r="O532" s="1" t="s">
        <v>8275</v>
      </c>
      <c r="P532" s="1"/>
      <c r="Q532" s="1"/>
      <c r="R532" s="1" t="s">
        <v>11</v>
      </c>
      <c r="S532" s="1"/>
      <c r="T532" s="1"/>
      <c r="U532" s="1"/>
      <c r="V532" s="1"/>
      <c r="W532" s="1" t="s">
        <v>8286</v>
      </c>
      <c r="X532" s="1"/>
      <c r="Y532" s="1"/>
      <c r="Z532" s="1"/>
      <c r="AA532" s="1"/>
      <c r="AB532" s="1" t="s">
        <v>8287</v>
      </c>
      <c r="AC532" s="1"/>
      <c r="AD532" s="1"/>
      <c r="AE532" s="1" t="s">
        <v>8279</v>
      </c>
      <c r="AF532" s="1"/>
      <c r="AG532" s="1"/>
      <c r="AH532" s="1" t="s">
        <v>8288</v>
      </c>
      <c r="AI532" s="1" t="s">
        <v>8289</v>
      </c>
      <c r="AJ532" s="1" t="s">
        <v>1835</v>
      </c>
      <c r="AK532" s="1" t="s">
        <v>1836</v>
      </c>
      <c r="AL532" s="1" t="s">
        <v>1837</v>
      </c>
      <c r="AM532" s="1" t="s">
        <v>1835</v>
      </c>
      <c r="AN532" s="1" t="s">
        <v>1836</v>
      </c>
      <c r="AO532" s="1" t="s">
        <v>1837</v>
      </c>
      <c r="AP532" s="2" t="s">
        <v>8290</v>
      </c>
      <c r="AQ532" s="2" t="s">
        <v>1154</v>
      </c>
      <c r="AR532" s="1" t="s">
        <v>286</v>
      </c>
      <c r="AS532" s="1"/>
      <c r="AT532" s="1" t="s">
        <v>5</v>
      </c>
    </row>
    <row r="533" spans="1:46" hidden="1" x14ac:dyDescent="0.4">
      <c r="A533" s="1" t="s">
        <v>8306</v>
      </c>
      <c r="B533" s="10"/>
      <c r="C533" s="1" t="s">
        <v>0</v>
      </c>
      <c r="D533" s="1" t="s">
        <v>2396</v>
      </c>
      <c r="E533" s="1" t="s">
        <v>2078</v>
      </c>
      <c r="F533" s="1" t="s">
        <v>14</v>
      </c>
      <c r="G533" s="1" t="s">
        <v>1</v>
      </c>
      <c r="H533" s="1" t="s">
        <v>6</v>
      </c>
      <c r="I533" s="1" t="s">
        <v>2</v>
      </c>
      <c r="J533" s="1" t="s">
        <v>3</v>
      </c>
      <c r="K533" s="1" t="s">
        <v>8307</v>
      </c>
      <c r="L533" s="1" t="s">
        <v>7</v>
      </c>
      <c r="M533" s="1"/>
      <c r="N533" s="1" t="s">
        <v>8308</v>
      </c>
      <c r="O533" s="1" t="s">
        <v>8275</v>
      </c>
      <c r="P533" s="1"/>
      <c r="Q533" s="1"/>
      <c r="R533" s="1" t="s">
        <v>11</v>
      </c>
      <c r="S533" s="1"/>
      <c r="T533" s="1"/>
      <c r="U533" s="1"/>
      <c r="V533" s="1"/>
      <c r="W533" s="1" t="s">
        <v>8277</v>
      </c>
      <c r="X533" s="1"/>
      <c r="Y533" s="1"/>
      <c r="Z533" s="1"/>
      <c r="AA533" s="1"/>
      <c r="AB533" s="1" t="s">
        <v>8309</v>
      </c>
      <c r="AC533" s="1"/>
      <c r="AD533" s="1"/>
      <c r="AE533" s="1" t="s">
        <v>8279</v>
      </c>
      <c r="AF533" s="1"/>
      <c r="AG533" s="1"/>
      <c r="AH533" s="1" t="s">
        <v>8310</v>
      </c>
      <c r="AI533" s="1" t="s">
        <v>8311</v>
      </c>
      <c r="AJ533" s="1" t="s">
        <v>1835</v>
      </c>
      <c r="AK533" s="1" t="s">
        <v>1836</v>
      </c>
      <c r="AL533" s="1" t="s">
        <v>1837</v>
      </c>
      <c r="AM533" s="1" t="s">
        <v>1835</v>
      </c>
      <c r="AN533" s="1" t="s">
        <v>1836</v>
      </c>
      <c r="AO533" s="1" t="s">
        <v>1837</v>
      </c>
      <c r="AP533" s="2" t="s">
        <v>8312</v>
      </c>
      <c r="AQ533" s="2" t="s">
        <v>1154</v>
      </c>
      <c r="AR533" s="1" t="s">
        <v>286</v>
      </c>
      <c r="AS533" s="1"/>
      <c r="AT533" s="1" t="s">
        <v>5</v>
      </c>
    </row>
    <row r="534" spans="1:46" hidden="1" x14ac:dyDescent="0.4">
      <c r="A534" s="1" t="s">
        <v>8322</v>
      </c>
      <c r="B534" s="10"/>
      <c r="C534" s="1" t="s">
        <v>0</v>
      </c>
      <c r="D534" s="1" t="s">
        <v>2220</v>
      </c>
      <c r="E534" s="1" t="s">
        <v>2078</v>
      </c>
      <c r="F534" s="1" t="s">
        <v>14</v>
      </c>
      <c r="G534" s="1" t="s">
        <v>1</v>
      </c>
      <c r="H534" s="1" t="s">
        <v>6</v>
      </c>
      <c r="I534" s="1" t="s">
        <v>2</v>
      </c>
      <c r="J534" s="1" t="s">
        <v>3</v>
      </c>
      <c r="K534" s="1" t="s">
        <v>8323</v>
      </c>
      <c r="L534" s="1" t="s">
        <v>7</v>
      </c>
      <c r="M534" s="1"/>
      <c r="N534" s="1" t="s">
        <v>8324</v>
      </c>
      <c r="O534" s="1" t="s">
        <v>8275</v>
      </c>
      <c r="P534" s="1"/>
      <c r="Q534" s="1"/>
      <c r="R534" s="1" t="s">
        <v>11</v>
      </c>
      <c r="S534" s="1"/>
      <c r="T534" s="1"/>
      <c r="U534" s="1"/>
      <c r="V534" s="1"/>
      <c r="W534" s="1" t="s">
        <v>8325</v>
      </c>
      <c r="X534" s="1" t="s">
        <v>8277</v>
      </c>
      <c r="Y534" s="1"/>
      <c r="Z534" s="1"/>
      <c r="AA534" s="1"/>
      <c r="AB534" s="1" t="s">
        <v>8326</v>
      </c>
      <c r="AC534" s="1"/>
      <c r="AD534" s="1"/>
      <c r="AE534" s="1" t="s">
        <v>8279</v>
      </c>
      <c r="AF534" s="1"/>
      <c r="AG534" s="1"/>
      <c r="AH534" s="1" t="s">
        <v>8327</v>
      </c>
      <c r="AI534" s="1" t="s">
        <v>8328</v>
      </c>
      <c r="AJ534" s="1" t="s">
        <v>1835</v>
      </c>
      <c r="AK534" s="1" t="s">
        <v>1836</v>
      </c>
      <c r="AL534" s="1" t="s">
        <v>1837</v>
      </c>
      <c r="AM534" s="1" t="s">
        <v>1835</v>
      </c>
      <c r="AN534" s="1" t="s">
        <v>1836</v>
      </c>
      <c r="AO534" s="1" t="s">
        <v>1837</v>
      </c>
      <c r="AP534" s="2" t="s">
        <v>8329</v>
      </c>
      <c r="AQ534" s="2" t="s">
        <v>1154</v>
      </c>
      <c r="AR534" s="1" t="s">
        <v>286</v>
      </c>
      <c r="AS534" s="1"/>
      <c r="AT534" s="1" t="s">
        <v>5</v>
      </c>
    </row>
    <row r="535" spans="1:46" hidden="1" x14ac:dyDescent="0.4">
      <c r="A535" s="1" t="s">
        <v>8272</v>
      </c>
      <c r="B535" s="10"/>
      <c r="C535" s="1" t="s">
        <v>0</v>
      </c>
      <c r="D535" s="1" t="s">
        <v>2220</v>
      </c>
      <c r="E535" s="1" t="s">
        <v>2078</v>
      </c>
      <c r="F535" s="1" t="s">
        <v>14</v>
      </c>
      <c r="G535" s="1" t="s">
        <v>1</v>
      </c>
      <c r="H535" s="1" t="s">
        <v>6</v>
      </c>
      <c r="I535" s="1" t="s">
        <v>2</v>
      </c>
      <c r="J535" s="1" t="s">
        <v>3</v>
      </c>
      <c r="K535" s="1" t="s">
        <v>8273</v>
      </c>
      <c r="L535" s="1" t="s">
        <v>4</v>
      </c>
      <c r="M535" s="1" t="s">
        <v>9</v>
      </c>
      <c r="N535" s="1" t="s">
        <v>8274</v>
      </c>
      <c r="O535" s="1" t="s">
        <v>8275</v>
      </c>
      <c r="P535" s="1"/>
      <c r="Q535" s="1"/>
      <c r="R535" s="1" t="s">
        <v>11</v>
      </c>
      <c r="S535" s="1"/>
      <c r="T535" s="1"/>
      <c r="U535" s="1"/>
      <c r="V535" s="1"/>
      <c r="W535" s="1" t="s">
        <v>8276</v>
      </c>
      <c r="X535" s="1" t="s">
        <v>8277</v>
      </c>
      <c r="Y535" s="1"/>
      <c r="Z535" s="1"/>
      <c r="AA535" s="1"/>
      <c r="AB535" s="1" t="s">
        <v>8278</v>
      </c>
      <c r="AC535" s="1"/>
      <c r="AD535" s="1"/>
      <c r="AE535" s="1" t="s">
        <v>8279</v>
      </c>
      <c r="AF535" s="1"/>
      <c r="AG535" s="1"/>
      <c r="AH535" s="1" t="s">
        <v>8280</v>
      </c>
      <c r="AI535" s="1" t="s">
        <v>8281</v>
      </c>
      <c r="AJ535" s="1" t="s">
        <v>1835</v>
      </c>
      <c r="AK535" s="1" t="s">
        <v>1836</v>
      </c>
      <c r="AL535" s="1" t="s">
        <v>1837</v>
      </c>
      <c r="AM535" s="1" t="s">
        <v>1835</v>
      </c>
      <c r="AN535" s="1" t="s">
        <v>1836</v>
      </c>
      <c r="AO535" s="1" t="s">
        <v>1837</v>
      </c>
      <c r="AP535" s="2" t="s">
        <v>8282</v>
      </c>
      <c r="AQ535" s="2" t="s">
        <v>1154</v>
      </c>
      <c r="AR535" s="1" t="s">
        <v>286</v>
      </c>
      <c r="AS535" s="1"/>
      <c r="AT535" s="1" t="s">
        <v>5</v>
      </c>
    </row>
    <row r="536" spans="1:46" hidden="1" x14ac:dyDescent="0.4">
      <c r="A536" s="1" t="s">
        <v>10475</v>
      </c>
      <c r="B536" s="10"/>
      <c r="C536" s="1" t="s">
        <v>0</v>
      </c>
      <c r="D536" s="1" t="s">
        <v>2688</v>
      </c>
      <c r="E536" s="1" t="s">
        <v>3289</v>
      </c>
      <c r="F536" s="1" t="s">
        <v>2690</v>
      </c>
      <c r="G536" s="1" t="s">
        <v>1</v>
      </c>
      <c r="H536" s="1" t="s">
        <v>6</v>
      </c>
      <c r="I536" s="1" t="s">
        <v>2</v>
      </c>
      <c r="J536" s="1" t="s">
        <v>3</v>
      </c>
      <c r="K536" s="1" t="s">
        <v>10476</v>
      </c>
      <c r="L536" s="1" t="s">
        <v>4</v>
      </c>
      <c r="M536" s="1" t="s">
        <v>9</v>
      </c>
      <c r="N536" s="1" t="s">
        <v>10477</v>
      </c>
      <c r="O536" s="1" t="s">
        <v>10478</v>
      </c>
      <c r="P536" s="1"/>
      <c r="Q536" s="1"/>
      <c r="R536" s="1" t="s">
        <v>11</v>
      </c>
      <c r="S536" s="1"/>
      <c r="T536" s="1"/>
      <c r="U536" s="1"/>
      <c r="V536" s="1"/>
      <c r="W536" s="1"/>
      <c r="X536" s="1"/>
      <c r="Y536" s="1"/>
      <c r="Z536" s="1"/>
      <c r="AA536" s="1"/>
      <c r="AB536" s="1" t="s">
        <v>10479</v>
      </c>
      <c r="AC536" s="1"/>
      <c r="AD536" s="1"/>
      <c r="AE536" s="1" t="s">
        <v>10480</v>
      </c>
      <c r="AF536" s="1"/>
      <c r="AG536" s="1"/>
      <c r="AH536" s="1" t="s">
        <v>10481</v>
      </c>
      <c r="AI536" s="1"/>
      <c r="AJ536" s="1" t="s">
        <v>2097</v>
      </c>
      <c r="AK536" s="1" t="s">
        <v>511</v>
      </c>
      <c r="AL536" s="1" t="s">
        <v>10482</v>
      </c>
      <c r="AM536" s="1" t="s">
        <v>10483</v>
      </c>
      <c r="AN536" s="1" t="s">
        <v>511</v>
      </c>
      <c r="AO536" s="1" t="s">
        <v>10484</v>
      </c>
      <c r="AP536" s="2" t="s">
        <v>10485</v>
      </c>
      <c r="AQ536" s="2" t="s">
        <v>1155</v>
      </c>
      <c r="AR536" s="1" t="s">
        <v>286</v>
      </c>
      <c r="AS536" s="1" t="s">
        <v>10486</v>
      </c>
      <c r="AT536" s="1" t="s">
        <v>5</v>
      </c>
    </row>
    <row r="537" spans="1:46" hidden="1" x14ac:dyDescent="0.4">
      <c r="A537" s="1" t="s">
        <v>4321</v>
      </c>
      <c r="B537" s="10"/>
      <c r="C537" s="1" t="s">
        <v>2841</v>
      </c>
      <c r="D537" s="1" t="s">
        <v>2157</v>
      </c>
      <c r="E537" s="1" t="s">
        <v>2078</v>
      </c>
      <c r="F537" s="1" t="s">
        <v>14</v>
      </c>
      <c r="G537" s="1" t="s">
        <v>1</v>
      </c>
      <c r="H537" s="1" t="s">
        <v>6</v>
      </c>
      <c r="I537" s="1" t="s">
        <v>2</v>
      </c>
      <c r="J537" s="1" t="s">
        <v>2842</v>
      </c>
      <c r="K537" s="1" t="s">
        <v>4322</v>
      </c>
      <c r="L537" s="1" t="s">
        <v>4</v>
      </c>
      <c r="M537" s="1"/>
      <c r="N537" s="1" t="s">
        <v>4323</v>
      </c>
      <c r="O537" s="1" t="s">
        <v>2238</v>
      </c>
      <c r="P537" s="1"/>
      <c r="Q537" s="1"/>
      <c r="R537" s="1" t="s">
        <v>11</v>
      </c>
      <c r="S537" s="1"/>
      <c r="T537" s="1"/>
      <c r="U537" s="1"/>
      <c r="V537" s="1"/>
      <c r="W537" s="1"/>
      <c r="X537" s="1" t="s">
        <v>4324</v>
      </c>
      <c r="Y537" s="1"/>
      <c r="Z537" s="1"/>
      <c r="AA537" s="1"/>
      <c r="AB537" s="1" t="s">
        <v>4325</v>
      </c>
      <c r="AC537" s="1"/>
      <c r="AD537" s="1"/>
      <c r="AE537" s="1"/>
      <c r="AF537" s="1"/>
      <c r="AG537" s="1"/>
      <c r="AH537" s="1" t="s">
        <v>4326</v>
      </c>
      <c r="AI537" s="1"/>
      <c r="AJ537" s="1" t="s">
        <v>4327</v>
      </c>
      <c r="AK537" s="1" t="s">
        <v>3471</v>
      </c>
      <c r="AL537" s="1" t="s">
        <v>4328</v>
      </c>
      <c r="AM537" s="1" t="s">
        <v>4327</v>
      </c>
      <c r="AN537" s="1" t="s">
        <v>3471</v>
      </c>
      <c r="AO537" s="1" t="s">
        <v>4328</v>
      </c>
      <c r="AP537" s="2" t="s">
        <v>4329</v>
      </c>
      <c r="AQ537" s="2" t="s">
        <v>1153</v>
      </c>
      <c r="AR537" s="1" t="s">
        <v>286</v>
      </c>
      <c r="AS537" s="1"/>
      <c r="AT537" s="1" t="s">
        <v>5</v>
      </c>
    </row>
    <row r="538" spans="1:46" hidden="1" x14ac:dyDescent="0.4">
      <c r="A538" s="1" t="s">
        <v>2146</v>
      </c>
      <c r="B538" s="10"/>
      <c r="C538" s="1" t="s">
        <v>0</v>
      </c>
      <c r="D538" s="1" t="s">
        <v>2076</v>
      </c>
      <c r="E538" s="1" t="s">
        <v>2078</v>
      </c>
      <c r="F538" s="1" t="s">
        <v>14</v>
      </c>
      <c r="G538" s="1" t="s">
        <v>1</v>
      </c>
      <c r="H538" s="1" t="s">
        <v>6</v>
      </c>
      <c r="I538" s="1" t="s">
        <v>2</v>
      </c>
      <c r="J538" s="1" t="s">
        <v>3</v>
      </c>
      <c r="K538" s="1" t="s">
        <v>2147</v>
      </c>
      <c r="L538" s="1" t="s">
        <v>7</v>
      </c>
      <c r="M538" s="1"/>
      <c r="N538" s="1" t="s">
        <v>11980</v>
      </c>
      <c r="O538" s="1" t="s">
        <v>4041</v>
      </c>
      <c r="P538" s="1"/>
      <c r="Q538" s="1" t="s">
        <v>12</v>
      </c>
      <c r="R538" s="1" t="s">
        <v>11</v>
      </c>
      <c r="S538" s="1"/>
      <c r="T538" s="1" t="s">
        <v>12</v>
      </c>
      <c r="U538" s="1" t="s">
        <v>11</v>
      </c>
      <c r="V538" s="1"/>
      <c r="W538" s="1" t="s">
        <v>11973</v>
      </c>
      <c r="X538" s="1" t="s">
        <v>11974</v>
      </c>
      <c r="Y538" s="1"/>
      <c r="Z538" s="1"/>
      <c r="AA538" s="1"/>
      <c r="AB538" s="1" t="s">
        <v>11981</v>
      </c>
      <c r="AC538" s="1"/>
      <c r="AD538" s="1"/>
      <c r="AE538" s="1" t="s">
        <v>2149</v>
      </c>
      <c r="AF538" s="1"/>
      <c r="AG538" s="1"/>
      <c r="AH538" s="1" t="s">
        <v>11982</v>
      </c>
      <c r="AI538" s="1"/>
      <c r="AJ538" s="1" t="s">
        <v>2148</v>
      </c>
      <c r="AK538" s="1" t="s">
        <v>11977</v>
      </c>
      <c r="AL538" s="1" t="s">
        <v>11978</v>
      </c>
      <c r="AM538" s="1" t="s">
        <v>2148</v>
      </c>
      <c r="AN538" s="1" t="s">
        <v>11977</v>
      </c>
      <c r="AO538" s="1" t="s">
        <v>11978</v>
      </c>
      <c r="AP538" s="2" t="s">
        <v>11983</v>
      </c>
      <c r="AQ538" s="2" t="s">
        <v>1156</v>
      </c>
      <c r="AR538" s="1" t="s">
        <v>286</v>
      </c>
      <c r="AS538" s="1" t="s">
        <v>11873</v>
      </c>
      <c r="AT538" s="1" t="s">
        <v>5</v>
      </c>
    </row>
    <row r="539" spans="1:46" hidden="1" x14ac:dyDescent="0.4">
      <c r="A539" s="1" t="s">
        <v>2153</v>
      </c>
      <c r="B539" s="10"/>
      <c r="C539" s="1" t="s">
        <v>0</v>
      </c>
      <c r="D539" s="1" t="s">
        <v>2076</v>
      </c>
      <c r="E539" s="1" t="s">
        <v>2078</v>
      </c>
      <c r="F539" s="1" t="s">
        <v>14</v>
      </c>
      <c r="G539" s="1" t="s">
        <v>1</v>
      </c>
      <c r="H539" s="1" t="s">
        <v>6</v>
      </c>
      <c r="I539" s="1" t="s">
        <v>2</v>
      </c>
      <c r="J539" s="1" t="s">
        <v>3</v>
      </c>
      <c r="K539" s="1" t="s">
        <v>2154</v>
      </c>
      <c r="L539" s="1" t="s">
        <v>7</v>
      </c>
      <c r="M539" s="1"/>
      <c r="N539" s="1" t="s">
        <v>11984</v>
      </c>
      <c r="O539" s="1" t="s">
        <v>4041</v>
      </c>
      <c r="P539" s="1"/>
      <c r="Q539" s="1" t="s">
        <v>12</v>
      </c>
      <c r="R539" s="1" t="s">
        <v>11</v>
      </c>
      <c r="S539" s="1"/>
      <c r="T539" s="1" t="s">
        <v>12</v>
      </c>
      <c r="U539" s="1" t="s">
        <v>11</v>
      </c>
      <c r="V539" s="1"/>
      <c r="W539" s="1" t="s">
        <v>11985</v>
      </c>
      <c r="X539" s="1" t="s">
        <v>11974</v>
      </c>
      <c r="Y539" s="1"/>
      <c r="Z539" s="1"/>
      <c r="AA539" s="1"/>
      <c r="AB539" s="1" t="s">
        <v>11986</v>
      </c>
      <c r="AC539" s="1"/>
      <c r="AD539" s="1"/>
      <c r="AE539" s="1" t="s">
        <v>2155</v>
      </c>
      <c r="AF539" s="1"/>
      <c r="AG539" s="1"/>
      <c r="AH539" s="1" t="s">
        <v>11987</v>
      </c>
      <c r="AI539" s="1"/>
      <c r="AJ539" s="1" t="s">
        <v>2148</v>
      </c>
      <c r="AK539" s="1" t="s">
        <v>11977</v>
      </c>
      <c r="AL539" s="1" t="s">
        <v>11978</v>
      </c>
      <c r="AM539" s="1" t="s">
        <v>2148</v>
      </c>
      <c r="AN539" s="1" t="s">
        <v>11977</v>
      </c>
      <c r="AO539" s="1" t="s">
        <v>11978</v>
      </c>
      <c r="AP539" s="2" t="s">
        <v>11988</v>
      </c>
      <c r="AQ539" s="2" t="s">
        <v>1156</v>
      </c>
      <c r="AR539" s="1" t="s">
        <v>286</v>
      </c>
      <c r="AS539" s="1" t="s">
        <v>11989</v>
      </c>
      <c r="AT539" s="1" t="s">
        <v>5</v>
      </c>
    </row>
    <row r="540" spans="1:46" hidden="1" x14ac:dyDescent="0.4">
      <c r="A540" s="1" t="s">
        <v>2150</v>
      </c>
      <c r="B540" s="10"/>
      <c r="C540" s="1" t="s">
        <v>0</v>
      </c>
      <c r="D540" s="1" t="s">
        <v>2076</v>
      </c>
      <c r="E540" s="1" t="s">
        <v>2078</v>
      </c>
      <c r="F540" s="1" t="s">
        <v>14</v>
      </c>
      <c r="G540" s="1" t="s">
        <v>1</v>
      </c>
      <c r="H540" s="1" t="s">
        <v>6</v>
      </c>
      <c r="I540" s="1" t="s">
        <v>2</v>
      </c>
      <c r="J540" s="1" t="s">
        <v>3</v>
      </c>
      <c r="K540" s="1" t="s">
        <v>2151</v>
      </c>
      <c r="L540" s="1" t="s">
        <v>7</v>
      </c>
      <c r="M540" s="1"/>
      <c r="N540" s="1" t="s">
        <v>11972</v>
      </c>
      <c r="O540" s="1" t="s">
        <v>4041</v>
      </c>
      <c r="P540" s="1"/>
      <c r="Q540" s="1" t="s">
        <v>12</v>
      </c>
      <c r="R540" s="1" t="s">
        <v>11</v>
      </c>
      <c r="S540" s="1"/>
      <c r="T540" s="1" t="s">
        <v>12</v>
      </c>
      <c r="U540" s="1" t="s">
        <v>11</v>
      </c>
      <c r="V540" s="1"/>
      <c r="W540" s="1" t="s">
        <v>11973</v>
      </c>
      <c r="X540" s="1" t="s">
        <v>11974</v>
      </c>
      <c r="Y540" s="1"/>
      <c r="Z540" s="1"/>
      <c r="AA540" s="1"/>
      <c r="AB540" s="1" t="s">
        <v>11975</v>
      </c>
      <c r="AC540" s="1"/>
      <c r="AD540" s="1"/>
      <c r="AE540" s="1" t="s">
        <v>2152</v>
      </c>
      <c r="AF540" s="1"/>
      <c r="AG540" s="1"/>
      <c r="AH540" s="1" t="s">
        <v>11976</v>
      </c>
      <c r="AI540" s="1"/>
      <c r="AJ540" s="1" t="s">
        <v>2148</v>
      </c>
      <c r="AK540" s="1" t="s">
        <v>11977</v>
      </c>
      <c r="AL540" s="1" t="s">
        <v>11978</v>
      </c>
      <c r="AM540" s="1" t="s">
        <v>2148</v>
      </c>
      <c r="AN540" s="1" t="s">
        <v>11977</v>
      </c>
      <c r="AO540" s="1" t="s">
        <v>11978</v>
      </c>
      <c r="AP540" s="2" t="s">
        <v>11979</v>
      </c>
      <c r="AQ540" s="2" t="s">
        <v>1156</v>
      </c>
      <c r="AR540" s="1" t="s">
        <v>286</v>
      </c>
      <c r="AS540" s="1" t="s">
        <v>11956</v>
      </c>
      <c r="AT540" s="1" t="s">
        <v>5</v>
      </c>
    </row>
    <row r="541" spans="1:46" hidden="1" x14ac:dyDescent="0.4">
      <c r="A541" s="1" t="s">
        <v>7504</v>
      </c>
      <c r="B541" s="10"/>
      <c r="C541" s="1" t="s">
        <v>93</v>
      </c>
      <c r="D541" s="1" t="s">
        <v>2157</v>
      </c>
      <c r="E541" s="1" t="s">
        <v>2078</v>
      </c>
      <c r="F541" s="1" t="s">
        <v>14</v>
      </c>
      <c r="G541" s="1" t="s">
        <v>1</v>
      </c>
      <c r="H541" s="1" t="s">
        <v>6</v>
      </c>
      <c r="I541" s="1" t="s">
        <v>2</v>
      </c>
      <c r="J541" s="1" t="s">
        <v>3</v>
      </c>
      <c r="K541" s="1" t="s">
        <v>7505</v>
      </c>
      <c r="L541" s="1" t="s">
        <v>7</v>
      </c>
      <c r="M541" s="1"/>
      <c r="N541" s="1" t="s">
        <v>7506</v>
      </c>
      <c r="O541" s="1" t="s">
        <v>7507</v>
      </c>
      <c r="P541" s="1"/>
      <c r="Q541" s="1"/>
      <c r="R541" s="1" t="s">
        <v>11</v>
      </c>
      <c r="S541" s="1"/>
      <c r="T541" s="1"/>
      <c r="U541" s="1"/>
      <c r="V541" s="1"/>
      <c r="W541" s="1"/>
      <c r="X541" s="1"/>
      <c r="Y541" s="1"/>
      <c r="Z541" s="1"/>
      <c r="AA541" s="1"/>
      <c r="AB541" s="1" t="s">
        <v>7508</v>
      </c>
      <c r="AC541" s="1"/>
      <c r="AD541" s="1"/>
      <c r="AE541" s="1" t="s">
        <v>7509</v>
      </c>
      <c r="AF541" s="1"/>
      <c r="AG541" s="1"/>
      <c r="AH541" s="1" t="s">
        <v>7510</v>
      </c>
      <c r="AI541" s="1"/>
      <c r="AJ541" s="1" t="s">
        <v>7511</v>
      </c>
      <c r="AK541" s="1" t="s">
        <v>1787</v>
      </c>
      <c r="AL541" s="1" t="s">
        <v>7512</v>
      </c>
      <c r="AM541" s="1" t="s">
        <v>7513</v>
      </c>
      <c r="AN541" s="1" t="s">
        <v>1787</v>
      </c>
      <c r="AO541" s="1" t="s">
        <v>7514</v>
      </c>
      <c r="AP541" s="2" t="s">
        <v>7515</v>
      </c>
      <c r="AQ541" s="2" t="s">
        <v>1154</v>
      </c>
      <c r="AR541" s="1" t="s">
        <v>286</v>
      </c>
      <c r="AS541" s="1"/>
      <c r="AT541" s="1" t="s">
        <v>5</v>
      </c>
    </row>
    <row r="542" spans="1:46" hidden="1" x14ac:dyDescent="0.4">
      <c r="A542" s="1" t="s">
        <v>7516</v>
      </c>
      <c r="B542" s="10"/>
      <c r="C542" s="1" t="s">
        <v>93</v>
      </c>
      <c r="D542" s="1" t="s">
        <v>2157</v>
      </c>
      <c r="E542" s="1" t="s">
        <v>2078</v>
      </c>
      <c r="F542" s="1" t="s">
        <v>14</v>
      </c>
      <c r="G542" s="1" t="s">
        <v>1</v>
      </c>
      <c r="H542" s="1" t="s">
        <v>6</v>
      </c>
      <c r="I542" s="1" t="s">
        <v>2</v>
      </c>
      <c r="J542" s="1" t="s">
        <v>3</v>
      </c>
      <c r="K542" s="1" t="s">
        <v>7517</v>
      </c>
      <c r="L542" s="1" t="s">
        <v>7</v>
      </c>
      <c r="M542" s="1"/>
      <c r="N542" s="1" t="s">
        <v>7518</v>
      </c>
      <c r="O542" s="1" t="s">
        <v>7507</v>
      </c>
      <c r="P542" s="1"/>
      <c r="Q542" s="1"/>
      <c r="R542" s="1" t="s">
        <v>11</v>
      </c>
      <c r="S542" s="1"/>
      <c r="T542" s="1"/>
      <c r="U542" s="1"/>
      <c r="V542" s="1"/>
      <c r="W542" s="1"/>
      <c r="X542" s="1"/>
      <c r="Y542" s="1"/>
      <c r="Z542" s="1"/>
      <c r="AA542" s="1"/>
      <c r="AB542" s="1" t="s">
        <v>7519</v>
      </c>
      <c r="AC542" s="1"/>
      <c r="AD542" s="1"/>
      <c r="AE542" s="1" t="s">
        <v>7509</v>
      </c>
      <c r="AF542" s="1"/>
      <c r="AG542" s="1"/>
      <c r="AH542" s="1" t="s">
        <v>7520</v>
      </c>
      <c r="AI542" s="1"/>
      <c r="AJ542" s="1" t="s">
        <v>7511</v>
      </c>
      <c r="AK542" s="1" t="s">
        <v>1787</v>
      </c>
      <c r="AL542" s="1" t="s">
        <v>7512</v>
      </c>
      <c r="AM542" s="1" t="s">
        <v>7513</v>
      </c>
      <c r="AN542" s="1" t="s">
        <v>1787</v>
      </c>
      <c r="AO542" s="1" t="s">
        <v>7514</v>
      </c>
      <c r="AP542" s="2" t="s">
        <v>7521</v>
      </c>
      <c r="AQ542" s="2" t="s">
        <v>1154</v>
      </c>
      <c r="AR542" s="1" t="s">
        <v>286</v>
      </c>
      <c r="AS542" s="1" t="s">
        <v>7522</v>
      </c>
      <c r="AT542" s="1" t="s">
        <v>5</v>
      </c>
    </row>
    <row r="543" spans="1:46" hidden="1" x14ac:dyDescent="0.4">
      <c r="A543" s="1" t="s">
        <v>11790</v>
      </c>
      <c r="B543" s="10"/>
      <c r="C543" s="1" t="s">
        <v>2841</v>
      </c>
      <c r="D543" s="1" t="s">
        <v>2076</v>
      </c>
      <c r="E543" s="1" t="s">
        <v>2078</v>
      </c>
      <c r="F543" s="1" t="s">
        <v>14</v>
      </c>
      <c r="G543" s="1" t="s">
        <v>1</v>
      </c>
      <c r="H543" s="1" t="s">
        <v>6</v>
      </c>
      <c r="I543" s="1" t="s">
        <v>2</v>
      </c>
      <c r="J543" s="1" t="s">
        <v>2842</v>
      </c>
      <c r="K543" s="1" t="s">
        <v>11791</v>
      </c>
      <c r="L543" s="1" t="s">
        <v>7</v>
      </c>
      <c r="M543" s="1"/>
      <c r="N543" s="1" t="s">
        <v>11792</v>
      </c>
      <c r="O543" s="1" t="s">
        <v>10523</v>
      </c>
      <c r="P543" s="1"/>
      <c r="Q543" s="1" t="s">
        <v>12</v>
      </c>
      <c r="R543" s="1" t="s">
        <v>11</v>
      </c>
      <c r="S543" s="1"/>
      <c r="T543" s="1" t="s">
        <v>12</v>
      </c>
      <c r="U543" s="1" t="s">
        <v>11</v>
      </c>
      <c r="V543" s="1"/>
      <c r="W543" s="1" t="s">
        <v>10525</v>
      </c>
      <c r="X543" s="1"/>
      <c r="Y543" s="1"/>
      <c r="Z543" s="1"/>
      <c r="AA543" s="1"/>
      <c r="AB543" s="1" t="s">
        <v>11793</v>
      </c>
      <c r="AC543" s="1"/>
      <c r="AD543" s="1"/>
      <c r="AE543" s="1"/>
      <c r="AF543" s="1"/>
      <c r="AG543" s="1"/>
      <c r="AH543" s="1" t="s">
        <v>11794</v>
      </c>
      <c r="AI543" s="1"/>
      <c r="AJ543" s="1" t="s">
        <v>4327</v>
      </c>
      <c r="AK543" s="1" t="s">
        <v>8473</v>
      </c>
      <c r="AL543" s="1" t="s">
        <v>4328</v>
      </c>
      <c r="AM543" s="1" t="s">
        <v>4327</v>
      </c>
      <c r="AN543" s="1" t="s">
        <v>8473</v>
      </c>
      <c r="AO543" s="1" t="s">
        <v>4328</v>
      </c>
      <c r="AP543" s="2" t="s">
        <v>11795</v>
      </c>
      <c r="AQ543" s="2" t="s">
        <v>1156</v>
      </c>
      <c r="AR543" s="1" t="s">
        <v>286</v>
      </c>
      <c r="AS543" s="1" t="s">
        <v>11759</v>
      </c>
      <c r="AT543" s="1" t="s">
        <v>5</v>
      </c>
    </row>
    <row r="544" spans="1:46" hidden="1" x14ac:dyDescent="0.4">
      <c r="A544" s="1" t="s">
        <v>11233</v>
      </c>
      <c r="B544" s="10"/>
      <c r="C544" s="1" t="s">
        <v>2841</v>
      </c>
      <c r="D544" s="1" t="s">
        <v>2211</v>
      </c>
      <c r="E544" s="1" t="s">
        <v>2078</v>
      </c>
      <c r="F544" s="1" t="s">
        <v>14</v>
      </c>
      <c r="G544" s="1" t="s">
        <v>1</v>
      </c>
      <c r="H544" s="1" t="s">
        <v>6</v>
      </c>
      <c r="I544" s="1" t="s">
        <v>2</v>
      </c>
      <c r="J544" s="1" t="s">
        <v>2842</v>
      </c>
      <c r="K544" s="1" t="s">
        <v>11234</v>
      </c>
      <c r="L544" s="1" t="s">
        <v>7</v>
      </c>
      <c r="M544" s="1"/>
      <c r="N544" s="1" t="s">
        <v>11235</v>
      </c>
      <c r="O544" s="1" t="s">
        <v>6067</v>
      </c>
      <c r="P544" s="1"/>
      <c r="Q544" s="1"/>
      <c r="R544" s="1" t="s">
        <v>11</v>
      </c>
      <c r="S544" s="1"/>
      <c r="T544" s="1"/>
      <c r="U544" s="1"/>
      <c r="V544" s="1"/>
      <c r="W544" s="1" t="s">
        <v>11236</v>
      </c>
      <c r="X544" s="1" t="s">
        <v>11237</v>
      </c>
      <c r="Y544" s="1"/>
      <c r="Z544" s="1"/>
      <c r="AA544" s="1"/>
      <c r="AB544" s="1" t="s">
        <v>11238</v>
      </c>
      <c r="AC544" s="1"/>
      <c r="AD544" s="1"/>
      <c r="AE544" s="1" t="s">
        <v>11239</v>
      </c>
      <c r="AF544" s="1"/>
      <c r="AG544" s="1"/>
      <c r="AH544" s="1" t="s">
        <v>11240</v>
      </c>
      <c r="AI544" s="1"/>
      <c r="AJ544" s="1" t="s">
        <v>4327</v>
      </c>
      <c r="AK544" s="1" t="s">
        <v>8473</v>
      </c>
      <c r="AL544" s="1" t="s">
        <v>4328</v>
      </c>
      <c r="AM544" s="1" t="s">
        <v>4327</v>
      </c>
      <c r="AN544" s="1" t="s">
        <v>8473</v>
      </c>
      <c r="AO544" s="1" t="s">
        <v>4328</v>
      </c>
      <c r="AP544" s="2" t="s">
        <v>11241</v>
      </c>
      <c r="AQ544" s="2" t="s">
        <v>1155</v>
      </c>
      <c r="AR544" s="1" t="s">
        <v>286</v>
      </c>
      <c r="AS544" s="1" t="s">
        <v>11242</v>
      </c>
      <c r="AT544" s="1" t="s">
        <v>5</v>
      </c>
    </row>
    <row r="545" spans="1:46" hidden="1" x14ac:dyDescent="0.4">
      <c r="A545" s="1" t="s">
        <v>2812</v>
      </c>
      <c r="B545" s="10"/>
      <c r="C545" s="1" t="s">
        <v>2705</v>
      </c>
      <c r="D545" s="1" t="s">
        <v>2157</v>
      </c>
      <c r="E545" s="1" t="s">
        <v>2078</v>
      </c>
      <c r="F545" s="1" t="s">
        <v>14</v>
      </c>
      <c r="G545" s="1" t="s">
        <v>1</v>
      </c>
      <c r="H545" s="1" t="s">
        <v>6</v>
      </c>
      <c r="I545" s="1" t="s">
        <v>2</v>
      </c>
      <c r="J545" s="1" t="s">
        <v>2813</v>
      </c>
      <c r="K545" s="1" t="s">
        <v>2814</v>
      </c>
      <c r="L545" s="1" t="s">
        <v>4</v>
      </c>
      <c r="M545" s="1" t="s">
        <v>9</v>
      </c>
      <c r="N545" s="1" t="s">
        <v>2815</v>
      </c>
      <c r="O545" s="1" t="s">
        <v>2648</v>
      </c>
      <c r="P545" s="1" t="s">
        <v>2816</v>
      </c>
      <c r="Q545" s="1"/>
      <c r="R545" s="1" t="s">
        <v>11</v>
      </c>
      <c r="S545" s="1"/>
      <c r="T545" s="1"/>
      <c r="U545" s="1"/>
      <c r="V545" s="1"/>
      <c r="W545" s="1"/>
      <c r="X545" s="1" t="s">
        <v>2817</v>
      </c>
      <c r="Y545" s="1"/>
      <c r="Z545" s="1"/>
      <c r="AA545" s="1"/>
      <c r="AB545" s="1" t="s">
        <v>2818</v>
      </c>
      <c r="AC545" s="1"/>
      <c r="AD545" s="1"/>
      <c r="AE545" s="1" t="s">
        <v>2819</v>
      </c>
      <c r="AF545" s="1"/>
      <c r="AG545" s="1"/>
      <c r="AH545" s="1" t="s">
        <v>2820</v>
      </c>
      <c r="AI545" s="1"/>
      <c r="AJ545" s="1" t="s">
        <v>2821</v>
      </c>
      <c r="AK545" s="1" t="s">
        <v>2822</v>
      </c>
      <c r="AL545" s="1"/>
      <c r="AM545" s="1" t="s">
        <v>2823</v>
      </c>
      <c r="AN545" s="1" t="s">
        <v>2824</v>
      </c>
      <c r="AO545" s="1"/>
      <c r="AP545" s="2" t="s">
        <v>2825</v>
      </c>
      <c r="AQ545" s="2" t="s">
        <v>1077</v>
      </c>
      <c r="AR545" s="1"/>
      <c r="AS545" s="1"/>
      <c r="AT545" s="1" t="s">
        <v>5</v>
      </c>
    </row>
    <row r="546" spans="1:46" hidden="1" x14ac:dyDescent="0.4">
      <c r="A546" s="1" t="s">
        <v>3704</v>
      </c>
      <c r="B546" s="10"/>
      <c r="C546" s="1" t="s">
        <v>2454</v>
      </c>
      <c r="D546" s="1" t="s">
        <v>2076</v>
      </c>
      <c r="E546" s="1" t="s">
        <v>13</v>
      </c>
      <c r="F546" s="1" t="s">
        <v>14</v>
      </c>
      <c r="G546" s="1" t="s">
        <v>1</v>
      </c>
      <c r="H546" s="1" t="s">
        <v>6</v>
      </c>
      <c r="I546" s="1" t="s">
        <v>2</v>
      </c>
      <c r="J546" s="1" t="s">
        <v>3676</v>
      </c>
      <c r="K546" s="1" t="s">
        <v>3705</v>
      </c>
      <c r="L546" s="1" t="s">
        <v>4</v>
      </c>
      <c r="M546" s="1"/>
      <c r="N546" s="1" t="s">
        <v>3706</v>
      </c>
      <c r="O546" s="1" t="s">
        <v>2238</v>
      </c>
      <c r="P546" s="1"/>
      <c r="Q546" s="1"/>
      <c r="R546" s="1" t="s">
        <v>11</v>
      </c>
      <c r="S546" s="1"/>
      <c r="T546" s="1"/>
      <c r="U546" s="1"/>
      <c r="V546" s="1"/>
      <c r="W546" s="1" t="s">
        <v>3707</v>
      </c>
      <c r="X546" s="1"/>
      <c r="Y546" s="1"/>
      <c r="Z546" s="1"/>
      <c r="AA546" s="1"/>
      <c r="AB546" s="1" t="s">
        <v>3708</v>
      </c>
      <c r="AC546" s="1"/>
      <c r="AD546" s="1"/>
      <c r="AE546" s="1"/>
      <c r="AF546" s="1"/>
      <c r="AG546" s="1"/>
      <c r="AH546" s="1" t="s">
        <v>3709</v>
      </c>
      <c r="AI546" s="1"/>
      <c r="AJ546" s="1" t="s">
        <v>3682</v>
      </c>
      <c r="AK546" s="1" t="s">
        <v>3106</v>
      </c>
      <c r="AL546" s="1" t="s">
        <v>3683</v>
      </c>
      <c r="AM546" s="1" t="s">
        <v>3682</v>
      </c>
      <c r="AN546" s="1" t="s">
        <v>3106</v>
      </c>
      <c r="AO546" s="1" t="s">
        <v>3683</v>
      </c>
      <c r="AP546" s="2" t="s">
        <v>3691</v>
      </c>
      <c r="AQ546" s="2" t="s">
        <v>1153</v>
      </c>
      <c r="AR546" s="1"/>
      <c r="AS546" s="1"/>
      <c r="AT546" s="1" t="s">
        <v>5</v>
      </c>
    </row>
    <row r="547" spans="1:46" hidden="1" x14ac:dyDescent="0.4">
      <c r="A547" s="1" t="s">
        <v>9353</v>
      </c>
      <c r="B547" s="10"/>
      <c r="C547" s="1" t="s">
        <v>2705</v>
      </c>
      <c r="D547" s="1" t="s">
        <v>2076</v>
      </c>
      <c r="E547" s="1" t="s">
        <v>13</v>
      </c>
      <c r="F547" s="1" t="s">
        <v>14</v>
      </c>
      <c r="G547" s="1" t="s">
        <v>1</v>
      </c>
      <c r="H547" s="1" t="s">
        <v>6</v>
      </c>
      <c r="I547" s="1" t="s">
        <v>2</v>
      </c>
      <c r="J547" s="1" t="s">
        <v>2813</v>
      </c>
      <c r="K547" s="1" t="s">
        <v>9354</v>
      </c>
      <c r="L547" s="1" t="s">
        <v>4</v>
      </c>
      <c r="M547" s="1" t="s">
        <v>9</v>
      </c>
      <c r="N547" s="1" t="s">
        <v>9355</v>
      </c>
      <c r="O547" s="1" t="s">
        <v>2648</v>
      </c>
      <c r="P547" s="1" t="s">
        <v>9356</v>
      </c>
      <c r="Q547" s="1"/>
      <c r="R547" s="1" t="s">
        <v>11</v>
      </c>
      <c r="S547" s="1"/>
      <c r="T547" s="1"/>
      <c r="U547" s="1"/>
      <c r="V547" s="1"/>
      <c r="W547" s="1"/>
      <c r="X547" s="1" t="s">
        <v>9357</v>
      </c>
      <c r="Y547" s="1"/>
      <c r="Z547" s="1"/>
      <c r="AA547" s="1"/>
      <c r="AB547" s="1" t="s">
        <v>9358</v>
      </c>
      <c r="AC547" s="1"/>
      <c r="AD547" s="1"/>
      <c r="AE547" s="1" t="s">
        <v>9359</v>
      </c>
      <c r="AF547" s="1"/>
      <c r="AG547" s="1"/>
      <c r="AH547" s="1" t="s">
        <v>9360</v>
      </c>
      <c r="AI547" s="1"/>
      <c r="AJ547" s="1" t="s">
        <v>9361</v>
      </c>
      <c r="AK547" s="1" t="s">
        <v>9362</v>
      </c>
      <c r="AL547" s="1" t="s">
        <v>9363</v>
      </c>
      <c r="AM547" s="1" t="s">
        <v>9361</v>
      </c>
      <c r="AN547" s="1" t="s">
        <v>9362</v>
      </c>
      <c r="AO547" s="1" t="s">
        <v>9363</v>
      </c>
      <c r="AP547" s="2" t="s">
        <v>9364</v>
      </c>
      <c r="AQ547" s="2" t="s">
        <v>1154</v>
      </c>
      <c r="AR547" s="1" t="s">
        <v>286</v>
      </c>
      <c r="AS547" s="1" t="s">
        <v>9365</v>
      </c>
      <c r="AT547" s="1" t="s">
        <v>5</v>
      </c>
    </row>
    <row r="548" spans="1:46" hidden="1" x14ac:dyDescent="0.4">
      <c r="A548" s="1" t="s">
        <v>2126</v>
      </c>
      <c r="B548" s="10"/>
      <c r="C548" s="1" t="s">
        <v>0</v>
      </c>
      <c r="D548" s="1" t="s">
        <v>2076</v>
      </c>
      <c r="E548" s="1" t="s">
        <v>2078</v>
      </c>
      <c r="F548" s="1" t="s">
        <v>14</v>
      </c>
      <c r="G548" s="1" t="s">
        <v>1</v>
      </c>
      <c r="H548" s="1" t="s">
        <v>6</v>
      </c>
      <c r="I548" s="1" t="s">
        <v>2</v>
      </c>
      <c r="J548" s="1" t="s">
        <v>3</v>
      </c>
      <c r="K548" s="1" t="s">
        <v>2127</v>
      </c>
      <c r="L548" s="1" t="s">
        <v>7</v>
      </c>
      <c r="M548" s="1" t="s">
        <v>9</v>
      </c>
      <c r="N548" s="1" t="s">
        <v>11441</v>
      </c>
      <c r="O548" s="1" t="s">
        <v>5309</v>
      </c>
      <c r="P548" s="1"/>
      <c r="Q548" s="1"/>
      <c r="R548" s="1" t="s">
        <v>11</v>
      </c>
      <c r="S548" s="1"/>
      <c r="T548" s="1"/>
      <c r="U548" s="1"/>
      <c r="V548" s="1"/>
      <c r="W548" s="1"/>
      <c r="X548" s="1" t="s">
        <v>11442</v>
      </c>
      <c r="Y548" s="1"/>
      <c r="Z548" s="1"/>
      <c r="AA548" s="1"/>
      <c r="AB548" s="1" t="s">
        <v>11443</v>
      </c>
      <c r="AC548" s="1"/>
      <c r="AD548" s="1"/>
      <c r="AE548" s="1" t="s">
        <v>2128</v>
      </c>
      <c r="AF548" s="1"/>
      <c r="AG548" s="1"/>
      <c r="AH548" s="1" t="s">
        <v>11444</v>
      </c>
      <c r="AI548" s="1"/>
      <c r="AJ548" s="1" t="s">
        <v>2124</v>
      </c>
      <c r="AK548" s="1" t="s">
        <v>5322</v>
      </c>
      <c r="AL548" s="1" t="s">
        <v>10434</v>
      </c>
      <c r="AM548" s="1" t="s">
        <v>11438</v>
      </c>
      <c r="AN548" s="1" t="s">
        <v>5322</v>
      </c>
      <c r="AO548" s="1" t="s">
        <v>11439</v>
      </c>
      <c r="AP548" s="2" t="s">
        <v>11445</v>
      </c>
      <c r="AQ548" s="2" t="s">
        <v>1155</v>
      </c>
      <c r="AR548" s="1" t="s">
        <v>286</v>
      </c>
      <c r="AS548" s="1" t="s">
        <v>1068</v>
      </c>
      <c r="AT548" s="1" t="s">
        <v>5</v>
      </c>
    </row>
    <row r="549" spans="1:46" hidden="1" x14ac:dyDescent="0.4">
      <c r="A549" s="1" t="s">
        <v>2122</v>
      </c>
      <c r="B549" s="10"/>
      <c r="C549" s="1" t="s">
        <v>0</v>
      </c>
      <c r="D549" s="1" t="s">
        <v>2076</v>
      </c>
      <c r="E549" s="1" t="s">
        <v>2078</v>
      </c>
      <c r="F549" s="1" t="s">
        <v>14</v>
      </c>
      <c r="G549" s="1" t="s">
        <v>1</v>
      </c>
      <c r="H549" s="1" t="s">
        <v>6</v>
      </c>
      <c r="I549" s="1" t="s">
        <v>2</v>
      </c>
      <c r="J549" s="1" t="s">
        <v>3</v>
      </c>
      <c r="K549" s="1" t="s">
        <v>2123</v>
      </c>
      <c r="L549" s="1" t="s">
        <v>7</v>
      </c>
      <c r="M549" s="1" t="s">
        <v>9</v>
      </c>
      <c r="N549" s="1" t="s">
        <v>11434</v>
      </c>
      <c r="O549" s="1" t="s">
        <v>5309</v>
      </c>
      <c r="P549" s="1"/>
      <c r="Q549" s="1"/>
      <c r="R549" s="1" t="s">
        <v>11</v>
      </c>
      <c r="S549" s="1"/>
      <c r="T549" s="1"/>
      <c r="U549" s="1"/>
      <c r="V549" s="1"/>
      <c r="W549" s="1"/>
      <c r="X549" s="1" t="s">
        <v>11435</v>
      </c>
      <c r="Y549" s="1"/>
      <c r="Z549" s="1"/>
      <c r="AA549" s="1"/>
      <c r="AB549" s="1" t="s">
        <v>11436</v>
      </c>
      <c r="AC549" s="1"/>
      <c r="AD549" s="1"/>
      <c r="AE549" s="1" t="s">
        <v>2125</v>
      </c>
      <c r="AF549" s="1"/>
      <c r="AG549" s="1"/>
      <c r="AH549" s="1" t="s">
        <v>11437</v>
      </c>
      <c r="AI549" s="1"/>
      <c r="AJ549" s="1" t="s">
        <v>2124</v>
      </c>
      <c r="AK549" s="1" t="s">
        <v>5322</v>
      </c>
      <c r="AL549" s="1" t="s">
        <v>10434</v>
      </c>
      <c r="AM549" s="1" t="s">
        <v>11438</v>
      </c>
      <c r="AN549" s="1" t="s">
        <v>5322</v>
      </c>
      <c r="AO549" s="1" t="s">
        <v>11439</v>
      </c>
      <c r="AP549" s="2" t="s">
        <v>11440</v>
      </c>
      <c r="AQ549" s="2" t="s">
        <v>1155</v>
      </c>
      <c r="AR549" s="1" t="s">
        <v>286</v>
      </c>
      <c r="AS549" s="1" t="s">
        <v>1068</v>
      </c>
      <c r="AT549" s="1" t="s">
        <v>5</v>
      </c>
    </row>
    <row r="550" spans="1:46" hidden="1" x14ac:dyDescent="0.4">
      <c r="A550" s="1" t="s">
        <v>3817</v>
      </c>
      <c r="B550" s="10"/>
      <c r="C550" s="1" t="s">
        <v>0</v>
      </c>
      <c r="D550" s="1" t="s">
        <v>2157</v>
      </c>
      <c r="E550" s="1" t="s">
        <v>2078</v>
      </c>
      <c r="F550" s="1" t="s">
        <v>14</v>
      </c>
      <c r="G550" s="1" t="s">
        <v>1</v>
      </c>
      <c r="H550" s="1" t="s">
        <v>6</v>
      </c>
      <c r="I550" s="1" t="s">
        <v>2</v>
      </c>
      <c r="J550" s="1" t="s">
        <v>3</v>
      </c>
      <c r="K550" s="1" t="s">
        <v>3818</v>
      </c>
      <c r="L550" s="1" t="s">
        <v>7</v>
      </c>
      <c r="M550" s="1" t="s">
        <v>9</v>
      </c>
      <c r="N550" s="1" t="s">
        <v>3819</v>
      </c>
      <c r="O550" s="1" t="s">
        <v>3820</v>
      </c>
      <c r="P550" s="1"/>
      <c r="Q550" s="1"/>
      <c r="R550" s="1" t="s">
        <v>11</v>
      </c>
      <c r="S550" s="1"/>
      <c r="T550" s="1"/>
      <c r="U550" s="1"/>
      <c r="V550" s="1"/>
      <c r="W550" s="1" t="s">
        <v>3821</v>
      </c>
      <c r="X550" s="1"/>
      <c r="Y550" s="1"/>
      <c r="Z550" s="1"/>
      <c r="AA550" s="1"/>
      <c r="AB550" s="1" t="s">
        <v>3822</v>
      </c>
      <c r="AC550" s="1"/>
      <c r="AD550" s="1"/>
      <c r="AE550" s="1" t="s">
        <v>3823</v>
      </c>
      <c r="AF550" s="1"/>
      <c r="AG550" s="1"/>
      <c r="AH550" s="1" t="s">
        <v>3824</v>
      </c>
      <c r="AI550" s="1"/>
      <c r="AJ550" s="1" t="s">
        <v>3825</v>
      </c>
      <c r="AK550" s="1" t="s">
        <v>3826</v>
      </c>
      <c r="AL550" s="1" t="s">
        <v>3827</v>
      </c>
      <c r="AM550" s="1" t="s">
        <v>3828</v>
      </c>
      <c r="AN550" s="1" t="s">
        <v>3829</v>
      </c>
      <c r="AO550" s="1"/>
      <c r="AP550" s="2" t="s">
        <v>3830</v>
      </c>
      <c r="AQ550" s="2" t="s">
        <v>1153</v>
      </c>
      <c r="AR550" s="1" t="s">
        <v>286</v>
      </c>
      <c r="AS550" s="1" t="s">
        <v>3816</v>
      </c>
      <c r="AT550" s="1" t="s">
        <v>5</v>
      </c>
    </row>
    <row r="551" spans="1:46" hidden="1" x14ac:dyDescent="0.4">
      <c r="A551" s="1" t="s">
        <v>11156</v>
      </c>
      <c r="B551" s="10"/>
      <c r="C551" s="1" t="s">
        <v>0</v>
      </c>
      <c r="D551" s="1" t="s">
        <v>2688</v>
      </c>
      <c r="E551" s="1" t="s">
        <v>3289</v>
      </c>
      <c r="F551" s="1" t="s">
        <v>2690</v>
      </c>
      <c r="G551" s="1" t="s">
        <v>1</v>
      </c>
      <c r="H551" s="1" t="s">
        <v>6</v>
      </c>
      <c r="I551" s="1" t="s">
        <v>2</v>
      </c>
      <c r="J551" s="1" t="s">
        <v>3</v>
      </c>
      <c r="K551" s="1" t="s">
        <v>11157</v>
      </c>
      <c r="L551" s="1" t="s">
        <v>4</v>
      </c>
      <c r="M551" s="1" t="s">
        <v>9</v>
      </c>
      <c r="N551" s="1" t="s">
        <v>11158</v>
      </c>
      <c r="O551" s="1" t="s">
        <v>11159</v>
      </c>
      <c r="P551" s="1"/>
      <c r="Q551" s="1"/>
      <c r="R551" s="1" t="s">
        <v>11</v>
      </c>
      <c r="S551" s="1"/>
      <c r="T551" s="1"/>
      <c r="U551" s="1"/>
      <c r="V551" s="1"/>
      <c r="W551" s="1"/>
      <c r="X551" s="1" t="s">
        <v>11160</v>
      </c>
      <c r="Y551" s="1"/>
      <c r="Z551" s="1"/>
      <c r="AA551" s="1"/>
      <c r="AB551" s="1" t="s">
        <v>11161</v>
      </c>
      <c r="AC551" s="1"/>
      <c r="AD551" s="1"/>
      <c r="AE551" s="1" t="s">
        <v>11162</v>
      </c>
      <c r="AF551" s="1"/>
      <c r="AG551" s="1"/>
      <c r="AH551" s="1" t="s">
        <v>11163</v>
      </c>
      <c r="AI551" s="1"/>
      <c r="AJ551" s="1" t="s">
        <v>4667</v>
      </c>
      <c r="AK551" s="1" t="s">
        <v>4668</v>
      </c>
      <c r="AL551" s="1" t="s">
        <v>4669</v>
      </c>
      <c r="AM551" s="1" t="s">
        <v>11164</v>
      </c>
      <c r="AN551" s="1" t="s">
        <v>4668</v>
      </c>
      <c r="AO551" s="1" t="s">
        <v>11165</v>
      </c>
      <c r="AP551" s="2" t="s">
        <v>11166</v>
      </c>
      <c r="AQ551" s="2" t="s">
        <v>1155</v>
      </c>
      <c r="AR551" s="1" t="s">
        <v>286</v>
      </c>
      <c r="AS551" s="1" t="s">
        <v>11167</v>
      </c>
      <c r="AT551" s="1" t="s">
        <v>5</v>
      </c>
    </row>
    <row r="552" spans="1:46" hidden="1" x14ac:dyDescent="0.4">
      <c r="A552" s="1" t="s">
        <v>10602</v>
      </c>
      <c r="B552" s="10"/>
      <c r="C552" s="1" t="s">
        <v>2454</v>
      </c>
      <c r="D552" s="1" t="s">
        <v>2211</v>
      </c>
      <c r="E552" s="1" t="s">
        <v>2078</v>
      </c>
      <c r="F552" s="1" t="s">
        <v>14</v>
      </c>
      <c r="G552" s="1" t="s">
        <v>1</v>
      </c>
      <c r="H552" s="1" t="s">
        <v>6</v>
      </c>
      <c r="I552" s="1" t="s">
        <v>2</v>
      </c>
      <c r="J552" s="1" t="s">
        <v>3676</v>
      </c>
      <c r="K552" s="1" t="s">
        <v>10603</v>
      </c>
      <c r="L552" s="1" t="s">
        <v>4</v>
      </c>
      <c r="M552" s="1"/>
      <c r="N552" s="1" t="s">
        <v>10604</v>
      </c>
      <c r="O552" s="1" t="s">
        <v>15</v>
      </c>
      <c r="P552" s="1" t="s">
        <v>10605</v>
      </c>
      <c r="Q552" s="1"/>
      <c r="R552" s="1" t="s">
        <v>11</v>
      </c>
      <c r="S552" s="1"/>
      <c r="T552" s="1"/>
      <c r="U552" s="1"/>
      <c r="V552" s="1"/>
      <c r="W552" s="1" t="s">
        <v>10606</v>
      </c>
      <c r="X552" s="1" t="s">
        <v>10607</v>
      </c>
      <c r="Y552" s="1"/>
      <c r="Z552" s="1"/>
      <c r="AA552" s="1"/>
      <c r="AB552" s="1" t="s">
        <v>10608</v>
      </c>
      <c r="AC552" s="1"/>
      <c r="AD552" s="1"/>
      <c r="AE552" s="1" t="s">
        <v>20</v>
      </c>
      <c r="AF552" s="1"/>
      <c r="AG552" s="1"/>
      <c r="AH552" s="1" t="s">
        <v>10609</v>
      </c>
      <c r="AI552" s="1"/>
      <c r="AJ552" s="1" t="s">
        <v>3682</v>
      </c>
      <c r="AK552" s="1" t="s">
        <v>3106</v>
      </c>
      <c r="AL552" s="1" t="s">
        <v>3683</v>
      </c>
      <c r="AM552" s="1" t="s">
        <v>3682</v>
      </c>
      <c r="AN552" s="1" t="s">
        <v>3106</v>
      </c>
      <c r="AO552" s="1" t="s">
        <v>3683</v>
      </c>
      <c r="AP552" s="2" t="s">
        <v>10610</v>
      </c>
      <c r="AQ552" s="2" t="s">
        <v>1155</v>
      </c>
      <c r="AR552" s="1" t="s">
        <v>286</v>
      </c>
      <c r="AS552" s="1" t="s">
        <v>10227</v>
      </c>
      <c r="AT552" s="1" t="s">
        <v>5</v>
      </c>
    </row>
    <row r="553" spans="1:46" hidden="1" x14ac:dyDescent="0.4">
      <c r="A553" s="1" t="s">
        <v>4330</v>
      </c>
      <c r="B553" s="10"/>
      <c r="C553" s="1" t="s">
        <v>4331</v>
      </c>
      <c r="D553" s="1" t="s">
        <v>2157</v>
      </c>
      <c r="E553" s="1" t="s">
        <v>2078</v>
      </c>
      <c r="F553" s="1" t="s">
        <v>14</v>
      </c>
      <c r="G553" s="1" t="s">
        <v>1</v>
      </c>
      <c r="H553" s="1" t="s">
        <v>6</v>
      </c>
      <c r="I553" s="1" t="s">
        <v>2</v>
      </c>
      <c r="J553" s="1" t="s">
        <v>3514</v>
      </c>
      <c r="K553" s="1" t="s">
        <v>4332</v>
      </c>
      <c r="L553" s="1" t="s">
        <v>7</v>
      </c>
      <c r="M553" s="1"/>
      <c r="N553" s="1" t="s">
        <v>4333</v>
      </c>
      <c r="O553" s="1" t="s">
        <v>4334</v>
      </c>
      <c r="P553" s="1"/>
      <c r="Q553" s="1"/>
      <c r="R553" s="1" t="s">
        <v>11</v>
      </c>
      <c r="S553" s="1"/>
      <c r="T553" s="1"/>
      <c r="U553" s="1"/>
      <c r="V553" s="1"/>
      <c r="W553" s="1" t="s">
        <v>4335</v>
      </c>
      <c r="X553" s="1" t="s">
        <v>4336</v>
      </c>
      <c r="Y553" s="1"/>
      <c r="Z553" s="1"/>
      <c r="AA553" s="1"/>
      <c r="AB553" s="1" t="s">
        <v>4337</v>
      </c>
      <c r="AC553" s="1"/>
      <c r="AD553" s="1"/>
      <c r="AE553" s="1"/>
      <c r="AF553" s="1"/>
      <c r="AG553" s="1"/>
      <c r="AH553" s="1" t="s">
        <v>4338</v>
      </c>
      <c r="AI553" s="1"/>
      <c r="AJ553" s="1" t="s">
        <v>4339</v>
      </c>
      <c r="AK553" s="1" t="s">
        <v>4340</v>
      </c>
      <c r="AL553" s="1" t="s">
        <v>4341</v>
      </c>
      <c r="AM553" s="1" t="s">
        <v>4339</v>
      </c>
      <c r="AN553" s="1" t="s">
        <v>4340</v>
      </c>
      <c r="AO553" s="1" t="s">
        <v>4341</v>
      </c>
      <c r="AP553" s="2" t="s">
        <v>4342</v>
      </c>
      <c r="AQ553" s="2" t="s">
        <v>1153</v>
      </c>
      <c r="AR553" s="1" t="s">
        <v>286</v>
      </c>
      <c r="AS553" s="1"/>
      <c r="AT553" s="1" t="s">
        <v>5</v>
      </c>
    </row>
    <row r="554" spans="1:46" hidden="1" x14ac:dyDescent="0.4">
      <c r="A554" s="1" t="s">
        <v>5306</v>
      </c>
      <c r="B554" s="10"/>
      <c r="C554" s="1" t="s">
        <v>3626</v>
      </c>
      <c r="D554" s="1" t="s">
        <v>2076</v>
      </c>
      <c r="E554" s="1" t="s">
        <v>2078</v>
      </c>
      <c r="F554" s="1" t="s">
        <v>14</v>
      </c>
      <c r="G554" s="1" t="s">
        <v>1</v>
      </c>
      <c r="H554" s="1" t="s">
        <v>6</v>
      </c>
      <c r="I554" s="1" t="s">
        <v>2</v>
      </c>
      <c r="J554" s="1" t="s">
        <v>3514</v>
      </c>
      <c r="K554" s="1" t="s">
        <v>5307</v>
      </c>
      <c r="L554" s="1" t="s">
        <v>7</v>
      </c>
      <c r="M554" s="1" t="s">
        <v>9</v>
      </c>
      <c r="N554" s="1" t="s">
        <v>5308</v>
      </c>
      <c r="O554" s="1" t="s">
        <v>5309</v>
      </c>
      <c r="P554" s="1"/>
      <c r="Q554" s="1"/>
      <c r="R554" s="1" t="s">
        <v>11</v>
      </c>
      <c r="S554" s="1"/>
      <c r="T554" s="1"/>
      <c r="U554" s="1"/>
      <c r="V554" s="1"/>
      <c r="W554" s="1"/>
      <c r="X554" s="1" t="s">
        <v>5310</v>
      </c>
      <c r="Y554" s="1"/>
      <c r="Z554" s="1"/>
      <c r="AA554" s="1"/>
      <c r="AB554" s="1" t="s">
        <v>5311</v>
      </c>
      <c r="AC554" s="1"/>
      <c r="AD554" s="1"/>
      <c r="AE554" s="1"/>
      <c r="AF554" s="1"/>
      <c r="AG554" s="1"/>
      <c r="AH554" s="1" t="s">
        <v>5312</v>
      </c>
      <c r="AI554" s="1"/>
      <c r="AJ554" s="1" t="s">
        <v>5313</v>
      </c>
      <c r="AK554" s="1" t="s">
        <v>5314</v>
      </c>
      <c r="AL554" s="1" t="s">
        <v>5315</v>
      </c>
      <c r="AM554" s="1" t="s">
        <v>5313</v>
      </c>
      <c r="AN554" s="1" t="s">
        <v>5314</v>
      </c>
      <c r="AO554" s="1" t="s">
        <v>5315</v>
      </c>
      <c r="AP554" s="2" t="s">
        <v>5316</v>
      </c>
      <c r="AQ554" s="2" t="s">
        <v>1077</v>
      </c>
      <c r="AR554" s="1" t="s">
        <v>287</v>
      </c>
      <c r="AS554" s="1" t="s">
        <v>5263</v>
      </c>
      <c r="AT554" s="1" t="s">
        <v>5</v>
      </c>
    </row>
    <row r="555" spans="1:46" hidden="1" x14ac:dyDescent="0.4">
      <c r="A555" s="1" t="s">
        <v>9121</v>
      </c>
      <c r="B555" s="10"/>
      <c r="C555" s="1" t="s">
        <v>0</v>
      </c>
      <c r="D555" s="1" t="s">
        <v>2396</v>
      </c>
      <c r="E555" s="1" t="s">
        <v>2078</v>
      </c>
      <c r="F555" s="1" t="s">
        <v>14</v>
      </c>
      <c r="G555" s="1" t="s">
        <v>1</v>
      </c>
      <c r="H555" s="1" t="s">
        <v>6</v>
      </c>
      <c r="I555" s="1" t="s">
        <v>2</v>
      </c>
      <c r="J555" s="1" t="s">
        <v>3</v>
      </c>
      <c r="K555" s="1" t="s">
        <v>9122</v>
      </c>
      <c r="L555" s="1" t="s">
        <v>4</v>
      </c>
      <c r="M555" s="1" t="s">
        <v>9</v>
      </c>
      <c r="N555" s="1" t="s">
        <v>9123</v>
      </c>
      <c r="O555" s="1" t="s">
        <v>2238</v>
      </c>
      <c r="P555" s="1"/>
      <c r="Q555" s="1"/>
      <c r="R555" s="1" t="s">
        <v>11</v>
      </c>
      <c r="S555" s="1"/>
      <c r="T555" s="1"/>
      <c r="U555" s="1"/>
      <c r="V555" s="1"/>
      <c r="W555" s="1"/>
      <c r="X555" s="1"/>
      <c r="Y555" s="1"/>
      <c r="Z555" s="1"/>
      <c r="AA555" s="1"/>
      <c r="AB555" s="1" t="s">
        <v>9124</v>
      </c>
      <c r="AC555" s="1"/>
      <c r="AD555" s="1"/>
      <c r="AE555" s="1" t="s">
        <v>9125</v>
      </c>
      <c r="AF555" s="1"/>
      <c r="AG555" s="1"/>
      <c r="AH555" s="1" t="s">
        <v>9126</v>
      </c>
      <c r="AI555" s="1"/>
      <c r="AJ555" s="1" t="s">
        <v>2117</v>
      </c>
      <c r="AK555" s="1" t="s">
        <v>5356</v>
      </c>
      <c r="AL555" s="1" t="s">
        <v>2934</v>
      </c>
      <c r="AM555" s="1" t="s">
        <v>9127</v>
      </c>
      <c r="AN555" s="1" t="s">
        <v>5356</v>
      </c>
      <c r="AO555" s="1" t="s">
        <v>9128</v>
      </c>
      <c r="AP555" s="2" t="s">
        <v>9129</v>
      </c>
      <c r="AQ555" s="2" t="s">
        <v>1154</v>
      </c>
      <c r="AR555" s="1" t="s">
        <v>286</v>
      </c>
      <c r="AS555" s="1"/>
      <c r="AT555" s="1" t="s">
        <v>5</v>
      </c>
    </row>
    <row r="556" spans="1:46" hidden="1" x14ac:dyDescent="0.4">
      <c r="A556" s="1" t="s">
        <v>6228</v>
      </c>
      <c r="B556" s="10"/>
      <c r="C556" s="1" t="s">
        <v>2491</v>
      </c>
      <c r="D556" s="1" t="s">
        <v>2827</v>
      </c>
      <c r="E556" s="1" t="s">
        <v>2078</v>
      </c>
      <c r="F556" s="1" t="s">
        <v>14</v>
      </c>
      <c r="G556" s="1" t="s">
        <v>1</v>
      </c>
      <c r="H556" s="1" t="s">
        <v>6</v>
      </c>
      <c r="I556" s="1" t="s">
        <v>2</v>
      </c>
      <c r="J556" s="1" t="s">
        <v>2492</v>
      </c>
      <c r="K556" s="1" t="s">
        <v>6229</v>
      </c>
      <c r="L556" s="1" t="s">
        <v>7</v>
      </c>
      <c r="M556" s="1"/>
      <c r="N556" s="1" t="s">
        <v>6230</v>
      </c>
      <c r="O556" s="1" t="s">
        <v>2238</v>
      </c>
      <c r="P556" s="1"/>
      <c r="Q556" s="1"/>
      <c r="R556" s="1" t="s">
        <v>11</v>
      </c>
      <c r="S556" s="1"/>
      <c r="T556" s="1"/>
      <c r="U556" s="1"/>
      <c r="V556" s="1"/>
      <c r="W556" s="1"/>
      <c r="X556" s="1" t="s">
        <v>6231</v>
      </c>
      <c r="Y556" s="1"/>
      <c r="Z556" s="1"/>
      <c r="AA556" s="1"/>
      <c r="AB556" s="1" t="s">
        <v>6232</v>
      </c>
      <c r="AC556" s="1"/>
      <c r="AD556" s="1"/>
      <c r="AE556" s="1" t="s">
        <v>6233</v>
      </c>
      <c r="AF556" s="1"/>
      <c r="AG556" s="1"/>
      <c r="AH556" s="1" t="s">
        <v>6234</v>
      </c>
      <c r="AI556" s="1"/>
      <c r="AJ556" s="1" t="s">
        <v>5747</v>
      </c>
      <c r="AK556" s="1" t="s">
        <v>3494</v>
      </c>
      <c r="AL556" s="1" t="s">
        <v>5748</v>
      </c>
      <c r="AM556" s="1" t="s">
        <v>6235</v>
      </c>
      <c r="AN556" s="1" t="s">
        <v>3494</v>
      </c>
      <c r="AO556" s="1" t="s">
        <v>6236</v>
      </c>
      <c r="AP556" s="2" t="s">
        <v>6237</v>
      </c>
      <c r="AQ556" s="2" t="s">
        <v>1077</v>
      </c>
      <c r="AR556" s="1" t="s">
        <v>286</v>
      </c>
      <c r="AS556" s="1"/>
      <c r="AT556" s="1" t="s">
        <v>5</v>
      </c>
    </row>
    <row r="557" spans="1:46" hidden="1" x14ac:dyDescent="0.4">
      <c r="A557" s="1" t="s">
        <v>2140</v>
      </c>
      <c r="B557" s="10"/>
      <c r="C557" s="1" t="s">
        <v>0</v>
      </c>
      <c r="D557" s="1" t="s">
        <v>2076</v>
      </c>
      <c r="E557" s="1" t="s">
        <v>2078</v>
      </c>
      <c r="F557" s="1" t="s">
        <v>14</v>
      </c>
      <c r="G557" s="1" t="s">
        <v>1</v>
      </c>
      <c r="H557" s="1" t="s">
        <v>6</v>
      </c>
      <c r="I557" s="1" t="s">
        <v>2</v>
      </c>
      <c r="J557" s="1" t="s">
        <v>3</v>
      </c>
      <c r="K557" s="1" t="s">
        <v>2141</v>
      </c>
      <c r="L557" s="1" t="s">
        <v>7</v>
      </c>
      <c r="M557" s="1"/>
      <c r="N557" s="1" t="s">
        <v>11716</v>
      </c>
      <c r="O557" s="1" t="s">
        <v>2238</v>
      </c>
      <c r="P557" s="1"/>
      <c r="Q557" s="1" t="s">
        <v>12</v>
      </c>
      <c r="R557" s="1" t="s">
        <v>11</v>
      </c>
      <c r="S557" s="1"/>
      <c r="T557" s="1" t="s">
        <v>12</v>
      </c>
      <c r="U557" s="1" t="s">
        <v>11</v>
      </c>
      <c r="V557" s="1"/>
      <c r="W557" s="1"/>
      <c r="X557" s="1" t="s">
        <v>11717</v>
      </c>
      <c r="Y557" s="1"/>
      <c r="Z557" s="1"/>
      <c r="AA557" s="1"/>
      <c r="AB557" s="1" t="s">
        <v>11718</v>
      </c>
      <c r="AC557" s="1"/>
      <c r="AD557" s="1"/>
      <c r="AE557" s="1" t="s">
        <v>2142</v>
      </c>
      <c r="AF557" s="1"/>
      <c r="AG557" s="1"/>
      <c r="AH557" s="1" t="s">
        <v>11719</v>
      </c>
      <c r="AI557" s="1"/>
      <c r="AJ557" s="1" t="s">
        <v>83</v>
      </c>
      <c r="AK557" s="1" t="s">
        <v>504</v>
      </c>
      <c r="AL557" s="1" t="s">
        <v>94</v>
      </c>
      <c r="AM557" s="1" t="s">
        <v>11720</v>
      </c>
      <c r="AN557" s="1" t="s">
        <v>504</v>
      </c>
      <c r="AO557" s="1" t="s">
        <v>11721</v>
      </c>
      <c r="AP557" s="2" t="s">
        <v>11722</v>
      </c>
      <c r="AQ557" s="2" t="s">
        <v>1156</v>
      </c>
      <c r="AR557" s="1" t="s">
        <v>286</v>
      </c>
      <c r="AS557" s="1" t="s">
        <v>1076</v>
      </c>
      <c r="AT557" s="1" t="s">
        <v>5</v>
      </c>
    </row>
    <row r="558" spans="1:46" hidden="1" x14ac:dyDescent="0.4">
      <c r="A558" s="1" t="s">
        <v>10849</v>
      </c>
      <c r="B558" s="10"/>
      <c r="C558" s="1" t="s">
        <v>2494</v>
      </c>
      <c r="D558" s="1" t="s">
        <v>2076</v>
      </c>
      <c r="E558" s="1" t="s">
        <v>2078</v>
      </c>
      <c r="F558" s="1" t="s">
        <v>14</v>
      </c>
      <c r="G558" s="1" t="s">
        <v>1</v>
      </c>
      <c r="H558" s="1" t="s">
        <v>6</v>
      </c>
      <c r="I558" s="1" t="s">
        <v>2</v>
      </c>
      <c r="J558" s="1" t="s">
        <v>2450</v>
      </c>
      <c r="K558" s="1" t="s">
        <v>10850</v>
      </c>
      <c r="L558" s="1" t="s">
        <v>7</v>
      </c>
      <c r="M558" s="1" t="s">
        <v>9</v>
      </c>
      <c r="N558" s="1" t="s">
        <v>10851</v>
      </c>
      <c r="O558" s="1" t="s">
        <v>2238</v>
      </c>
      <c r="P558" s="1"/>
      <c r="Q558" s="1"/>
      <c r="R558" s="1" t="s">
        <v>11</v>
      </c>
      <c r="S558" s="1"/>
      <c r="T558" s="1"/>
      <c r="U558" s="1"/>
      <c r="V558" s="1"/>
      <c r="W558" s="1" t="s">
        <v>10852</v>
      </c>
      <c r="X558" s="1" t="s">
        <v>10853</v>
      </c>
      <c r="Y558" s="1"/>
      <c r="Z558" s="1"/>
      <c r="AA558" s="1" t="s">
        <v>10854</v>
      </c>
      <c r="AB558" s="1" t="s">
        <v>10855</v>
      </c>
      <c r="AC558" s="1"/>
      <c r="AD558" s="1"/>
      <c r="AE558" s="1"/>
      <c r="AF558" s="1"/>
      <c r="AG558" s="1"/>
      <c r="AH558" s="1" t="s">
        <v>10856</v>
      </c>
      <c r="AI558" s="1"/>
      <c r="AJ558" s="1" t="s">
        <v>5502</v>
      </c>
      <c r="AK558" s="1" t="s">
        <v>3575</v>
      </c>
      <c r="AL558" s="1" t="s">
        <v>5503</v>
      </c>
      <c r="AM558" s="1" t="s">
        <v>3577</v>
      </c>
      <c r="AN558" s="1" t="s">
        <v>3575</v>
      </c>
      <c r="AO558" s="1" t="s">
        <v>3578</v>
      </c>
      <c r="AP558" s="2" t="s">
        <v>10857</v>
      </c>
      <c r="AQ558" s="2" t="s">
        <v>1155</v>
      </c>
      <c r="AR558" s="1" t="s">
        <v>286</v>
      </c>
      <c r="AS558" s="1" t="s">
        <v>10858</v>
      </c>
      <c r="AT558" s="1" t="s">
        <v>5</v>
      </c>
    </row>
    <row r="559" spans="1:46" hidden="1" x14ac:dyDescent="0.4">
      <c r="A559" s="1" t="s">
        <v>5805</v>
      </c>
      <c r="B559" s="10"/>
      <c r="C559" s="1" t="s">
        <v>2491</v>
      </c>
      <c r="D559" s="1" t="s">
        <v>2076</v>
      </c>
      <c r="E559" s="1" t="s">
        <v>2078</v>
      </c>
      <c r="F559" s="1" t="s">
        <v>14</v>
      </c>
      <c r="G559" s="1" t="s">
        <v>1</v>
      </c>
      <c r="H559" s="1" t="s">
        <v>6</v>
      </c>
      <c r="I559" s="1" t="s">
        <v>2</v>
      </c>
      <c r="J559" s="1" t="s">
        <v>2492</v>
      </c>
      <c r="K559" s="1" t="s">
        <v>5806</v>
      </c>
      <c r="L559" s="1" t="s">
        <v>4</v>
      </c>
      <c r="M559" s="1" t="s">
        <v>9</v>
      </c>
      <c r="N559" s="1" t="s">
        <v>5807</v>
      </c>
      <c r="O559" s="1" t="s">
        <v>2238</v>
      </c>
      <c r="P559" s="1"/>
      <c r="Q559" s="1"/>
      <c r="R559" s="1" t="s">
        <v>11</v>
      </c>
      <c r="S559" s="1"/>
      <c r="T559" s="1"/>
      <c r="U559" s="1"/>
      <c r="V559" s="1"/>
      <c r="W559" s="1"/>
      <c r="X559" s="1" t="s">
        <v>5808</v>
      </c>
      <c r="Y559" s="1"/>
      <c r="Z559" s="1"/>
      <c r="AA559" s="1"/>
      <c r="AB559" s="1" t="s">
        <v>5809</v>
      </c>
      <c r="AC559" s="1"/>
      <c r="AD559" s="1"/>
      <c r="AE559" s="1"/>
      <c r="AF559" s="1"/>
      <c r="AG559" s="1"/>
      <c r="AH559" s="1" t="s">
        <v>5810</v>
      </c>
      <c r="AI559" s="1"/>
      <c r="AJ559" s="1" t="s">
        <v>5747</v>
      </c>
      <c r="AK559" s="1" t="s">
        <v>3494</v>
      </c>
      <c r="AL559" s="1" t="s">
        <v>5748</v>
      </c>
      <c r="AM559" s="1" t="s">
        <v>5795</v>
      </c>
      <c r="AN559" s="1" t="s">
        <v>3494</v>
      </c>
      <c r="AO559" s="1" t="s">
        <v>5796</v>
      </c>
      <c r="AP559" s="2" t="s">
        <v>5811</v>
      </c>
      <c r="AQ559" s="2" t="s">
        <v>1077</v>
      </c>
      <c r="AR559" s="1" t="s">
        <v>286</v>
      </c>
      <c r="AS559" s="1"/>
      <c r="AT559" s="1" t="s">
        <v>5</v>
      </c>
    </row>
    <row r="560" spans="1:46" hidden="1" x14ac:dyDescent="0.4">
      <c r="A560" s="1" t="s">
        <v>5812</v>
      </c>
      <c r="B560" s="10"/>
      <c r="C560" s="1" t="s">
        <v>2491</v>
      </c>
      <c r="D560" s="1" t="s">
        <v>2076</v>
      </c>
      <c r="E560" s="1" t="s">
        <v>2078</v>
      </c>
      <c r="F560" s="1" t="s">
        <v>14</v>
      </c>
      <c r="G560" s="1" t="s">
        <v>1</v>
      </c>
      <c r="H560" s="1" t="s">
        <v>6</v>
      </c>
      <c r="I560" s="1" t="s">
        <v>2</v>
      </c>
      <c r="J560" s="1" t="s">
        <v>2492</v>
      </c>
      <c r="K560" s="1" t="s">
        <v>5813</v>
      </c>
      <c r="L560" s="1" t="s">
        <v>4</v>
      </c>
      <c r="M560" s="1" t="s">
        <v>9</v>
      </c>
      <c r="N560" s="1" t="s">
        <v>5814</v>
      </c>
      <c r="O560" s="1" t="s">
        <v>2238</v>
      </c>
      <c r="P560" s="1"/>
      <c r="Q560" s="1"/>
      <c r="R560" s="1" t="s">
        <v>11</v>
      </c>
      <c r="S560" s="1"/>
      <c r="T560" s="1"/>
      <c r="U560" s="1"/>
      <c r="V560" s="1"/>
      <c r="W560" s="1"/>
      <c r="X560" s="1" t="s">
        <v>5815</v>
      </c>
      <c r="Y560" s="1"/>
      <c r="Z560" s="1"/>
      <c r="AA560" s="1"/>
      <c r="AB560" s="1" t="s">
        <v>5816</v>
      </c>
      <c r="AC560" s="1"/>
      <c r="AD560" s="1"/>
      <c r="AE560" s="1" t="s">
        <v>5793</v>
      </c>
      <c r="AF560" s="1"/>
      <c r="AG560" s="1"/>
      <c r="AH560" s="1" t="s">
        <v>5817</v>
      </c>
      <c r="AI560" s="1"/>
      <c r="AJ560" s="1" t="s">
        <v>5747</v>
      </c>
      <c r="AK560" s="1" t="s">
        <v>3494</v>
      </c>
      <c r="AL560" s="1" t="s">
        <v>5748</v>
      </c>
      <c r="AM560" s="1" t="s">
        <v>5795</v>
      </c>
      <c r="AN560" s="1" t="s">
        <v>3494</v>
      </c>
      <c r="AO560" s="1" t="s">
        <v>5796</v>
      </c>
      <c r="AP560" s="2" t="s">
        <v>5811</v>
      </c>
      <c r="AQ560" s="2" t="s">
        <v>1077</v>
      </c>
      <c r="AR560" s="1" t="s">
        <v>286</v>
      </c>
      <c r="AS560" s="1"/>
      <c r="AT560" s="1" t="s">
        <v>5</v>
      </c>
    </row>
    <row r="561" spans="1:46" hidden="1" x14ac:dyDescent="0.4">
      <c r="A561" s="1" t="s">
        <v>5798</v>
      </c>
      <c r="B561" s="10"/>
      <c r="C561" s="1" t="s">
        <v>2491</v>
      </c>
      <c r="D561" s="1" t="s">
        <v>2076</v>
      </c>
      <c r="E561" s="1" t="s">
        <v>2078</v>
      </c>
      <c r="F561" s="1" t="s">
        <v>14</v>
      </c>
      <c r="G561" s="1" t="s">
        <v>1</v>
      </c>
      <c r="H561" s="1" t="s">
        <v>6</v>
      </c>
      <c r="I561" s="1" t="s">
        <v>2</v>
      </c>
      <c r="J561" s="1" t="s">
        <v>2492</v>
      </c>
      <c r="K561" s="1" t="s">
        <v>5799</v>
      </c>
      <c r="L561" s="1" t="s">
        <v>4</v>
      </c>
      <c r="M561" s="1" t="s">
        <v>9</v>
      </c>
      <c r="N561" s="1" t="s">
        <v>5800</v>
      </c>
      <c r="O561" s="1" t="s">
        <v>2238</v>
      </c>
      <c r="P561" s="1"/>
      <c r="Q561" s="1"/>
      <c r="R561" s="1" t="s">
        <v>11</v>
      </c>
      <c r="S561" s="1"/>
      <c r="T561" s="1"/>
      <c r="U561" s="1"/>
      <c r="V561" s="1"/>
      <c r="W561" s="1"/>
      <c r="X561" s="1" t="s">
        <v>5801</v>
      </c>
      <c r="Y561" s="1"/>
      <c r="Z561" s="1"/>
      <c r="AA561" s="1"/>
      <c r="AB561" s="1" t="s">
        <v>5802</v>
      </c>
      <c r="AC561" s="1"/>
      <c r="AD561" s="1"/>
      <c r="AE561" s="1" t="s">
        <v>5793</v>
      </c>
      <c r="AF561" s="1"/>
      <c r="AG561" s="1"/>
      <c r="AH561" s="1" t="s">
        <v>5803</v>
      </c>
      <c r="AI561" s="1"/>
      <c r="AJ561" s="1" t="s">
        <v>5747</v>
      </c>
      <c r="AK561" s="1" t="s">
        <v>3494</v>
      </c>
      <c r="AL561" s="1" t="s">
        <v>5748</v>
      </c>
      <c r="AM561" s="1" t="s">
        <v>5795</v>
      </c>
      <c r="AN561" s="1" t="s">
        <v>3494</v>
      </c>
      <c r="AO561" s="1" t="s">
        <v>5796</v>
      </c>
      <c r="AP561" s="2" t="s">
        <v>5804</v>
      </c>
      <c r="AQ561" s="2" t="s">
        <v>1077</v>
      </c>
      <c r="AR561" s="1" t="s">
        <v>286</v>
      </c>
      <c r="AS561" s="1"/>
      <c r="AT561" s="1" t="s">
        <v>5</v>
      </c>
    </row>
    <row r="562" spans="1:46" hidden="1" x14ac:dyDescent="0.4">
      <c r="A562" s="1" t="s">
        <v>5788</v>
      </c>
      <c r="B562" s="10"/>
      <c r="C562" s="1" t="s">
        <v>2491</v>
      </c>
      <c r="D562" s="1" t="s">
        <v>2076</v>
      </c>
      <c r="E562" s="1" t="s">
        <v>2078</v>
      </c>
      <c r="F562" s="1" t="s">
        <v>14</v>
      </c>
      <c r="G562" s="1" t="s">
        <v>1</v>
      </c>
      <c r="H562" s="1" t="s">
        <v>6</v>
      </c>
      <c r="I562" s="1" t="s">
        <v>2</v>
      </c>
      <c r="J562" s="1" t="s">
        <v>2492</v>
      </c>
      <c r="K562" s="1" t="s">
        <v>5789</v>
      </c>
      <c r="L562" s="1" t="s">
        <v>4</v>
      </c>
      <c r="M562" s="1" t="s">
        <v>9</v>
      </c>
      <c r="N562" s="1" t="s">
        <v>5790</v>
      </c>
      <c r="O562" s="1" t="s">
        <v>2238</v>
      </c>
      <c r="P562" s="1"/>
      <c r="Q562" s="1"/>
      <c r="R562" s="1" t="s">
        <v>11</v>
      </c>
      <c r="S562" s="1"/>
      <c r="T562" s="1"/>
      <c r="U562" s="1"/>
      <c r="V562" s="1"/>
      <c r="W562" s="1"/>
      <c r="X562" s="1" t="s">
        <v>5791</v>
      </c>
      <c r="Y562" s="1"/>
      <c r="Z562" s="1"/>
      <c r="AA562" s="1"/>
      <c r="AB562" s="1" t="s">
        <v>5792</v>
      </c>
      <c r="AC562" s="1"/>
      <c r="AD562" s="1"/>
      <c r="AE562" s="1" t="s">
        <v>5793</v>
      </c>
      <c r="AF562" s="1"/>
      <c r="AG562" s="1"/>
      <c r="AH562" s="1" t="s">
        <v>5794</v>
      </c>
      <c r="AI562" s="1"/>
      <c r="AJ562" s="1" t="s">
        <v>5747</v>
      </c>
      <c r="AK562" s="1" t="s">
        <v>3494</v>
      </c>
      <c r="AL562" s="1" t="s">
        <v>5748</v>
      </c>
      <c r="AM562" s="1" t="s">
        <v>5795</v>
      </c>
      <c r="AN562" s="1" t="s">
        <v>3494</v>
      </c>
      <c r="AO562" s="1" t="s">
        <v>5796</v>
      </c>
      <c r="AP562" s="2" t="s">
        <v>5797</v>
      </c>
      <c r="AQ562" s="2" t="s">
        <v>1077</v>
      </c>
      <c r="AR562" s="1" t="s">
        <v>286</v>
      </c>
      <c r="AS562" s="1"/>
      <c r="AT562" s="1" t="s">
        <v>5</v>
      </c>
    </row>
    <row r="563" spans="1:46" hidden="1" x14ac:dyDescent="0.4">
      <c r="A563" s="1" t="s">
        <v>4575</v>
      </c>
      <c r="B563" s="10"/>
      <c r="C563" s="1" t="s">
        <v>2491</v>
      </c>
      <c r="D563" s="1" t="s">
        <v>2076</v>
      </c>
      <c r="E563" s="1" t="s">
        <v>2078</v>
      </c>
      <c r="F563" s="1" t="s">
        <v>14</v>
      </c>
      <c r="G563" s="1" t="s">
        <v>1</v>
      </c>
      <c r="H563" s="1" t="s">
        <v>6</v>
      </c>
      <c r="I563" s="1" t="s">
        <v>2</v>
      </c>
      <c r="J563" s="1" t="s">
        <v>2492</v>
      </c>
      <c r="K563" s="1" t="s">
        <v>4576</v>
      </c>
      <c r="L563" s="1" t="s">
        <v>4</v>
      </c>
      <c r="M563" s="1" t="s">
        <v>9</v>
      </c>
      <c r="N563" s="1" t="s">
        <v>4577</v>
      </c>
      <c r="O563" s="1" t="s">
        <v>4578</v>
      </c>
      <c r="P563" s="1"/>
      <c r="Q563" s="1"/>
      <c r="R563" s="1" t="s">
        <v>11</v>
      </c>
      <c r="S563" s="1"/>
      <c r="T563" s="1"/>
      <c r="U563" s="1"/>
      <c r="V563" s="1"/>
      <c r="W563" s="1" t="s">
        <v>4579</v>
      </c>
      <c r="X563" s="1" t="s">
        <v>4580</v>
      </c>
      <c r="Y563" s="1"/>
      <c r="Z563" s="1"/>
      <c r="AA563" s="1"/>
      <c r="AB563" s="1" t="s">
        <v>4581</v>
      </c>
      <c r="AC563" s="1"/>
      <c r="AD563" s="1"/>
      <c r="AE563" s="1" t="s">
        <v>4582</v>
      </c>
      <c r="AF563" s="1"/>
      <c r="AG563" s="1"/>
      <c r="AH563" s="1" t="s">
        <v>4583</v>
      </c>
      <c r="AI563" s="1"/>
      <c r="AJ563" s="1" t="s">
        <v>4584</v>
      </c>
      <c r="AK563" s="1" t="s">
        <v>4585</v>
      </c>
      <c r="AL563" s="1" t="s">
        <v>4586</v>
      </c>
      <c r="AM563" s="1" t="s">
        <v>4587</v>
      </c>
      <c r="AN563" s="1" t="s">
        <v>4585</v>
      </c>
      <c r="AO563" s="1" t="s">
        <v>4588</v>
      </c>
      <c r="AP563" s="2" t="s">
        <v>4589</v>
      </c>
      <c r="AQ563" s="2" t="s">
        <v>1153</v>
      </c>
      <c r="AR563" s="1" t="s">
        <v>286</v>
      </c>
      <c r="AS563" s="1"/>
      <c r="AT563" s="1" t="s">
        <v>5</v>
      </c>
    </row>
    <row r="564" spans="1:46" hidden="1" x14ac:dyDescent="0.4">
      <c r="A564" s="1" t="s">
        <v>7189</v>
      </c>
      <c r="B564" s="10"/>
      <c r="C564" s="1" t="s">
        <v>0</v>
      </c>
      <c r="D564" s="1" t="s">
        <v>2157</v>
      </c>
      <c r="E564" s="1" t="s">
        <v>2078</v>
      </c>
      <c r="F564" s="1" t="s">
        <v>14</v>
      </c>
      <c r="G564" s="1" t="s">
        <v>1</v>
      </c>
      <c r="H564" s="1" t="s">
        <v>6</v>
      </c>
      <c r="I564" s="1" t="s">
        <v>2</v>
      </c>
      <c r="J564" s="1" t="s">
        <v>3</v>
      </c>
      <c r="K564" s="1" t="s">
        <v>7190</v>
      </c>
      <c r="L564" s="1" t="s">
        <v>7</v>
      </c>
      <c r="M564" s="1" t="s">
        <v>9</v>
      </c>
      <c r="N564" s="1" t="s">
        <v>7191</v>
      </c>
      <c r="O564" s="1" t="s">
        <v>2648</v>
      </c>
      <c r="P564" s="1"/>
      <c r="Q564" s="1"/>
      <c r="R564" s="1" t="s">
        <v>11</v>
      </c>
      <c r="S564" s="1"/>
      <c r="T564" s="1"/>
      <c r="U564" s="1"/>
      <c r="V564" s="1"/>
      <c r="W564" s="1"/>
      <c r="X564" s="1" t="s">
        <v>7192</v>
      </c>
      <c r="Y564" s="1"/>
      <c r="Z564" s="1"/>
      <c r="AA564" s="1"/>
      <c r="AB564" s="1" t="s">
        <v>7193</v>
      </c>
      <c r="AC564" s="1"/>
      <c r="AD564" s="1"/>
      <c r="AE564" s="1" t="s">
        <v>7194</v>
      </c>
      <c r="AF564" s="1"/>
      <c r="AG564" s="1"/>
      <c r="AH564" s="1" t="s">
        <v>7195</v>
      </c>
      <c r="AI564" s="1"/>
      <c r="AJ564" s="1" t="s">
        <v>209</v>
      </c>
      <c r="AK564" s="1" t="s">
        <v>518</v>
      </c>
      <c r="AL564" s="1"/>
      <c r="AM564" s="1" t="s">
        <v>327</v>
      </c>
      <c r="AN564" s="1" t="s">
        <v>518</v>
      </c>
      <c r="AO564" s="1" t="s">
        <v>328</v>
      </c>
      <c r="AP564" s="2" t="s">
        <v>7196</v>
      </c>
      <c r="AQ564" s="2" t="s">
        <v>1154</v>
      </c>
      <c r="AR564" s="1" t="s">
        <v>286</v>
      </c>
      <c r="AS564" s="1" t="s">
        <v>7166</v>
      </c>
      <c r="AT564" s="1" t="s">
        <v>5</v>
      </c>
    </row>
    <row r="565" spans="1:46" hidden="1" x14ac:dyDescent="0.4">
      <c r="A565" s="1" t="s">
        <v>5625</v>
      </c>
      <c r="B565" s="10"/>
      <c r="C565" s="1" t="s">
        <v>93</v>
      </c>
      <c r="D565" s="1" t="s">
        <v>2290</v>
      </c>
      <c r="E565" s="1" t="s">
        <v>2291</v>
      </c>
      <c r="F565" s="1" t="s">
        <v>14</v>
      </c>
      <c r="G565" s="1" t="s">
        <v>1</v>
      </c>
      <c r="H565" s="1" t="s">
        <v>6</v>
      </c>
      <c r="I565" s="1" t="s">
        <v>2</v>
      </c>
      <c r="J565" s="1" t="s">
        <v>3</v>
      </c>
      <c r="K565" s="1" t="s">
        <v>5626</v>
      </c>
      <c r="L565" s="1" t="s">
        <v>7</v>
      </c>
      <c r="M565" s="1" t="s">
        <v>9</v>
      </c>
      <c r="N565" s="1" t="s">
        <v>5627</v>
      </c>
      <c r="O565" s="1" t="s">
        <v>5628</v>
      </c>
      <c r="P565" s="1"/>
      <c r="Q565" s="1"/>
      <c r="R565" s="1" t="s">
        <v>11</v>
      </c>
      <c r="S565" s="1"/>
      <c r="T565" s="1"/>
      <c r="U565" s="1"/>
      <c r="V565" s="1"/>
      <c r="W565" s="1"/>
      <c r="X565" s="1"/>
      <c r="Y565" s="1"/>
      <c r="Z565" s="1"/>
      <c r="AA565" s="1"/>
      <c r="AB565" s="1" t="s">
        <v>5629</v>
      </c>
      <c r="AC565" s="1"/>
      <c r="AD565" s="1"/>
      <c r="AE565" s="1" t="s">
        <v>4270</v>
      </c>
      <c r="AF565" s="1"/>
      <c r="AG565" s="1"/>
      <c r="AH565" s="1" t="s">
        <v>5630</v>
      </c>
      <c r="AI565" s="1"/>
      <c r="AJ565" s="1" t="s">
        <v>5631</v>
      </c>
      <c r="AK565" s="1" t="s">
        <v>5632</v>
      </c>
      <c r="AL565" s="1" t="s">
        <v>5633</v>
      </c>
      <c r="AM565" s="1" t="s">
        <v>5631</v>
      </c>
      <c r="AN565" s="1" t="s">
        <v>5632</v>
      </c>
      <c r="AO565" s="1" t="s">
        <v>5633</v>
      </c>
      <c r="AP565" s="2" t="s">
        <v>5634</v>
      </c>
      <c r="AQ565" s="2" t="s">
        <v>1077</v>
      </c>
      <c r="AR565" s="1" t="s">
        <v>287</v>
      </c>
      <c r="AS565" s="1"/>
      <c r="AT565" s="1" t="s">
        <v>5</v>
      </c>
    </row>
    <row r="566" spans="1:46" hidden="1" x14ac:dyDescent="0.4">
      <c r="A566" s="1" t="s">
        <v>6735</v>
      </c>
      <c r="B566" s="10"/>
      <c r="C566" s="1" t="s">
        <v>2705</v>
      </c>
      <c r="D566" s="1" t="s">
        <v>2211</v>
      </c>
      <c r="E566" s="1" t="s">
        <v>2078</v>
      </c>
      <c r="F566" s="1" t="s">
        <v>14</v>
      </c>
      <c r="G566" s="1" t="s">
        <v>1</v>
      </c>
      <c r="H566" s="1" t="s">
        <v>6</v>
      </c>
      <c r="I566" s="1" t="s">
        <v>2</v>
      </c>
      <c r="J566" s="1" t="s">
        <v>2813</v>
      </c>
      <c r="K566" s="1" t="s">
        <v>6736</v>
      </c>
      <c r="L566" s="1" t="s">
        <v>4</v>
      </c>
      <c r="M566" s="1" t="s">
        <v>9</v>
      </c>
      <c r="N566" s="1" t="s">
        <v>6737</v>
      </c>
      <c r="O566" s="1" t="s">
        <v>6738</v>
      </c>
      <c r="P566" s="1"/>
      <c r="Q566" s="1"/>
      <c r="R566" s="1" t="s">
        <v>11</v>
      </c>
      <c r="S566" s="1"/>
      <c r="T566" s="1"/>
      <c r="U566" s="1"/>
      <c r="V566" s="1"/>
      <c r="W566" s="1"/>
      <c r="X566" s="1" t="s">
        <v>6739</v>
      </c>
      <c r="Y566" s="1"/>
      <c r="Z566" s="1"/>
      <c r="AA566" s="1"/>
      <c r="AB566" s="1" t="s">
        <v>6740</v>
      </c>
      <c r="AC566" s="1"/>
      <c r="AD566" s="1"/>
      <c r="AE566" s="1" t="s">
        <v>6741</v>
      </c>
      <c r="AF566" s="1"/>
      <c r="AG566" s="1"/>
      <c r="AH566" s="1" t="s">
        <v>6742</v>
      </c>
      <c r="AI566" s="1" t="s">
        <v>6743</v>
      </c>
      <c r="AJ566" s="1" t="s">
        <v>6744</v>
      </c>
      <c r="AK566" s="1" t="s">
        <v>6568</v>
      </c>
      <c r="AL566" s="1" t="s">
        <v>6745</v>
      </c>
      <c r="AM566" s="1" t="s">
        <v>6744</v>
      </c>
      <c r="AN566" s="1" t="s">
        <v>6568</v>
      </c>
      <c r="AO566" s="1" t="s">
        <v>6745</v>
      </c>
      <c r="AP566" s="2" t="s">
        <v>6746</v>
      </c>
      <c r="AQ566" s="2" t="s">
        <v>1077</v>
      </c>
      <c r="AR566" s="1" t="s">
        <v>287</v>
      </c>
      <c r="AS566" s="1"/>
      <c r="AT566" s="1" t="s">
        <v>5</v>
      </c>
    </row>
    <row r="567" spans="1:46" hidden="1" x14ac:dyDescent="0.4">
      <c r="A567" s="1" t="s">
        <v>8012</v>
      </c>
      <c r="B567" s="10"/>
      <c r="C567" s="1" t="s">
        <v>2491</v>
      </c>
      <c r="D567" s="1" t="s">
        <v>2827</v>
      </c>
      <c r="E567" s="1" t="s">
        <v>2078</v>
      </c>
      <c r="F567" s="1" t="s">
        <v>14</v>
      </c>
      <c r="G567" s="1" t="s">
        <v>1</v>
      </c>
      <c r="H567" s="1" t="s">
        <v>6</v>
      </c>
      <c r="I567" s="1" t="s">
        <v>2</v>
      </c>
      <c r="J567" s="1" t="s">
        <v>2492</v>
      </c>
      <c r="K567" s="1" t="s">
        <v>8013</v>
      </c>
      <c r="L567" s="1" t="s">
        <v>7</v>
      </c>
      <c r="M567" s="1" t="s">
        <v>9</v>
      </c>
      <c r="N567" s="1" t="s">
        <v>8014</v>
      </c>
      <c r="O567" s="1" t="s">
        <v>5979</v>
      </c>
      <c r="P567" s="1"/>
      <c r="Q567" s="1"/>
      <c r="R567" s="1" t="s">
        <v>11</v>
      </c>
      <c r="S567" s="1"/>
      <c r="T567" s="1"/>
      <c r="U567" s="1"/>
      <c r="V567" s="1"/>
      <c r="W567" s="1" t="s">
        <v>8015</v>
      </c>
      <c r="X567" s="1" t="s">
        <v>8016</v>
      </c>
      <c r="Y567" s="1"/>
      <c r="Z567" s="1"/>
      <c r="AA567" s="1"/>
      <c r="AB567" s="1" t="s">
        <v>8017</v>
      </c>
      <c r="AC567" s="1"/>
      <c r="AD567" s="1"/>
      <c r="AE567" s="1" t="s">
        <v>8018</v>
      </c>
      <c r="AF567" s="1"/>
      <c r="AG567" s="1"/>
      <c r="AH567" s="1" t="s">
        <v>8019</v>
      </c>
      <c r="AI567" s="1"/>
      <c r="AJ567" s="1" t="s">
        <v>3769</v>
      </c>
      <c r="AK567" s="1" t="s">
        <v>3770</v>
      </c>
      <c r="AL567" s="1" t="s">
        <v>3771</v>
      </c>
      <c r="AM567" s="1" t="s">
        <v>5983</v>
      </c>
      <c r="AN567" s="1" t="s">
        <v>5984</v>
      </c>
      <c r="AO567" s="1" t="s">
        <v>5985</v>
      </c>
      <c r="AP567" s="2" t="s">
        <v>8020</v>
      </c>
      <c r="AQ567" s="2" t="s">
        <v>1154</v>
      </c>
      <c r="AR567" s="1" t="s">
        <v>286</v>
      </c>
      <c r="AS567" s="1"/>
      <c r="AT567" s="1" t="s">
        <v>5</v>
      </c>
    </row>
    <row r="568" spans="1:46" hidden="1" x14ac:dyDescent="0.4">
      <c r="A568" s="1" t="s">
        <v>6668</v>
      </c>
      <c r="B568" s="10"/>
      <c r="C568" s="1" t="s">
        <v>6443</v>
      </c>
      <c r="D568" s="1" t="s">
        <v>2396</v>
      </c>
      <c r="E568" s="1" t="s">
        <v>2078</v>
      </c>
      <c r="F568" s="1" t="s">
        <v>14</v>
      </c>
      <c r="G568" s="1" t="s">
        <v>1</v>
      </c>
      <c r="H568" s="1" t="s">
        <v>6</v>
      </c>
      <c r="I568" s="1" t="s">
        <v>2</v>
      </c>
      <c r="J568" s="1" t="s">
        <v>3</v>
      </c>
      <c r="K568" s="1" t="s">
        <v>6669</v>
      </c>
      <c r="L568" s="1" t="s">
        <v>7</v>
      </c>
      <c r="M568" s="1"/>
      <c r="N568" s="1" t="s">
        <v>6670</v>
      </c>
      <c r="O568" s="1" t="s">
        <v>6671</v>
      </c>
      <c r="P568" s="1"/>
      <c r="Q568" s="1"/>
      <c r="R568" s="1" t="s">
        <v>11</v>
      </c>
      <c r="S568" s="1"/>
      <c r="T568" s="1"/>
      <c r="U568" s="1"/>
      <c r="V568" s="1"/>
      <c r="W568" s="1"/>
      <c r="X568" s="1"/>
      <c r="Y568" s="1"/>
      <c r="Z568" s="1"/>
      <c r="AA568" s="1"/>
      <c r="AB568" s="1" t="s">
        <v>6672</v>
      </c>
      <c r="AC568" s="1"/>
      <c r="AD568" s="1"/>
      <c r="AE568" s="1" t="s">
        <v>6665</v>
      </c>
      <c r="AF568" s="1"/>
      <c r="AG568" s="1"/>
      <c r="AH568" s="1" t="s">
        <v>6673</v>
      </c>
      <c r="AI568" s="1"/>
      <c r="AJ568" s="1" t="s">
        <v>6451</v>
      </c>
      <c r="AK568" s="1" t="s">
        <v>6452</v>
      </c>
      <c r="AL568" s="1" t="s">
        <v>6453</v>
      </c>
      <c r="AM568" s="1" t="s">
        <v>6451</v>
      </c>
      <c r="AN568" s="1" t="s">
        <v>6452</v>
      </c>
      <c r="AO568" s="1" t="s">
        <v>6453</v>
      </c>
      <c r="AP568" s="2" t="s">
        <v>6674</v>
      </c>
      <c r="AQ568" s="2" t="s">
        <v>1077</v>
      </c>
      <c r="AR568" s="1" t="s">
        <v>287</v>
      </c>
      <c r="AS568" s="1"/>
      <c r="AT568" s="1" t="s">
        <v>5</v>
      </c>
    </row>
    <row r="569" spans="1:46" hidden="1" x14ac:dyDescent="0.4">
      <c r="A569" s="1" t="s">
        <v>6660</v>
      </c>
      <c r="B569" s="10"/>
      <c r="C569" s="1" t="s">
        <v>6443</v>
      </c>
      <c r="D569" s="1" t="s">
        <v>2396</v>
      </c>
      <c r="E569" s="1" t="s">
        <v>2078</v>
      </c>
      <c r="F569" s="1" t="s">
        <v>14</v>
      </c>
      <c r="G569" s="1" t="s">
        <v>1</v>
      </c>
      <c r="H569" s="1" t="s">
        <v>6</v>
      </c>
      <c r="I569" s="1" t="s">
        <v>2</v>
      </c>
      <c r="J569" s="1" t="s">
        <v>3</v>
      </c>
      <c r="K569" s="1" t="s">
        <v>6661</v>
      </c>
      <c r="L569" s="1" t="s">
        <v>7</v>
      </c>
      <c r="M569" s="1"/>
      <c r="N569" s="1" t="s">
        <v>6662</v>
      </c>
      <c r="O569" s="1" t="s">
        <v>6663</v>
      </c>
      <c r="P569" s="1"/>
      <c r="Q569" s="1"/>
      <c r="R569" s="1" t="s">
        <v>11</v>
      </c>
      <c r="S569" s="1"/>
      <c r="T569" s="1"/>
      <c r="U569" s="1"/>
      <c r="V569" s="1"/>
      <c r="W569" s="1"/>
      <c r="X569" s="1"/>
      <c r="Y569" s="1"/>
      <c r="Z569" s="1"/>
      <c r="AA569" s="1"/>
      <c r="AB569" s="1" t="s">
        <v>6664</v>
      </c>
      <c r="AC569" s="1"/>
      <c r="AD569" s="1"/>
      <c r="AE569" s="1" t="s">
        <v>6665</v>
      </c>
      <c r="AF569" s="1"/>
      <c r="AG569" s="1"/>
      <c r="AH569" s="1" t="s">
        <v>6666</v>
      </c>
      <c r="AI569" s="1"/>
      <c r="AJ569" s="1" t="s">
        <v>6451</v>
      </c>
      <c r="AK569" s="1" t="s">
        <v>6452</v>
      </c>
      <c r="AL569" s="1" t="s">
        <v>6453</v>
      </c>
      <c r="AM569" s="1" t="s">
        <v>6451</v>
      </c>
      <c r="AN569" s="1" t="s">
        <v>6452</v>
      </c>
      <c r="AO569" s="1" t="s">
        <v>6453</v>
      </c>
      <c r="AP569" s="2" t="s">
        <v>6667</v>
      </c>
      <c r="AQ569" s="2" t="s">
        <v>1077</v>
      </c>
      <c r="AR569" s="1" t="s">
        <v>287</v>
      </c>
      <c r="AS569" s="1"/>
      <c r="AT569" s="1" t="s">
        <v>5</v>
      </c>
    </row>
    <row r="570" spans="1:46" hidden="1" x14ac:dyDescent="0.4">
      <c r="A570" s="1" t="s">
        <v>7278</v>
      </c>
      <c r="B570" s="10"/>
      <c r="C570" s="1" t="s">
        <v>93</v>
      </c>
      <c r="D570" s="1" t="s">
        <v>2211</v>
      </c>
      <c r="E570" s="1" t="s">
        <v>2078</v>
      </c>
      <c r="F570" s="1" t="s">
        <v>14</v>
      </c>
      <c r="G570" s="1" t="s">
        <v>1</v>
      </c>
      <c r="H570" s="1" t="s">
        <v>6</v>
      </c>
      <c r="I570" s="1" t="s">
        <v>2</v>
      </c>
      <c r="J570" s="1" t="s">
        <v>3</v>
      </c>
      <c r="K570" s="1" t="s">
        <v>7279</v>
      </c>
      <c r="L570" s="1" t="s">
        <v>7</v>
      </c>
      <c r="M570" s="1"/>
      <c r="N570" s="1" t="s">
        <v>7280</v>
      </c>
      <c r="O570" s="1" t="s">
        <v>7281</v>
      </c>
      <c r="P570" s="1"/>
      <c r="Q570" s="1"/>
      <c r="R570" s="1" t="s">
        <v>11</v>
      </c>
      <c r="S570" s="1"/>
      <c r="T570" s="1"/>
      <c r="U570" s="1"/>
      <c r="V570" s="1"/>
      <c r="W570" s="1"/>
      <c r="X570" s="1"/>
      <c r="Y570" s="1"/>
      <c r="Z570" s="1"/>
      <c r="AA570" s="1"/>
      <c r="AB570" s="1" t="s">
        <v>7282</v>
      </c>
      <c r="AC570" s="1"/>
      <c r="AD570" s="1"/>
      <c r="AE570" s="1" t="s">
        <v>7283</v>
      </c>
      <c r="AF570" s="1"/>
      <c r="AG570" s="1"/>
      <c r="AH570" s="1" t="s">
        <v>7284</v>
      </c>
      <c r="AI570" s="1"/>
      <c r="AJ570" s="1" t="s">
        <v>7285</v>
      </c>
      <c r="AK570" s="1" t="s">
        <v>4240</v>
      </c>
      <c r="AL570" s="1" t="s">
        <v>7286</v>
      </c>
      <c r="AM570" s="1" t="s">
        <v>7287</v>
      </c>
      <c r="AN570" s="1" t="s">
        <v>7288</v>
      </c>
      <c r="AO570" s="1" t="s">
        <v>7289</v>
      </c>
      <c r="AP570" s="2" t="s">
        <v>7290</v>
      </c>
      <c r="AQ570" s="2" t="s">
        <v>1077</v>
      </c>
      <c r="AR570" s="1" t="s">
        <v>286</v>
      </c>
      <c r="AS570" s="1" t="s">
        <v>7291</v>
      </c>
      <c r="AT570" s="1" t="s">
        <v>5</v>
      </c>
    </row>
    <row r="571" spans="1:46" hidden="1" x14ac:dyDescent="0.4">
      <c r="A571" s="1" t="s">
        <v>9298</v>
      </c>
      <c r="B571" s="10"/>
      <c r="C571" s="1" t="s">
        <v>0</v>
      </c>
      <c r="D571" s="1" t="s">
        <v>2827</v>
      </c>
      <c r="E571" s="1" t="s">
        <v>2078</v>
      </c>
      <c r="F571" s="1" t="s">
        <v>14</v>
      </c>
      <c r="G571" s="1" t="s">
        <v>1</v>
      </c>
      <c r="H571" s="1" t="s">
        <v>6</v>
      </c>
      <c r="I571" s="1" t="s">
        <v>2</v>
      </c>
      <c r="J571" s="1" t="s">
        <v>3</v>
      </c>
      <c r="K571" s="1" t="s">
        <v>9299</v>
      </c>
      <c r="L571" s="1" t="s">
        <v>7</v>
      </c>
      <c r="M571" s="1" t="s">
        <v>9</v>
      </c>
      <c r="N571" s="1" t="s">
        <v>9300</v>
      </c>
      <c r="O571" s="1" t="s">
        <v>6707</v>
      </c>
      <c r="P571" s="1"/>
      <c r="Q571" s="1"/>
      <c r="R571" s="1" t="s">
        <v>11</v>
      </c>
      <c r="S571" s="1"/>
      <c r="T571" s="1"/>
      <c r="U571" s="1"/>
      <c r="V571" s="1"/>
      <c r="W571" s="1"/>
      <c r="X571" s="1"/>
      <c r="Y571" s="1"/>
      <c r="Z571" s="1"/>
      <c r="AA571" s="1"/>
      <c r="AB571" s="1" t="s">
        <v>9301</v>
      </c>
      <c r="AC571" s="1"/>
      <c r="AD571" s="1"/>
      <c r="AE571" s="1" t="s">
        <v>9302</v>
      </c>
      <c r="AF571" s="1"/>
      <c r="AG571" s="1"/>
      <c r="AH571" s="1" t="s">
        <v>9303</v>
      </c>
      <c r="AI571" s="1"/>
      <c r="AJ571" s="1" t="s">
        <v>1578</v>
      </c>
      <c r="AK571" s="1" t="s">
        <v>1579</v>
      </c>
      <c r="AL571" s="1" t="s">
        <v>1580</v>
      </c>
      <c r="AM571" s="1" t="s">
        <v>2021</v>
      </c>
      <c r="AN571" s="1" t="s">
        <v>1579</v>
      </c>
      <c r="AO571" s="1" t="s">
        <v>2022</v>
      </c>
      <c r="AP571" s="2" t="s">
        <v>9304</v>
      </c>
      <c r="AQ571" s="2" t="s">
        <v>1154</v>
      </c>
      <c r="AR571" s="1" t="s">
        <v>286</v>
      </c>
      <c r="AS571" s="1"/>
      <c r="AT571" s="1" t="s">
        <v>5</v>
      </c>
    </row>
    <row r="572" spans="1:46" hidden="1" x14ac:dyDescent="0.4">
      <c r="A572" s="1" t="s">
        <v>11904</v>
      </c>
      <c r="B572" s="10"/>
      <c r="C572" s="1" t="s">
        <v>6443</v>
      </c>
      <c r="D572" s="1" t="s">
        <v>2827</v>
      </c>
      <c r="E572" s="1"/>
      <c r="F572" s="1" t="s">
        <v>14</v>
      </c>
      <c r="G572" s="1" t="s">
        <v>1</v>
      </c>
      <c r="H572" s="1" t="s">
        <v>6</v>
      </c>
      <c r="I572" s="1" t="s">
        <v>2</v>
      </c>
      <c r="J572" s="1" t="s">
        <v>3</v>
      </c>
      <c r="K572" s="1" t="s">
        <v>11905</v>
      </c>
      <c r="L572" s="1" t="s">
        <v>7</v>
      </c>
      <c r="M572" s="1"/>
      <c r="N572" s="1" t="s">
        <v>11906</v>
      </c>
      <c r="O572" s="1" t="s">
        <v>11896</v>
      </c>
      <c r="P572" s="1"/>
      <c r="Q572" s="1" t="s">
        <v>12</v>
      </c>
      <c r="R572" s="1" t="s">
        <v>11</v>
      </c>
      <c r="S572" s="1"/>
      <c r="T572" s="1" t="s">
        <v>12</v>
      </c>
      <c r="U572" s="1" t="s">
        <v>11</v>
      </c>
      <c r="V572" s="1"/>
      <c r="W572" s="1" t="s">
        <v>11907</v>
      </c>
      <c r="X572" s="1" t="s">
        <v>11898</v>
      </c>
      <c r="Y572" s="1"/>
      <c r="Z572" s="1"/>
      <c r="AA572" s="1"/>
      <c r="AB572" s="1" t="s">
        <v>11908</v>
      </c>
      <c r="AC572" s="1"/>
      <c r="AD572" s="1"/>
      <c r="AE572" s="1" t="s">
        <v>11900</v>
      </c>
      <c r="AF572" s="1"/>
      <c r="AG572" s="1"/>
      <c r="AH572" s="1" t="s">
        <v>11909</v>
      </c>
      <c r="AI572" s="1"/>
      <c r="AJ572" s="1" t="s">
        <v>11684</v>
      </c>
      <c r="AK572" s="1" t="s">
        <v>11685</v>
      </c>
      <c r="AL572" s="1" t="s">
        <v>11686</v>
      </c>
      <c r="AM572" s="1" t="s">
        <v>11684</v>
      </c>
      <c r="AN572" s="1" t="s">
        <v>11685</v>
      </c>
      <c r="AO572" s="1" t="s">
        <v>11686</v>
      </c>
      <c r="AP572" s="2" t="s">
        <v>11910</v>
      </c>
      <c r="AQ572" s="2" t="s">
        <v>1156</v>
      </c>
      <c r="AR572" s="1"/>
      <c r="AS572" s="1" t="s">
        <v>11911</v>
      </c>
      <c r="AT572" s="1" t="s">
        <v>5</v>
      </c>
    </row>
    <row r="573" spans="1:46" hidden="1" x14ac:dyDescent="0.4">
      <c r="A573" s="1" t="s">
        <v>11893</v>
      </c>
      <c r="B573" s="10"/>
      <c r="C573" s="1" t="s">
        <v>6443</v>
      </c>
      <c r="D573" s="1" t="s">
        <v>2827</v>
      </c>
      <c r="E573" s="1"/>
      <c r="F573" s="1" t="s">
        <v>14</v>
      </c>
      <c r="G573" s="1" t="s">
        <v>1</v>
      </c>
      <c r="H573" s="1" t="s">
        <v>6</v>
      </c>
      <c r="I573" s="1" t="s">
        <v>2</v>
      </c>
      <c r="J573" s="1" t="s">
        <v>3</v>
      </c>
      <c r="K573" s="1" t="s">
        <v>11894</v>
      </c>
      <c r="L573" s="1" t="s">
        <v>7</v>
      </c>
      <c r="M573" s="1"/>
      <c r="N573" s="1" t="s">
        <v>11895</v>
      </c>
      <c r="O573" s="1" t="s">
        <v>11896</v>
      </c>
      <c r="P573" s="1"/>
      <c r="Q573" s="1" t="s">
        <v>12</v>
      </c>
      <c r="R573" s="1" t="s">
        <v>11</v>
      </c>
      <c r="S573" s="1"/>
      <c r="T573" s="1" t="s">
        <v>12</v>
      </c>
      <c r="U573" s="1" t="s">
        <v>11</v>
      </c>
      <c r="V573" s="1"/>
      <c r="W573" s="1" t="s">
        <v>11897</v>
      </c>
      <c r="X573" s="1" t="s">
        <v>11898</v>
      </c>
      <c r="Y573" s="1"/>
      <c r="Z573" s="1"/>
      <c r="AA573" s="1"/>
      <c r="AB573" s="1" t="s">
        <v>11899</v>
      </c>
      <c r="AC573" s="1"/>
      <c r="AD573" s="1"/>
      <c r="AE573" s="1" t="s">
        <v>11900</v>
      </c>
      <c r="AF573" s="1"/>
      <c r="AG573" s="1"/>
      <c r="AH573" s="1" t="s">
        <v>11901</v>
      </c>
      <c r="AI573" s="1"/>
      <c r="AJ573" s="1" t="s">
        <v>11684</v>
      </c>
      <c r="AK573" s="1" t="s">
        <v>11685</v>
      </c>
      <c r="AL573" s="1" t="s">
        <v>11686</v>
      </c>
      <c r="AM573" s="1" t="s">
        <v>11684</v>
      </c>
      <c r="AN573" s="1" t="s">
        <v>11685</v>
      </c>
      <c r="AO573" s="1" t="s">
        <v>11686</v>
      </c>
      <c r="AP573" s="2" t="s">
        <v>11902</v>
      </c>
      <c r="AQ573" s="2" t="s">
        <v>1156</v>
      </c>
      <c r="AR573" s="1"/>
      <c r="AS573" s="1" t="s">
        <v>11903</v>
      </c>
      <c r="AT573" s="1" t="s">
        <v>5</v>
      </c>
    </row>
    <row r="574" spans="1:46" hidden="1" x14ac:dyDescent="0.4">
      <c r="A574" s="1" t="s">
        <v>8001</v>
      </c>
      <c r="B574" s="10"/>
      <c r="C574" s="1" t="s">
        <v>93</v>
      </c>
      <c r="D574" s="1" t="s">
        <v>2157</v>
      </c>
      <c r="E574" s="1" t="s">
        <v>2078</v>
      </c>
      <c r="F574" s="1" t="s">
        <v>14</v>
      </c>
      <c r="G574" s="1" t="s">
        <v>1</v>
      </c>
      <c r="H574" s="1" t="s">
        <v>6</v>
      </c>
      <c r="I574" s="1" t="s">
        <v>2</v>
      </c>
      <c r="J574" s="1" t="s">
        <v>3</v>
      </c>
      <c r="K574" s="1" t="s">
        <v>8002</v>
      </c>
      <c r="L574" s="1" t="s">
        <v>7</v>
      </c>
      <c r="M574" s="1"/>
      <c r="N574" s="1" t="s">
        <v>8003</v>
      </c>
      <c r="O574" s="1" t="s">
        <v>4311</v>
      </c>
      <c r="P574" s="1"/>
      <c r="Q574" s="1"/>
      <c r="R574" s="1" t="s">
        <v>11</v>
      </c>
      <c r="S574" s="1"/>
      <c r="T574" s="1"/>
      <c r="U574" s="1"/>
      <c r="V574" s="1"/>
      <c r="W574" s="1"/>
      <c r="X574" s="1" t="s">
        <v>8004</v>
      </c>
      <c r="Y574" s="1"/>
      <c r="Z574" s="1"/>
      <c r="AA574" s="1"/>
      <c r="AB574" s="1" t="s">
        <v>8005</v>
      </c>
      <c r="AC574" s="1"/>
      <c r="AD574" s="1"/>
      <c r="AE574" s="1" t="s">
        <v>8006</v>
      </c>
      <c r="AF574" s="1"/>
      <c r="AG574" s="1"/>
      <c r="AH574" s="1" t="s">
        <v>8007</v>
      </c>
      <c r="AI574" s="1"/>
      <c r="AJ574" s="1" t="s">
        <v>8008</v>
      </c>
      <c r="AK574" s="1" t="s">
        <v>1787</v>
      </c>
      <c r="AL574" s="1" t="s">
        <v>8009</v>
      </c>
      <c r="AM574" s="1" t="s">
        <v>8008</v>
      </c>
      <c r="AN574" s="1" t="s">
        <v>1787</v>
      </c>
      <c r="AO574" s="1" t="s">
        <v>8009</v>
      </c>
      <c r="AP574" s="2" t="s">
        <v>8010</v>
      </c>
      <c r="AQ574" s="2" t="s">
        <v>1154</v>
      </c>
      <c r="AR574" s="1" t="s">
        <v>286</v>
      </c>
      <c r="AS574" s="1" t="s">
        <v>8011</v>
      </c>
      <c r="AT574" s="1" t="s">
        <v>5</v>
      </c>
    </row>
    <row r="575" spans="1:46" hidden="1" x14ac:dyDescent="0.4">
      <c r="A575" s="1" t="s">
        <v>6173</v>
      </c>
      <c r="B575" s="10"/>
      <c r="C575" s="1" t="s">
        <v>0</v>
      </c>
      <c r="D575" s="1" t="s">
        <v>2157</v>
      </c>
      <c r="E575" s="1" t="s">
        <v>2078</v>
      </c>
      <c r="F575" s="1" t="s">
        <v>14</v>
      </c>
      <c r="G575" s="1" t="s">
        <v>1</v>
      </c>
      <c r="H575" s="1" t="s">
        <v>6</v>
      </c>
      <c r="I575" s="1" t="s">
        <v>2</v>
      </c>
      <c r="J575" s="1" t="s">
        <v>3</v>
      </c>
      <c r="K575" s="1" t="s">
        <v>6174</v>
      </c>
      <c r="L575" s="1" t="s">
        <v>7</v>
      </c>
      <c r="M575" s="1" t="s">
        <v>9</v>
      </c>
      <c r="N575" s="1" t="s">
        <v>6175</v>
      </c>
      <c r="O575" s="1" t="s">
        <v>6176</v>
      </c>
      <c r="P575" s="1"/>
      <c r="Q575" s="1"/>
      <c r="R575" s="1" t="s">
        <v>11</v>
      </c>
      <c r="S575" s="1"/>
      <c r="T575" s="1"/>
      <c r="U575" s="1"/>
      <c r="V575" s="1"/>
      <c r="W575" s="1"/>
      <c r="X575" s="1"/>
      <c r="Y575" s="1"/>
      <c r="Z575" s="1"/>
      <c r="AA575" s="1"/>
      <c r="AB575" s="1" t="s">
        <v>6177</v>
      </c>
      <c r="AC575" s="1"/>
      <c r="AD575" s="1"/>
      <c r="AE575" s="1" t="s">
        <v>6178</v>
      </c>
      <c r="AF575" s="1"/>
      <c r="AG575" s="1"/>
      <c r="AH575" s="1" t="s">
        <v>6179</v>
      </c>
      <c r="AI575" s="1"/>
      <c r="AJ575" s="1" t="s">
        <v>2117</v>
      </c>
      <c r="AK575" s="1" t="s">
        <v>5356</v>
      </c>
      <c r="AL575" s="1" t="s">
        <v>2934</v>
      </c>
      <c r="AM575" s="1" t="s">
        <v>6180</v>
      </c>
      <c r="AN575" s="1" t="s">
        <v>5356</v>
      </c>
      <c r="AO575" s="1" t="s">
        <v>6181</v>
      </c>
      <c r="AP575" s="2" t="s">
        <v>6182</v>
      </c>
      <c r="AQ575" s="2" t="s">
        <v>1077</v>
      </c>
      <c r="AR575" s="1" t="s">
        <v>286</v>
      </c>
      <c r="AS575" s="1"/>
      <c r="AT575" s="1" t="s">
        <v>5</v>
      </c>
    </row>
    <row r="576" spans="1:46" hidden="1" x14ac:dyDescent="0.4">
      <c r="A576" s="1" t="s">
        <v>7197</v>
      </c>
      <c r="B576" s="10"/>
      <c r="C576" s="1" t="s">
        <v>2491</v>
      </c>
      <c r="D576" s="1" t="s">
        <v>2220</v>
      </c>
      <c r="E576" s="1" t="s">
        <v>2078</v>
      </c>
      <c r="F576" s="1" t="s">
        <v>14</v>
      </c>
      <c r="G576" s="1" t="s">
        <v>1</v>
      </c>
      <c r="H576" s="1" t="s">
        <v>6</v>
      </c>
      <c r="I576" s="1" t="s">
        <v>2</v>
      </c>
      <c r="J576" s="1" t="s">
        <v>2492</v>
      </c>
      <c r="K576" s="1" t="s">
        <v>7198</v>
      </c>
      <c r="L576" s="1" t="s">
        <v>4</v>
      </c>
      <c r="M576" s="1" t="s">
        <v>9</v>
      </c>
      <c r="N576" s="1" t="s">
        <v>7199</v>
      </c>
      <c r="O576" s="1" t="s">
        <v>7200</v>
      </c>
      <c r="P576" s="1"/>
      <c r="Q576" s="1"/>
      <c r="R576" s="1" t="s">
        <v>11</v>
      </c>
      <c r="S576" s="1"/>
      <c r="T576" s="1"/>
      <c r="U576" s="1"/>
      <c r="V576" s="1"/>
      <c r="W576" s="1"/>
      <c r="X576" s="1" t="s">
        <v>7201</v>
      </c>
      <c r="Y576" s="1"/>
      <c r="Z576" s="1"/>
      <c r="AA576" s="1"/>
      <c r="AB576" s="1" t="s">
        <v>7202</v>
      </c>
      <c r="AC576" s="1"/>
      <c r="AD576" s="1"/>
      <c r="AE576" s="1"/>
      <c r="AF576" s="1"/>
      <c r="AG576" s="1"/>
      <c r="AH576" s="1" t="s">
        <v>7203</v>
      </c>
      <c r="AI576" s="1"/>
      <c r="AJ576" s="1" t="s">
        <v>7204</v>
      </c>
      <c r="AK576" s="1" t="s">
        <v>7205</v>
      </c>
      <c r="AL576" s="1" t="s">
        <v>7206</v>
      </c>
      <c r="AM576" s="1" t="s">
        <v>7207</v>
      </c>
      <c r="AN576" s="1" t="s">
        <v>7205</v>
      </c>
      <c r="AO576" s="1" t="s">
        <v>7208</v>
      </c>
      <c r="AP576" s="2" t="s">
        <v>7209</v>
      </c>
      <c r="AQ576" s="2" t="s">
        <v>1077</v>
      </c>
      <c r="AR576" s="1" t="s">
        <v>286</v>
      </c>
      <c r="AS576" s="1" t="s">
        <v>1282</v>
      </c>
      <c r="AT576" s="1" t="s">
        <v>5</v>
      </c>
    </row>
    <row r="577" spans="1:46" hidden="1" x14ac:dyDescent="0.4">
      <c r="A577" s="1" t="s">
        <v>7768</v>
      </c>
      <c r="B577" s="10"/>
      <c r="C577" s="1" t="s">
        <v>3626</v>
      </c>
      <c r="D577" s="1" t="s">
        <v>2211</v>
      </c>
      <c r="E577" s="1" t="s">
        <v>2078</v>
      </c>
      <c r="F577" s="1" t="s">
        <v>14</v>
      </c>
      <c r="G577" s="1" t="s">
        <v>1</v>
      </c>
      <c r="H577" s="1" t="s">
        <v>6</v>
      </c>
      <c r="I577" s="1" t="s">
        <v>2</v>
      </c>
      <c r="J577" s="1" t="s">
        <v>3514</v>
      </c>
      <c r="K577" s="1" t="s">
        <v>7769</v>
      </c>
      <c r="L577" s="1" t="s">
        <v>7</v>
      </c>
      <c r="M577" s="1" t="s">
        <v>9</v>
      </c>
      <c r="N577" s="1" t="s">
        <v>7770</v>
      </c>
      <c r="O577" s="1" t="s">
        <v>7771</v>
      </c>
      <c r="P577" s="1"/>
      <c r="Q577" s="1"/>
      <c r="R577" s="1" t="s">
        <v>11</v>
      </c>
      <c r="S577" s="1"/>
      <c r="T577" s="1"/>
      <c r="U577" s="1"/>
      <c r="V577" s="1"/>
      <c r="W577" s="1" t="s">
        <v>7772</v>
      </c>
      <c r="X577" s="1"/>
      <c r="Y577" s="1"/>
      <c r="Z577" s="1"/>
      <c r="AA577" s="1"/>
      <c r="AB577" s="1" t="s">
        <v>7773</v>
      </c>
      <c r="AC577" s="1"/>
      <c r="AD577" s="1"/>
      <c r="AE577" s="1" t="s">
        <v>7774</v>
      </c>
      <c r="AF577" s="1"/>
      <c r="AG577" s="1"/>
      <c r="AH577" s="1" t="s">
        <v>7775</v>
      </c>
      <c r="AI577" s="1"/>
      <c r="AJ577" s="1" t="s">
        <v>6556</v>
      </c>
      <c r="AK577" s="1" t="s">
        <v>5314</v>
      </c>
      <c r="AL577" s="1" t="s">
        <v>6557</v>
      </c>
      <c r="AM577" s="1" t="s">
        <v>6556</v>
      </c>
      <c r="AN577" s="1" t="s">
        <v>5314</v>
      </c>
      <c r="AO577" s="1" t="s">
        <v>6557</v>
      </c>
      <c r="AP577" s="2" t="s">
        <v>7776</v>
      </c>
      <c r="AQ577" s="2" t="s">
        <v>1154</v>
      </c>
      <c r="AR577" s="1" t="s">
        <v>286</v>
      </c>
      <c r="AS577" s="1"/>
      <c r="AT577" s="1" t="s">
        <v>5</v>
      </c>
    </row>
    <row r="578" spans="1:46" hidden="1" x14ac:dyDescent="0.4">
      <c r="A578" s="1" t="s">
        <v>7855</v>
      </c>
      <c r="B578" s="10"/>
      <c r="C578" s="1" t="s">
        <v>2841</v>
      </c>
      <c r="D578" s="1" t="s">
        <v>2290</v>
      </c>
      <c r="E578" s="1" t="s">
        <v>2291</v>
      </c>
      <c r="F578" s="1" t="s">
        <v>14</v>
      </c>
      <c r="G578" s="1" t="s">
        <v>1</v>
      </c>
      <c r="H578" s="1" t="s">
        <v>6</v>
      </c>
      <c r="I578" s="1" t="s">
        <v>2</v>
      </c>
      <c r="J578" s="1" t="s">
        <v>2842</v>
      </c>
      <c r="K578" s="1" t="s">
        <v>7856</v>
      </c>
      <c r="L578" s="1" t="s">
        <v>7</v>
      </c>
      <c r="M578" s="1"/>
      <c r="N578" s="1" t="s">
        <v>7857</v>
      </c>
      <c r="O578" s="1" t="s">
        <v>7858</v>
      </c>
      <c r="P578" s="1" t="s">
        <v>7859</v>
      </c>
      <c r="Q578" s="1"/>
      <c r="R578" s="1" t="s">
        <v>11</v>
      </c>
      <c r="S578" s="1"/>
      <c r="T578" s="1"/>
      <c r="U578" s="1"/>
      <c r="V578" s="1"/>
      <c r="W578" s="1" t="s">
        <v>7860</v>
      </c>
      <c r="X578" s="1"/>
      <c r="Y578" s="1"/>
      <c r="Z578" s="1"/>
      <c r="AA578" s="1"/>
      <c r="AB578" s="1" t="s">
        <v>7861</v>
      </c>
      <c r="AC578" s="1"/>
      <c r="AD578" s="1"/>
      <c r="AE578" s="1" t="s">
        <v>7862</v>
      </c>
      <c r="AF578" s="1"/>
      <c r="AG578" s="1"/>
      <c r="AH578" s="1" t="s">
        <v>7863</v>
      </c>
      <c r="AI578" s="1"/>
      <c r="AJ578" s="1" t="s">
        <v>4327</v>
      </c>
      <c r="AK578" s="1" t="s">
        <v>3471</v>
      </c>
      <c r="AL578" s="1" t="s">
        <v>4328</v>
      </c>
      <c r="AM578" s="1" t="s">
        <v>4327</v>
      </c>
      <c r="AN578" s="1" t="s">
        <v>3471</v>
      </c>
      <c r="AO578" s="1" t="s">
        <v>4328</v>
      </c>
      <c r="AP578" s="2" t="s">
        <v>7864</v>
      </c>
      <c r="AQ578" s="2" t="s">
        <v>1154</v>
      </c>
      <c r="AR578" s="1" t="s">
        <v>286</v>
      </c>
      <c r="AS578" s="1"/>
      <c r="AT578" s="1" t="s">
        <v>5</v>
      </c>
    </row>
    <row r="579" spans="1:46" hidden="1" x14ac:dyDescent="0.4">
      <c r="A579" s="1" t="s">
        <v>3745</v>
      </c>
      <c r="B579" s="10"/>
      <c r="C579" s="1" t="s">
        <v>2494</v>
      </c>
      <c r="D579" s="1" t="s">
        <v>2220</v>
      </c>
      <c r="E579" s="1" t="s">
        <v>2078</v>
      </c>
      <c r="F579" s="1" t="s">
        <v>14</v>
      </c>
      <c r="G579" s="1" t="s">
        <v>1</v>
      </c>
      <c r="H579" s="1" t="s">
        <v>6</v>
      </c>
      <c r="I579" s="1" t="s">
        <v>2</v>
      </c>
      <c r="J579" s="1" t="s">
        <v>2450</v>
      </c>
      <c r="K579" s="1" t="s">
        <v>3746</v>
      </c>
      <c r="L579" s="1" t="s">
        <v>7</v>
      </c>
      <c r="M579" s="1" t="s">
        <v>9</v>
      </c>
      <c r="N579" s="1" t="s">
        <v>3736</v>
      </c>
      <c r="O579" s="1" t="s">
        <v>3653</v>
      </c>
      <c r="P579" s="1"/>
      <c r="Q579" s="1"/>
      <c r="R579" s="1" t="s">
        <v>11</v>
      </c>
      <c r="S579" s="1"/>
      <c r="T579" s="1"/>
      <c r="U579" s="1"/>
      <c r="V579" s="1"/>
      <c r="W579" s="1" t="s">
        <v>3747</v>
      </c>
      <c r="X579" s="1"/>
      <c r="Y579" s="1"/>
      <c r="Z579" s="1"/>
      <c r="AA579" s="1" t="s">
        <v>3748</v>
      </c>
      <c r="AB579" s="1" t="s">
        <v>3749</v>
      </c>
      <c r="AC579" s="1"/>
      <c r="AD579" s="1"/>
      <c r="AE579" s="1" t="s">
        <v>3658</v>
      </c>
      <c r="AF579" s="1"/>
      <c r="AG579" s="1"/>
      <c r="AH579" s="1" t="s">
        <v>3750</v>
      </c>
      <c r="AI579" s="1" t="s">
        <v>3751</v>
      </c>
      <c r="AJ579" s="1" t="s">
        <v>3661</v>
      </c>
      <c r="AK579" s="1" t="s">
        <v>3662</v>
      </c>
      <c r="AL579" s="1" t="s">
        <v>3663</v>
      </c>
      <c r="AM579" s="1" t="s">
        <v>3742</v>
      </c>
      <c r="AN579" s="1" t="s">
        <v>3743</v>
      </c>
      <c r="AO579" s="1"/>
      <c r="AP579" s="2" t="s">
        <v>3752</v>
      </c>
      <c r="AQ579" s="2" t="s">
        <v>1153</v>
      </c>
      <c r="AR579" s="1" t="s">
        <v>287</v>
      </c>
      <c r="AS579" s="1"/>
      <c r="AT579" s="1" t="s">
        <v>5</v>
      </c>
    </row>
    <row r="580" spans="1:46" hidden="1" x14ac:dyDescent="0.4">
      <c r="A580" s="1" t="s">
        <v>5164</v>
      </c>
      <c r="B580" s="10"/>
      <c r="C580" s="1" t="s">
        <v>2454</v>
      </c>
      <c r="D580" s="1" t="s">
        <v>2211</v>
      </c>
      <c r="E580" s="1" t="s">
        <v>2078</v>
      </c>
      <c r="F580" s="1" t="s">
        <v>14</v>
      </c>
      <c r="G580" s="1" t="s">
        <v>1</v>
      </c>
      <c r="H580" s="1" t="s">
        <v>6</v>
      </c>
      <c r="I580" s="1" t="s">
        <v>2</v>
      </c>
      <c r="J580" s="1" t="s">
        <v>2450</v>
      </c>
      <c r="K580" s="1" t="s">
        <v>5165</v>
      </c>
      <c r="L580" s="1" t="s">
        <v>4</v>
      </c>
      <c r="M580" s="1"/>
      <c r="N580" s="1" t="s">
        <v>5166</v>
      </c>
      <c r="O580" s="1" t="s">
        <v>15</v>
      </c>
      <c r="P580" s="1"/>
      <c r="Q580" s="1"/>
      <c r="R580" s="1" t="s">
        <v>11</v>
      </c>
      <c r="S580" s="1"/>
      <c r="T580" s="1"/>
      <c r="U580" s="1"/>
      <c r="V580" s="1"/>
      <c r="W580" s="1" t="s">
        <v>5167</v>
      </c>
      <c r="X580" s="1" t="s">
        <v>5168</v>
      </c>
      <c r="Y580" s="1"/>
      <c r="Z580" s="1"/>
      <c r="AA580" s="1"/>
      <c r="AB580" s="1" t="s">
        <v>5169</v>
      </c>
      <c r="AC580" s="1"/>
      <c r="AD580" s="1"/>
      <c r="AE580" s="1"/>
      <c r="AF580" s="1"/>
      <c r="AG580" s="1"/>
      <c r="AH580" s="1" t="s">
        <v>5170</v>
      </c>
      <c r="AI580" s="1"/>
      <c r="AJ580" s="1" t="s">
        <v>3682</v>
      </c>
      <c r="AK580" s="1" t="s">
        <v>3106</v>
      </c>
      <c r="AL580" s="1" t="s">
        <v>3683</v>
      </c>
      <c r="AM580" s="1" t="s">
        <v>3682</v>
      </c>
      <c r="AN580" s="1" t="s">
        <v>3106</v>
      </c>
      <c r="AO580" s="1" t="s">
        <v>3683</v>
      </c>
      <c r="AP580" s="2" t="s">
        <v>5171</v>
      </c>
      <c r="AQ580" s="2" t="s">
        <v>1153</v>
      </c>
      <c r="AR580" s="1" t="s">
        <v>286</v>
      </c>
      <c r="AS580" s="1"/>
      <c r="AT580" s="1" t="s">
        <v>5</v>
      </c>
    </row>
    <row r="581" spans="1:46" hidden="1" x14ac:dyDescent="0.4">
      <c r="A581" s="1" t="s">
        <v>5172</v>
      </c>
      <c r="B581" s="10"/>
      <c r="C581" s="1" t="s">
        <v>2454</v>
      </c>
      <c r="D581" s="1" t="s">
        <v>2157</v>
      </c>
      <c r="E581" s="1" t="s">
        <v>2078</v>
      </c>
      <c r="F581" s="1" t="s">
        <v>14</v>
      </c>
      <c r="G581" s="1" t="s">
        <v>1</v>
      </c>
      <c r="H581" s="1" t="s">
        <v>6</v>
      </c>
      <c r="I581" s="1" t="s">
        <v>2</v>
      </c>
      <c r="J581" s="1" t="s">
        <v>3676</v>
      </c>
      <c r="K581" s="1" t="s">
        <v>5173</v>
      </c>
      <c r="L581" s="1" t="s">
        <v>7</v>
      </c>
      <c r="M581" s="1"/>
      <c r="N581" s="1" t="s">
        <v>5174</v>
      </c>
      <c r="O581" s="1" t="s">
        <v>15</v>
      </c>
      <c r="P581" s="1"/>
      <c r="Q581" s="1"/>
      <c r="R581" s="1" t="s">
        <v>11</v>
      </c>
      <c r="S581" s="1"/>
      <c r="T581" s="1"/>
      <c r="U581" s="1"/>
      <c r="V581" s="1"/>
      <c r="W581" s="1"/>
      <c r="X581" s="1" t="s">
        <v>5168</v>
      </c>
      <c r="Y581" s="1"/>
      <c r="Z581" s="1"/>
      <c r="AA581" s="1"/>
      <c r="AB581" s="1" t="s">
        <v>5175</v>
      </c>
      <c r="AC581" s="1"/>
      <c r="AD581" s="1"/>
      <c r="AE581" s="1"/>
      <c r="AF581" s="1"/>
      <c r="AG581" s="1"/>
      <c r="AH581" s="1" t="s">
        <v>5176</v>
      </c>
      <c r="AI581" s="1"/>
      <c r="AJ581" s="1" t="s">
        <v>3682</v>
      </c>
      <c r="AK581" s="1" t="s">
        <v>3106</v>
      </c>
      <c r="AL581" s="1" t="s">
        <v>3683</v>
      </c>
      <c r="AM581" s="1" t="s">
        <v>3682</v>
      </c>
      <c r="AN581" s="1" t="s">
        <v>3106</v>
      </c>
      <c r="AO581" s="1" t="s">
        <v>3683</v>
      </c>
      <c r="AP581" s="2" t="s">
        <v>5177</v>
      </c>
      <c r="AQ581" s="2" t="s">
        <v>1153</v>
      </c>
      <c r="AR581" s="1" t="s">
        <v>286</v>
      </c>
      <c r="AS581" s="1" t="s">
        <v>5178</v>
      </c>
      <c r="AT581" s="1" t="s">
        <v>5</v>
      </c>
    </row>
    <row r="582" spans="1:46" hidden="1" x14ac:dyDescent="0.4">
      <c r="A582" s="1" t="s">
        <v>6127</v>
      </c>
      <c r="B582" s="10"/>
      <c r="C582" s="1" t="s">
        <v>0</v>
      </c>
      <c r="D582" s="1" t="s">
        <v>2076</v>
      </c>
      <c r="E582" s="1" t="s">
        <v>2078</v>
      </c>
      <c r="F582" s="1" t="s">
        <v>14</v>
      </c>
      <c r="G582" s="1" t="s">
        <v>1</v>
      </c>
      <c r="H582" s="1" t="s">
        <v>6</v>
      </c>
      <c r="I582" s="1" t="s">
        <v>2</v>
      </c>
      <c r="J582" s="1" t="s">
        <v>3</v>
      </c>
      <c r="K582" s="1" t="s">
        <v>6128</v>
      </c>
      <c r="L582" s="1" t="s">
        <v>4</v>
      </c>
      <c r="M582" s="1" t="s">
        <v>9</v>
      </c>
      <c r="N582" s="1" t="s">
        <v>6129</v>
      </c>
      <c r="O582" s="1" t="s">
        <v>4208</v>
      </c>
      <c r="P582" s="1"/>
      <c r="Q582" s="1"/>
      <c r="R582" s="1" t="s">
        <v>11</v>
      </c>
      <c r="S582" s="1"/>
      <c r="T582" s="1"/>
      <c r="U582" s="1"/>
      <c r="V582" s="1"/>
      <c r="W582" s="1" t="s">
        <v>6130</v>
      </c>
      <c r="X582" s="1" t="s">
        <v>6131</v>
      </c>
      <c r="Y582" s="1"/>
      <c r="Z582" s="1"/>
      <c r="AA582" s="1"/>
      <c r="AB582" s="1" t="s">
        <v>6132</v>
      </c>
      <c r="AC582" s="1"/>
      <c r="AD582" s="1"/>
      <c r="AE582" s="1"/>
      <c r="AF582" s="1"/>
      <c r="AG582" s="1"/>
      <c r="AH582" s="1" t="s">
        <v>6133</v>
      </c>
      <c r="AI582" s="1"/>
      <c r="AJ582" s="1" t="s">
        <v>363</v>
      </c>
      <c r="AK582" s="1" t="s">
        <v>517</v>
      </c>
      <c r="AL582" s="1" t="s">
        <v>364</v>
      </c>
      <c r="AM582" s="1" t="s">
        <v>77</v>
      </c>
      <c r="AN582" s="1" t="s">
        <v>517</v>
      </c>
      <c r="AO582" s="1" t="s">
        <v>290</v>
      </c>
      <c r="AP582" s="2" t="s">
        <v>6134</v>
      </c>
      <c r="AQ582" s="2" t="s">
        <v>1077</v>
      </c>
      <c r="AR582" s="1" t="s">
        <v>286</v>
      </c>
      <c r="AS582" s="1"/>
      <c r="AT582" s="1" t="s">
        <v>5</v>
      </c>
    </row>
    <row r="583" spans="1:46" hidden="1" x14ac:dyDescent="0.4">
      <c r="A583" s="1" t="s">
        <v>5557</v>
      </c>
      <c r="B583" s="10"/>
      <c r="C583" s="1" t="s">
        <v>5198</v>
      </c>
      <c r="D583" s="1" t="s">
        <v>2076</v>
      </c>
      <c r="E583" s="1" t="s">
        <v>2078</v>
      </c>
      <c r="F583" s="1" t="s">
        <v>14</v>
      </c>
      <c r="G583" s="1" t="s">
        <v>1</v>
      </c>
      <c r="H583" s="1" t="s">
        <v>6</v>
      </c>
      <c r="I583" s="1" t="s">
        <v>2</v>
      </c>
      <c r="J583" s="1" t="s">
        <v>5199</v>
      </c>
      <c r="K583" s="1" t="s">
        <v>5558</v>
      </c>
      <c r="L583" s="1" t="s">
        <v>7</v>
      </c>
      <c r="M583" s="1"/>
      <c r="N583" s="1" t="s">
        <v>5559</v>
      </c>
      <c r="O583" s="1" t="s">
        <v>5551</v>
      </c>
      <c r="P583" s="1"/>
      <c r="Q583" s="1"/>
      <c r="R583" s="1" t="s">
        <v>11</v>
      </c>
      <c r="S583" s="1"/>
      <c r="T583" s="1"/>
      <c r="U583" s="1"/>
      <c r="V583" s="1"/>
      <c r="W583" s="1"/>
      <c r="X583" s="1"/>
      <c r="Y583" s="1"/>
      <c r="Z583" s="1"/>
      <c r="AA583" s="1"/>
      <c r="AB583" s="1" t="s">
        <v>5560</v>
      </c>
      <c r="AC583" s="1"/>
      <c r="AD583" s="1"/>
      <c r="AE583" s="1" t="s">
        <v>5561</v>
      </c>
      <c r="AF583" s="1"/>
      <c r="AG583" s="1"/>
      <c r="AH583" s="1" t="s">
        <v>5562</v>
      </c>
      <c r="AI583" s="1"/>
      <c r="AJ583" s="1" t="s">
        <v>5448</v>
      </c>
      <c r="AK583" s="1" t="s">
        <v>5449</v>
      </c>
      <c r="AL583" s="1" t="s">
        <v>5450</v>
      </c>
      <c r="AM583" s="1" t="s">
        <v>5451</v>
      </c>
      <c r="AN583" s="1" t="s">
        <v>5452</v>
      </c>
      <c r="AO583" s="1" t="s">
        <v>5453</v>
      </c>
      <c r="AP583" s="2" t="s">
        <v>5563</v>
      </c>
      <c r="AQ583" s="2" t="s">
        <v>1077</v>
      </c>
      <c r="AR583" s="1" t="s">
        <v>286</v>
      </c>
      <c r="AS583" s="1"/>
      <c r="AT583" s="1" t="s">
        <v>5</v>
      </c>
    </row>
    <row r="584" spans="1:46" hidden="1" x14ac:dyDescent="0.4">
      <c r="A584" s="1" t="s">
        <v>5478</v>
      </c>
      <c r="B584" s="10"/>
      <c r="C584" s="1" t="s">
        <v>5198</v>
      </c>
      <c r="D584" s="1" t="s">
        <v>2157</v>
      </c>
      <c r="E584" s="1" t="s">
        <v>2078</v>
      </c>
      <c r="F584" s="1" t="s">
        <v>14</v>
      </c>
      <c r="G584" s="1" t="s">
        <v>1</v>
      </c>
      <c r="H584" s="1" t="s">
        <v>6</v>
      </c>
      <c r="I584" s="1" t="s">
        <v>2</v>
      </c>
      <c r="J584" s="1" t="s">
        <v>5199</v>
      </c>
      <c r="K584" s="1" t="s">
        <v>5479</v>
      </c>
      <c r="L584" s="1" t="s">
        <v>7</v>
      </c>
      <c r="M584" s="1"/>
      <c r="N584" s="1" t="s">
        <v>5480</v>
      </c>
      <c r="O584" s="1" t="s">
        <v>3034</v>
      </c>
      <c r="P584" s="1"/>
      <c r="Q584" s="1"/>
      <c r="R584" s="1" t="s">
        <v>11</v>
      </c>
      <c r="S584" s="1"/>
      <c r="T584" s="1"/>
      <c r="U584" s="1"/>
      <c r="V584" s="1"/>
      <c r="W584" s="1"/>
      <c r="X584" s="1"/>
      <c r="Y584" s="1"/>
      <c r="Z584" s="1"/>
      <c r="AA584" s="1"/>
      <c r="AB584" s="1" t="s">
        <v>5481</v>
      </c>
      <c r="AC584" s="1"/>
      <c r="AD584" s="1"/>
      <c r="AE584" s="1" t="s">
        <v>5482</v>
      </c>
      <c r="AF584" s="1"/>
      <c r="AG584" s="1"/>
      <c r="AH584" s="1" t="s">
        <v>5483</v>
      </c>
      <c r="AI584" s="1"/>
      <c r="AJ584" s="1" t="s">
        <v>5448</v>
      </c>
      <c r="AK584" s="1" t="s">
        <v>5449</v>
      </c>
      <c r="AL584" s="1" t="s">
        <v>5450</v>
      </c>
      <c r="AM584" s="1" t="s">
        <v>5451</v>
      </c>
      <c r="AN584" s="1" t="s">
        <v>5452</v>
      </c>
      <c r="AO584" s="1" t="s">
        <v>5453</v>
      </c>
      <c r="AP584" s="2" t="s">
        <v>5484</v>
      </c>
      <c r="AQ584" s="2" t="s">
        <v>1077</v>
      </c>
      <c r="AR584" s="1" t="s">
        <v>286</v>
      </c>
      <c r="AS584" s="1"/>
      <c r="AT584" s="1" t="s">
        <v>5</v>
      </c>
    </row>
    <row r="585" spans="1:46" hidden="1" x14ac:dyDescent="0.4">
      <c r="A585" s="1" t="s">
        <v>10260</v>
      </c>
      <c r="B585" s="10"/>
      <c r="C585" s="1" t="s">
        <v>2544</v>
      </c>
      <c r="D585" s="1" t="s">
        <v>2396</v>
      </c>
      <c r="E585" s="1" t="s">
        <v>2078</v>
      </c>
      <c r="F585" s="1" t="s">
        <v>14</v>
      </c>
      <c r="G585" s="1" t="s">
        <v>1</v>
      </c>
      <c r="H585" s="1" t="s">
        <v>6</v>
      </c>
      <c r="I585" s="1" t="s">
        <v>2</v>
      </c>
      <c r="J585" s="1" t="s">
        <v>2451</v>
      </c>
      <c r="K585" s="1" t="s">
        <v>10261</v>
      </c>
      <c r="L585" s="1" t="s">
        <v>4</v>
      </c>
      <c r="M585" s="1" t="s">
        <v>9</v>
      </c>
      <c r="N585" s="1" t="s">
        <v>10262</v>
      </c>
      <c r="O585" s="1" t="s">
        <v>10263</v>
      </c>
      <c r="P585" s="1" t="s">
        <v>10264</v>
      </c>
      <c r="Q585" s="1"/>
      <c r="R585" s="1" t="s">
        <v>11</v>
      </c>
      <c r="S585" s="1"/>
      <c r="T585" s="1"/>
      <c r="U585" s="1"/>
      <c r="V585" s="1"/>
      <c r="W585" s="1" t="s">
        <v>10265</v>
      </c>
      <c r="X585" s="1"/>
      <c r="Y585" s="1"/>
      <c r="Z585" s="1"/>
      <c r="AA585" s="1"/>
      <c r="AB585" s="1" t="s">
        <v>10266</v>
      </c>
      <c r="AC585" s="1"/>
      <c r="AD585" s="1"/>
      <c r="AE585" s="1" t="s">
        <v>10267</v>
      </c>
      <c r="AF585" s="1"/>
      <c r="AG585" s="1"/>
      <c r="AH585" s="1" t="s">
        <v>10268</v>
      </c>
      <c r="AI585" s="1"/>
      <c r="AJ585" s="1" t="s">
        <v>9259</v>
      </c>
      <c r="AK585" s="1" t="s">
        <v>9260</v>
      </c>
      <c r="AL585" s="1" t="s">
        <v>9261</v>
      </c>
      <c r="AM585" s="1" t="s">
        <v>9076</v>
      </c>
      <c r="AN585" s="1" t="s">
        <v>10269</v>
      </c>
      <c r="AO585" s="1" t="s">
        <v>9078</v>
      </c>
      <c r="AP585" s="2" t="s">
        <v>10270</v>
      </c>
      <c r="AQ585" s="2" t="s">
        <v>1155</v>
      </c>
      <c r="AR585" s="1" t="s">
        <v>286</v>
      </c>
      <c r="AS585" s="1" t="s">
        <v>10271</v>
      </c>
      <c r="AT585" s="1" t="s">
        <v>5</v>
      </c>
    </row>
    <row r="586" spans="1:46" hidden="1" x14ac:dyDescent="0.4">
      <c r="A586" s="1" t="s">
        <v>9462</v>
      </c>
      <c r="B586" s="10"/>
      <c r="C586" s="1" t="s">
        <v>2555</v>
      </c>
      <c r="D586" s="1" t="s">
        <v>2157</v>
      </c>
      <c r="E586" s="1" t="s">
        <v>2478</v>
      </c>
      <c r="F586" s="1" t="s">
        <v>14</v>
      </c>
      <c r="G586" s="1" t="s">
        <v>1</v>
      </c>
      <c r="H586" s="1" t="s">
        <v>6</v>
      </c>
      <c r="I586" s="1" t="s">
        <v>2</v>
      </c>
      <c r="J586" s="1" t="s">
        <v>3</v>
      </c>
      <c r="K586" s="1" t="s">
        <v>9463</v>
      </c>
      <c r="L586" s="1" t="s">
        <v>7</v>
      </c>
      <c r="M586" s="1"/>
      <c r="N586" s="1" t="s">
        <v>9464</v>
      </c>
      <c r="O586" s="1" t="s">
        <v>2911</v>
      </c>
      <c r="P586" s="1"/>
      <c r="Q586" s="1"/>
      <c r="R586" s="1" t="s">
        <v>11</v>
      </c>
      <c r="S586" s="1"/>
      <c r="T586" s="1"/>
      <c r="U586" s="1"/>
      <c r="V586" s="1"/>
      <c r="W586" s="1"/>
      <c r="X586" s="1" t="s">
        <v>9465</v>
      </c>
      <c r="Y586" s="1"/>
      <c r="Z586" s="1"/>
      <c r="AA586" s="1"/>
      <c r="AB586" s="1" t="s">
        <v>9466</v>
      </c>
      <c r="AC586" s="1"/>
      <c r="AD586" s="1"/>
      <c r="AE586" s="1" t="s">
        <v>2089</v>
      </c>
      <c r="AF586" s="1"/>
      <c r="AG586" s="1"/>
      <c r="AH586" s="1" t="s">
        <v>9467</v>
      </c>
      <c r="AI586" s="1"/>
      <c r="AJ586" s="1" t="s">
        <v>2550</v>
      </c>
      <c r="AK586" s="1" t="s">
        <v>3872</v>
      </c>
      <c r="AL586" s="1" t="s">
        <v>9468</v>
      </c>
      <c r="AM586" s="1" t="s">
        <v>2550</v>
      </c>
      <c r="AN586" s="1" t="s">
        <v>3872</v>
      </c>
      <c r="AO586" s="1" t="s">
        <v>9468</v>
      </c>
      <c r="AP586" s="2" t="s">
        <v>9469</v>
      </c>
      <c r="AQ586" s="2" t="s">
        <v>1154</v>
      </c>
      <c r="AR586" s="1" t="s">
        <v>286</v>
      </c>
      <c r="AS586" s="1"/>
      <c r="AT586" s="1" t="s">
        <v>5</v>
      </c>
    </row>
    <row r="587" spans="1:46" hidden="1" x14ac:dyDescent="0.4">
      <c r="A587" s="1" t="s">
        <v>4921</v>
      </c>
      <c r="B587" s="10"/>
      <c r="C587" s="1" t="s">
        <v>0</v>
      </c>
      <c r="D587" s="1" t="s">
        <v>2157</v>
      </c>
      <c r="E587" s="1" t="s">
        <v>2078</v>
      </c>
      <c r="F587" s="1" t="s">
        <v>14</v>
      </c>
      <c r="G587" s="1" t="s">
        <v>1</v>
      </c>
      <c r="H587" s="1" t="s">
        <v>6</v>
      </c>
      <c r="I587" s="1" t="s">
        <v>2</v>
      </c>
      <c r="J587" s="1" t="s">
        <v>3</v>
      </c>
      <c r="K587" s="1" t="s">
        <v>4922</v>
      </c>
      <c r="L587" s="1" t="s">
        <v>7</v>
      </c>
      <c r="M587" s="1" t="s">
        <v>9</v>
      </c>
      <c r="N587" s="1" t="s">
        <v>4923</v>
      </c>
      <c r="O587" s="1" t="s">
        <v>2911</v>
      </c>
      <c r="P587" s="1"/>
      <c r="Q587" s="1"/>
      <c r="R587" s="1" t="s">
        <v>11</v>
      </c>
      <c r="S587" s="1"/>
      <c r="T587" s="1"/>
      <c r="U587" s="1"/>
      <c r="V587" s="1"/>
      <c r="W587" s="1"/>
      <c r="X587" s="1" t="s">
        <v>4924</v>
      </c>
      <c r="Y587" s="1"/>
      <c r="Z587" s="1"/>
      <c r="AA587" s="1"/>
      <c r="AB587" s="1" t="s">
        <v>4925</v>
      </c>
      <c r="AC587" s="1"/>
      <c r="AD587" s="1"/>
      <c r="AE587" s="1" t="s">
        <v>2089</v>
      </c>
      <c r="AF587" s="1"/>
      <c r="AG587" s="1"/>
      <c r="AH587" s="1" t="s">
        <v>4926</v>
      </c>
      <c r="AI587" s="1"/>
      <c r="AJ587" s="1" t="s">
        <v>4755</v>
      </c>
      <c r="AK587" s="1" t="s">
        <v>3432</v>
      </c>
      <c r="AL587" s="1"/>
      <c r="AM587" s="1" t="s">
        <v>4927</v>
      </c>
      <c r="AN587" s="1" t="s">
        <v>3432</v>
      </c>
      <c r="AO587" s="1"/>
      <c r="AP587" s="2" t="s">
        <v>4928</v>
      </c>
      <c r="AQ587" s="2" t="s">
        <v>1153</v>
      </c>
      <c r="AR587" s="1" t="s">
        <v>286</v>
      </c>
      <c r="AS587" s="1"/>
      <c r="AT587" s="1" t="s">
        <v>5</v>
      </c>
    </row>
    <row r="588" spans="1:46" hidden="1" x14ac:dyDescent="0.4">
      <c r="A588" s="1" t="s">
        <v>4877</v>
      </c>
      <c r="B588" s="10"/>
      <c r="C588" s="1" t="s">
        <v>2091</v>
      </c>
      <c r="D588" s="1" t="s">
        <v>2157</v>
      </c>
      <c r="E588" s="1" t="s">
        <v>2078</v>
      </c>
      <c r="F588" s="1" t="s">
        <v>14</v>
      </c>
      <c r="G588" s="1" t="s">
        <v>1</v>
      </c>
      <c r="H588" s="1" t="s">
        <v>6</v>
      </c>
      <c r="I588" s="1" t="s">
        <v>2</v>
      </c>
      <c r="J588" s="1" t="s">
        <v>3</v>
      </c>
      <c r="K588" s="1" t="s">
        <v>4878</v>
      </c>
      <c r="L588" s="1" t="s">
        <v>7</v>
      </c>
      <c r="M588" s="1"/>
      <c r="N588" s="1" t="s">
        <v>4879</v>
      </c>
      <c r="O588" s="1" t="s">
        <v>4880</v>
      </c>
      <c r="P588" s="1"/>
      <c r="Q588" s="1"/>
      <c r="R588" s="1" t="s">
        <v>11</v>
      </c>
      <c r="S588" s="1"/>
      <c r="T588" s="1"/>
      <c r="U588" s="1"/>
      <c r="V588" s="1"/>
      <c r="W588" s="1"/>
      <c r="X588" s="1" t="s">
        <v>4881</v>
      </c>
      <c r="Y588" s="1"/>
      <c r="Z588" s="1"/>
      <c r="AA588" s="1"/>
      <c r="AB588" s="1" t="s">
        <v>4882</v>
      </c>
      <c r="AC588" s="1"/>
      <c r="AD588" s="1"/>
      <c r="AE588" s="1" t="s">
        <v>4883</v>
      </c>
      <c r="AF588" s="1"/>
      <c r="AG588" s="1"/>
      <c r="AH588" s="1" t="s">
        <v>4884</v>
      </c>
      <c r="AI588" s="1"/>
      <c r="AJ588" s="1" t="s">
        <v>4885</v>
      </c>
      <c r="AK588" s="1" t="s">
        <v>4886</v>
      </c>
      <c r="AL588" s="1" t="s">
        <v>4887</v>
      </c>
      <c r="AM588" s="1" t="s">
        <v>4888</v>
      </c>
      <c r="AN588" s="1" t="s">
        <v>4889</v>
      </c>
      <c r="AO588" s="1" t="s">
        <v>4890</v>
      </c>
      <c r="AP588" s="2" t="s">
        <v>4891</v>
      </c>
      <c r="AQ588" s="2" t="s">
        <v>1153</v>
      </c>
      <c r="AR588" s="1" t="s">
        <v>286</v>
      </c>
      <c r="AS588" s="1"/>
      <c r="AT588" s="1" t="s">
        <v>5</v>
      </c>
    </row>
    <row r="589" spans="1:46" hidden="1" x14ac:dyDescent="0.4">
      <c r="A589" s="1" t="s">
        <v>3650</v>
      </c>
      <c r="B589" s="10"/>
      <c r="C589" s="1" t="s">
        <v>2494</v>
      </c>
      <c r="D589" s="1" t="s">
        <v>2157</v>
      </c>
      <c r="E589" s="1" t="s">
        <v>2078</v>
      </c>
      <c r="F589" s="1" t="s">
        <v>14</v>
      </c>
      <c r="G589" s="1" t="s">
        <v>1</v>
      </c>
      <c r="H589" s="1" t="s">
        <v>6</v>
      </c>
      <c r="I589" s="1" t="s">
        <v>2</v>
      </c>
      <c r="J589" s="1" t="s">
        <v>2450</v>
      </c>
      <c r="K589" s="1" t="s">
        <v>3651</v>
      </c>
      <c r="L589" s="1" t="s">
        <v>7</v>
      </c>
      <c r="M589" s="1" t="s">
        <v>9</v>
      </c>
      <c r="N589" s="1" t="s">
        <v>3652</v>
      </c>
      <c r="O589" s="1" t="s">
        <v>3653</v>
      </c>
      <c r="P589" s="1"/>
      <c r="Q589" s="1"/>
      <c r="R589" s="1" t="s">
        <v>11</v>
      </c>
      <c r="S589" s="1"/>
      <c r="T589" s="1"/>
      <c r="U589" s="1"/>
      <c r="V589" s="1"/>
      <c r="W589" s="1" t="s">
        <v>3654</v>
      </c>
      <c r="X589" s="1" t="s">
        <v>3655</v>
      </c>
      <c r="Y589" s="1"/>
      <c r="Z589" s="1"/>
      <c r="AA589" s="1" t="s">
        <v>3656</v>
      </c>
      <c r="AB589" s="1" t="s">
        <v>3657</v>
      </c>
      <c r="AC589" s="1"/>
      <c r="AD589" s="1"/>
      <c r="AE589" s="1" t="s">
        <v>3658</v>
      </c>
      <c r="AF589" s="1"/>
      <c r="AG589" s="1"/>
      <c r="AH589" s="1" t="s">
        <v>3659</v>
      </c>
      <c r="AI589" s="1" t="s">
        <v>3660</v>
      </c>
      <c r="AJ589" s="1" t="s">
        <v>3661</v>
      </c>
      <c r="AK589" s="1" t="s">
        <v>3662</v>
      </c>
      <c r="AL589" s="1" t="s">
        <v>3663</v>
      </c>
      <c r="AM589" s="1" t="s">
        <v>3664</v>
      </c>
      <c r="AN589" s="1" t="s">
        <v>3665</v>
      </c>
      <c r="AO589" s="1" t="s">
        <v>3666</v>
      </c>
      <c r="AP589" s="2" t="s">
        <v>3667</v>
      </c>
      <c r="AQ589" s="2" t="s">
        <v>1153</v>
      </c>
      <c r="AR589" s="1" t="s">
        <v>287</v>
      </c>
      <c r="AS589" s="1"/>
      <c r="AT589" s="1" t="s">
        <v>5</v>
      </c>
    </row>
    <row r="590" spans="1:46" hidden="1" x14ac:dyDescent="0.4">
      <c r="A590" s="1" t="s">
        <v>8904</v>
      </c>
      <c r="B590" s="10"/>
      <c r="C590" s="1" t="s">
        <v>0</v>
      </c>
      <c r="D590" s="1" t="s">
        <v>2076</v>
      </c>
      <c r="E590" s="1" t="s">
        <v>2078</v>
      </c>
      <c r="F590" s="1" t="s">
        <v>14</v>
      </c>
      <c r="G590" s="1" t="s">
        <v>1</v>
      </c>
      <c r="H590" s="1" t="s">
        <v>6</v>
      </c>
      <c r="I590" s="1" t="s">
        <v>2</v>
      </c>
      <c r="J590" s="1" t="s">
        <v>3</v>
      </c>
      <c r="K590" s="1" t="s">
        <v>8905</v>
      </c>
      <c r="L590" s="1" t="s">
        <v>7</v>
      </c>
      <c r="M590" s="1" t="s">
        <v>9</v>
      </c>
      <c r="N590" s="1" t="s">
        <v>8906</v>
      </c>
      <c r="O590" s="1" t="s">
        <v>7815</v>
      </c>
      <c r="P590" s="1"/>
      <c r="Q590" s="1"/>
      <c r="R590" s="1" t="s">
        <v>11</v>
      </c>
      <c r="S590" s="1"/>
      <c r="T590" s="1"/>
      <c r="U590" s="1"/>
      <c r="V590" s="1"/>
      <c r="W590" s="1" t="s">
        <v>8907</v>
      </c>
      <c r="X590" s="1"/>
      <c r="Y590" s="1"/>
      <c r="Z590" s="1"/>
      <c r="AA590" s="1"/>
      <c r="AB590" s="1" t="s">
        <v>8908</v>
      </c>
      <c r="AC590" s="1"/>
      <c r="AD590" s="1"/>
      <c r="AE590" s="1" t="s">
        <v>8909</v>
      </c>
      <c r="AF590" s="1"/>
      <c r="AG590" s="1"/>
      <c r="AH590" s="1" t="s">
        <v>8910</v>
      </c>
      <c r="AI590" s="1"/>
      <c r="AJ590" s="1" t="s">
        <v>7809</v>
      </c>
      <c r="AK590" s="1" t="s">
        <v>7300</v>
      </c>
      <c r="AL590" s="1" t="s">
        <v>7810</v>
      </c>
      <c r="AM590" s="1" t="s">
        <v>7820</v>
      </c>
      <c r="AN590" s="1" t="s">
        <v>7300</v>
      </c>
      <c r="AO590" s="1" t="s">
        <v>7821</v>
      </c>
      <c r="AP590" s="2" t="s">
        <v>8911</v>
      </c>
      <c r="AQ590" s="2" t="s">
        <v>1154</v>
      </c>
      <c r="AR590" s="1" t="s">
        <v>286</v>
      </c>
      <c r="AS590" s="1" t="s">
        <v>8912</v>
      </c>
      <c r="AT590" s="1" t="s">
        <v>5</v>
      </c>
    </row>
    <row r="591" spans="1:46" hidden="1" x14ac:dyDescent="0.4">
      <c r="A591" s="1" t="s">
        <v>7154</v>
      </c>
      <c r="B591" s="10"/>
      <c r="C591" s="1" t="s">
        <v>2454</v>
      </c>
      <c r="D591" s="1" t="s">
        <v>2396</v>
      </c>
      <c r="E591" s="1" t="s">
        <v>2078</v>
      </c>
      <c r="F591" s="1" t="s">
        <v>14</v>
      </c>
      <c r="G591" s="1" t="s">
        <v>1</v>
      </c>
      <c r="H591" s="1" t="s">
        <v>6</v>
      </c>
      <c r="I591" s="1" t="s">
        <v>2</v>
      </c>
      <c r="J591" s="1" t="s">
        <v>3676</v>
      </c>
      <c r="K591" s="1" t="s">
        <v>7155</v>
      </c>
      <c r="L591" s="1" t="s">
        <v>4</v>
      </c>
      <c r="M591" s="1"/>
      <c r="N591" s="1" t="s">
        <v>7156</v>
      </c>
      <c r="O591" s="1" t="s">
        <v>7157</v>
      </c>
      <c r="P591" s="1"/>
      <c r="Q591" s="1"/>
      <c r="R591" s="1" t="s">
        <v>11</v>
      </c>
      <c r="S591" s="1"/>
      <c r="T591" s="1"/>
      <c r="U591" s="1"/>
      <c r="V591" s="1"/>
      <c r="W591" s="1" t="s">
        <v>7158</v>
      </c>
      <c r="X591" s="1"/>
      <c r="Y591" s="1"/>
      <c r="Z591" s="1"/>
      <c r="AA591" s="1"/>
      <c r="AB591" s="1" t="s">
        <v>7159</v>
      </c>
      <c r="AC591" s="1"/>
      <c r="AD591" s="1"/>
      <c r="AE591" s="1" t="s">
        <v>7160</v>
      </c>
      <c r="AF591" s="1"/>
      <c r="AG591" s="1"/>
      <c r="AH591" s="1" t="s">
        <v>7161</v>
      </c>
      <c r="AI591" s="1"/>
      <c r="AJ591" s="1" t="s">
        <v>7162</v>
      </c>
      <c r="AK591" s="1" t="s">
        <v>7163</v>
      </c>
      <c r="AL591" s="1" t="s">
        <v>7164</v>
      </c>
      <c r="AM591" s="1" t="s">
        <v>7162</v>
      </c>
      <c r="AN591" s="1" t="s">
        <v>7163</v>
      </c>
      <c r="AO591" s="1" t="s">
        <v>7164</v>
      </c>
      <c r="AP591" s="2" t="s">
        <v>7165</v>
      </c>
      <c r="AQ591" s="2" t="s">
        <v>1077</v>
      </c>
      <c r="AR591" s="1" t="s">
        <v>286</v>
      </c>
      <c r="AS591" s="1" t="s">
        <v>7166</v>
      </c>
      <c r="AT591" s="1" t="s">
        <v>5</v>
      </c>
    </row>
    <row r="592" spans="1:46" hidden="1" x14ac:dyDescent="0.4">
      <c r="A592" s="1" t="s">
        <v>7167</v>
      </c>
      <c r="B592" s="10"/>
      <c r="C592" s="1" t="s">
        <v>2454</v>
      </c>
      <c r="D592" s="1" t="s">
        <v>2396</v>
      </c>
      <c r="E592" s="1" t="s">
        <v>2078</v>
      </c>
      <c r="F592" s="1" t="s">
        <v>14</v>
      </c>
      <c r="G592" s="1" t="s">
        <v>1</v>
      </c>
      <c r="H592" s="1" t="s">
        <v>6</v>
      </c>
      <c r="I592" s="1" t="s">
        <v>2</v>
      </c>
      <c r="J592" s="1" t="s">
        <v>3676</v>
      </c>
      <c r="K592" s="1" t="s">
        <v>7168</v>
      </c>
      <c r="L592" s="1" t="s">
        <v>4</v>
      </c>
      <c r="M592" s="1"/>
      <c r="N592" s="1" t="s">
        <v>7169</v>
      </c>
      <c r="O592" s="1" t="s">
        <v>7157</v>
      </c>
      <c r="P592" s="1"/>
      <c r="Q592" s="1"/>
      <c r="R592" s="1" t="s">
        <v>11</v>
      </c>
      <c r="S592" s="1"/>
      <c r="T592" s="1"/>
      <c r="U592" s="1"/>
      <c r="V592" s="1"/>
      <c r="W592" s="1" t="s">
        <v>7158</v>
      </c>
      <c r="X592" s="1"/>
      <c r="Y592" s="1"/>
      <c r="Z592" s="1"/>
      <c r="AA592" s="1"/>
      <c r="AB592" s="1" t="s">
        <v>7170</v>
      </c>
      <c r="AC592" s="1"/>
      <c r="AD592" s="1"/>
      <c r="AE592" s="1" t="s">
        <v>7160</v>
      </c>
      <c r="AF592" s="1"/>
      <c r="AG592" s="1"/>
      <c r="AH592" s="1" t="s">
        <v>7171</v>
      </c>
      <c r="AI592" s="1"/>
      <c r="AJ592" s="1" t="s">
        <v>7162</v>
      </c>
      <c r="AK592" s="1" t="s">
        <v>7163</v>
      </c>
      <c r="AL592" s="1" t="s">
        <v>7164</v>
      </c>
      <c r="AM592" s="1" t="s">
        <v>7162</v>
      </c>
      <c r="AN592" s="1" t="s">
        <v>7163</v>
      </c>
      <c r="AO592" s="1" t="s">
        <v>7164</v>
      </c>
      <c r="AP592" s="2" t="s">
        <v>7172</v>
      </c>
      <c r="AQ592" s="2" t="s">
        <v>1077</v>
      </c>
      <c r="AR592" s="1" t="s">
        <v>286</v>
      </c>
      <c r="AS592" s="1"/>
      <c r="AT592" s="1" t="s">
        <v>5</v>
      </c>
    </row>
    <row r="593" spans="1:46" hidden="1" x14ac:dyDescent="0.4">
      <c r="A593" s="1" t="s">
        <v>7173</v>
      </c>
      <c r="B593" s="10"/>
      <c r="C593" s="1" t="s">
        <v>2454</v>
      </c>
      <c r="D593" s="1" t="s">
        <v>2396</v>
      </c>
      <c r="E593" s="1" t="s">
        <v>2078</v>
      </c>
      <c r="F593" s="1" t="s">
        <v>14</v>
      </c>
      <c r="G593" s="1" t="s">
        <v>1</v>
      </c>
      <c r="H593" s="1" t="s">
        <v>6</v>
      </c>
      <c r="I593" s="1" t="s">
        <v>2</v>
      </c>
      <c r="J593" s="1" t="s">
        <v>3676</v>
      </c>
      <c r="K593" s="1" t="s">
        <v>7174</v>
      </c>
      <c r="L593" s="1" t="s">
        <v>4</v>
      </c>
      <c r="M593" s="1"/>
      <c r="N593" s="1" t="s">
        <v>7175</v>
      </c>
      <c r="O593" s="1" t="s">
        <v>7157</v>
      </c>
      <c r="P593" s="1"/>
      <c r="Q593" s="1"/>
      <c r="R593" s="1" t="s">
        <v>11</v>
      </c>
      <c r="S593" s="1"/>
      <c r="T593" s="1"/>
      <c r="U593" s="1"/>
      <c r="V593" s="1"/>
      <c r="W593" s="1" t="s">
        <v>7158</v>
      </c>
      <c r="X593" s="1"/>
      <c r="Y593" s="1"/>
      <c r="Z593" s="1"/>
      <c r="AA593" s="1"/>
      <c r="AB593" s="1" t="s">
        <v>7176</v>
      </c>
      <c r="AC593" s="1"/>
      <c r="AD593" s="1"/>
      <c r="AE593" s="1" t="s">
        <v>7160</v>
      </c>
      <c r="AF593" s="1"/>
      <c r="AG593" s="1"/>
      <c r="AH593" s="1" t="s">
        <v>7177</v>
      </c>
      <c r="AI593" s="1"/>
      <c r="AJ593" s="1" t="s">
        <v>7162</v>
      </c>
      <c r="AK593" s="1" t="s">
        <v>7163</v>
      </c>
      <c r="AL593" s="1" t="s">
        <v>7164</v>
      </c>
      <c r="AM593" s="1" t="s">
        <v>7162</v>
      </c>
      <c r="AN593" s="1" t="s">
        <v>7163</v>
      </c>
      <c r="AO593" s="1" t="s">
        <v>7164</v>
      </c>
      <c r="AP593" s="2" t="s">
        <v>7178</v>
      </c>
      <c r="AQ593" s="2" t="s">
        <v>1077</v>
      </c>
      <c r="AR593" s="1" t="s">
        <v>286</v>
      </c>
      <c r="AS593" s="1" t="s">
        <v>7166</v>
      </c>
      <c r="AT593" s="1" t="s">
        <v>5</v>
      </c>
    </row>
    <row r="594" spans="1:46" hidden="1" x14ac:dyDescent="0.4">
      <c r="A594" s="1" t="s">
        <v>8776</v>
      </c>
      <c r="B594" s="10"/>
      <c r="C594" s="1" t="s">
        <v>0</v>
      </c>
      <c r="D594" s="1" t="s">
        <v>2076</v>
      </c>
      <c r="E594" s="1" t="s">
        <v>2078</v>
      </c>
      <c r="F594" s="1" t="s">
        <v>14</v>
      </c>
      <c r="G594" s="1" t="s">
        <v>1</v>
      </c>
      <c r="H594" s="1" t="s">
        <v>6</v>
      </c>
      <c r="I594" s="1" t="s">
        <v>2</v>
      </c>
      <c r="J594" s="1" t="s">
        <v>3</v>
      </c>
      <c r="K594" s="1" t="s">
        <v>8777</v>
      </c>
      <c r="L594" s="1" t="s">
        <v>4</v>
      </c>
      <c r="M594" s="1" t="s">
        <v>9</v>
      </c>
      <c r="N594" s="1" t="s">
        <v>8778</v>
      </c>
      <c r="O594" s="1" t="s">
        <v>2911</v>
      </c>
      <c r="P594" s="1"/>
      <c r="Q594" s="1"/>
      <c r="R594" s="1" t="s">
        <v>11</v>
      </c>
      <c r="S594" s="1"/>
      <c r="T594" s="1"/>
      <c r="U594" s="1"/>
      <c r="V594" s="1"/>
      <c r="W594" s="1" t="s">
        <v>8779</v>
      </c>
      <c r="X594" s="1" t="s">
        <v>8780</v>
      </c>
      <c r="Y594" s="1"/>
      <c r="Z594" s="1"/>
      <c r="AA594" s="1"/>
      <c r="AB594" s="1" t="s">
        <v>8781</v>
      </c>
      <c r="AC594" s="1"/>
      <c r="AD594" s="1"/>
      <c r="AE594" s="1" t="s">
        <v>2089</v>
      </c>
      <c r="AF594" s="1"/>
      <c r="AG594" s="1"/>
      <c r="AH594" s="1" t="s">
        <v>8782</v>
      </c>
      <c r="AI594" s="1"/>
      <c r="AJ594" s="1" t="s">
        <v>59</v>
      </c>
      <c r="AK594" s="1" t="s">
        <v>598</v>
      </c>
      <c r="AL594" s="1" t="s">
        <v>126</v>
      </c>
      <c r="AM594" s="1" t="s">
        <v>8783</v>
      </c>
      <c r="AN594" s="1" t="s">
        <v>598</v>
      </c>
      <c r="AO594" s="1" t="s">
        <v>8784</v>
      </c>
      <c r="AP594" s="2" t="s">
        <v>8785</v>
      </c>
      <c r="AQ594" s="2" t="s">
        <v>1154</v>
      </c>
      <c r="AR594" s="1" t="s">
        <v>286</v>
      </c>
      <c r="AS594" s="1" t="s">
        <v>8786</v>
      </c>
      <c r="AT594" s="1" t="s">
        <v>5</v>
      </c>
    </row>
    <row r="595" spans="1:46" hidden="1" x14ac:dyDescent="0.4">
      <c r="A595" s="1" t="s">
        <v>8800</v>
      </c>
      <c r="B595" s="10"/>
      <c r="C595" s="1" t="s">
        <v>0</v>
      </c>
      <c r="D595" s="1" t="s">
        <v>2076</v>
      </c>
      <c r="E595" s="1" t="s">
        <v>2078</v>
      </c>
      <c r="F595" s="1" t="s">
        <v>14</v>
      </c>
      <c r="G595" s="1" t="s">
        <v>1</v>
      </c>
      <c r="H595" s="1" t="s">
        <v>6</v>
      </c>
      <c r="I595" s="1" t="s">
        <v>2</v>
      </c>
      <c r="J595" s="1" t="s">
        <v>3</v>
      </c>
      <c r="K595" s="1" t="s">
        <v>8801</v>
      </c>
      <c r="L595" s="1" t="s">
        <v>4</v>
      </c>
      <c r="M595" s="1" t="s">
        <v>9</v>
      </c>
      <c r="N595" s="1" t="s">
        <v>8802</v>
      </c>
      <c r="O595" s="1" t="s">
        <v>2911</v>
      </c>
      <c r="P595" s="1"/>
      <c r="Q595" s="1"/>
      <c r="R595" s="1" t="s">
        <v>11</v>
      </c>
      <c r="S595" s="1"/>
      <c r="T595" s="1"/>
      <c r="U595" s="1"/>
      <c r="V595" s="1"/>
      <c r="W595" s="1" t="s">
        <v>8779</v>
      </c>
      <c r="X595" s="1" t="s">
        <v>8803</v>
      </c>
      <c r="Y595" s="1"/>
      <c r="Z595" s="1"/>
      <c r="AA595" s="1"/>
      <c r="AB595" s="1" t="s">
        <v>8804</v>
      </c>
      <c r="AC595" s="1"/>
      <c r="AD595" s="1"/>
      <c r="AE595" s="1" t="s">
        <v>2089</v>
      </c>
      <c r="AF595" s="1"/>
      <c r="AG595" s="1"/>
      <c r="AH595" s="1" t="s">
        <v>8805</v>
      </c>
      <c r="AI595" s="1"/>
      <c r="AJ595" s="1" t="s">
        <v>59</v>
      </c>
      <c r="AK595" s="1" t="s">
        <v>598</v>
      </c>
      <c r="AL595" s="1" t="s">
        <v>126</v>
      </c>
      <c r="AM595" s="1" t="s">
        <v>8783</v>
      </c>
      <c r="AN595" s="1" t="s">
        <v>598</v>
      </c>
      <c r="AO595" s="1" t="s">
        <v>8784</v>
      </c>
      <c r="AP595" s="2" t="s">
        <v>8806</v>
      </c>
      <c r="AQ595" s="2" t="s">
        <v>1154</v>
      </c>
      <c r="AR595" s="1" t="s">
        <v>286</v>
      </c>
      <c r="AS595" s="1" t="s">
        <v>8799</v>
      </c>
      <c r="AT595" s="1" t="s">
        <v>5</v>
      </c>
    </row>
    <row r="596" spans="1:46" hidden="1" x14ac:dyDescent="0.4">
      <c r="A596" s="1" t="s">
        <v>2087</v>
      </c>
      <c r="B596" s="10"/>
      <c r="C596" s="1" t="s">
        <v>0</v>
      </c>
      <c r="D596" s="1" t="s">
        <v>2076</v>
      </c>
      <c r="E596" s="1" t="s">
        <v>2078</v>
      </c>
      <c r="F596" s="1" t="s">
        <v>14</v>
      </c>
      <c r="G596" s="1" t="s">
        <v>1</v>
      </c>
      <c r="H596" s="1" t="s">
        <v>6</v>
      </c>
      <c r="I596" s="1" t="s">
        <v>2</v>
      </c>
      <c r="J596" s="1" t="s">
        <v>3</v>
      </c>
      <c r="K596" s="1" t="s">
        <v>2088</v>
      </c>
      <c r="L596" s="1" t="s">
        <v>4</v>
      </c>
      <c r="M596" s="1" t="s">
        <v>9</v>
      </c>
      <c r="N596" s="1" t="s">
        <v>8794</v>
      </c>
      <c r="O596" s="1" t="s">
        <v>2911</v>
      </c>
      <c r="P596" s="1"/>
      <c r="Q596" s="1"/>
      <c r="R596" s="1" t="s">
        <v>11</v>
      </c>
      <c r="S596" s="1"/>
      <c r="T596" s="1"/>
      <c r="U596" s="1"/>
      <c r="V596" s="1"/>
      <c r="W596" s="1" t="s">
        <v>8779</v>
      </c>
      <c r="X596" s="1" t="s">
        <v>8795</v>
      </c>
      <c r="Y596" s="1"/>
      <c r="Z596" s="1"/>
      <c r="AA596" s="1"/>
      <c r="AB596" s="1" t="s">
        <v>8796</v>
      </c>
      <c r="AC596" s="1"/>
      <c r="AD596" s="1"/>
      <c r="AE596" s="1" t="s">
        <v>2089</v>
      </c>
      <c r="AF596" s="1"/>
      <c r="AG596" s="1"/>
      <c r="AH596" s="1" t="s">
        <v>8797</v>
      </c>
      <c r="AI596" s="1"/>
      <c r="AJ596" s="1" t="s">
        <v>59</v>
      </c>
      <c r="AK596" s="1" t="s">
        <v>598</v>
      </c>
      <c r="AL596" s="1" t="s">
        <v>126</v>
      </c>
      <c r="AM596" s="1" t="s">
        <v>8783</v>
      </c>
      <c r="AN596" s="1" t="s">
        <v>598</v>
      </c>
      <c r="AO596" s="1" t="s">
        <v>8784</v>
      </c>
      <c r="AP596" s="2" t="s">
        <v>8798</v>
      </c>
      <c r="AQ596" s="2" t="s">
        <v>1155</v>
      </c>
      <c r="AR596" s="1" t="s">
        <v>286</v>
      </c>
      <c r="AS596" s="1" t="s">
        <v>8799</v>
      </c>
      <c r="AT596" s="1" t="s">
        <v>5</v>
      </c>
    </row>
    <row r="597" spans="1:46" hidden="1" x14ac:dyDescent="0.4">
      <c r="A597" s="1" t="s">
        <v>8787</v>
      </c>
      <c r="B597" s="10"/>
      <c r="C597" s="1" t="s">
        <v>0</v>
      </c>
      <c r="D597" s="1" t="s">
        <v>2076</v>
      </c>
      <c r="E597" s="1" t="s">
        <v>2078</v>
      </c>
      <c r="F597" s="1" t="s">
        <v>14</v>
      </c>
      <c r="G597" s="1" t="s">
        <v>1</v>
      </c>
      <c r="H597" s="1" t="s">
        <v>6</v>
      </c>
      <c r="I597" s="1" t="s">
        <v>2</v>
      </c>
      <c r="J597" s="1" t="s">
        <v>3</v>
      </c>
      <c r="K597" s="1" t="s">
        <v>8788</v>
      </c>
      <c r="L597" s="1" t="s">
        <v>4</v>
      </c>
      <c r="M597" s="1" t="s">
        <v>9</v>
      </c>
      <c r="N597" s="1" t="s">
        <v>8789</v>
      </c>
      <c r="O597" s="1" t="s">
        <v>2911</v>
      </c>
      <c r="P597" s="1"/>
      <c r="Q597" s="1"/>
      <c r="R597" s="1" t="s">
        <v>11</v>
      </c>
      <c r="S597" s="1"/>
      <c r="T597" s="1"/>
      <c r="U597" s="1"/>
      <c r="V597" s="1"/>
      <c r="W597" s="1" t="s">
        <v>8779</v>
      </c>
      <c r="X597" s="1" t="s">
        <v>8790</v>
      </c>
      <c r="Y597" s="1"/>
      <c r="Z597" s="1"/>
      <c r="AA597" s="1"/>
      <c r="AB597" s="1" t="s">
        <v>8791</v>
      </c>
      <c r="AC597" s="1"/>
      <c r="AD597" s="1"/>
      <c r="AE597" s="1" t="s">
        <v>2089</v>
      </c>
      <c r="AF597" s="1"/>
      <c r="AG597" s="1"/>
      <c r="AH597" s="1" t="s">
        <v>8792</v>
      </c>
      <c r="AI597" s="1"/>
      <c r="AJ597" s="1" t="s">
        <v>59</v>
      </c>
      <c r="AK597" s="1" t="s">
        <v>598</v>
      </c>
      <c r="AL597" s="1" t="s">
        <v>126</v>
      </c>
      <c r="AM597" s="1" t="s">
        <v>8783</v>
      </c>
      <c r="AN597" s="1" t="s">
        <v>598</v>
      </c>
      <c r="AO597" s="1" t="s">
        <v>8784</v>
      </c>
      <c r="AP597" s="2" t="s">
        <v>8785</v>
      </c>
      <c r="AQ597" s="2" t="s">
        <v>1154</v>
      </c>
      <c r="AR597" s="1" t="s">
        <v>286</v>
      </c>
      <c r="AS597" s="1" t="s">
        <v>8793</v>
      </c>
      <c r="AT597" s="1" t="s">
        <v>5</v>
      </c>
    </row>
    <row r="598" spans="1:46" hidden="1" x14ac:dyDescent="0.4">
      <c r="A598" s="1" t="s">
        <v>11703</v>
      </c>
      <c r="B598" s="10"/>
      <c r="C598" s="1" t="s">
        <v>0</v>
      </c>
      <c r="D598" s="1" t="s">
        <v>2157</v>
      </c>
      <c r="E598" s="1" t="s">
        <v>2078</v>
      </c>
      <c r="F598" s="1" t="s">
        <v>14</v>
      </c>
      <c r="G598" s="1" t="s">
        <v>1</v>
      </c>
      <c r="H598" s="1" t="s">
        <v>6</v>
      </c>
      <c r="I598" s="1" t="s">
        <v>2</v>
      </c>
      <c r="J598" s="1" t="s">
        <v>3</v>
      </c>
      <c r="K598" s="1" t="s">
        <v>11704</v>
      </c>
      <c r="L598" s="1" t="s">
        <v>7</v>
      </c>
      <c r="M598" s="1" t="s">
        <v>9</v>
      </c>
      <c r="N598" s="1" t="s">
        <v>11705</v>
      </c>
      <c r="O598" s="1" t="s">
        <v>10832</v>
      </c>
      <c r="P598" s="1"/>
      <c r="Q598" s="1" t="s">
        <v>12</v>
      </c>
      <c r="R598" s="1" t="s">
        <v>11</v>
      </c>
      <c r="S598" s="1"/>
      <c r="T598" s="1" t="s">
        <v>12</v>
      </c>
      <c r="U598" s="1" t="s">
        <v>11</v>
      </c>
      <c r="V598" s="1"/>
      <c r="W598" s="1"/>
      <c r="X598" s="1" t="s">
        <v>11692</v>
      </c>
      <c r="Y598" s="1"/>
      <c r="Z598" s="1"/>
      <c r="AA598" s="1"/>
      <c r="AB598" s="1" t="s">
        <v>11706</v>
      </c>
      <c r="AC598" s="1"/>
      <c r="AD598" s="1"/>
      <c r="AE598" s="1" t="s">
        <v>11707</v>
      </c>
      <c r="AF598" s="1"/>
      <c r="AG598" s="1"/>
      <c r="AH598" s="1" t="s">
        <v>11708</v>
      </c>
      <c r="AI598" s="1"/>
      <c r="AJ598" s="1" t="s">
        <v>78</v>
      </c>
      <c r="AK598" s="1" t="s">
        <v>519</v>
      </c>
      <c r="AL598" s="1" t="s">
        <v>130</v>
      </c>
      <c r="AM598" s="1" t="s">
        <v>11620</v>
      </c>
      <c r="AN598" s="1" t="s">
        <v>519</v>
      </c>
      <c r="AO598" s="1" t="s">
        <v>11621</v>
      </c>
      <c r="AP598" s="2" t="s">
        <v>11709</v>
      </c>
      <c r="AQ598" s="2" t="s">
        <v>1156</v>
      </c>
      <c r="AR598" s="1" t="s">
        <v>286</v>
      </c>
      <c r="AS598" s="1" t="s">
        <v>1076</v>
      </c>
      <c r="AT598" s="1" t="s">
        <v>5</v>
      </c>
    </row>
    <row r="599" spans="1:46" hidden="1" x14ac:dyDescent="0.4">
      <c r="A599" s="1" t="s">
        <v>11689</v>
      </c>
      <c r="B599" s="10"/>
      <c r="C599" s="1" t="s">
        <v>0</v>
      </c>
      <c r="D599" s="1" t="s">
        <v>2157</v>
      </c>
      <c r="E599" s="1" t="s">
        <v>2078</v>
      </c>
      <c r="F599" s="1" t="s">
        <v>14</v>
      </c>
      <c r="G599" s="1" t="s">
        <v>1</v>
      </c>
      <c r="H599" s="1" t="s">
        <v>6</v>
      </c>
      <c r="I599" s="1" t="s">
        <v>2</v>
      </c>
      <c r="J599" s="1" t="s">
        <v>3</v>
      </c>
      <c r="K599" s="1" t="s">
        <v>11690</v>
      </c>
      <c r="L599" s="1" t="s">
        <v>7</v>
      </c>
      <c r="M599" s="1" t="s">
        <v>9</v>
      </c>
      <c r="N599" s="1" t="s">
        <v>11691</v>
      </c>
      <c r="O599" s="1" t="s">
        <v>10832</v>
      </c>
      <c r="P599" s="1"/>
      <c r="Q599" s="1" t="s">
        <v>12</v>
      </c>
      <c r="R599" s="1" t="s">
        <v>11</v>
      </c>
      <c r="S599" s="1"/>
      <c r="T599" s="1" t="s">
        <v>12</v>
      </c>
      <c r="U599" s="1" t="s">
        <v>11</v>
      </c>
      <c r="V599" s="1"/>
      <c r="W599" s="1"/>
      <c r="X599" s="1" t="s">
        <v>11692</v>
      </c>
      <c r="Y599" s="1"/>
      <c r="Z599" s="1"/>
      <c r="AA599" s="1"/>
      <c r="AB599" s="1" t="s">
        <v>11693</v>
      </c>
      <c r="AC599" s="1"/>
      <c r="AD599" s="1"/>
      <c r="AE599" s="1" t="s">
        <v>11694</v>
      </c>
      <c r="AF599" s="1"/>
      <c r="AG599" s="1"/>
      <c r="AH599" s="1" t="s">
        <v>11695</v>
      </c>
      <c r="AI599" s="1"/>
      <c r="AJ599" s="1" t="s">
        <v>78</v>
      </c>
      <c r="AK599" s="1" t="s">
        <v>519</v>
      </c>
      <c r="AL599" s="1" t="s">
        <v>130</v>
      </c>
      <c r="AM599" s="1" t="s">
        <v>11620</v>
      </c>
      <c r="AN599" s="1" t="s">
        <v>519</v>
      </c>
      <c r="AO599" s="1" t="s">
        <v>11621</v>
      </c>
      <c r="AP599" s="2" t="s">
        <v>11696</v>
      </c>
      <c r="AQ599" s="2" t="s">
        <v>1156</v>
      </c>
      <c r="AR599" s="1" t="s">
        <v>286</v>
      </c>
      <c r="AS599" s="1" t="s">
        <v>1076</v>
      </c>
      <c r="AT599" s="1" t="s">
        <v>5</v>
      </c>
    </row>
    <row r="600" spans="1:46" hidden="1" x14ac:dyDescent="0.4">
      <c r="A600" s="1" t="s">
        <v>2133</v>
      </c>
      <c r="B600" s="10"/>
      <c r="C600" s="1" t="s">
        <v>0</v>
      </c>
      <c r="D600" s="1" t="s">
        <v>2076</v>
      </c>
      <c r="E600" s="1" t="s">
        <v>2078</v>
      </c>
      <c r="F600" s="1" t="s">
        <v>14</v>
      </c>
      <c r="G600" s="1" t="s">
        <v>1</v>
      </c>
      <c r="H600" s="1" t="s">
        <v>6</v>
      </c>
      <c r="I600" s="1" t="s">
        <v>2</v>
      </c>
      <c r="J600" s="1" t="s">
        <v>3</v>
      </c>
      <c r="K600" s="1" t="s">
        <v>2134</v>
      </c>
      <c r="L600" s="1" t="s">
        <v>4</v>
      </c>
      <c r="M600" s="1"/>
      <c r="N600" s="1" t="s">
        <v>11616</v>
      </c>
      <c r="O600" s="1" t="s">
        <v>10832</v>
      </c>
      <c r="P600" s="1"/>
      <c r="Q600" s="1" t="s">
        <v>12</v>
      </c>
      <c r="R600" s="1" t="s">
        <v>11</v>
      </c>
      <c r="S600" s="1"/>
      <c r="T600" s="1" t="s">
        <v>12</v>
      </c>
      <c r="U600" s="1" t="s">
        <v>11</v>
      </c>
      <c r="V600" s="1"/>
      <c r="W600" s="1"/>
      <c r="X600" s="1" t="s">
        <v>11617</v>
      </c>
      <c r="Y600" s="1"/>
      <c r="Z600" s="1"/>
      <c r="AA600" s="1"/>
      <c r="AB600" s="1" t="s">
        <v>11618</v>
      </c>
      <c r="AC600" s="1"/>
      <c r="AD600" s="1"/>
      <c r="AE600" s="1" t="s">
        <v>2135</v>
      </c>
      <c r="AF600" s="1"/>
      <c r="AG600" s="1"/>
      <c r="AH600" s="1" t="s">
        <v>11619</v>
      </c>
      <c r="AI600" s="1"/>
      <c r="AJ600" s="1" t="s">
        <v>78</v>
      </c>
      <c r="AK600" s="1" t="s">
        <v>519</v>
      </c>
      <c r="AL600" s="1" t="s">
        <v>130</v>
      </c>
      <c r="AM600" s="1" t="s">
        <v>11620</v>
      </c>
      <c r="AN600" s="1" t="s">
        <v>519</v>
      </c>
      <c r="AO600" s="1" t="s">
        <v>11621</v>
      </c>
      <c r="AP600" s="2" t="s">
        <v>11622</v>
      </c>
      <c r="AQ600" s="2" t="s">
        <v>1155</v>
      </c>
      <c r="AR600" s="1" t="s">
        <v>286</v>
      </c>
      <c r="AS600" s="1" t="s">
        <v>1076</v>
      </c>
      <c r="AT600" s="1" t="s">
        <v>5</v>
      </c>
    </row>
    <row r="601" spans="1:46" hidden="1" x14ac:dyDescent="0.4">
      <c r="A601" s="1" t="s">
        <v>7353</v>
      </c>
      <c r="B601" s="10"/>
      <c r="C601" s="1" t="s">
        <v>0</v>
      </c>
      <c r="D601" s="1" t="s">
        <v>2157</v>
      </c>
      <c r="E601" s="1" t="s">
        <v>2078</v>
      </c>
      <c r="F601" s="1" t="s">
        <v>14</v>
      </c>
      <c r="G601" s="1" t="s">
        <v>1</v>
      </c>
      <c r="H601" s="1" t="s">
        <v>6</v>
      </c>
      <c r="I601" s="1" t="s">
        <v>2</v>
      </c>
      <c r="J601" s="1" t="s">
        <v>3</v>
      </c>
      <c r="K601" s="1" t="s">
        <v>7354</v>
      </c>
      <c r="L601" s="1" t="s">
        <v>7</v>
      </c>
      <c r="M601" s="1" t="s">
        <v>9</v>
      </c>
      <c r="N601" s="1" t="s">
        <v>7355</v>
      </c>
      <c r="O601" s="1" t="s">
        <v>2911</v>
      </c>
      <c r="P601" s="1"/>
      <c r="Q601" s="1"/>
      <c r="R601" s="1" t="s">
        <v>11</v>
      </c>
      <c r="S601" s="1"/>
      <c r="T601" s="1"/>
      <c r="U601" s="1"/>
      <c r="V601" s="1"/>
      <c r="W601" s="1"/>
      <c r="X601" s="1" t="s">
        <v>7356</v>
      </c>
      <c r="Y601" s="1"/>
      <c r="Z601" s="1"/>
      <c r="AA601" s="1"/>
      <c r="AB601" s="1" t="s">
        <v>7357</v>
      </c>
      <c r="AC601" s="1"/>
      <c r="AD601" s="1"/>
      <c r="AE601" s="1" t="s">
        <v>2089</v>
      </c>
      <c r="AF601" s="1"/>
      <c r="AG601" s="1"/>
      <c r="AH601" s="1" t="s">
        <v>7358</v>
      </c>
      <c r="AI601" s="1"/>
      <c r="AJ601" s="1" t="s">
        <v>158</v>
      </c>
      <c r="AK601" s="1" t="s">
        <v>504</v>
      </c>
      <c r="AL601" s="1" t="s">
        <v>159</v>
      </c>
      <c r="AM601" s="1" t="s">
        <v>265</v>
      </c>
      <c r="AN601" s="1" t="s">
        <v>504</v>
      </c>
      <c r="AO601" s="1" t="s">
        <v>266</v>
      </c>
      <c r="AP601" s="2" t="s">
        <v>7359</v>
      </c>
      <c r="AQ601" s="2" t="s">
        <v>1077</v>
      </c>
      <c r="AR601" s="1" t="s">
        <v>286</v>
      </c>
      <c r="AS601" s="1"/>
      <c r="AT601" s="1" t="s">
        <v>5</v>
      </c>
    </row>
    <row r="602" spans="1:46" hidden="1" x14ac:dyDescent="0.4">
      <c r="A602" s="1" t="s">
        <v>10279</v>
      </c>
      <c r="B602" s="10"/>
      <c r="C602" s="1" t="s">
        <v>93</v>
      </c>
      <c r="D602" s="1" t="s">
        <v>2211</v>
      </c>
      <c r="E602" s="1" t="s">
        <v>2078</v>
      </c>
      <c r="F602" s="1" t="s">
        <v>14</v>
      </c>
      <c r="G602" s="1" t="s">
        <v>1</v>
      </c>
      <c r="H602" s="1" t="s">
        <v>6</v>
      </c>
      <c r="I602" s="1" t="s">
        <v>2</v>
      </c>
      <c r="J602" s="1" t="s">
        <v>3</v>
      </c>
      <c r="K602" s="1" t="s">
        <v>10280</v>
      </c>
      <c r="L602" s="1" t="s">
        <v>7</v>
      </c>
      <c r="M602" s="1"/>
      <c r="N602" s="1" t="s">
        <v>10281</v>
      </c>
      <c r="O602" s="1" t="s">
        <v>15</v>
      </c>
      <c r="P602" s="1"/>
      <c r="Q602" s="1"/>
      <c r="R602" s="1" t="s">
        <v>11</v>
      </c>
      <c r="S602" s="1"/>
      <c r="T602" s="1"/>
      <c r="U602" s="1"/>
      <c r="V602" s="1"/>
      <c r="W602" s="1"/>
      <c r="X602" s="1"/>
      <c r="Y602" s="1"/>
      <c r="Z602" s="1"/>
      <c r="AA602" s="1"/>
      <c r="AB602" s="1" t="s">
        <v>10282</v>
      </c>
      <c r="AC602" s="1"/>
      <c r="AD602" s="1"/>
      <c r="AE602" s="1" t="s">
        <v>10283</v>
      </c>
      <c r="AF602" s="1"/>
      <c r="AG602" s="1"/>
      <c r="AH602" s="1" t="s">
        <v>10284</v>
      </c>
      <c r="AI602" s="1"/>
      <c r="AJ602" s="1" t="s">
        <v>10285</v>
      </c>
      <c r="AK602" s="1" t="s">
        <v>8396</v>
      </c>
      <c r="AL602" s="1" t="s">
        <v>10286</v>
      </c>
      <c r="AM602" s="1" t="s">
        <v>10285</v>
      </c>
      <c r="AN602" s="1" t="s">
        <v>8396</v>
      </c>
      <c r="AO602" s="1" t="s">
        <v>10286</v>
      </c>
      <c r="AP602" s="2" t="s">
        <v>10287</v>
      </c>
      <c r="AQ602" s="2" t="s">
        <v>1155</v>
      </c>
      <c r="AR602" s="1" t="s">
        <v>286</v>
      </c>
      <c r="AS602" s="1" t="s">
        <v>10288</v>
      </c>
      <c r="AT602" s="1" t="s">
        <v>5</v>
      </c>
    </row>
    <row r="603" spans="1:46" hidden="1" x14ac:dyDescent="0.4">
      <c r="A603" s="1" t="s">
        <v>3130</v>
      </c>
      <c r="B603" s="10"/>
      <c r="C603" s="1" t="s">
        <v>0</v>
      </c>
      <c r="D603" s="1" t="s">
        <v>2220</v>
      </c>
      <c r="E603" s="1" t="s">
        <v>2078</v>
      </c>
      <c r="F603" s="1" t="s">
        <v>14</v>
      </c>
      <c r="G603" s="1" t="s">
        <v>1</v>
      </c>
      <c r="H603" s="1" t="s">
        <v>6</v>
      </c>
      <c r="I603" s="1" t="s">
        <v>2</v>
      </c>
      <c r="J603" s="1" t="s">
        <v>3</v>
      </c>
      <c r="K603" s="1" t="s">
        <v>3131</v>
      </c>
      <c r="L603" s="1" t="s">
        <v>7</v>
      </c>
      <c r="M603" s="1" t="s">
        <v>9</v>
      </c>
      <c r="N603" s="1" t="s">
        <v>3132</v>
      </c>
      <c r="O603" s="1" t="s">
        <v>2603</v>
      </c>
      <c r="P603" s="1" t="s">
        <v>3133</v>
      </c>
      <c r="Q603" s="1"/>
      <c r="R603" s="1" t="s">
        <v>11</v>
      </c>
      <c r="S603" s="1"/>
      <c r="T603" s="1"/>
      <c r="U603" s="1"/>
      <c r="V603" s="1"/>
      <c r="W603" s="1"/>
      <c r="X603" s="1" t="s">
        <v>3134</v>
      </c>
      <c r="Y603" s="1"/>
      <c r="Z603" s="1"/>
      <c r="AA603" s="1"/>
      <c r="AB603" s="1" t="s">
        <v>3135</v>
      </c>
      <c r="AC603" s="1"/>
      <c r="AD603" s="1"/>
      <c r="AE603" s="1" t="s">
        <v>3136</v>
      </c>
      <c r="AF603" s="1"/>
      <c r="AG603" s="1"/>
      <c r="AH603" s="1" t="s">
        <v>3137</v>
      </c>
      <c r="AI603" s="1"/>
      <c r="AJ603" s="1" t="s">
        <v>3138</v>
      </c>
      <c r="AK603" s="1" t="s">
        <v>3139</v>
      </c>
      <c r="AL603" s="1"/>
      <c r="AM603" s="1" t="s">
        <v>3138</v>
      </c>
      <c r="AN603" s="1" t="s">
        <v>3139</v>
      </c>
      <c r="AO603" s="1"/>
      <c r="AP603" s="2" t="s">
        <v>3140</v>
      </c>
      <c r="AQ603" s="2" t="s">
        <v>1077</v>
      </c>
      <c r="AR603" s="1"/>
      <c r="AS603" s="1"/>
      <c r="AT603" s="1" t="s">
        <v>5</v>
      </c>
    </row>
    <row r="604" spans="1:46" hidden="1" x14ac:dyDescent="0.4">
      <c r="A604" s="1" t="s">
        <v>8464</v>
      </c>
      <c r="B604" s="10"/>
      <c r="C604" s="1" t="s">
        <v>2841</v>
      </c>
      <c r="D604" s="1" t="s">
        <v>2827</v>
      </c>
      <c r="E604" s="1" t="s">
        <v>2478</v>
      </c>
      <c r="F604" s="1" t="s">
        <v>14</v>
      </c>
      <c r="G604" s="1" t="s">
        <v>1</v>
      </c>
      <c r="H604" s="1" t="s">
        <v>6</v>
      </c>
      <c r="I604" s="1" t="s">
        <v>2</v>
      </c>
      <c r="J604" s="1" t="s">
        <v>2842</v>
      </c>
      <c r="K604" s="1" t="s">
        <v>8465</v>
      </c>
      <c r="L604" s="1" t="s">
        <v>4</v>
      </c>
      <c r="M604" s="1"/>
      <c r="N604" s="1" t="s">
        <v>8466</v>
      </c>
      <c r="O604" s="1" t="s">
        <v>8467</v>
      </c>
      <c r="P604" s="1"/>
      <c r="Q604" s="1"/>
      <c r="R604" s="1" t="s">
        <v>11</v>
      </c>
      <c r="S604" s="1"/>
      <c r="T604" s="1"/>
      <c r="U604" s="1"/>
      <c r="V604" s="1"/>
      <c r="W604" s="1" t="s">
        <v>8468</v>
      </c>
      <c r="X604" s="1" t="s">
        <v>8469</v>
      </c>
      <c r="Y604" s="1"/>
      <c r="Z604" s="1"/>
      <c r="AA604" s="1"/>
      <c r="AB604" s="1" t="s">
        <v>8470</v>
      </c>
      <c r="AC604" s="1"/>
      <c r="AD604" s="1"/>
      <c r="AE604" s="1" t="s">
        <v>8471</v>
      </c>
      <c r="AF604" s="1"/>
      <c r="AG604" s="1"/>
      <c r="AH604" s="1" t="s">
        <v>8472</v>
      </c>
      <c r="AI604" s="1"/>
      <c r="AJ604" s="1" t="s">
        <v>4327</v>
      </c>
      <c r="AK604" s="1" t="s">
        <v>8473</v>
      </c>
      <c r="AL604" s="1" t="s">
        <v>4328</v>
      </c>
      <c r="AM604" s="1" t="s">
        <v>4327</v>
      </c>
      <c r="AN604" s="1" t="s">
        <v>8473</v>
      </c>
      <c r="AO604" s="1" t="s">
        <v>4328</v>
      </c>
      <c r="AP604" s="2" t="s">
        <v>8474</v>
      </c>
      <c r="AQ604" s="2" t="s">
        <v>1154</v>
      </c>
      <c r="AR604" s="1" t="s">
        <v>286</v>
      </c>
      <c r="AS604" s="1"/>
      <c r="AT604" s="1" t="s">
        <v>5</v>
      </c>
    </row>
    <row r="605" spans="1:46" hidden="1" x14ac:dyDescent="0.4">
      <c r="A605" s="1" t="s">
        <v>7759</v>
      </c>
      <c r="B605" s="10"/>
      <c r="C605" s="1" t="s">
        <v>3626</v>
      </c>
      <c r="D605" s="1" t="s">
        <v>2211</v>
      </c>
      <c r="E605" s="1" t="s">
        <v>2078</v>
      </c>
      <c r="F605" s="1" t="s">
        <v>14</v>
      </c>
      <c r="G605" s="1" t="s">
        <v>1</v>
      </c>
      <c r="H605" s="1" t="s">
        <v>6</v>
      </c>
      <c r="I605" s="1" t="s">
        <v>2</v>
      </c>
      <c r="J605" s="1" t="s">
        <v>3514</v>
      </c>
      <c r="K605" s="1" t="s">
        <v>7760</v>
      </c>
      <c r="L605" s="1" t="s">
        <v>7</v>
      </c>
      <c r="M605" s="1" t="s">
        <v>9</v>
      </c>
      <c r="N605" s="1" t="s">
        <v>7761</v>
      </c>
      <c r="O605" s="1" t="s">
        <v>7762</v>
      </c>
      <c r="P605" s="1"/>
      <c r="Q605" s="1"/>
      <c r="R605" s="1" t="s">
        <v>11</v>
      </c>
      <c r="S605" s="1"/>
      <c r="T605" s="1"/>
      <c r="U605" s="1"/>
      <c r="V605" s="1"/>
      <c r="W605" s="1"/>
      <c r="X605" s="1"/>
      <c r="Y605" s="1"/>
      <c r="Z605" s="1"/>
      <c r="AA605" s="1"/>
      <c r="AB605" s="1" t="s">
        <v>7763</v>
      </c>
      <c r="AC605" s="1"/>
      <c r="AD605" s="1"/>
      <c r="AE605" s="1" t="s">
        <v>7764</v>
      </c>
      <c r="AF605" s="1"/>
      <c r="AG605" s="1"/>
      <c r="AH605" s="1" t="s">
        <v>7765</v>
      </c>
      <c r="AI605" s="1"/>
      <c r="AJ605" s="1" t="s">
        <v>6556</v>
      </c>
      <c r="AK605" s="1" t="s">
        <v>5314</v>
      </c>
      <c r="AL605" s="1" t="s">
        <v>6557</v>
      </c>
      <c r="AM605" s="1" t="s">
        <v>6556</v>
      </c>
      <c r="AN605" s="1" t="s">
        <v>5314</v>
      </c>
      <c r="AO605" s="1" t="s">
        <v>6557</v>
      </c>
      <c r="AP605" s="2" t="s">
        <v>7766</v>
      </c>
      <c r="AQ605" s="2" t="s">
        <v>1154</v>
      </c>
      <c r="AR605" s="1" t="s">
        <v>286</v>
      </c>
      <c r="AS605" s="1" t="s">
        <v>7767</v>
      </c>
      <c r="AT605" s="1" t="s">
        <v>5</v>
      </c>
    </row>
    <row r="606" spans="1:46" hidden="1" x14ac:dyDescent="0.4">
      <c r="A606" s="1" t="s">
        <v>8707</v>
      </c>
      <c r="B606" s="10"/>
      <c r="C606" s="1" t="s">
        <v>0</v>
      </c>
      <c r="D606" s="1" t="s">
        <v>2157</v>
      </c>
      <c r="E606" s="1" t="s">
        <v>2078</v>
      </c>
      <c r="F606" s="1" t="s">
        <v>14</v>
      </c>
      <c r="G606" s="1" t="s">
        <v>1</v>
      </c>
      <c r="H606" s="1" t="s">
        <v>6</v>
      </c>
      <c r="I606" s="1" t="s">
        <v>2</v>
      </c>
      <c r="J606" s="1" t="s">
        <v>3</v>
      </c>
      <c r="K606" s="1" t="s">
        <v>8708</v>
      </c>
      <c r="L606" s="1" t="s">
        <v>7</v>
      </c>
      <c r="M606" s="1"/>
      <c r="N606" s="1" t="s">
        <v>8709</v>
      </c>
      <c r="O606" s="1" t="s">
        <v>5542</v>
      </c>
      <c r="P606" s="1"/>
      <c r="Q606" s="1"/>
      <c r="R606" s="1" t="s">
        <v>11</v>
      </c>
      <c r="S606" s="1"/>
      <c r="T606" s="1"/>
      <c r="U606" s="1"/>
      <c r="V606" s="1"/>
      <c r="W606" s="1"/>
      <c r="X606" s="1" t="s">
        <v>8710</v>
      </c>
      <c r="Y606" s="1"/>
      <c r="Z606" s="1"/>
      <c r="AA606" s="1"/>
      <c r="AB606" s="1" t="s">
        <v>8711</v>
      </c>
      <c r="AC606" s="1"/>
      <c r="AD606" s="1"/>
      <c r="AE606" s="1"/>
      <c r="AF606" s="1"/>
      <c r="AG606" s="1"/>
      <c r="AH606" s="1" t="s">
        <v>8712</v>
      </c>
      <c r="AI606" s="1"/>
      <c r="AJ606" s="1" t="s">
        <v>1528</v>
      </c>
      <c r="AK606" s="1" t="s">
        <v>279</v>
      </c>
      <c r="AL606" s="1" t="s">
        <v>1529</v>
      </c>
      <c r="AM606" s="1" t="s">
        <v>8703</v>
      </c>
      <c r="AN606" s="1" t="s">
        <v>279</v>
      </c>
      <c r="AO606" s="1" t="s">
        <v>8704</v>
      </c>
      <c r="AP606" s="2" t="s">
        <v>8713</v>
      </c>
      <c r="AQ606" s="2" t="s">
        <v>1154</v>
      </c>
      <c r="AR606" s="1" t="s">
        <v>286</v>
      </c>
      <c r="AS606" s="1" t="s">
        <v>8714</v>
      </c>
      <c r="AT606" s="1" t="s">
        <v>5</v>
      </c>
    </row>
    <row r="607" spans="1:46" hidden="1" x14ac:dyDescent="0.4">
      <c r="A607" s="1" t="s">
        <v>9937</v>
      </c>
      <c r="B607" s="10"/>
      <c r="C607" s="1" t="s">
        <v>3626</v>
      </c>
      <c r="D607" s="1" t="s">
        <v>2157</v>
      </c>
      <c r="E607" s="1" t="s">
        <v>2078</v>
      </c>
      <c r="F607" s="1" t="s">
        <v>14</v>
      </c>
      <c r="G607" s="1" t="s">
        <v>1</v>
      </c>
      <c r="H607" s="1" t="s">
        <v>6</v>
      </c>
      <c r="I607" s="1" t="s">
        <v>2</v>
      </c>
      <c r="J607" s="1" t="s">
        <v>3514</v>
      </c>
      <c r="K607" s="1" t="s">
        <v>9938</v>
      </c>
      <c r="L607" s="1" t="s">
        <v>7</v>
      </c>
      <c r="M607" s="1" t="s">
        <v>9</v>
      </c>
      <c r="N607" s="1" t="s">
        <v>9939</v>
      </c>
      <c r="O607" s="1" t="s">
        <v>2214</v>
      </c>
      <c r="P607" s="1"/>
      <c r="Q607" s="1"/>
      <c r="R607" s="1" t="s">
        <v>11</v>
      </c>
      <c r="S607" s="1"/>
      <c r="T607" s="1"/>
      <c r="U607" s="1"/>
      <c r="V607" s="1"/>
      <c r="W607" s="1"/>
      <c r="X607" s="1" t="s">
        <v>9940</v>
      </c>
      <c r="Y607" s="1"/>
      <c r="Z607" s="1"/>
      <c r="AA607" s="1" t="s">
        <v>9941</v>
      </c>
      <c r="AB607" s="1" t="s">
        <v>9942</v>
      </c>
      <c r="AC607" s="1"/>
      <c r="AD607" s="1"/>
      <c r="AE607" s="1" t="s">
        <v>9943</v>
      </c>
      <c r="AF607" s="1"/>
      <c r="AG607" s="1"/>
      <c r="AH607" s="1" t="s">
        <v>9944</v>
      </c>
      <c r="AI607" s="1"/>
      <c r="AJ607" s="1" t="s">
        <v>9443</v>
      </c>
      <c r="AK607" s="1" t="s">
        <v>4128</v>
      </c>
      <c r="AL607" s="1" t="s">
        <v>9444</v>
      </c>
      <c r="AM607" s="1" t="s">
        <v>9443</v>
      </c>
      <c r="AN607" s="1" t="s">
        <v>4128</v>
      </c>
      <c r="AO607" s="1" t="s">
        <v>9444</v>
      </c>
      <c r="AP607" s="2" t="s">
        <v>9945</v>
      </c>
      <c r="AQ607" s="2" t="s">
        <v>1155</v>
      </c>
      <c r="AR607" s="1" t="s">
        <v>286</v>
      </c>
      <c r="AS607" s="1" t="s">
        <v>9946</v>
      </c>
      <c r="AT607" s="1" t="s">
        <v>5</v>
      </c>
    </row>
    <row r="608" spans="1:46" hidden="1" x14ac:dyDescent="0.4">
      <c r="A608" s="1" t="s">
        <v>2554</v>
      </c>
      <c r="B608" s="10"/>
      <c r="C608" s="1" t="s">
        <v>2555</v>
      </c>
      <c r="D608" s="1" t="s">
        <v>2157</v>
      </c>
      <c r="E608" s="1" t="s">
        <v>2078</v>
      </c>
      <c r="F608" s="1" t="s">
        <v>14</v>
      </c>
      <c r="G608" s="1" t="s">
        <v>1</v>
      </c>
      <c r="H608" s="1" t="s">
        <v>6</v>
      </c>
      <c r="I608" s="1" t="s">
        <v>2</v>
      </c>
      <c r="J608" s="1" t="s">
        <v>3</v>
      </c>
      <c r="K608" s="1" t="s">
        <v>2556</v>
      </c>
      <c r="L608" s="1" t="s">
        <v>7</v>
      </c>
      <c r="M608" s="1"/>
      <c r="N608" s="1" t="s">
        <v>2557</v>
      </c>
      <c r="O608" s="1" t="s">
        <v>2558</v>
      </c>
      <c r="P608" s="1"/>
      <c r="Q608" s="1"/>
      <c r="R608" s="1" t="s">
        <v>11</v>
      </c>
      <c r="S608" s="1"/>
      <c r="T608" s="1"/>
      <c r="U608" s="1"/>
      <c r="V608" s="1"/>
      <c r="W608" s="1" t="s">
        <v>2559</v>
      </c>
      <c r="X608" s="1" t="s">
        <v>2560</v>
      </c>
      <c r="Y608" s="1"/>
      <c r="Z608" s="1"/>
      <c r="AA608" s="1"/>
      <c r="AB608" s="1" t="s">
        <v>2561</v>
      </c>
      <c r="AC608" s="1"/>
      <c r="AD608" s="1"/>
      <c r="AE608" s="1" t="s">
        <v>2562</v>
      </c>
      <c r="AF608" s="1"/>
      <c r="AG608" s="1"/>
      <c r="AH608" s="1" t="s">
        <v>2563</v>
      </c>
      <c r="AI608" s="1"/>
      <c r="AJ608" s="1" t="s">
        <v>2550</v>
      </c>
      <c r="AK608" s="1" t="s">
        <v>2551</v>
      </c>
      <c r="AL608" s="1" t="s">
        <v>2552</v>
      </c>
      <c r="AM608" s="1" t="s">
        <v>2550</v>
      </c>
      <c r="AN608" s="1" t="s">
        <v>2551</v>
      </c>
      <c r="AO608" s="1" t="s">
        <v>2552</v>
      </c>
      <c r="AP608" s="2" t="s">
        <v>2564</v>
      </c>
      <c r="AQ608" s="2" t="s">
        <v>1153</v>
      </c>
      <c r="AR608" s="1"/>
      <c r="AS608" s="1"/>
      <c r="AT608" s="1" t="s">
        <v>5</v>
      </c>
    </row>
    <row r="609" spans="1:46" hidden="1" x14ac:dyDescent="0.4">
      <c r="A609" s="1" t="s">
        <v>4205</v>
      </c>
      <c r="B609" s="10"/>
      <c r="C609" s="1" t="s">
        <v>2454</v>
      </c>
      <c r="D609" s="1" t="s">
        <v>2157</v>
      </c>
      <c r="E609" s="1" t="s">
        <v>2078</v>
      </c>
      <c r="F609" s="1" t="s">
        <v>14</v>
      </c>
      <c r="G609" s="1" t="s">
        <v>1</v>
      </c>
      <c r="H609" s="1" t="s">
        <v>6</v>
      </c>
      <c r="I609" s="1" t="s">
        <v>2</v>
      </c>
      <c r="J609" s="1" t="s">
        <v>3676</v>
      </c>
      <c r="K609" s="1" t="s">
        <v>4206</v>
      </c>
      <c r="L609" s="1" t="s">
        <v>4</v>
      </c>
      <c r="M609" s="1"/>
      <c r="N609" s="1" t="s">
        <v>4207</v>
      </c>
      <c r="O609" s="1" t="s">
        <v>4208</v>
      </c>
      <c r="P609" s="1"/>
      <c r="Q609" s="1"/>
      <c r="R609" s="1" t="s">
        <v>11</v>
      </c>
      <c r="S609" s="1"/>
      <c r="T609" s="1"/>
      <c r="U609" s="1"/>
      <c r="V609" s="1"/>
      <c r="W609" s="1" t="s">
        <v>4209</v>
      </c>
      <c r="X609" s="1"/>
      <c r="Y609" s="1"/>
      <c r="Z609" s="1"/>
      <c r="AA609" s="1"/>
      <c r="AB609" s="1" t="s">
        <v>4210</v>
      </c>
      <c r="AC609" s="1"/>
      <c r="AD609" s="1"/>
      <c r="AE609" s="1"/>
      <c r="AF609" s="1"/>
      <c r="AG609" s="1"/>
      <c r="AH609" s="1" t="s">
        <v>4211</v>
      </c>
      <c r="AI609" s="1"/>
      <c r="AJ609" s="1" t="s">
        <v>3682</v>
      </c>
      <c r="AK609" s="1" t="s">
        <v>3106</v>
      </c>
      <c r="AL609" s="1" t="s">
        <v>3683</v>
      </c>
      <c r="AM609" s="1" t="s">
        <v>3682</v>
      </c>
      <c r="AN609" s="1" t="s">
        <v>3106</v>
      </c>
      <c r="AO609" s="1" t="s">
        <v>3683</v>
      </c>
      <c r="AP609" s="2" t="s">
        <v>4212</v>
      </c>
      <c r="AQ609" s="2" t="s">
        <v>1153</v>
      </c>
      <c r="AR609" s="1" t="s">
        <v>286</v>
      </c>
      <c r="AS609" s="1"/>
      <c r="AT609" s="1" t="s">
        <v>5</v>
      </c>
    </row>
    <row r="610" spans="1:46" hidden="1" x14ac:dyDescent="0.4">
      <c r="A610" s="1" t="s">
        <v>7777</v>
      </c>
      <c r="B610" s="10"/>
      <c r="C610" s="1" t="s">
        <v>93</v>
      </c>
      <c r="D610" s="1" t="s">
        <v>2157</v>
      </c>
      <c r="E610" s="1" t="s">
        <v>2478</v>
      </c>
      <c r="F610" s="1" t="s">
        <v>14</v>
      </c>
      <c r="G610" s="1" t="s">
        <v>1</v>
      </c>
      <c r="H610" s="1" t="s">
        <v>6</v>
      </c>
      <c r="I610" s="1" t="s">
        <v>2</v>
      </c>
      <c r="J610" s="1" t="s">
        <v>3</v>
      </c>
      <c r="K610" s="1" t="s">
        <v>7778</v>
      </c>
      <c r="L610" s="1" t="s">
        <v>7</v>
      </c>
      <c r="M610" s="1"/>
      <c r="N610" s="1" t="s">
        <v>7779</v>
      </c>
      <c r="O610" s="1" t="s">
        <v>7780</v>
      </c>
      <c r="P610" s="1"/>
      <c r="Q610" s="1"/>
      <c r="R610" s="1" t="s">
        <v>11</v>
      </c>
      <c r="S610" s="1"/>
      <c r="T610" s="1"/>
      <c r="U610" s="1"/>
      <c r="V610" s="1"/>
      <c r="W610" s="1"/>
      <c r="X610" s="1"/>
      <c r="Y610" s="1"/>
      <c r="Z610" s="1"/>
      <c r="AA610" s="1"/>
      <c r="AB610" s="1" t="s">
        <v>7781</v>
      </c>
      <c r="AC610" s="1"/>
      <c r="AD610" s="1"/>
      <c r="AE610" s="1" t="s">
        <v>7782</v>
      </c>
      <c r="AF610" s="1"/>
      <c r="AG610" s="1"/>
      <c r="AH610" s="1" t="s">
        <v>7783</v>
      </c>
      <c r="AI610" s="1" t="s">
        <v>7784</v>
      </c>
      <c r="AJ610" s="1" t="s">
        <v>6822</v>
      </c>
      <c r="AK610" s="1" t="s">
        <v>6275</v>
      </c>
      <c r="AL610" s="1" t="s">
        <v>6823</v>
      </c>
      <c r="AM610" s="1" t="s">
        <v>6822</v>
      </c>
      <c r="AN610" s="1" t="s">
        <v>6275</v>
      </c>
      <c r="AO610" s="1" t="s">
        <v>6823</v>
      </c>
      <c r="AP610" s="2" t="s">
        <v>7785</v>
      </c>
      <c r="AQ610" s="2" t="s">
        <v>1154</v>
      </c>
      <c r="AR610" s="1" t="s">
        <v>286</v>
      </c>
      <c r="AS610" s="1"/>
      <c r="AT610" s="1" t="s">
        <v>5</v>
      </c>
    </row>
    <row r="611" spans="1:46" hidden="1" x14ac:dyDescent="0.4">
      <c r="A611" s="1" t="s">
        <v>11652</v>
      </c>
      <c r="B611" s="10"/>
      <c r="C611" s="1" t="s">
        <v>0</v>
      </c>
      <c r="D611" s="1" t="s">
        <v>2157</v>
      </c>
      <c r="E611" s="1" t="s">
        <v>2078</v>
      </c>
      <c r="F611" s="1" t="s">
        <v>14</v>
      </c>
      <c r="G611" s="1" t="s">
        <v>1</v>
      </c>
      <c r="H611" s="1" t="s">
        <v>6</v>
      </c>
      <c r="I611" s="1" t="s">
        <v>2</v>
      </c>
      <c r="J611" s="1" t="s">
        <v>3</v>
      </c>
      <c r="K611" s="1" t="s">
        <v>11653</v>
      </c>
      <c r="L611" s="1" t="s">
        <v>7</v>
      </c>
      <c r="M611" s="1" t="s">
        <v>9</v>
      </c>
      <c r="N611" s="1" t="s">
        <v>11654</v>
      </c>
      <c r="O611" s="1" t="s">
        <v>11533</v>
      </c>
      <c r="P611" s="1"/>
      <c r="Q611" s="1" t="s">
        <v>12</v>
      </c>
      <c r="R611" s="1" t="s">
        <v>11</v>
      </c>
      <c r="S611" s="1"/>
      <c r="T611" s="1" t="s">
        <v>12</v>
      </c>
      <c r="U611" s="1" t="s">
        <v>11</v>
      </c>
      <c r="V611" s="1"/>
      <c r="W611" s="1"/>
      <c r="X611" s="1"/>
      <c r="Y611" s="1"/>
      <c r="Z611" s="1"/>
      <c r="AA611" s="1"/>
      <c r="AB611" s="1" t="s">
        <v>11655</v>
      </c>
      <c r="AC611" s="1"/>
      <c r="AD611" s="1"/>
      <c r="AE611" s="1" t="s">
        <v>11656</v>
      </c>
      <c r="AF611" s="1"/>
      <c r="AG611" s="1"/>
      <c r="AH611" s="1" t="s">
        <v>11657</v>
      </c>
      <c r="AI611" s="1"/>
      <c r="AJ611" s="1" t="s">
        <v>4947</v>
      </c>
      <c r="AK611" s="1" t="s">
        <v>4283</v>
      </c>
      <c r="AL611" s="1" t="s">
        <v>4948</v>
      </c>
      <c r="AM611" s="1" t="s">
        <v>11537</v>
      </c>
      <c r="AN611" s="1" t="s">
        <v>4283</v>
      </c>
      <c r="AO611" s="1" t="s">
        <v>11538</v>
      </c>
      <c r="AP611" s="2" t="s">
        <v>11658</v>
      </c>
      <c r="AQ611" s="2" t="s">
        <v>1155</v>
      </c>
      <c r="AR611" s="1" t="s">
        <v>286</v>
      </c>
      <c r="AS611" s="1" t="s">
        <v>1076</v>
      </c>
      <c r="AT611" s="1" t="s">
        <v>5</v>
      </c>
    </row>
    <row r="612" spans="1:46" hidden="1" x14ac:dyDescent="0.4">
      <c r="A612" s="1" t="s">
        <v>7956</v>
      </c>
      <c r="B612" s="10"/>
      <c r="C612" s="1" t="s">
        <v>93</v>
      </c>
      <c r="D612" s="1" t="s">
        <v>2157</v>
      </c>
      <c r="E612" s="1" t="s">
        <v>2078</v>
      </c>
      <c r="F612" s="1" t="s">
        <v>14</v>
      </c>
      <c r="G612" s="1" t="s">
        <v>1</v>
      </c>
      <c r="H612" s="1" t="s">
        <v>6</v>
      </c>
      <c r="I612" s="1" t="s">
        <v>2</v>
      </c>
      <c r="J612" s="1" t="s">
        <v>3</v>
      </c>
      <c r="K612" s="1" t="s">
        <v>7957</v>
      </c>
      <c r="L612" s="1" t="s">
        <v>7</v>
      </c>
      <c r="M612" s="1"/>
      <c r="N612" s="1" t="s">
        <v>7958</v>
      </c>
      <c r="O612" s="1" t="s">
        <v>7959</v>
      </c>
      <c r="P612" s="1"/>
      <c r="Q612" s="1"/>
      <c r="R612" s="1" t="s">
        <v>11</v>
      </c>
      <c r="S612" s="1"/>
      <c r="T612" s="1"/>
      <c r="U612" s="1"/>
      <c r="V612" s="1"/>
      <c r="W612" s="1"/>
      <c r="X612" s="1" t="s">
        <v>7960</v>
      </c>
      <c r="Y612" s="1"/>
      <c r="Z612" s="1"/>
      <c r="AA612" s="1"/>
      <c r="AB612" s="1" t="s">
        <v>7961</v>
      </c>
      <c r="AC612" s="1"/>
      <c r="AD612" s="1"/>
      <c r="AE612" s="1" t="s">
        <v>7962</v>
      </c>
      <c r="AF612" s="1"/>
      <c r="AG612" s="1"/>
      <c r="AH612" s="1" t="s">
        <v>7963</v>
      </c>
      <c r="AI612" s="1" t="s">
        <v>7964</v>
      </c>
      <c r="AJ612" s="1" t="s">
        <v>6822</v>
      </c>
      <c r="AK612" s="1" t="s">
        <v>6275</v>
      </c>
      <c r="AL612" s="1" t="s">
        <v>6823</v>
      </c>
      <c r="AM612" s="1" t="s">
        <v>6822</v>
      </c>
      <c r="AN612" s="1" t="s">
        <v>6275</v>
      </c>
      <c r="AO612" s="1" t="s">
        <v>6823</v>
      </c>
      <c r="AP612" s="2" t="s">
        <v>7965</v>
      </c>
      <c r="AQ612" s="2" t="s">
        <v>1154</v>
      </c>
      <c r="AR612" s="1" t="s">
        <v>286</v>
      </c>
      <c r="AS612" s="1"/>
      <c r="AT612" s="1" t="s">
        <v>5</v>
      </c>
    </row>
    <row r="613" spans="1:46" hidden="1" x14ac:dyDescent="0.4">
      <c r="A613" s="1" t="s">
        <v>11580</v>
      </c>
      <c r="B613" s="10"/>
      <c r="C613" s="1" t="s">
        <v>2705</v>
      </c>
      <c r="D613" s="1" t="s">
        <v>2220</v>
      </c>
      <c r="E613" s="1" t="s">
        <v>2078</v>
      </c>
      <c r="F613" s="1" t="s">
        <v>14</v>
      </c>
      <c r="G613" s="1" t="s">
        <v>1</v>
      </c>
      <c r="H613" s="1" t="s">
        <v>6</v>
      </c>
      <c r="I613" s="1" t="s">
        <v>2</v>
      </c>
      <c r="J613" s="1" t="s">
        <v>2813</v>
      </c>
      <c r="K613" s="1" t="s">
        <v>11581</v>
      </c>
      <c r="L613" s="1" t="s">
        <v>7</v>
      </c>
      <c r="M613" s="1"/>
      <c r="N613" s="1" t="s">
        <v>11582</v>
      </c>
      <c r="O613" s="1" t="s">
        <v>11583</v>
      </c>
      <c r="P613" s="1"/>
      <c r="Q613" s="1" t="s">
        <v>12</v>
      </c>
      <c r="R613" s="1" t="s">
        <v>11</v>
      </c>
      <c r="S613" s="1"/>
      <c r="T613" s="1" t="s">
        <v>12</v>
      </c>
      <c r="U613" s="1" t="s">
        <v>11</v>
      </c>
      <c r="V613" s="1"/>
      <c r="W613" s="1"/>
      <c r="X613" s="1" t="s">
        <v>11584</v>
      </c>
      <c r="Y613" s="1"/>
      <c r="Z613" s="1"/>
      <c r="AA613" s="1"/>
      <c r="AB613" s="1" t="s">
        <v>11585</v>
      </c>
      <c r="AC613" s="1"/>
      <c r="AD613" s="1"/>
      <c r="AE613" s="1"/>
      <c r="AF613" s="1"/>
      <c r="AG613" s="1"/>
      <c r="AH613" s="1" t="s">
        <v>11586</v>
      </c>
      <c r="AI613" s="1"/>
      <c r="AJ613" s="1" t="s">
        <v>9384</v>
      </c>
      <c r="AK613" s="1" t="s">
        <v>9385</v>
      </c>
      <c r="AL613" s="1" t="s">
        <v>9386</v>
      </c>
      <c r="AM613" s="1" t="s">
        <v>9384</v>
      </c>
      <c r="AN613" s="1" t="s">
        <v>9385</v>
      </c>
      <c r="AO613" s="1" t="s">
        <v>9386</v>
      </c>
      <c r="AP613" s="2" t="s">
        <v>11587</v>
      </c>
      <c r="AQ613" s="2" t="s">
        <v>1155</v>
      </c>
      <c r="AR613" s="1" t="s">
        <v>286</v>
      </c>
      <c r="AS613" s="1" t="s">
        <v>11588</v>
      </c>
      <c r="AT613" s="1" t="s">
        <v>5</v>
      </c>
    </row>
    <row r="614" spans="1:46" hidden="1" x14ac:dyDescent="0.4">
      <c r="A614" s="1" t="s">
        <v>4433</v>
      </c>
      <c r="B614" s="10"/>
      <c r="C614" s="1" t="s">
        <v>3626</v>
      </c>
      <c r="D614" s="1" t="s">
        <v>2157</v>
      </c>
      <c r="E614" s="1" t="s">
        <v>2078</v>
      </c>
      <c r="F614" s="1" t="s">
        <v>14</v>
      </c>
      <c r="G614" s="1" t="s">
        <v>1</v>
      </c>
      <c r="H614" s="1" t="s">
        <v>6</v>
      </c>
      <c r="I614" s="1" t="s">
        <v>2</v>
      </c>
      <c r="J614" s="1" t="s">
        <v>3514</v>
      </c>
      <c r="K614" s="1" t="s">
        <v>4434</v>
      </c>
      <c r="L614" s="1" t="s">
        <v>7</v>
      </c>
      <c r="M614" s="1"/>
      <c r="N614" s="1" t="s">
        <v>4435</v>
      </c>
      <c r="O614" s="1" t="s">
        <v>4436</v>
      </c>
      <c r="P614" s="1"/>
      <c r="Q614" s="1"/>
      <c r="R614" s="1" t="s">
        <v>11</v>
      </c>
      <c r="S614" s="1"/>
      <c r="T614" s="1"/>
      <c r="U614" s="1"/>
      <c r="V614" s="1"/>
      <c r="W614" s="1"/>
      <c r="X614" s="1" t="s">
        <v>4437</v>
      </c>
      <c r="Y614" s="1"/>
      <c r="Z614" s="1"/>
      <c r="AA614" s="1"/>
      <c r="AB614" s="1" t="s">
        <v>4438</v>
      </c>
      <c r="AC614" s="1"/>
      <c r="AD614" s="1"/>
      <c r="AE614" s="1" t="s">
        <v>4439</v>
      </c>
      <c r="AF614" s="1"/>
      <c r="AG614" s="1"/>
      <c r="AH614" s="1" t="s">
        <v>4440</v>
      </c>
      <c r="AI614" s="1"/>
      <c r="AJ614" s="1" t="s">
        <v>4441</v>
      </c>
      <c r="AK614" s="1" t="s">
        <v>4128</v>
      </c>
      <c r="AL614" s="1" t="s">
        <v>4442</v>
      </c>
      <c r="AM614" s="1" t="s">
        <v>4441</v>
      </c>
      <c r="AN614" s="1" t="s">
        <v>4128</v>
      </c>
      <c r="AO614" s="1" t="s">
        <v>4442</v>
      </c>
      <c r="AP614" s="2" t="s">
        <v>4443</v>
      </c>
      <c r="AQ614" s="2" t="s">
        <v>1153</v>
      </c>
      <c r="AR614" s="1" t="s">
        <v>286</v>
      </c>
      <c r="AS614" s="1" t="s">
        <v>4444</v>
      </c>
      <c r="AT614" s="1" t="s">
        <v>5</v>
      </c>
    </row>
    <row r="615" spans="1:46" hidden="1" x14ac:dyDescent="0.4">
      <c r="A615" s="1" t="s">
        <v>11530</v>
      </c>
      <c r="B615" s="10"/>
      <c r="C615" s="1" t="s">
        <v>0</v>
      </c>
      <c r="D615" s="1" t="s">
        <v>2211</v>
      </c>
      <c r="E615" s="1" t="s">
        <v>2078</v>
      </c>
      <c r="F615" s="1" t="s">
        <v>14</v>
      </c>
      <c r="G615" s="1" t="s">
        <v>1</v>
      </c>
      <c r="H615" s="1" t="s">
        <v>6</v>
      </c>
      <c r="I615" s="1" t="s">
        <v>2</v>
      </c>
      <c r="J615" s="1" t="s">
        <v>3</v>
      </c>
      <c r="K615" s="1" t="s">
        <v>11531</v>
      </c>
      <c r="L615" s="1" t="s">
        <v>7</v>
      </c>
      <c r="M615" s="1" t="s">
        <v>9</v>
      </c>
      <c r="N615" s="1" t="s">
        <v>11532</v>
      </c>
      <c r="O615" s="1" t="s">
        <v>11533</v>
      </c>
      <c r="P615" s="1"/>
      <c r="Q615" s="1" t="s">
        <v>12</v>
      </c>
      <c r="R615" s="1" t="s">
        <v>11</v>
      </c>
      <c r="S615" s="1"/>
      <c r="T615" s="1" t="s">
        <v>12</v>
      </c>
      <c r="U615" s="1" t="s">
        <v>11</v>
      </c>
      <c r="V615" s="1"/>
      <c r="W615" s="1"/>
      <c r="X615" s="1"/>
      <c r="Y615" s="1"/>
      <c r="Z615" s="1"/>
      <c r="AA615" s="1"/>
      <c r="AB615" s="1" t="s">
        <v>11534</v>
      </c>
      <c r="AC615" s="1"/>
      <c r="AD615" s="1"/>
      <c r="AE615" s="1" t="s">
        <v>11535</v>
      </c>
      <c r="AF615" s="1"/>
      <c r="AG615" s="1"/>
      <c r="AH615" s="1" t="s">
        <v>11536</v>
      </c>
      <c r="AI615" s="1"/>
      <c r="AJ615" s="1" t="s">
        <v>4947</v>
      </c>
      <c r="AK615" s="1" t="s">
        <v>4283</v>
      </c>
      <c r="AL615" s="1" t="s">
        <v>4948</v>
      </c>
      <c r="AM615" s="1" t="s">
        <v>11537</v>
      </c>
      <c r="AN615" s="1" t="s">
        <v>4283</v>
      </c>
      <c r="AO615" s="1" t="s">
        <v>11538</v>
      </c>
      <c r="AP615" s="2" t="s">
        <v>11539</v>
      </c>
      <c r="AQ615" s="2" t="s">
        <v>1155</v>
      </c>
      <c r="AR615" s="1" t="s">
        <v>286</v>
      </c>
      <c r="AS615" s="1" t="s">
        <v>1076</v>
      </c>
      <c r="AT615" s="1" t="s">
        <v>5</v>
      </c>
    </row>
    <row r="616" spans="1:46" hidden="1" x14ac:dyDescent="0.4">
      <c r="A616" s="1" t="s">
        <v>11030</v>
      </c>
      <c r="B616" s="10"/>
      <c r="C616" s="1" t="s">
        <v>2091</v>
      </c>
      <c r="D616" s="1" t="s">
        <v>2827</v>
      </c>
      <c r="E616" s="1" t="s">
        <v>2078</v>
      </c>
      <c r="F616" s="1" t="s">
        <v>14</v>
      </c>
      <c r="G616" s="1" t="s">
        <v>1</v>
      </c>
      <c r="H616" s="1" t="s">
        <v>6</v>
      </c>
      <c r="I616" s="1" t="s">
        <v>2</v>
      </c>
      <c r="J616" s="1" t="s">
        <v>3</v>
      </c>
      <c r="K616" s="1" t="s">
        <v>11031</v>
      </c>
      <c r="L616" s="1" t="s">
        <v>7</v>
      </c>
      <c r="M616" s="1"/>
      <c r="N616" s="1" t="s">
        <v>11032</v>
      </c>
      <c r="O616" s="1" t="s">
        <v>11033</v>
      </c>
      <c r="P616" s="1"/>
      <c r="Q616" s="1"/>
      <c r="R616" s="1" t="s">
        <v>11</v>
      </c>
      <c r="S616" s="1"/>
      <c r="T616" s="1"/>
      <c r="U616" s="1"/>
      <c r="V616" s="1"/>
      <c r="W616" s="1"/>
      <c r="X616" s="1" t="s">
        <v>11034</v>
      </c>
      <c r="Y616" s="1"/>
      <c r="Z616" s="1"/>
      <c r="AA616" s="1"/>
      <c r="AB616" s="1" t="s">
        <v>11035</v>
      </c>
      <c r="AC616" s="1"/>
      <c r="AD616" s="1"/>
      <c r="AE616" s="1" t="s">
        <v>11036</v>
      </c>
      <c r="AF616" s="1"/>
      <c r="AG616" s="1"/>
      <c r="AH616" s="1" t="s">
        <v>11037</v>
      </c>
      <c r="AI616" s="1"/>
      <c r="AJ616" s="1" t="s">
        <v>5046</v>
      </c>
      <c r="AK616" s="1" t="s">
        <v>11038</v>
      </c>
      <c r="AL616" s="1" t="s">
        <v>5048</v>
      </c>
      <c r="AM616" s="1" t="s">
        <v>5046</v>
      </c>
      <c r="AN616" s="1" t="s">
        <v>11038</v>
      </c>
      <c r="AO616" s="1" t="s">
        <v>5048</v>
      </c>
      <c r="AP616" s="2" t="s">
        <v>11039</v>
      </c>
      <c r="AQ616" s="2" t="s">
        <v>1155</v>
      </c>
      <c r="AR616" s="1" t="s">
        <v>286</v>
      </c>
      <c r="AS616" s="1"/>
      <c r="AT616" s="1" t="s">
        <v>5</v>
      </c>
    </row>
    <row r="617" spans="1:46" hidden="1" x14ac:dyDescent="0.4">
      <c r="A617" s="1" t="s">
        <v>9625</v>
      </c>
      <c r="B617" s="10"/>
      <c r="C617" s="1" t="s">
        <v>93</v>
      </c>
      <c r="D617" s="1" t="s">
        <v>2076</v>
      </c>
      <c r="E617" s="1" t="s">
        <v>2078</v>
      </c>
      <c r="F617" s="1" t="s">
        <v>14</v>
      </c>
      <c r="G617" s="1" t="s">
        <v>1</v>
      </c>
      <c r="H617" s="1" t="s">
        <v>6</v>
      </c>
      <c r="I617" s="1" t="s">
        <v>2</v>
      </c>
      <c r="J617" s="1" t="s">
        <v>3</v>
      </c>
      <c r="K617" s="1" t="s">
        <v>9626</v>
      </c>
      <c r="L617" s="1" t="s">
        <v>4</v>
      </c>
      <c r="M617" s="1"/>
      <c r="N617" s="1" t="s">
        <v>9627</v>
      </c>
      <c r="O617" s="1" t="s">
        <v>6435</v>
      </c>
      <c r="P617" s="1"/>
      <c r="Q617" s="1"/>
      <c r="R617" s="1" t="s">
        <v>11</v>
      </c>
      <c r="S617" s="1"/>
      <c r="T617" s="1"/>
      <c r="U617" s="1"/>
      <c r="V617" s="1"/>
      <c r="W617" s="1" t="s">
        <v>9628</v>
      </c>
      <c r="X617" s="1"/>
      <c r="Y617" s="1"/>
      <c r="Z617" s="1"/>
      <c r="AA617" s="1"/>
      <c r="AB617" s="1" t="s">
        <v>9629</v>
      </c>
      <c r="AC617" s="1"/>
      <c r="AD617" s="1"/>
      <c r="AE617" s="1" t="s">
        <v>9337</v>
      </c>
      <c r="AF617" s="1"/>
      <c r="AG617" s="1"/>
      <c r="AH617" s="1" t="s">
        <v>9630</v>
      </c>
      <c r="AI617" s="1"/>
      <c r="AJ617" s="1" t="s">
        <v>9239</v>
      </c>
      <c r="AK617" s="1" t="s">
        <v>9240</v>
      </c>
      <c r="AL617" s="1" t="s">
        <v>9241</v>
      </c>
      <c r="AM617" s="1" t="s">
        <v>9239</v>
      </c>
      <c r="AN617" s="1" t="s">
        <v>9240</v>
      </c>
      <c r="AO617" s="1" t="s">
        <v>9241</v>
      </c>
      <c r="AP617" s="2" t="s">
        <v>9631</v>
      </c>
      <c r="AQ617" s="2" t="s">
        <v>1155</v>
      </c>
      <c r="AR617" s="1" t="s">
        <v>286</v>
      </c>
      <c r="AS617" s="1" t="s">
        <v>9632</v>
      </c>
      <c r="AT617" s="1" t="s">
        <v>5</v>
      </c>
    </row>
    <row r="618" spans="1:46" hidden="1" x14ac:dyDescent="0.4">
      <c r="A618" s="1" t="s">
        <v>9332</v>
      </c>
      <c r="B618" s="10"/>
      <c r="C618" s="1" t="s">
        <v>93</v>
      </c>
      <c r="D618" s="1" t="s">
        <v>2396</v>
      </c>
      <c r="E618" s="1" t="s">
        <v>2478</v>
      </c>
      <c r="F618" s="1" t="s">
        <v>14</v>
      </c>
      <c r="G618" s="1" t="s">
        <v>1</v>
      </c>
      <c r="H618" s="1" t="s">
        <v>6</v>
      </c>
      <c r="I618" s="1" t="s">
        <v>2</v>
      </c>
      <c r="J618" s="1" t="s">
        <v>3</v>
      </c>
      <c r="K618" s="1" t="s">
        <v>9333</v>
      </c>
      <c r="L618" s="1" t="s">
        <v>4</v>
      </c>
      <c r="M618" s="1"/>
      <c r="N618" s="1" t="s">
        <v>9334</v>
      </c>
      <c r="O618" s="1" t="s">
        <v>6435</v>
      </c>
      <c r="P618" s="1"/>
      <c r="Q618" s="1"/>
      <c r="R618" s="1" t="s">
        <v>11</v>
      </c>
      <c r="S618" s="1"/>
      <c r="T618" s="1"/>
      <c r="U618" s="1"/>
      <c r="V618" s="1"/>
      <c r="W618" s="1" t="s">
        <v>9335</v>
      </c>
      <c r="X618" s="1"/>
      <c r="Y618" s="1"/>
      <c r="Z618" s="1"/>
      <c r="AA618" s="1"/>
      <c r="AB618" s="1" t="s">
        <v>9336</v>
      </c>
      <c r="AC618" s="1"/>
      <c r="AD618" s="1"/>
      <c r="AE618" s="1" t="s">
        <v>9337</v>
      </c>
      <c r="AF618" s="1"/>
      <c r="AG618" s="1"/>
      <c r="AH618" s="1" t="s">
        <v>9338</v>
      </c>
      <c r="AI618" s="1"/>
      <c r="AJ618" s="1" t="s">
        <v>9239</v>
      </c>
      <c r="AK618" s="1" t="s">
        <v>9240</v>
      </c>
      <c r="AL618" s="1" t="s">
        <v>9241</v>
      </c>
      <c r="AM618" s="1" t="s">
        <v>9239</v>
      </c>
      <c r="AN618" s="1" t="s">
        <v>9240</v>
      </c>
      <c r="AO618" s="1" t="s">
        <v>9241</v>
      </c>
      <c r="AP618" s="2" t="s">
        <v>9339</v>
      </c>
      <c r="AQ618" s="2" t="s">
        <v>1154</v>
      </c>
      <c r="AR618" s="1" t="s">
        <v>286</v>
      </c>
      <c r="AS618" s="1" t="s">
        <v>9340</v>
      </c>
      <c r="AT618" s="1" t="s">
        <v>5</v>
      </c>
    </row>
    <row r="619" spans="1:46" hidden="1" x14ac:dyDescent="0.4">
      <c r="A619" s="1" t="s">
        <v>3008</v>
      </c>
      <c r="B619" s="10"/>
      <c r="C619" s="1" t="s">
        <v>0</v>
      </c>
      <c r="D619" s="1" t="s">
        <v>2157</v>
      </c>
      <c r="E619" s="1" t="s">
        <v>13</v>
      </c>
      <c r="F619" s="1" t="s">
        <v>14</v>
      </c>
      <c r="G619" s="1" t="s">
        <v>1</v>
      </c>
      <c r="H619" s="1" t="s">
        <v>6</v>
      </c>
      <c r="I619" s="1" t="s">
        <v>2</v>
      </c>
      <c r="J619" s="1" t="s">
        <v>3</v>
      </c>
      <c r="K619" s="1" t="s">
        <v>3009</v>
      </c>
      <c r="L619" s="1" t="s">
        <v>7</v>
      </c>
      <c r="M619" s="1" t="s">
        <v>8</v>
      </c>
      <c r="N619" s="1" t="s">
        <v>3010</v>
      </c>
      <c r="O619" s="1" t="s">
        <v>2160</v>
      </c>
      <c r="P619" s="1"/>
      <c r="Q619" s="1"/>
      <c r="R619" s="1" t="s">
        <v>11</v>
      </c>
      <c r="S619" s="1"/>
      <c r="T619" s="1"/>
      <c r="U619" s="1"/>
      <c r="V619" s="1"/>
      <c r="W619" s="1"/>
      <c r="X619" s="1" t="s">
        <v>3011</v>
      </c>
      <c r="Y619" s="1"/>
      <c r="Z619" s="1"/>
      <c r="AA619" s="1"/>
      <c r="AB619" s="1" t="s">
        <v>3012</v>
      </c>
      <c r="AC619" s="1"/>
      <c r="AD619" s="1"/>
      <c r="AE619" s="1" t="s">
        <v>3013</v>
      </c>
      <c r="AF619" s="1"/>
      <c r="AG619" s="1"/>
      <c r="AH619" s="1" t="s">
        <v>3014</v>
      </c>
      <c r="AI619" s="1"/>
      <c r="AJ619" s="1" t="s">
        <v>3015</v>
      </c>
      <c r="AK619" s="1" t="s">
        <v>3016</v>
      </c>
      <c r="AL619" s="1"/>
      <c r="AM619" s="1" t="s">
        <v>3017</v>
      </c>
      <c r="AN619" s="1" t="s">
        <v>3016</v>
      </c>
      <c r="AO619" s="1" t="s">
        <v>3018</v>
      </c>
      <c r="AP619" s="2" t="s">
        <v>3019</v>
      </c>
      <c r="AQ619" s="2" t="s">
        <v>1155</v>
      </c>
      <c r="AR619" s="1"/>
      <c r="AS619" s="1"/>
      <c r="AT619" s="1" t="s">
        <v>5</v>
      </c>
    </row>
    <row r="620" spans="1:46" hidden="1" x14ac:dyDescent="0.4">
      <c r="A620" s="1" t="s">
        <v>3042</v>
      </c>
      <c r="B620" s="10"/>
      <c r="C620" s="1" t="s">
        <v>0</v>
      </c>
      <c r="D620" s="1" t="s">
        <v>2157</v>
      </c>
      <c r="E620" s="1" t="s">
        <v>13</v>
      </c>
      <c r="F620" s="1" t="s">
        <v>14</v>
      </c>
      <c r="G620" s="1" t="s">
        <v>1</v>
      </c>
      <c r="H620" s="1" t="s">
        <v>6</v>
      </c>
      <c r="I620" s="1" t="s">
        <v>2</v>
      </c>
      <c r="J620" s="1" t="s">
        <v>3</v>
      </c>
      <c r="K620" s="1" t="s">
        <v>3043</v>
      </c>
      <c r="L620" s="1" t="s">
        <v>7</v>
      </c>
      <c r="M620" s="1" t="s">
        <v>9</v>
      </c>
      <c r="N620" s="1" t="s">
        <v>3044</v>
      </c>
      <c r="O620" s="1" t="s">
        <v>2160</v>
      </c>
      <c r="P620" s="1"/>
      <c r="Q620" s="1"/>
      <c r="R620" s="1" t="s">
        <v>11</v>
      </c>
      <c r="S620" s="1"/>
      <c r="T620" s="1"/>
      <c r="U620" s="1"/>
      <c r="V620" s="1"/>
      <c r="W620" s="1"/>
      <c r="X620" s="1" t="s">
        <v>3045</v>
      </c>
      <c r="Y620" s="1"/>
      <c r="Z620" s="1"/>
      <c r="AA620" s="1"/>
      <c r="AB620" s="1" t="s">
        <v>3046</v>
      </c>
      <c r="AC620" s="1"/>
      <c r="AD620" s="1"/>
      <c r="AE620" s="1" t="s">
        <v>3047</v>
      </c>
      <c r="AF620" s="1"/>
      <c r="AG620" s="1"/>
      <c r="AH620" s="1" t="s">
        <v>3048</v>
      </c>
      <c r="AI620" s="1"/>
      <c r="AJ620" s="1" t="s">
        <v>3049</v>
      </c>
      <c r="AK620" s="1" t="s">
        <v>3050</v>
      </c>
      <c r="AL620" s="1"/>
      <c r="AM620" s="1" t="s">
        <v>1591</v>
      </c>
      <c r="AN620" s="1" t="s">
        <v>3050</v>
      </c>
      <c r="AO620" s="1"/>
      <c r="AP620" s="2" t="s">
        <v>3051</v>
      </c>
      <c r="AQ620" s="2" t="s">
        <v>1077</v>
      </c>
      <c r="AR620" s="1"/>
      <c r="AS620" s="1"/>
      <c r="AT620" s="1" t="s">
        <v>10</v>
      </c>
    </row>
    <row r="621" spans="1:46" hidden="1" x14ac:dyDescent="0.4">
      <c r="A621" s="1" t="s">
        <v>5714</v>
      </c>
      <c r="B621" s="10"/>
      <c r="C621" s="1" t="s">
        <v>93</v>
      </c>
      <c r="D621" s="1" t="s">
        <v>2211</v>
      </c>
      <c r="E621" s="1" t="s">
        <v>2078</v>
      </c>
      <c r="F621" s="1" t="s">
        <v>14</v>
      </c>
      <c r="G621" s="1" t="s">
        <v>1</v>
      </c>
      <c r="H621" s="1" t="s">
        <v>6</v>
      </c>
      <c r="I621" s="1" t="s">
        <v>2</v>
      </c>
      <c r="J621" s="1" t="s">
        <v>3</v>
      </c>
      <c r="K621" s="1" t="s">
        <v>5715</v>
      </c>
      <c r="L621" s="1" t="s">
        <v>7</v>
      </c>
      <c r="M621" s="1"/>
      <c r="N621" s="1" t="s">
        <v>5681</v>
      </c>
      <c r="O621" s="1" t="s">
        <v>3055</v>
      </c>
      <c r="P621" s="1"/>
      <c r="Q621" s="1"/>
      <c r="R621" s="1" t="s">
        <v>11</v>
      </c>
      <c r="S621" s="1"/>
      <c r="T621" s="1"/>
      <c r="U621" s="1"/>
      <c r="V621" s="1"/>
      <c r="W621" s="1" t="s">
        <v>5682</v>
      </c>
      <c r="X621" s="1" t="s">
        <v>5683</v>
      </c>
      <c r="Y621" s="1"/>
      <c r="Z621" s="1"/>
      <c r="AA621" s="1"/>
      <c r="AB621" s="1" t="s">
        <v>5716</v>
      </c>
      <c r="AC621" s="1"/>
      <c r="AD621" s="1"/>
      <c r="AE621" s="1"/>
      <c r="AF621" s="1"/>
      <c r="AG621" s="1"/>
      <c r="AH621" s="1" t="s">
        <v>5717</v>
      </c>
      <c r="AI621" s="1"/>
      <c r="AJ621" s="1" t="s">
        <v>4386</v>
      </c>
      <c r="AK621" s="1" t="s">
        <v>3792</v>
      </c>
      <c r="AL621" s="1" t="s">
        <v>4387</v>
      </c>
      <c r="AM621" s="1" t="s">
        <v>4386</v>
      </c>
      <c r="AN621" s="1" t="s">
        <v>3792</v>
      </c>
      <c r="AO621" s="1" t="s">
        <v>4387</v>
      </c>
      <c r="AP621" s="2" t="s">
        <v>5718</v>
      </c>
      <c r="AQ621" s="2" t="s">
        <v>1155</v>
      </c>
      <c r="AR621" s="1" t="s">
        <v>286</v>
      </c>
      <c r="AS621" s="1"/>
      <c r="AT621" s="1" t="s">
        <v>5</v>
      </c>
    </row>
    <row r="622" spans="1:46" hidden="1" x14ac:dyDescent="0.4">
      <c r="A622" s="1" t="s">
        <v>5679</v>
      </c>
      <c r="B622" s="10"/>
      <c r="C622" s="1" t="s">
        <v>93</v>
      </c>
      <c r="D622" s="1" t="s">
        <v>2211</v>
      </c>
      <c r="E622" s="1" t="s">
        <v>2078</v>
      </c>
      <c r="F622" s="1" t="s">
        <v>14</v>
      </c>
      <c r="G622" s="1" t="s">
        <v>1</v>
      </c>
      <c r="H622" s="1" t="s">
        <v>6</v>
      </c>
      <c r="I622" s="1" t="s">
        <v>2</v>
      </c>
      <c r="J622" s="1" t="s">
        <v>3</v>
      </c>
      <c r="K622" s="1" t="s">
        <v>5680</v>
      </c>
      <c r="L622" s="1" t="s">
        <v>7</v>
      </c>
      <c r="M622" s="1"/>
      <c r="N622" s="1" t="s">
        <v>5681</v>
      </c>
      <c r="O622" s="1" t="s">
        <v>3055</v>
      </c>
      <c r="P622" s="1"/>
      <c r="Q622" s="1"/>
      <c r="R622" s="1" t="s">
        <v>11</v>
      </c>
      <c r="S622" s="1"/>
      <c r="T622" s="1"/>
      <c r="U622" s="1"/>
      <c r="V622" s="1"/>
      <c r="W622" s="1" t="s">
        <v>5682</v>
      </c>
      <c r="X622" s="1" t="s">
        <v>5683</v>
      </c>
      <c r="Y622" s="1"/>
      <c r="Z622" s="1"/>
      <c r="AA622" s="1"/>
      <c r="AB622" s="1" t="s">
        <v>5684</v>
      </c>
      <c r="AC622" s="1"/>
      <c r="AD622" s="1"/>
      <c r="AE622" s="1"/>
      <c r="AF622" s="1"/>
      <c r="AG622" s="1"/>
      <c r="AH622" s="1" t="s">
        <v>5685</v>
      </c>
      <c r="AI622" s="1"/>
      <c r="AJ622" s="1" t="s">
        <v>4386</v>
      </c>
      <c r="AK622" s="1" t="s">
        <v>3792</v>
      </c>
      <c r="AL622" s="1" t="s">
        <v>4387</v>
      </c>
      <c r="AM622" s="1" t="s">
        <v>5686</v>
      </c>
      <c r="AN622" s="1" t="s">
        <v>3792</v>
      </c>
      <c r="AO622" s="1" t="s">
        <v>5687</v>
      </c>
      <c r="AP622" s="2" t="s">
        <v>5688</v>
      </c>
      <c r="AQ622" s="2" t="s">
        <v>1155</v>
      </c>
      <c r="AR622" s="1" t="s">
        <v>286</v>
      </c>
      <c r="AS622" s="1"/>
      <c r="AT622" s="1" t="s">
        <v>5</v>
      </c>
    </row>
    <row r="623" spans="1:46" hidden="1" x14ac:dyDescent="0.4">
      <c r="A623" s="1" t="s">
        <v>3328</v>
      </c>
      <c r="B623" s="10"/>
      <c r="C623" s="1" t="s">
        <v>0</v>
      </c>
      <c r="D623" s="1" t="s">
        <v>2157</v>
      </c>
      <c r="E623" s="1" t="s">
        <v>13</v>
      </c>
      <c r="F623" s="1" t="s">
        <v>14</v>
      </c>
      <c r="G623" s="1" t="s">
        <v>1</v>
      </c>
      <c r="H623" s="1" t="s">
        <v>6</v>
      </c>
      <c r="I623" s="1" t="s">
        <v>2</v>
      </c>
      <c r="J623" s="1" t="s">
        <v>3</v>
      </c>
      <c r="K623" s="1" t="s">
        <v>3329</v>
      </c>
      <c r="L623" s="1" t="s">
        <v>7</v>
      </c>
      <c r="M623" s="1" t="s">
        <v>8</v>
      </c>
      <c r="N623" s="1" t="s">
        <v>3330</v>
      </c>
      <c r="O623" s="1" t="s">
        <v>2160</v>
      </c>
      <c r="P623" s="1"/>
      <c r="Q623" s="1"/>
      <c r="R623" s="1" t="s">
        <v>11</v>
      </c>
      <c r="S623" s="1"/>
      <c r="T623" s="1"/>
      <c r="U623" s="1"/>
      <c r="V623" s="1"/>
      <c r="W623" s="1"/>
      <c r="X623" s="1" t="s">
        <v>3331</v>
      </c>
      <c r="Y623" s="1"/>
      <c r="Z623" s="1"/>
      <c r="AA623" s="1"/>
      <c r="AB623" s="1" t="s">
        <v>3332</v>
      </c>
      <c r="AC623" s="1"/>
      <c r="AD623" s="1"/>
      <c r="AE623" s="1"/>
      <c r="AF623" s="1"/>
      <c r="AG623" s="1"/>
      <c r="AH623" s="1" t="s">
        <v>3333</v>
      </c>
      <c r="AI623" s="1"/>
      <c r="AJ623" s="1" t="s">
        <v>3334</v>
      </c>
      <c r="AK623" s="1" t="s">
        <v>3335</v>
      </c>
      <c r="AL623" s="1"/>
      <c r="AM623" s="1" t="s">
        <v>1225</v>
      </c>
      <c r="AN623" s="1" t="s">
        <v>3335</v>
      </c>
      <c r="AO623" s="1" t="s">
        <v>1227</v>
      </c>
      <c r="AP623" s="2" t="s">
        <v>3336</v>
      </c>
      <c r="AQ623" s="2" t="s">
        <v>1154</v>
      </c>
      <c r="AR623" s="1"/>
      <c r="AS623" s="1"/>
      <c r="AT623" s="1" t="s">
        <v>5</v>
      </c>
    </row>
    <row r="624" spans="1:46" hidden="1" x14ac:dyDescent="0.4">
      <c r="A624" s="1" t="s">
        <v>6971</v>
      </c>
      <c r="B624" s="10"/>
      <c r="C624" s="1" t="s">
        <v>0</v>
      </c>
      <c r="D624" s="1" t="s">
        <v>2157</v>
      </c>
      <c r="E624" s="1" t="s">
        <v>2078</v>
      </c>
      <c r="F624" s="1" t="s">
        <v>14</v>
      </c>
      <c r="G624" s="1" t="s">
        <v>1</v>
      </c>
      <c r="H624" s="1" t="s">
        <v>6</v>
      </c>
      <c r="I624" s="1" t="s">
        <v>2</v>
      </c>
      <c r="J624" s="1" t="s">
        <v>3</v>
      </c>
      <c r="K624" s="1" t="s">
        <v>6972</v>
      </c>
      <c r="L624" s="1" t="s">
        <v>7</v>
      </c>
      <c r="M624" s="1" t="s">
        <v>9</v>
      </c>
      <c r="N624" s="1" t="s">
        <v>6973</v>
      </c>
      <c r="O624" s="1" t="s">
        <v>2160</v>
      </c>
      <c r="P624" s="1"/>
      <c r="Q624" s="1"/>
      <c r="R624" s="1" t="s">
        <v>11</v>
      </c>
      <c r="S624" s="1"/>
      <c r="T624" s="1"/>
      <c r="U624" s="1"/>
      <c r="V624" s="1"/>
      <c r="W624" s="1"/>
      <c r="X624" s="1"/>
      <c r="Y624" s="1"/>
      <c r="Z624" s="1"/>
      <c r="AA624" s="1"/>
      <c r="AB624" s="1" t="s">
        <v>6974</v>
      </c>
      <c r="AC624" s="1"/>
      <c r="AD624" s="1"/>
      <c r="AE624" s="1" t="s">
        <v>6975</v>
      </c>
      <c r="AF624" s="1"/>
      <c r="AG624" s="1"/>
      <c r="AH624" s="1" t="s">
        <v>6976</v>
      </c>
      <c r="AI624" s="1"/>
      <c r="AJ624" s="1" t="s">
        <v>363</v>
      </c>
      <c r="AK624" s="1" t="s">
        <v>517</v>
      </c>
      <c r="AL624" s="1" t="s">
        <v>364</v>
      </c>
      <c r="AM624" s="1" t="s">
        <v>6977</v>
      </c>
      <c r="AN624" s="1" t="s">
        <v>517</v>
      </c>
      <c r="AO624" s="1" t="s">
        <v>6978</v>
      </c>
      <c r="AP624" s="2" t="s">
        <v>6979</v>
      </c>
      <c r="AQ624" s="2" t="s">
        <v>1077</v>
      </c>
      <c r="AR624" s="1" t="s">
        <v>286</v>
      </c>
      <c r="AS624" s="1"/>
      <c r="AT624" s="1" t="s">
        <v>5</v>
      </c>
    </row>
    <row r="625" spans="1:46" hidden="1" x14ac:dyDescent="0.4">
      <c r="A625" s="1" t="s">
        <v>5277</v>
      </c>
      <c r="B625" s="10"/>
      <c r="C625" s="1" t="s">
        <v>93</v>
      </c>
      <c r="D625" s="1" t="s">
        <v>2157</v>
      </c>
      <c r="E625" s="1" t="s">
        <v>2078</v>
      </c>
      <c r="F625" s="1" t="s">
        <v>14</v>
      </c>
      <c r="G625" s="1" t="s">
        <v>1</v>
      </c>
      <c r="H625" s="1" t="s">
        <v>6</v>
      </c>
      <c r="I625" s="1" t="s">
        <v>2</v>
      </c>
      <c r="J625" s="1" t="s">
        <v>3</v>
      </c>
      <c r="K625" s="1" t="s">
        <v>5278</v>
      </c>
      <c r="L625" s="1" t="s">
        <v>7</v>
      </c>
      <c r="M625" s="1"/>
      <c r="N625" s="1" t="s">
        <v>5279</v>
      </c>
      <c r="O625" s="1" t="s">
        <v>2479</v>
      </c>
      <c r="P625" s="1"/>
      <c r="Q625" s="1"/>
      <c r="R625" s="1" t="s">
        <v>11</v>
      </c>
      <c r="S625" s="1"/>
      <c r="T625" s="1"/>
      <c r="U625" s="1"/>
      <c r="V625" s="1"/>
      <c r="W625" s="1"/>
      <c r="X625" s="1" t="s">
        <v>5280</v>
      </c>
      <c r="Y625" s="1"/>
      <c r="Z625" s="1"/>
      <c r="AA625" s="1"/>
      <c r="AB625" s="1" t="s">
        <v>5281</v>
      </c>
      <c r="AC625" s="1"/>
      <c r="AD625" s="1"/>
      <c r="AE625" s="1" t="s">
        <v>5282</v>
      </c>
      <c r="AF625" s="1"/>
      <c r="AG625" s="1"/>
      <c r="AH625" s="1"/>
      <c r="AI625" s="1"/>
      <c r="AJ625" s="1" t="s">
        <v>5259</v>
      </c>
      <c r="AK625" s="1" t="s">
        <v>5260</v>
      </c>
      <c r="AL625" s="1" t="s">
        <v>5261</v>
      </c>
      <c r="AM625" s="1" t="s">
        <v>5259</v>
      </c>
      <c r="AN625" s="1" t="s">
        <v>5260</v>
      </c>
      <c r="AO625" s="1" t="s">
        <v>5261</v>
      </c>
      <c r="AP625" s="2" t="s">
        <v>5283</v>
      </c>
      <c r="AQ625" s="2" t="s">
        <v>1077</v>
      </c>
      <c r="AR625" s="1" t="s">
        <v>286</v>
      </c>
      <c r="AS625" s="1" t="s">
        <v>5263</v>
      </c>
      <c r="AT625" s="1" t="s">
        <v>5</v>
      </c>
    </row>
    <row r="626" spans="1:46" hidden="1" x14ac:dyDescent="0.4">
      <c r="A626" s="1" t="s">
        <v>6704</v>
      </c>
      <c r="B626" s="10"/>
      <c r="C626" s="1" t="s">
        <v>6443</v>
      </c>
      <c r="D626" s="1" t="s">
        <v>2157</v>
      </c>
      <c r="E626" s="1" t="s">
        <v>2078</v>
      </c>
      <c r="F626" s="1" t="s">
        <v>14</v>
      </c>
      <c r="G626" s="1" t="s">
        <v>1</v>
      </c>
      <c r="H626" s="1" t="s">
        <v>6</v>
      </c>
      <c r="I626" s="1" t="s">
        <v>2</v>
      </c>
      <c r="J626" s="1" t="s">
        <v>3</v>
      </c>
      <c r="K626" s="1" t="s">
        <v>6705</v>
      </c>
      <c r="L626" s="1" t="s">
        <v>7</v>
      </c>
      <c r="M626" s="1"/>
      <c r="N626" s="1" t="s">
        <v>6706</v>
      </c>
      <c r="O626" s="1" t="s">
        <v>6707</v>
      </c>
      <c r="P626" s="1"/>
      <c r="Q626" s="1"/>
      <c r="R626" s="1" t="s">
        <v>11</v>
      </c>
      <c r="S626" s="1"/>
      <c r="T626" s="1"/>
      <c r="U626" s="1"/>
      <c r="V626" s="1"/>
      <c r="W626" s="1"/>
      <c r="X626" s="1"/>
      <c r="Y626" s="1"/>
      <c r="Z626" s="1"/>
      <c r="AA626" s="1"/>
      <c r="AB626" s="1" t="s">
        <v>6708</v>
      </c>
      <c r="AC626" s="1"/>
      <c r="AD626" s="1"/>
      <c r="AE626" s="1" t="s">
        <v>6709</v>
      </c>
      <c r="AF626" s="1"/>
      <c r="AG626" s="1"/>
      <c r="AH626" s="1" t="s">
        <v>6710</v>
      </c>
      <c r="AI626" s="1"/>
      <c r="AJ626" s="1" t="s">
        <v>6451</v>
      </c>
      <c r="AK626" s="1" t="s">
        <v>6452</v>
      </c>
      <c r="AL626" s="1" t="s">
        <v>6453</v>
      </c>
      <c r="AM626" s="1" t="s">
        <v>6451</v>
      </c>
      <c r="AN626" s="1" t="s">
        <v>6452</v>
      </c>
      <c r="AO626" s="1" t="s">
        <v>6453</v>
      </c>
      <c r="AP626" s="2" t="s">
        <v>6711</v>
      </c>
      <c r="AQ626" s="2" t="s">
        <v>1077</v>
      </c>
      <c r="AR626" s="1" t="s">
        <v>287</v>
      </c>
      <c r="AS626" s="1"/>
      <c r="AT626" s="1" t="s">
        <v>5</v>
      </c>
    </row>
    <row r="627" spans="1:46" hidden="1" x14ac:dyDescent="0.4">
      <c r="A627" s="1" t="s">
        <v>3533</v>
      </c>
      <c r="B627" s="10"/>
      <c r="C627" s="1" t="s">
        <v>0</v>
      </c>
      <c r="D627" s="1" t="s">
        <v>2220</v>
      </c>
      <c r="E627" s="1" t="s">
        <v>2078</v>
      </c>
      <c r="F627" s="1" t="s">
        <v>14</v>
      </c>
      <c r="G627" s="1" t="s">
        <v>1</v>
      </c>
      <c r="H627" s="1" t="s">
        <v>6</v>
      </c>
      <c r="I627" s="1" t="s">
        <v>2</v>
      </c>
      <c r="J627" s="1" t="s">
        <v>3</v>
      </c>
      <c r="K627" s="1" t="s">
        <v>3534</v>
      </c>
      <c r="L627" s="1" t="s">
        <v>7</v>
      </c>
      <c r="M627" s="1" t="s">
        <v>9</v>
      </c>
      <c r="N627" s="1" t="s">
        <v>3535</v>
      </c>
      <c r="O627" s="1" t="s">
        <v>3536</v>
      </c>
      <c r="P627" s="1"/>
      <c r="Q627" s="1"/>
      <c r="R627" s="1" t="s">
        <v>11</v>
      </c>
      <c r="S627" s="1"/>
      <c r="T627" s="1"/>
      <c r="U627" s="1"/>
      <c r="V627" s="1"/>
      <c r="W627" s="1" t="s">
        <v>3537</v>
      </c>
      <c r="X627" s="1" t="s">
        <v>3538</v>
      </c>
      <c r="Y627" s="1"/>
      <c r="Z627" s="1"/>
      <c r="AA627" s="1"/>
      <c r="AB627" s="1" t="s">
        <v>3539</v>
      </c>
      <c r="AC627" s="1"/>
      <c r="AD627" s="1"/>
      <c r="AE627" s="1" t="s">
        <v>3540</v>
      </c>
      <c r="AF627" s="1"/>
      <c r="AG627" s="1"/>
      <c r="AH627" s="1" t="s">
        <v>3541</v>
      </c>
      <c r="AI627" s="1"/>
      <c r="AJ627" s="1" t="s">
        <v>3542</v>
      </c>
      <c r="AK627" s="1" t="s">
        <v>1683</v>
      </c>
      <c r="AL627" s="1"/>
      <c r="AM627" s="1" t="s">
        <v>3543</v>
      </c>
      <c r="AN627" s="1" t="s">
        <v>1683</v>
      </c>
      <c r="AO627" s="1" t="s">
        <v>3544</v>
      </c>
      <c r="AP627" s="2" t="s">
        <v>3545</v>
      </c>
      <c r="AQ627" s="2" t="s">
        <v>1154</v>
      </c>
      <c r="AR627" s="1" t="s">
        <v>286</v>
      </c>
      <c r="AS627" s="1"/>
      <c r="AT627" s="1" t="s">
        <v>5</v>
      </c>
    </row>
    <row r="628" spans="1:46" hidden="1" x14ac:dyDescent="0.4">
      <c r="A628" s="1" t="s">
        <v>3795</v>
      </c>
      <c r="B628" s="10"/>
      <c r="C628" s="1" t="s">
        <v>0</v>
      </c>
      <c r="D628" s="1" t="s">
        <v>3381</v>
      </c>
      <c r="E628" s="1" t="s">
        <v>2291</v>
      </c>
      <c r="F628" s="1" t="s">
        <v>3382</v>
      </c>
      <c r="G628" s="1" t="s">
        <v>1</v>
      </c>
      <c r="H628" s="1" t="s">
        <v>6</v>
      </c>
      <c r="I628" s="1" t="s">
        <v>2</v>
      </c>
      <c r="J628" s="1" t="s">
        <v>3</v>
      </c>
      <c r="K628" s="1" t="s">
        <v>3796</v>
      </c>
      <c r="L628" s="1" t="s">
        <v>4</v>
      </c>
      <c r="M628" s="1" t="s">
        <v>9</v>
      </c>
      <c r="N628" s="1" t="s">
        <v>3797</v>
      </c>
      <c r="O628" s="1" t="s">
        <v>3798</v>
      </c>
      <c r="P628" s="1"/>
      <c r="Q628" s="1"/>
      <c r="R628" s="1" t="s">
        <v>11</v>
      </c>
      <c r="S628" s="1"/>
      <c r="T628" s="1"/>
      <c r="U628" s="1"/>
      <c r="V628" s="1"/>
      <c r="W628" s="1" t="s">
        <v>3799</v>
      </c>
      <c r="X628" s="1" t="s">
        <v>3800</v>
      </c>
      <c r="Y628" s="1"/>
      <c r="Z628" s="1"/>
      <c r="AA628" s="1"/>
      <c r="AB628" s="1" t="s">
        <v>3801</v>
      </c>
      <c r="AC628" s="1"/>
      <c r="AD628" s="1"/>
      <c r="AE628" s="1" t="s">
        <v>3802</v>
      </c>
      <c r="AF628" s="1"/>
      <c r="AG628" s="1"/>
      <c r="AH628" s="1" t="s">
        <v>3803</v>
      </c>
      <c r="AI628" s="1"/>
      <c r="AJ628" s="1" t="s">
        <v>3804</v>
      </c>
      <c r="AK628" s="1" t="s">
        <v>3805</v>
      </c>
      <c r="AL628" s="1"/>
      <c r="AM628" s="1" t="s">
        <v>3804</v>
      </c>
      <c r="AN628" s="1" t="s">
        <v>3805</v>
      </c>
      <c r="AO628" s="1"/>
      <c r="AP628" s="2" t="s">
        <v>3806</v>
      </c>
      <c r="AQ628" s="2" t="s">
        <v>1153</v>
      </c>
      <c r="AR628" s="1" t="s">
        <v>287</v>
      </c>
      <c r="AS628" s="1"/>
      <c r="AT628" s="1" t="s">
        <v>5</v>
      </c>
    </row>
    <row r="629" spans="1:46" hidden="1" x14ac:dyDescent="0.4">
      <c r="A629" s="1" t="s">
        <v>10877</v>
      </c>
      <c r="B629" s="10"/>
      <c r="C629" s="1" t="s">
        <v>10878</v>
      </c>
      <c r="D629" s="1" t="s">
        <v>2157</v>
      </c>
      <c r="E629" s="1" t="s">
        <v>2078</v>
      </c>
      <c r="F629" s="1" t="s">
        <v>14</v>
      </c>
      <c r="G629" s="1" t="s">
        <v>1</v>
      </c>
      <c r="H629" s="1" t="s">
        <v>6</v>
      </c>
      <c r="I629" s="1" t="s">
        <v>2</v>
      </c>
      <c r="J629" s="1" t="s">
        <v>2450</v>
      </c>
      <c r="K629" s="1" t="s">
        <v>10879</v>
      </c>
      <c r="L629" s="1" t="s">
        <v>7</v>
      </c>
      <c r="M629" s="1"/>
      <c r="N629" s="1" t="s">
        <v>10880</v>
      </c>
      <c r="O629" s="1" t="s">
        <v>10881</v>
      </c>
      <c r="P629" s="1"/>
      <c r="Q629" s="1"/>
      <c r="R629" s="1" t="s">
        <v>11</v>
      </c>
      <c r="S629" s="1"/>
      <c r="T629" s="1"/>
      <c r="U629" s="1"/>
      <c r="V629" s="1"/>
      <c r="W629" s="1"/>
      <c r="X629" s="1"/>
      <c r="Y629" s="1"/>
      <c r="Z629" s="1"/>
      <c r="AA629" s="1"/>
      <c r="AB629" s="1" t="s">
        <v>10882</v>
      </c>
      <c r="AC629" s="1"/>
      <c r="AD629" s="1"/>
      <c r="AE629" s="1" t="s">
        <v>10883</v>
      </c>
      <c r="AF629" s="1"/>
      <c r="AG629" s="1"/>
      <c r="AH629" s="1" t="s">
        <v>10884</v>
      </c>
      <c r="AI629" s="1"/>
      <c r="AJ629" s="1" t="s">
        <v>10885</v>
      </c>
      <c r="AK629" s="1" t="s">
        <v>10886</v>
      </c>
      <c r="AL629" s="1" t="s">
        <v>10887</v>
      </c>
      <c r="AM629" s="1" t="s">
        <v>10885</v>
      </c>
      <c r="AN629" s="1" t="s">
        <v>10886</v>
      </c>
      <c r="AO629" s="1" t="s">
        <v>10887</v>
      </c>
      <c r="AP629" s="2" t="s">
        <v>10888</v>
      </c>
      <c r="AQ629" s="2" t="s">
        <v>1155</v>
      </c>
      <c r="AR629" s="1" t="s">
        <v>286</v>
      </c>
      <c r="AS629" s="1"/>
      <c r="AT629" s="1" t="s">
        <v>5</v>
      </c>
    </row>
    <row r="630" spans="1:46" hidden="1" x14ac:dyDescent="0.4">
      <c r="A630" s="1" t="s">
        <v>2107</v>
      </c>
      <c r="B630" s="10"/>
      <c r="C630" s="1" t="s">
        <v>0</v>
      </c>
      <c r="D630" s="1" t="s">
        <v>2076</v>
      </c>
      <c r="E630" s="1" t="s">
        <v>2078</v>
      </c>
      <c r="F630" s="1" t="s">
        <v>14</v>
      </c>
      <c r="G630" s="1" t="s">
        <v>1</v>
      </c>
      <c r="H630" s="1" t="s">
        <v>6</v>
      </c>
      <c r="I630" s="1" t="s">
        <v>2</v>
      </c>
      <c r="J630" s="1" t="s">
        <v>3</v>
      </c>
      <c r="K630" s="1" t="s">
        <v>2108</v>
      </c>
      <c r="L630" s="1" t="s">
        <v>7</v>
      </c>
      <c r="M630" s="1" t="s">
        <v>9</v>
      </c>
      <c r="N630" s="1" t="s">
        <v>10422</v>
      </c>
      <c r="O630" s="1" t="s">
        <v>10415</v>
      </c>
      <c r="P630" s="1"/>
      <c r="Q630" s="1"/>
      <c r="R630" s="1" t="s">
        <v>11</v>
      </c>
      <c r="S630" s="1"/>
      <c r="T630" s="1"/>
      <c r="U630" s="1"/>
      <c r="V630" s="1"/>
      <c r="W630" s="1" t="s">
        <v>10423</v>
      </c>
      <c r="X630" s="1"/>
      <c r="Y630" s="1"/>
      <c r="Z630" s="1"/>
      <c r="AA630" s="1"/>
      <c r="AB630" s="1" t="s">
        <v>10424</v>
      </c>
      <c r="AC630" s="1"/>
      <c r="AD630" s="1"/>
      <c r="AE630" s="1" t="s">
        <v>2109</v>
      </c>
      <c r="AF630" s="1"/>
      <c r="AG630" s="1"/>
      <c r="AH630" s="1" t="s">
        <v>10425</v>
      </c>
      <c r="AI630" s="1"/>
      <c r="AJ630" s="1" t="s">
        <v>1835</v>
      </c>
      <c r="AK630" s="1" t="s">
        <v>1836</v>
      </c>
      <c r="AL630" s="1" t="s">
        <v>1837</v>
      </c>
      <c r="AM630" s="1" t="s">
        <v>10419</v>
      </c>
      <c r="AN630" s="1" t="s">
        <v>1839</v>
      </c>
      <c r="AO630" s="1" t="s">
        <v>10420</v>
      </c>
      <c r="AP630" s="2" t="s">
        <v>10426</v>
      </c>
      <c r="AQ630" s="2" t="s">
        <v>1155</v>
      </c>
      <c r="AR630" s="1" t="s">
        <v>286</v>
      </c>
      <c r="AS630" s="1" t="s">
        <v>10427</v>
      </c>
      <c r="AT630" s="1" t="s">
        <v>5</v>
      </c>
    </row>
    <row r="631" spans="1:46" hidden="1" x14ac:dyDescent="0.4">
      <c r="A631" s="1" t="s">
        <v>9215</v>
      </c>
      <c r="B631" s="10"/>
      <c r="C631" s="1" t="s">
        <v>93</v>
      </c>
      <c r="D631" s="1" t="s">
        <v>2827</v>
      </c>
      <c r="E631" s="1" t="s">
        <v>2078</v>
      </c>
      <c r="F631" s="1" t="s">
        <v>14</v>
      </c>
      <c r="G631" s="1" t="s">
        <v>1</v>
      </c>
      <c r="H631" s="1" t="s">
        <v>6</v>
      </c>
      <c r="I631" s="1" t="s">
        <v>2</v>
      </c>
      <c r="J631" s="1" t="s">
        <v>3</v>
      </c>
      <c r="K631" s="1" t="s">
        <v>9216</v>
      </c>
      <c r="L631" s="1" t="s">
        <v>7</v>
      </c>
      <c r="M631" s="1"/>
      <c r="N631" s="1" t="s">
        <v>9217</v>
      </c>
      <c r="O631" s="1" t="s">
        <v>9218</v>
      </c>
      <c r="P631" s="1"/>
      <c r="Q631" s="1"/>
      <c r="R631" s="1" t="s">
        <v>11</v>
      </c>
      <c r="S631" s="1"/>
      <c r="T631" s="1"/>
      <c r="U631" s="1"/>
      <c r="V631" s="1"/>
      <c r="W631" s="1"/>
      <c r="X631" s="1" t="s">
        <v>9219</v>
      </c>
      <c r="Y631" s="1"/>
      <c r="Z631" s="1"/>
      <c r="AA631" s="1"/>
      <c r="AB631" s="1" t="s">
        <v>9220</v>
      </c>
      <c r="AC631" s="1"/>
      <c r="AD631" s="1"/>
      <c r="AE631" s="1" t="s">
        <v>9221</v>
      </c>
      <c r="AF631" s="1"/>
      <c r="AG631" s="1"/>
      <c r="AH631" s="1" t="s">
        <v>9222</v>
      </c>
      <c r="AI631" s="1"/>
      <c r="AJ631" s="1" t="s">
        <v>9087</v>
      </c>
      <c r="AK631" s="1" t="s">
        <v>3947</v>
      </c>
      <c r="AL631" s="1" t="s">
        <v>9088</v>
      </c>
      <c r="AM631" s="1" t="s">
        <v>9087</v>
      </c>
      <c r="AN631" s="1" t="s">
        <v>3947</v>
      </c>
      <c r="AO631" s="1" t="s">
        <v>9088</v>
      </c>
      <c r="AP631" s="2" t="s">
        <v>9223</v>
      </c>
      <c r="AQ631" s="2" t="s">
        <v>1154</v>
      </c>
      <c r="AR631" s="1" t="s">
        <v>286</v>
      </c>
      <c r="AS631" s="1"/>
      <c r="AT631" s="1" t="s">
        <v>5</v>
      </c>
    </row>
    <row r="632" spans="1:46" hidden="1" x14ac:dyDescent="0.4">
      <c r="A632" s="1" t="s">
        <v>10838</v>
      </c>
      <c r="B632" s="10"/>
      <c r="C632" s="1" t="s">
        <v>0</v>
      </c>
      <c r="D632" s="1" t="s">
        <v>2827</v>
      </c>
      <c r="E632" s="1" t="s">
        <v>2078</v>
      </c>
      <c r="F632" s="1" t="s">
        <v>14</v>
      </c>
      <c r="G632" s="1" t="s">
        <v>1</v>
      </c>
      <c r="H632" s="1" t="s">
        <v>6</v>
      </c>
      <c r="I632" s="1" t="s">
        <v>2</v>
      </c>
      <c r="J632" s="1" t="s">
        <v>3</v>
      </c>
      <c r="K632" s="1" t="s">
        <v>10839</v>
      </c>
      <c r="L632" s="1" t="s">
        <v>4</v>
      </c>
      <c r="M632" s="1" t="s">
        <v>9</v>
      </c>
      <c r="N632" s="1" t="s">
        <v>10840</v>
      </c>
      <c r="O632" s="1" t="s">
        <v>2399</v>
      </c>
      <c r="P632" s="1"/>
      <c r="Q632" s="1"/>
      <c r="R632" s="1" t="s">
        <v>11</v>
      </c>
      <c r="S632" s="1"/>
      <c r="T632" s="1"/>
      <c r="U632" s="1"/>
      <c r="V632" s="1"/>
      <c r="W632" s="1"/>
      <c r="X632" s="1" t="s">
        <v>10841</v>
      </c>
      <c r="Y632" s="1"/>
      <c r="Z632" s="1"/>
      <c r="AA632" s="1"/>
      <c r="AB632" s="1" t="s">
        <v>10842</v>
      </c>
      <c r="AC632" s="1"/>
      <c r="AD632" s="1"/>
      <c r="AE632" s="1" t="s">
        <v>10843</v>
      </c>
      <c r="AF632" s="1"/>
      <c r="AG632" s="1"/>
      <c r="AH632" s="1" t="s">
        <v>10844</v>
      </c>
      <c r="AI632" s="1"/>
      <c r="AJ632" s="1" t="s">
        <v>59</v>
      </c>
      <c r="AK632" s="1" t="s">
        <v>598</v>
      </c>
      <c r="AL632" s="1" t="s">
        <v>126</v>
      </c>
      <c r="AM632" s="1" t="s">
        <v>10845</v>
      </c>
      <c r="AN632" s="1" t="s">
        <v>598</v>
      </c>
      <c r="AO632" s="1" t="s">
        <v>10846</v>
      </c>
      <c r="AP632" s="2" t="s">
        <v>10847</v>
      </c>
      <c r="AQ632" s="2" t="s">
        <v>1155</v>
      </c>
      <c r="AR632" s="1" t="s">
        <v>286</v>
      </c>
      <c r="AS632" s="1" t="s">
        <v>10848</v>
      </c>
      <c r="AT632" s="1" t="s">
        <v>5</v>
      </c>
    </row>
    <row r="633" spans="1:46" hidden="1" x14ac:dyDescent="0.4">
      <c r="A633" s="1" t="s">
        <v>5918</v>
      </c>
      <c r="B633" s="10"/>
      <c r="C633" s="1" t="s">
        <v>2841</v>
      </c>
      <c r="D633" s="1" t="s">
        <v>2211</v>
      </c>
      <c r="E633" s="1" t="s">
        <v>2078</v>
      </c>
      <c r="F633" s="1" t="s">
        <v>14</v>
      </c>
      <c r="G633" s="1" t="s">
        <v>1</v>
      </c>
      <c r="H633" s="1" t="s">
        <v>6</v>
      </c>
      <c r="I633" s="1" t="s">
        <v>2</v>
      </c>
      <c r="J633" s="1" t="s">
        <v>2842</v>
      </c>
      <c r="K633" s="1" t="s">
        <v>5919</v>
      </c>
      <c r="L633" s="1" t="s">
        <v>7</v>
      </c>
      <c r="M633" s="1"/>
      <c r="N633" s="1" t="s">
        <v>5920</v>
      </c>
      <c r="O633" s="1" t="s">
        <v>5921</v>
      </c>
      <c r="P633" s="1" t="s">
        <v>5922</v>
      </c>
      <c r="Q633" s="1"/>
      <c r="R633" s="1" t="s">
        <v>11</v>
      </c>
      <c r="S633" s="1"/>
      <c r="T633" s="1"/>
      <c r="U633" s="1"/>
      <c r="V633" s="1"/>
      <c r="W633" s="1" t="s">
        <v>5923</v>
      </c>
      <c r="X633" s="1"/>
      <c r="Y633" s="1"/>
      <c r="Z633" s="1"/>
      <c r="AA633" s="1"/>
      <c r="AB633" s="1" t="s">
        <v>5924</v>
      </c>
      <c r="AC633" s="1"/>
      <c r="AD633" s="1"/>
      <c r="AE633" s="1" t="s">
        <v>5925</v>
      </c>
      <c r="AF633" s="1"/>
      <c r="AG633" s="1"/>
      <c r="AH633" s="1" t="s">
        <v>5926</v>
      </c>
      <c r="AI633" s="1"/>
      <c r="AJ633" s="1" t="s">
        <v>4327</v>
      </c>
      <c r="AK633" s="1" t="s">
        <v>3471</v>
      </c>
      <c r="AL633" s="1" t="s">
        <v>4328</v>
      </c>
      <c r="AM633" s="1" t="s">
        <v>4327</v>
      </c>
      <c r="AN633" s="1" t="s">
        <v>3471</v>
      </c>
      <c r="AO633" s="1" t="s">
        <v>4328</v>
      </c>
      <c r="AP633" s="2" t="s">
        <v>5927</v>
      </c>
      <c r="AQ633" s="2" t="s">
        <v>1077</v>
      </c>
      <c r="AR633" s="1" t="s">
        <v>286</v>
      </c>
      <c r="AS633" s="1"/>
      <c r="AT633" s="1" t="s">
        <v>5</v>
      </c>
    </row>
    <row r="634" spans="1:46" hidden="1" x14ac:dyDescent="0.4">
      <c r="A634" s="1" t="s">
        <v>2113</v>
      </c>
      <c r="B634" s="10"/>
      <c r="C634" s="1" t="s">
        <v>0</v>
      </c>
      <c r="D634" s="1" t="s">
        <v>2076</v>
      </c>
      <c r="E634" s="1" t="s">
        <v>2078</v>
      </c>
      <c r="F634" s="1" t="s">
        <v>14</v>
      </c>
      <c r="G634" s="1" t="s">
        <v>1</v>
      </c>
      <c r="H634" s="1" t="s">
        <v>6</v>
      </c>
      <c r="I634" s="1" t="s">
        <v>2</v>
      </c>
      <c r="J634" s="1" t="s">
        <v>3</v>
      </c>
      <c r="K634" s="1" t="s">
        <v>2114</v>
      </c>
      <c r="L634" s="1" t="s">
        <v>4</v>
      </c>
      <c r="M634" s="1"/>
      <c r="N634" s="1" t="s">
        <v>11168</v>
      </c>
      <c r="O634" s="1" t="s">
        <v>3399</v>
      </c>
      <c r="P634" s="1"/>
      <c r="Q634" s="1"/>
      <c r="R634" s="1" t="s">
        <v>11</v>
      </c>
      <c r="S634" s="1"/>
      <c r="T634" s="1"/>
      <c r="U634" s="1"/>
      <c r="V634" s="1"/>
      <c r="W634" s="1"/>
      <c r="X634" s="1"/>
      <c r="Y634" s="1"/>
      <c r="Z634" s="1"/>
      <c r="AA634" s="1"/>
      <c r="AB634" s="1" t="s">
        <v>11169</v>
      </c>
      <c r="AC634" s="1"/>
      <c r="AD634" s="1"/>
      <c r="AE634" s="1" t="s">
        <v>2116</v>
      </c>
      <c r="AF634" s="1"/>
      <c r="AG634" s="1"/>
      <c r="AH634" s="1" t="s">
        <v>11170</v>
      </c>
      <c r="AI634" s="1"/>
      <c r="AJ634" s="1" t="s">
        <v>2115</v>
      </c>
      <c r="AK634" s="1" t="s">
        <v>4227</v>
      </c>
      <c r="AL634" s="1" t="s">
        <v>7234</v>
      </c>
      <c r="AM634" s="1" t="s">
        <v>11171</v>
      </c>
      <c r="AN634" s="1" t="s">
        <v>4227</v>
      </c>
      <c r="AO634" s="1" t="s">
        <v>11172</v>
      </c>
      <c r="AP634" s="2" t="s">
        <v>11173</v>
      </c>
      <c r="AQ634" s="2" t="s">
        <v>1155</v>
      </c>
      <c r="AR634" s="1" t="s">
        <v>286</v>
      </c>
      <c r="AS634" s="1" t="s">
        <v>1882</v>
      </c>
      <c r="AT634" s="1" t="s">
        <v>5</v>
      </c>
    </row>
    <row r="635" spans="1:46" hidden="1" x14ac:dyDescent="0.4">
      <c r="A635" s="1" t="s">
        <v>4365</v>
      </c>
      <c r="B635" s="10"/>
      <c r="C635" s="1" t="s">
        <v>0</v>
      </c>
      <c r="D635" s="1" t="s">
        <v>2396</v>
      </c>
      <c r="E635" s="1" t="s">
        <v>2078</v>
      </c>
      <c r="F635" s="1" t="s">
        <v>14</v>
      </c>
      <c r="G635" s="1" t="s">
        <v>1</v>
      </c>
      <c r="H635" s="1" t="s">
        <v>6</v>
      </c>
      <c r="I635" s="1" t="s">
        <v>2</v>
      </c>
      <c r="J635" s="1" t="s">
        <v>3</v>
      </c>
      <c r="K635" s="1" t="s">
        <v>4366</v>
      </c>
      <c r="L635" s="1" t="s">
        <v>7</v>
      </c>
      <c r="M635" s="1" t="s">
        <v>9</v>
      </c>
      <c r="N635" s="1" t="s">
        <v>4367</v>
      </c>
      <c r="O635" s="1" t="s">
        <v>4368</v>
      </c>
      <c r="P635" s="1"/>
      <c r="Q635" s="1"/>
      <c r="R635" s="1" t="s">
        <v>11</v>
      </c>
      <c r="S635" s="1"/>
      <c r="T635" s="1"/>
      <c r="U635" s="1"/>
      <c r="V635" s="1"/>
      <c r="W635" s="1" t="s">
        <v>4369</v>
      </c>
      <c r="X635" s="1"/>
      <c r="Y635" s="1"/>
      <c r="Z635" s="1"/>
      <c r="AA635" s="1"/>
      <c r="AB635" s="1" t="s">
        <v>4370</v>
      </c>
      <c r="AC635" s="1"/>
      <c r="AD635" s="1"/>
      <c r="AE635" s="1" t="s">
        <v>4371</v>
      </c>
      <c r="AF635" s="1"/>
      <c r="AG635" s="1"/>
      <c r="AH635" s="1" t="s">
        <v>4372</v>
      </c>
      <c r="AI635" s="1"/>
      <c r="AJ635" s="1" t="s">
        <v>4373</v>
      </c>
      <c r="AK635" s="1" t="s">
        <v>3452</v>
      </c>
      <c r="AL635" s="1" t="s">
        <v>4374</v>
      </c>
      <c r="AM635" s="1" t="s">
        <v>4375</v>
      </c>
      <c r="AN635" s="1" t="s">
        <v>4376</v>
      </c>
      <c r="AO635" s="1" t="s">
        <v>4377</v>
      </c>
      <c r="AP635" s="2" t="s">
        <v>4378</v>
      </c>
      <c r="AQ635" s="2" t="s">
        <v>1077</v>
      </c>
      <c r="AR635" s="1" t="s">
        <v>286</v>
      </c>
      <c r="AS635" s="1"/>
      <c r="AT635" s="1" t="s">
        <v>5</v>
      </c>
    </row>
    <row r="636" spans="1:46" hidden="1" x14ac:dyDescent="0.4">
      <c r="A636" s="1" t="s">
        <v>8209</v>
      </c>
      <c r="B636" s="10"/>
      <c r="C636" s="1" t="s">
        <v>93</v>
      </c>
      <c r="D636" s="1" t="s">
        <v>2157</v>
      </c>
      <c r="E636" s="1" t="s">
        <v>2078</v>
      </c>
      <c r="F636" s="1" t="s">
        <v>14</v>
      </c>
      <c r="G636" s="1" t="s">
        <v>1</v>
      </c>
      <c r="H636" s="1" t="s">
        <v>6</v>
      </c>
      <c r="I636" s="1" t="s">
        <v>2</v>
      </c>
      <c r="J636" s="1" t="s">
        <v>3</v>
      </c>
      <c r="K636" s="1" t="s">
        <v>8210</v>
      </c>
      <c r="L636" s="1" t="s">
        <v>7</v>
      </c>
      <c r="M636" s="1"/>
      <c r="N636" s="1" t="s">
        <v>8211</v>
      </c>
      <c r="O636" s="1" t="s">
        <v>8212</v>
      </c>
      <c r="P636" s="1"/>
      <c r="Q636" s="1"/>
      <c r="R636" s="1" t="s">
        <v>11</v>
      </c>
      <c r="S636" s="1"/>
      <c r="T636" s="1"/>
      <c r="U636" s="1"/>
      <c r="V636" s="1"/>
      <c r="W636" s="1"/>
      <c r="X636" s="1"/>
      <c r="Y636" s="1"/>
      <c r="Z636" s="1"/>
      <c r="AA636" s="1"/>
      <c r="AB636" s="1" t="s">
        <v>8213</v>
      </c>
      <c r="AC636" s="1"/>
      <c r="AD636" s="1"/>
      <c r="AE636" s="1" t="s">
        <v>8214</v>
      </c>
      <c r="AF636" s="1"/>
      <c r="AG636" s="1"/>
      <c r="AH636" s="1" t="s">
        <v>8215</v>
      </c>
      <c r="AI636" s="1"/>
      <c r="AJ636" s="1" t="s">
        <v>8216</v>
      </c>
      <c r="AK636" s="1" t="s">
        <v>6931</v>
      </c>
      <c r="AL636" s="1" t="s">
        <v>8217</v>
      </c>
      <c r="AM636" s="1" t="s">
        <v>8216</v>
      </c>
      <c r="AN636" s="1" t="s">
        <v>6931</v>
      </c>
      <c r="AO636" s="1" t="s">
        <v>8217</v>
      </c>
      <c r="AP636" s="2" t="s">
        <v>8218</v>
      </c>
      <c r="AQ636" s="2" t="s">
        <v>1154</v>
      </c>
      <c r="AR636" s="1" t="s">
        <v>286</v>
      </c>
      <c r="AS636" s="1" t="s">
        <v>8219</v>
      </c>
      <c r="AT636" s="1" t="s">
        <v>5</v>
      </c>
    </row>
    <row r="637" spans="1:46" hidden="1" x14ac:dyDescent="0.4">
      <c r="A637" s="1" t="s">
        <v>7786</v>
      </c>
      <c r="B637" s="10"/>
      <c r="C637" s="1" t="s">
        <v>0</v>
      </c>
      <c r="D637" s="1" t="s">
        <v>2290</v>
      </c>
      <c r="E637" s="1" t="s">
        <v>2291</v>
      </c>
      <c r="F637" s="1" t="s">
        <v>14</v>
      </c>
      <c r="G637" s="1" t="s">
        <v>1</v>
      </c>
      <c r="H637" s="1" t="s">
        <v>6</v>
      </c>
      <c r="I637" s="1" t="s">
        <v>2</v>
      </c>
      <c r="J637" s="1" t="s">
        <v>3</v>
      </c>
      <c r="K637" s="1" t="s">
        <v>7787</v>
      </c>
      <c r="L637" s="1" t="s">
        <v>7</v>
      </c>
      <c r="M637" s="1" t="s">
        <v>8</v>
      </c>
      <c r="N637" s="1" t="s">
        <v>7788</v>
      </c>
      <c r="O637" s="1" t="s">
        <v>3756</v>
      </c>
      <c r="P637" s="1"/>
      <c r="Q637" s="1"/>
      <c r="R637" s="1" t="s">
        <v>11</v>
      </c>
      <c r="S637" s="1"/>
      <c r="T637" s="1"/>
      <c r="U637" s="1"/>
      <c r="V637" s="1"/>
      <c r="W637" s="1" t="s">
        <v>7789</v>
      </c>
      <c r="X637" s="1"/>
      <c r="Y637" s="1"/>
      <c r="Z637" s="1"/>
      <c r="AA637" s="1"/>
      <c r="AB637" s="1" t="s">
        <v>7790</v>
      </c>
      <c r="AC637" s="1"/>
      <c r="AD637" s="1"/>
      <c r="AE637" s="1" t="s">
        <v>5657</v>
      </c>
      <c r="AF637" s="1"/>
      <c r="AG637" s="1"/>
      <c r="AH637" s="1" t="s">
        <v>7791</v>
      </c>
      <c r="AI637" s="1"/>
      <c r="AJ637" s="1" t="s">
        <v>1431</v>
      </c>
      <c r="AK637" s="1" t="s">
        <v>515</v>
      </c>
      <c r="AL637" s="1" t="s">
        <v>1432</v>
      </c>
      <c r="AM637" s="1" t="s">
        <v>7652</v>
      </c>
      <c r="AN637" s="1" t="s">
        <v>515</v>
      </c>
      <c r="AO637" s="1" t="s">
        <v>7653</v>
      </c>
      <c r="AP637" s="2" t="s">
        <v>7792</v>
      </c>
      <c r="AQ637" s="2" t="s">
        <v>1154</v>
      </c>
      <c r="AR637" s="1" t="s">
        <v>286</v>
      </c>
      <c r="AS637" s="1" t="s">
        <v>7793</v>
      </c>
      <c r="AT637" s="1" t="s">
        <v>5</v>
      </c>
    </row>
    <row r="638" spans="1:46" hidden="1" x14ac:dyDescent="0.4">
      <c r="A638" s="1" t="s">
        <v>5653</v>
      </c>
      <c r="B638" s="10"/>
      <c r="C638" s="1" t="s">
        <v>93</v>
      </c>
      <c r="D638" s="1" t="s">
        <v>2290</v>
      </c>
      <c r="E638" s="1" t="s">
        <v>2291</v>
      </c>
      <c r="F638" s="1" t="s">
        <v>14</v>
      </c>
      <c r="G638" s="1" t="s">
        <v>1</v>
      </c>
      <c r="H638" s="1" t="s">
        <v>6</v>
      </c>
      <c r="I638" s="1" t="s">
        <v>2</v>
      </c>
      <c r="J638" s="1" t="s">
        <v>3</v>
      </c>
      <c r="K638" s="1" t="s">
        <v>5654</v>
      </c>
      <c r="L638" s="1" t="s">
        <v>7</v>
      </c>
      <c r="M638" s="1" t="s">
        <v>9</v>
      </c>
      <c r="N638" s="1" t="s">
        <v>5655</v>
      </c>
      <c r="O638" s="1" t="s">
        <v>3756</v>
      </c>
      <c r="P638" s="1"/>
      <c r="Q638" s="1"/>
      <c r="R638" s="1" t="s">
        <v>11</v>
      </c>
      <c r="S638" s="1"/>
      <c r="T638" s="1"/>
      <c r="U638" s="1"/>
      <c r="V638" s="1"/>
      <c r="W638" s="1"/>
      <c r="X638" s="1"/>
      <c r="Y638" s="1"/>
      <c r="Z638" s="1"/>
      <c r="AA638" s="1"/>
      <c r="AB638" s="1" t="s">
        <v>5656</v>
      </c>
      <c r="AC638" s="1"/>
      <c r="AD638" s="1"/>
      <c r="AE638" s="1" t="s">
        <v>5657</v>
      </c>
      <c r="AF638" s="1"/>
      <c r="AG638" s="1"/>
      <c r="AH638" s="1" t="s">
        <v>5658</v>
      </c>
      <c r="AI638" s="1"/>
      <c r="AJ638" s="1" t="s">
        <v>5631</v>
      </c>
      <c r="AK638" s="1" t="s">
        <v>5632</v>
      </c>
      <c r="AL638" s="1" t="s">
        <v>5633</v>
      </c>
      <c r="AM638" s="1" t="s">
        <v>5631</v>
      </c>
      <c r="AN638" s="1" t="s">
        <v>5632</v>
      </c>
      <c r="AO638" s="1" t="s">
        <v>5633</v>
      </c>
      <c r="AP638" s="2" t="s">
        <v>5659</v>
      </c>
      <c r="AQ638" s="2" t="s">
        <v>1077</v>
      </c>
      <c r="AR638" s="1" t="s">
        <v>286</v>
      </c>
      <c r="AS638" s="1"/>
      <c r="AT638" s="1" t="s">
        <v>5</v>
      </c>
    </row>
    <row r="639" spans="1:46" hidden="1" x14ac:dyDescent="0.4">
      <c r="A639" s="1" t="s">
        <v>10178</v>
      </c>
      <c r="B639" s="10"/>
      <c r="C639" s="1" t="s">
        <v>93</v>
      </c>
      <c r="D639" s="1" t="s">
        <v>2290</v>
      </c>
      <c r="E639" s="1" t="s">
        <v>2291</v>
      </c>
      <c r="F639" s="1" t="s">
        <v>14</v>
      </c>
      <c r="G639" s="1" t="s">
        <v>1</v>
      </c>
      <c r="H639" s="1" t="s">
        <v>6</v>
      </c>
      <c r="I639" s="1" t="s">
        <v>2</v>
      </c>
      <c r="J639" s="1" t="s">
        <v>3</v>
      </c>
      <c r="K639" s="1" t="s">
        <v>10179</v>
      </c>
      <c r="L639" s="1" t="s">
        <v>7</v>
      </c>
      <c r="M639" s="1"/>
      <c r="N639" s="1" t="s">
        <v>10180</v>
      </c>
      <c r="O639" s="1" t="s">
        <v>3756</v>
      </c>
      <c r="P639" s="1"/>
      <c r="Q639" s="1"/>
      <c r="R639" s="1" t="s">
        <v>11</v>
      </c>
      <c r="S639" s="1"/>
      <c r="T639" s="1"/>
      <c r="U639" s="1"/>
      <c r="V639" s="1"/>
      <c r="W639" s="1"/>
      <c r="X639" s="1"/>
      <c r="Y639" s="1"/>
      <c r="Z639" s="1"/>
      <c r="AA639" s="1"/>
      <c r="AB639" s="1" t="s">
        <v>10181</v>
      </c>
      <c r="AC639" s="1"/>
      <c r="AD639" s="1"/>
      <c r="AE639" s="1" t="s">
        <v>10182</v>
      </c>
      <c r="AF639" s="1"/>
      <c r="AG639" s="1"/>
      <c r="AH639" s="1" t="s">
        <v>10183</v>
      </c>
      <c r="AI639" s="1"/>
      <c r="AJ639" s="1" t="s">
        <v>10184</v>
      </c>
      <c r="AK639" s="1" t="s">
        <v>10185</v>
      </c>
      <c r="AL639" s="1" t="s">
        <v>10186</v>
      </c>
      <c r="AM639" s="1" t="s">
        <v>10187</v>
      </c>
      <c r="AN639" s="1" t="s">
        <v>10188</v>
      </c>
      <c r="AO639" s="1" t="s">
        <v>10189</v>
      </c>
      <c r="AP639" s="2" t="s">
        <v>10190</v>
      </c>
      <c r="AQ639" s="2" t="s">
        <v>1155</v>
      </c>
      <c r="AR639" s="1" t="s">
        <v>286</v>
      </c>
      <c r="AS639" s="1" t="s">
        <v>10191</v>
      </c>
      <c r="AT639" s="1" t="s">
        <v>5</v>
      </c>
    </row>
    <row r="640" spans="1:46" hidden="1" x14ac:dyDescent="0.4">
      <c r="A640" s="1" t="s">
        <v>6071</v>
      </c>
      <c r="B640" s="10"/>
      <c r="C640" s="1" t="s">
        <v>93</v>
      </c>
      <c r="D640" s="1" t="s">
        <v>2290</v>
      </c>
      <c r="E640" s="1" t="s">
        <v>2291</v>
      </c>
      <c r="F640" s="1" t="s">
        <v>14</v>
      </c>
      <c r="G640" s="1" t="s">
        <v>1</v>
      </c>
      <c r="H640" s="1" t="s">
        <v>6</v>
      </c>
      <c r="I640" s="1" t="s">
        <v>2</v>
      </c>
      <c r="J640" s="1" t="s">
        <v>3</v>
      </c>
      <c r="K640" s="1" t="s">
        <v>6072</v>
      </c>
      <c r="L640" s="1" t="s">
        <v>7</v>
      </c>
      <c r="M640" s="1" t="s">
        <v>9</v>
      </c>
      <c r="N640" s="1" t="s">
        <v>6073</v>
      </c>
      <c r="O640" s="1" t="s">
        <v>3756</v>
      </c>
      <c r="P640" s="1"/>
      <c r="Q640" s="1"/>
      <c r="R640" s="1" t="s">
        <v>11</v>
      </c>
      <c r="S640" s="1"/>
      <c r="T640" s="1"/>
      <c r="U640" s="1"/>
      <c r="V640" s="1"/>
      <c r="W640" s="1"/>
      <c r="X640" s="1"/>
      <c r="Y640" s="1"/>
      <c r="Z640" s="1"/>
      <c r="AA640" s="1"/>
      <c r="AB640" s="1" t="s">
        <v>6074</v>
      </c>
      <c r="AC640" s="1"/>
      <c r="AD640" s="1"/>
      <c r="AE640" s="1" t="s">
        <v>6075</v>
      </c>
      <c r="AF640" s="1"/>
      <c r="AG640" s="1"/>
      <c r="AH640" s="1" t="s">
        <v>6076</v>
      </c>
      <c r="AI640" s="1"/>
      <c r="AJ640" s="1" t="s">
        <v>5110</v>
      </c>
      <c r="AK640" s="1" t="s">
        <v>5111</v>
      </c>
      <c r="AL640" s="1" t="s">
        <v>5112</v>
      </c>
      <c r="AM640" s="1" t="s">
        <v>5110</v>
      </c>
      <c r="AN640" s="1" t="s">
        <v>5111</v>
      </c>
      <c r="AO640" s="1" t="s">
        <v>5112</v>
      </c>
      <c r="AP640" s="2" t="s">
        <v>6077</v>
      </c>
      <c r="AQ640" s="2" t="s">
        <v>1077</v>
      </c>
      <c r="AR640" s="1" t="s">
        <v>287</v>
      </c>
      <c r="AS640" s="1"/>
      <c r="AT640" s="1" t="s">
        <v>5</v>
      </c>
    </row>
    <row r="641" spans="1:46" hidden="1" x14ac:dyDescent="0.4">
      <c r="A641" s="1" t="s">
        <v>5441</v>
      </c>
      <c r="B641" s="10"/>
      <c r="C641" s="1" t="s">
        <v>5198</v>
      </c>
      <c r="D641" s="1" t="s">
        <v>2290</v>
      </c>
      <c r="E641" s="1" t="s">
        <v>2291</v>
      </c>
      <c r="F641" s="1" t="s">
        <v>14</v>
      </c>
      <c r="G641" s="1" t="s">
        <v>1</v>
      </c>
      <c r="H641" s="1" t="s">
        <v>6</v>
      </c>
      <c r="I641" s="1" t="s">
        <v>2</v>
      </c>
      <c r="J641" s="1" t="s">
        <v>5199</v>
      </c>
      <c r="K641" s="1" t="s">
        <v>5442</v>
      </c>
      <c r="L641" s="1" t="s">
        <v>7</v>
      </c>
      <c r="M641" s="1"/>
      <c r="N641" s="1" t="s">
        <v>5443</v>
      </c>
      <c r="O641" s="1" t="s">
        <v>5444</v>
      </c>
      <c r="P641" s="1"/>
      <c r="Q641" s="1"/>
      <c r="R641" s="1" t="s">
        <v>11</v>
      </c>
      <c r="S641" s="1"/>
      <c r="T641" s="1"/>
      <c r="U641" s="1"/>
      <c r="V641" s="1"/>
      <c r="W641" s="1"/>
      <c r="X641" s="1"/>
      <c r="Y641" s="1"/>
      <c r="Z641" s="1"/>
      <c r="AA641" s="1"/>
      <c r="AB641" s="1" t="s">
        <v>5445</v>
      </c>
      <c r="AC641" s="1"/>
      <c r="AD641" s="1"/>
      <c r="AE641" s="1" t="s">
        <v>5446</v>
      </c>
      <c r="AF641" s="1"/>
      <c r="AG641" s="1"/>
      <c r="AH641" s="1" t="s">
        <v>5447</v>
      </c>
      <c r="AI641" s="1"/>
      <c r="AJ641" s="1" t="s">
        <v>5448</v>
      </c>
      <c r="AK641" s="1" t="s">
        <v>5449</v>
      </c>
      <c r="AL641" s="1" t="s">
        <v>5450</v>
      </c>
      <c r="AM641" s="1" t="s">
        <v>5451</v>
      </c>
      <c r="AN641" s="1" t="s">
        <v>5452</v>
      </c>
      <c r="AO641" s="1" t="s">
        <v>5453</v>
      </c>
      <c r="AP641" s="2" t="s">
        <v>5454</v>
      </c>
      <c r="AQ641" s="2" t="s">
        <v>1077</v>
      </c>
      <c r="AR641" s="1" t="s">
        <v>287</v>
      </c>
      <c r="AS641" s="1"/>
      <c r="AT641" s="1" t="s">
        <v>5</v>
      </c>
    </row>
    <row r="642" spans="1:46" hidden="1" x14ac:dyDescent="0.4">
      <c r="A642" s="1" t="s">
        <v>4857</v>
      </c>
      <c r="B642" s="10"/>
      <c r="C642" s="1" t="s">
        <v>93</v>
      </c>
      <c r="D642" s="1" t="s">
        <v>2290</v>
      </c>
      <c r="E642" s="1" t="s">
        <v>2291</v>
      </c>
      <c r="F642" s="1" t="s">
        <v>14</v>
      </c>
      <c r="G642" s="1" t="s">
        <v>1</v>
      </c>
      <c r="H642" s="1" t="s">
        <v>6</v>
      </c>
      <c r="I642" s="1" t="s">
        <v>2</v>
      </c>
      <c r="J642" s="1" t="s">
        <v>3</v>
      </c>
      <c r="K642" s="1" t="s">
        <v>4858</v>
      </c>
      <c r="L642" s="1" t="s">
        <v>7</v>
      </c>
      <c r="M642" s="1"/>
      <c r="N642" s="1" t="s">
        <v>4859</v>
      </c>
      <c r="O642" s="1" t="s">
        <v>3756</v>
      </c>
      <c r="P642" s="1"/>
      <c r="Q642" s="1"/>
      <c r="R642" s="1" t="s">
        <v>11</v>
      </c>
      <c r="S642" s="1"/>
      <c r="T642" s="1"/>
      <c r="U642" s="1"/>
      <c r="V642" s="1"/>
      <c r="W642" s="1"/>
      <c r="X642" s="1"/>
      <c r="Y642" s="1"/>
      <c r="Z642" s="1"/>
      <c r="AA642" s="1"/>
      <c r="AB642" s="1" t="s">
        <v>4860</v>
      </c>
      <c r="AC642" s="1"/>
      <c r="AD642" s="1"/>
      <c r="AE642" s="1" t="s">
        <v>4861</v>
      </c>
      <c r="AF642" s="1"/>
      <c r="AG642" s="1"/>
      <c r="AH642" s="1" t="s">
        <v>4862</v>
      </c>
      <c r="AI642" s="1"/>
      <c r="AJ642" s="1" t="s">
        <v>4272</v>
      </c>
      <c r="AK642" s="1" t="s">
        <v>4273</v>
      </c>
      <c r="AL642" s="1" t="s">
        <v>4274</v>
      </c>
      <c r="AM642" s="1" t="s">
        <v>4272</v>
      </c>
      <c r="AN642" s="1" t="s">
        <v>4273</v>
      </c>
      <c r="AO642" s="1" t="s">
        <v>4274</v>
      </c>
      <c r="AP642" s="2" t="s">
        <v>4863</v>
      </c>
      <c r="AQ642" s="2" t="s">
        <v>1153</v>
      </c>
      <c r="AR642" s="1" t="s">
        <v>286</v>
      </c>
      <c r="AS642" s="1"/>
      <c r="AT642" s="1" t="s">
        <v>5</v>
      </c>
    </row>
    <row r="643" spans="1:46" hidden="1" x14ac:dyDescent="0.4">
      <c r="A643" s="1" t="s">
        <v>11091</v>
      </c>
      <c r="B643" s="10"/>
      <c r="C643" s="1" t="s">
        <v>2555</v>
      </c>
      <c r="D643" s="1" t="s">
        <v>2290</v>
      </c>
      <c r="E643" s="1" t="s">
        <v>2291</v>
      </c>
      <c r="F643" s="1" t="s">
        <v>14</v>
      </c>
      <c r="G643" s="1" t="s">
        <v>1</v>
      </c>
      <c r="H643" s="1" t="s">
        <v>6</v>
      </c>
      <c r="I643" s="1" t="s">
        <v>2</v>
      </c>
      <c r="J643" s="1" t="s">
        <v>3</v>
      </c>
      <c r="K643" s="1" t="s">
        <v>11092</v>
      </c>
      <c r="L643" s="1" t="s">
        <v>7</v>
      </c>
      <c r="M643" s="1" t="s">
        <v>9</v>
      </c>
      <c r="N643" s="1" t="s">
        <v>11093</v>
      </c>
      <c r="O643" s="1" t="s">
        <v>3756</v>
      </c>
      <c r="P643" s="1"/>
      <c r="Q643" s="1"/>
      <c r="R643" s="1" t="s">
        <v>11</v>
      </c>
      <c r="S643" s="1"/>
      <c r="T643" s="1"/>
      <c r="U643" s="1"/>
      <c r="V643" s="1"/>
      <c r="W643" s="1" t="s">
        <v>11094</v>
      </c>
      <c r="X643" s="1"/>
      <c r="Y643" s="1"/>
      <c r="Z643" s="1"/>
      <c r="AA643" s="1"/>
      <c r="AB643" s="1" t="s">
        <v>11095</v>
      </c>
      <c r="AC643" s="1"/>
      <c r="AD643" s="1"/>
      <c r="AE643" s="1" t="s">
        <v>11096</v>
      </c>
      <c r="AF643" s="1"/>
      <c r="AG643" s="1"/>
      <c r="AH643" s="1" t="s">
        <v>11097</v>
      </c>
      <c r="AI643" s="1"/>
      <c r="AJ643" s="1" t="s">
        <v>11098</v>
      </c>
      <c r="AK643" s="1" t="s">
        <v>11099</v>
      </c>
      <c r="AL643" s="1" t="s">
        <v>11100</v>
      </c>
      <c r="AM643" s="1" t="s">
        <v>11098</v>
      </c>
      <c r="AN643" s="1" t="s">
        <v>11099</v>
      </c>
      <c r="AO643" s="1" t="s">
        <v>11100</v>
      </c>
      <c r="AP643" s="2" t="s">
        <v>11101</v>
      </c>
      <c r="AQ643" s="2" t="s">
        <v>1155</v>
      </c>
      <c r="AR643" s="1" t="s">
        <v>286</v>
      </c>
      <c r="AS643" s="1" t="s">
        <v>1882</v>
      </c>
      <c r="AT643" s="1" t="s">
        <v>5</v>
      </c>
    </row>
    <row r="644" spans="1:46" hidden="1" x14ac:dyDescent="0.4">
      <c r="A644" s="1" t="s">
        <v>9615</v>
      </c>
      <c r="B644" s="10"/>
      <c r="C644" s="1" t="s">
        <v>93</v>
      </c>
      <c r="D644" s="1" t="s">
        <v>2290</v>
      </c>
      <c r="E644" s="1" t="s">
        <v>2291</v>
      </c>
      <c r="F644" s="1" t="s">
        <v>14</v>
      </c>
      <c r="G644" s="1" t="s">
        <v>1</v>
      </c>
      <c r="H644" s="1" t="s">
        <v>6</v>
      </c>
      <c r="I644" s="1" t="s">
        <v>2</v>
      </c>
      <c r="J644" s="1" t="s">
        <v>3</v>
      </c>
      <c r="K644" s="1" t="s">
        <v>9616</v>
      </c>
      <c r="L644" s="1" t="s">
        <v>7</v>
      </c>
      <c r="M644" s="1" t="s">
        <v>9</v>
      </c>
      <c r="N644" s="1" t="s">
        <v>9617</v>
      </c>
      <c r="O644" s="1" t="s">
        <v>3756</v>
      </c>
      <c r="P644" s="1"/>
      <c r="Q644" s="1"/>
      <c r="R644" s="1" t="s">
        <v>11</v>
      </c>
      <c r="S644" s="1"/>
      <c r="T644" s="1"/>
      <c r="U644" s="1"/>
      <c r="V644" s="1"/>
      <c r="W644" s="1"/>
      <c r="X644" s="1"/>
      <c r="Y644" s="1"/>
      <c r="Z644" s="1"/>
      <c r="AA644" s="1"/>
      <c r="AB644" s="1" t="s">
        <v>9618</v>
      </c>
      <c r="AC644" s="1"/>
      <c r="AD644" s="1"/>
      <c r="AE644" s="1" t="s">
        <v>9619</v>
      </c>
      <c r="AF644" s="1"/>
      <c r="AG644" s="1"/>
      <c r="AH644" s="1" t="s">
        <v>9620</v>
      </c>
      <c r="AI644" s="1"/>
      <c r="AJ644" s="1" t="s">
        <v>9621</v>
      </c>
      <c r="AK644" s="1" t="s">
        <v>8396</v>
      </c>
      <c r="AL644" s="1" t="s">
        <v>9622</v>
      </c>
      <c r="AM644" s="1" t="s">
        <v>9621</v>
      </c>
      <c r="AN644" s="1" t="s">
        <v>8396</v>
      </c>
      <c r="AO644" s="1" t="s">
        <v>9622</v>
      </c>
      <c r="AP644" s="2" t="s">
        <v>9623</v>
      </c>
      <c r="AQ644" s="2" t="s">
        <v>1155</v>
      </c>
      <c r="AR644" s="1" t="s">
        <v>286</v>
      </c>
      <c r="AS644" s="1" t="s">
        <v>9624</v>
      </c>
      <c r="AT644" s="1" t="s">
        <v>5</v>
      </c>
    </row>
    <row r="645" spans="1:46" hidden="1" x14ac:dyDescent="0.4">
      <c r="A645" s="1" t="s">
        <v>6088</v>
      </c>
      <c r="B645" s="10"/>
      <c r="C645" s="1" t="s">
        <v>93</v>
      </c>
      <c r="D645" s="1" t="s">
        <v>2290</v>
      </c>
      <c r="E645" s="1" t="s">
        <v>2291</v>
      </c>
      <c r="F645" s="1" t="s">
        <v>14</v>
      </c>
      <c r="G645" s="1" t="s">
        <v>1</v>
      </c>
      <c r="H645" s="1" t="s">
        <v>6</v>
      </c>
      <c r="I645" s="1" t="s">
        <v>2</v>
      </c>
      <c r="J645" s="1" t="s">
        <v>3</v>
      </c>
      <c r="K645" s="1" t="s">
        <v>6089</v>
      </c>
      <c r="L645" s="1" t="s">
        <v>7</v>
      </c>
      <c r="M645" s="1"/>
      <c r="N645" s="1" t="s">
        <v>6090</v>
      </c>
      <c r="O645" s="1" t="s">
        <v>3756</v>
      </c>
      <c r="P645" s="1"/>
      <c r="Q645" s="1"/>
      <c r="R645" s="1" t="s">
        <v>11</v>
      </c>
      <c r="S645" s="1"/>
      <c r="T645" s="1"/>
      <c r="U645" s="1"/>
      <c r="V645" s="1"/>
      <c r="W645" s="1" t="s">
        <v>6091</v>
      </c>
      <c r="X645" s="1"/>
      <c r="Y645" s="1"/>
      <c r="Z645" s="1"/>
      <c r="AA645" s="1"/>
      <c r="AB645" s="1" t="s">
        <v>6092</v>
      </c>
      <c r="AC645" s="1"/>
      <c r="AD645" s="1"/>
      <c r="AE645" s="1" t="s">
        <v>6093</v>
      </c>
      <c r="AF645" s="1"/>
      <c r="AG645" s="1"/>
      <c r="AH645" s="1" t="s">
        <v>6094</v>
      </c>
      <c r="AI645" s="1"/>
      <c r="AJ645" s="1" t="s">
        <v>5110</v>
      </c>
      <c r="AK645" s="1" t="s">
        <v>5111</v>
      </c>
      <c r="AL645" s="1" t="s">
        <v>5112</v>
      </c>
      <c r="AM645" s="1" t="s">
        <v>5110</v>
      </c>
      <c r="AN645" s="1" t="s">
        <v>5111</v>
      </c>
      <c r="AO645" s="1" t="s">
        <v>5112</v>
      </c>
      <c r="AP645" s="2" t="s">
        <v>6095</v>
      </c>
      <c r="AQ645" s="2" t="s">
        <v>1077</v>
      </c>
      <c r="AR645" s="1" t="s">
        <v>287</v>
      </c>
      <c r="AS645" s="1"/>
      <c r="AT645" s="1" t="s">
        <v>5</v>
      </c>
    </row>
    <row r="646" spans="1:46" hidden="1" x14ac:dyDescent="0.4">
      <c r="A646" s="1" t="s">
        <v>10115</v>
      </c>
      <c r="B646" s="10"/>
      <c r="C646" s="1" t="s">
        <v>3437</v>
      </c>
      <c r="D646" s="1" t="s">
        <v>2396</v>
      </c>
      <c r="E646" s="1" t="s">
        <v>2078</v>
      </c>
      <c r="F646" s="1" t="s">
        <v>14</v>
      </c>
      <c r="G646" s="1" t="s">
        <v>1</v>
      </c>
      <c r="H646" s="1" t="s">
        <v>6</v>
      </c>
      <c r="I646" s="1" t="s">
        <v>2</v>
      </c>
      <c r="J646" s="1" t="s">
        <v>2492</v>
      </c>
      <c r="K646" s="1" t="s">
        <v>10116</v>
      </c>
      <c r="L646" s="1" t="s">
        <v>4</v>
      </c>
      <c r="M646" s="1" t="s">
        <v>9</v>
      </c>
      <c r="N646" s="1" t="s">
        <v>10117</v>
      </c>
      <c r="O646" s="1" t="s">
        <v>10118</v>
      </c>
      <c r="P646" s="1"/>
      <c r="Q646" s="1"/>
      <c r="R646" s="1" t="s">
        <v>11</v>
      </c>
      <c r="S646" s="1"/>
      <c r="T646" s="1"/>
      <c r="U646" s="1"/>
      <c r="V646" s="1"/>
      <c r="W646" s="1"/>
      <c r="X646" s="1"/>
      <c r="Y646" s="1"/>
      <c r="Z646" s="1"/>
      <c r="AA646" s="1"/>
      <c r="AB646" s="1" t="s">
        <v>10119</v>
      </c>
      <c r="AC646" s="1"/>
      <c r="AD646" s="1"/>
      <c r="AE646" s="1"/>
      <c r="AF646" s="1"/>
      <c r="AG646" s="1"/>
      <c r="AH646" s="1" t="s">
        <v>10120</v>
      </c>
      <c r="AI646" s="1"/>
      <c r="AJ646" s="1" t="s">
        <v>10121</v>
      </c>
      <c r="AK646" s="1" t="s">
        <v>10122</v>
      </c>
      <c r="AL646" s="1" t="s">
        <v>10123</v>
      </c>
      <c r="AM646" s="1" t="s">
        <v>10124</v>
      </c>
      <c r="AN646" s="1" t="s">
        <v>10122</v>
      </c>
      <c r="AO646" s="1" t="s">
        <v>10125</v>
      </c>
      <c r="AP646" s="2" t="s">
        <v>10126</v>
      </c>
      <c r="AQ646" s="2" t="s">
        <v>1155</v>
      </c>
      <c r="AR646" s="1" t="s">
        <v>286</v>
      </c>
      <c r="AS646" s="1"/>
      <c r="AT646" s="1" t="s">
        <v>5</v>
      </c>
    </row>
    <row r="647" spans="1:46" hidden="1" x14ac:dyDescent="0.4">
      <c r="A647" s="1" t="s">
        <v>10127</v>
      </c>
      <c r="B647" s="10"/>
      <c r="C647" s="1" t="s">
        <v>3437</v>
      </c>
      <c r="D647" s="1" t="s">
        <v>2220</v>
      </c>
      <c r="E647" s="1" t="s">
        <v>2078</v>
      </c>
      <c r="F647" s="1" t="s">
        <v>14</v>
      </c>
      <c r="G647" s="1" t="s">
        <v>1</v>
      </c>
      <c r="H647" s="1" t="s">
        <v>6</v>
      </c>
      <c r="I647" s="1" t="s">
        <v>2</v>
      </c>
      <c r="J647" s="1" t="s">
        <v>2492</v>
      </c>
      <c r="K647" s="1" t="s">
        <v>10128</v>
      </c>
      <c r="L647" s="1" t="s">
        <v>4</v>
      </c>
      <c r="M647" s="1" t="s">
        <v>9</v>
      </c>
      <c r="N647" s="1" t="s">
        <v>10129</v>
      </c>
      <c r="O647" s="1" t="s">
        <v>10118</v>
      </c>
      <c r="P647" s="1"/>
      <c r="Q647" s="1"/>
      <c r="R647" s="1" t="s">
        <v>11</v>
      </c>
      <c r="S647" s="1"/>
      <c r="T647" s="1"/>
      <c r="U647" s="1"/>
      <c r="V647" s="1"/>
      <c r="W647" s="1" t="s">
        <v>10130</v>
      </c>
      <c r="X647" s="1" t="s">
        <v>10131</v>
      </c>
      <c r="Y647" s="1"/>
      <c r="Z647" s="1"/>
      <c r="AA647" s="1"/>
      <c r="AB647" s="1" t="s">
        <v>10132</v>
      </c>
      <c r="AC647" s="1"/>
      <c r="AD647" s="1"/>
      <c r="AE647" s="1"/>
      <c r="AF647" s="1"/>
      <c r="AG647" s="1"/>
      <c r="AH647" s="1" t="s">
        <v>10133</v>
      </c>
      <c r="AI647" s="1"/>
      <c r="AJ647" s="1" t="s">
        <v>10121</v>
      </c>
      <c r="AK647" s="1" t="s">
        <v>10122</v>
      </c>
      <c r="AL647" s="1" t="s">
        <v>10123</v>
      </c>
      <c r="AM647" s="1" t="s">
        <v>10124</v>
      </c>
      <c r="AN647" s="1" t="s">
        <v>10122</v>
      </c>
      <c r="AO647" s="1" t="s">
        <v>10125</v>
      </c>
      <c r="AP647" s="2" t="s">
        <v>10134</v>
      </c>
      <c r="AQ647" s="2" t="s">
        <v>1155</v>
      </c>
      <c r="AR647" s="1" t="s">
        <v>286</v>
      </c>
      <c r="AS647" s="1" t="s">
        <v>10135</v>
      </c>
      <c r="AT647" s="1" t="s">
        <v>5</v>
      </c>
    </row>
    <row r="648" spans="1:46" hidden="1" x14ac:dyDescent="0.4">
      <c r="A648" s="1" t="s">
        <v>10136</v>
      </c>
      <c r="B648" s="10"/>
      <c r="C648" s="1" t="s">
        <v>3437</v>
      </c>
      <c r="D648" s="1" t="s">
        <v>2220</v>
      </c>
      <c r="E648" s="1" t="s">
        <v>2078</v>
      </c>
      <c r="F648" s="1" t="s">
        <v>14</v>
      </c>
      <c r="G648" s="1" t="s">
        <v>1</v>
      </c>
      <c r="H648" s="1" t="s">
        <v>6</v>
      </c>
      <c r="I648" s="1" t="s">
        <v>2</v>
      </c>
      <c r="J648" s="1" t="s">
        <v>2492</v>
      </c>
      <c r="K648" s="1" t="s">
        <v>10137</v>
      </c>
      <c r="L648" s="1" t="s">
        <v>4</v>
      </c>
      <c r="M648" s="1" t="s">
        <v>9</v>
      </c>
      <c r="N648" s="1" t="s">
        <v>10138</v>
      </c>
      <c r="O648" s="1" t="s">
        <v>10118</v>
      </c>
      <c r="P648" s="1"/>
      <c r="Q648" s="1"/>
      <c r="R648" s="1" t="s">
        <v>11</v>
      </c>
      <c r="S648" s="1"/>
      <c r="T648" s="1"/>
      <c r="U648" s="1"/>
      <c r="V648" s="1"/>
      <c r="W648" s="1" t="s">
        <v>10139</v>
      </c>
      <c r="X648" s="1" t="s">
        <v>10131</v>
      </c>
      <c r="Y648" s="1"/>
      <c r="Z648" s="1"/>
      <c r="AA648" s="1"/>
      <c r="AB648" s="1" t="s">
        <v>10140</v>
      </c>
      <c r="AC648" s="1"/>
      <c r="AD648" s="1"/>
      <c r="AE648" s="1"/>
      <c r="AF648" s="1"/>
      <c r="AG648" s="1"/>
      <c r="AH648" s="1" t="s">
        <v>10141</v>
      </c>
      <c r="AI648" s="1"/>
      <c r="AJ648" s="1" t="s">
        <v>10121</v>
      </c>
      <c r="AK648" s="1" t="s">
        <v>10122</v>
      </c>
      <c r="AL648" s="1" t="s">
        <v>10123</v>
      </c>
      <c r="AM648" s="1" t="s">
        <v>10124</v>
      </c>
      <c r="AN648" s="1" t="s">
        <v>10122</v>
      </c>
      <c r="AO648" s="1" t="s">
        <v>10125</v>
      </c>
      <c r="AP648" s="2" t="s">
        <v>10142</v>
      </c>
      <c r="AQ648" s="2" t="s">
        <v>1155</v>
      </c>
      <c r="AR648" s="1" t="s">
        <v>286</v>
      </c>
      <c r="AS648" s="1" t="s">
        <v>10135</v>
      </c>
      <c r="AT648" s="1" t="s">
        <v>5</v>
      </c>
    </row>
    <row r="649" spans="1:46" hidden="1" x14ac:dyDescent="0.4">
      <c r="A649" s="1" t="s">
        <v>5455</v>
      </c>
      <c r="B649" s="10"/>
      <c r="C649" s="1" t="s">
        <v>0</v>
      </c>
      <c r="D649" s="1" t="s">
        <v>2211</v>
      </c>
      <c r="E649" s="1" t="s">
        <v>2078</v>
      </c>
      <c r="F649" s="1" t="s">
        <v>14</v>
      </c>
      <c r="G649" s="1" t="s">
        <v>1</v>
      </c>
      <c r="H649" s="1" t="s">
        <v>6</v>
      </c>
      <c r="I649" s="1" t="s">
        <v>2</v>
      </c>
      <c r="J649" s="1" t="s">
        <v>3</v>
      </c>
      <c r="K649" s="1" t="s">
        <v>5456</v>
      </c>
      <c r="L649" s="1" t="s">
        <v>7</v>
      </c>
      <c r="M649" s="1" t="s">
        <v>9</v>
      </c>
      <c r="N649" s="1" t="s">
        <v>5457</v>
      </c>
      <c r="O649" s="1" t="s">
        <v>5458</v>
      </c>
      <c r="P649" s="1"/>
      <c r="Q649" s="1"/>
      <c r="R649" s="1" t="s">
        <v>11</v>
      </c>
      <c r="S649" s="1"/>
      <c r="T649" s="1"/>
      <c r="U649" s="1"/>
      <c r="V649" s="1"/>
      <c r="W649" s="1"/>
      <c r="X649" s="1" t="s">
        <v>5459</v>
      </c>
      <c r="Y649" s="1"/>
      <c r="Z649" s="1"/>
      <c r="AA649" s="1"/>
      <c r="AB649" s="1" t="s">
        <v>5460</v>
      </c>
      <c r="AC649" s="1"/>
      <c r="AD649" s="1"/>
      <c r="AE649" s="1" t="s">
        <v>5461</v>
      </c>
      <c r="AF649" s="1"/>
      <c r="AG649" s="1"/>
      <c r="AH649" s="1" t="s">
        <v>5462</v>
      </c>
      <c r="AI649" s="1"/>
      <c r="AJ649" s="1" t="s">
        <v>1611</v>
      </c>
      <c r="AK649" s="1" t="s">
        <v>285</v>
      </c>
      <c r="AL649" s="1"/>
      <c r="AM649" s="1" t="s">
        <v>5463</v>
      </c>
      <c r="AN649" s="1" t="s">
        <v>4564</v>
      </c>
      <c r="AO649" s="1" t="s">
        <v>5464</v>
      </c>
      <c r="AP649" s="2" t="s">
        <v>5465</v>
      </c>
      <c r="AQ649" s="2" t="s">
        <v>1077</v>
      </c>
      <c r="AR649" s="1" t="s">
        <v>286</v>
      </c>
      <c r="AS649" s="1"/>
      <c r="AT649" s="1" t="s">
        <v>5</v>
      </c>
    </row>
    <row r="650" spans="1:46" hidden="1" x14ac:dyDescent="0.4">
      <c r="A650" s="1" t="s">
        <v>5762</v>
      </c>
      <c r="B650" s="10"/>
      <c r="C650" s="1" t="s">
        <v>93</v>
      </c>
      <c r="D650" s="1" t="s">
        <v>2211</v>
      </c>
      <c r="E650" s="1" t="s">
        <v>2078</v>
      </c>
      <c r="F650" s="1" t="s">
        <v>14</v>
      </c>
      <c r="G650" s="1" t="s">
        <v>1</v>
      </c>
      <c r="H650" s="1" t="s">
        <v>6</v>
      </c>
      <c r="I650" s="1" t="s">
        <v>2</v>
      </c>
      <c r="J650" s="1" t="s">
        <v>3</v>
      </c>
      <c r="K650" s="1" t="s">
        <v>5763</v>
      </c>
      <c r="L650" s="1" t="s">
        <v>4</v>
      </c>
      <c r="M650" s="1"/>
      <c r="N650" s="1" t="s">
        <v>5764</v>
      </c>
      <c r="O650" s="1" t="s">
        <v>5765</v>
      </c>
      <c r="P650" s="1"/>
      <c r="Q650" s="1"/>
      <c r="R650" s="1" t="s">
        <v>11</v>
      </c>
      <c r="S650" s="1"/>
      <c r="T650" s="1"/>
      <c r="U650" s="1"/>
      <c r="V650" s="1"/>
      <c r="W650" s="1" t="s">
        <v>5766</v>
      </c>
      <c r="X650" s="1" t="s">
        <v>5767</v>
      </c>
      <c r="Y650" s="1"/>
      <c r="Z650" s="1"/>
      <c r="AA650" s="1"/>
      <c r="AB650" s="1" t="s">
        <v>5768</v>
      </c>
      <c r="AC650" s="1"/>
      <c r="AD650" s="1"/>
      <c r="AE650" s="1" t="s">
        <v>5769</v>
      </c>
      <c r="AF650" s="1"/>
      <c r="AG650" s="1"/>
      <c r="AH650" s="1" t="s">
        <v>5770</v>
      </c>
      <c r="AI650" s="1"/>
      <c r="AJ650" s="1" t="s">
        <v>5771</v>
      </c>
      <c r="AK650" s="1" t="s">
        <v>4273</v>
      </c>
      <c r="AL650" s="1" t="s">
        <v>5772</v>
      </c>
      <c r="AM650" s="1" t="s">
        <v>5771</v>
      </c>
      <c r="AN650" s="1" t="s">
        <v>4273</v>
      </c>
      <c r="AO650" s="1" t="s">
        <v>5772</v>
      </c>
      <c r="AP650" s="2" t="s">
        <v>5773</v>
      </c>
      <c r="AQ650" s="2" t="s">
        <v>1077</v>
      </c>
      <c r="AR650" s="1" t="s">
        <v>286</v>
      </c>
      <c r="AS650" s="1"/>
      <c r="AT650" s="1" t="s">
        <v>5</v>
      </c>
    </row>
    <row r="651" spans="1:46" hidden="1" x14ac:dyDescent="0.4">
      <c r="A651" s="1" t="s">
        <v>8255</v>
      </c>
      <c r="B651" s="10"/>
      <c r="C651" s="1" t="s">
        <v>93</v>
      </c>
      <c r="D651" s="1" t="s">
        <v>2220</v>
      </c>
      <c r="E651" s="1" t="s">
        <v>2078</v>
      </c>
      <c r="F651" s="1" t="s">
        <v>14</v>
      </c>
      <c r="G651" s="1" t="s">
        <v>1</v>
      </c>
      <c r="H651" s="1" t="s">
        <v>6</v>
      </c>
      <c r="I651" s="1" t="s">
        <v>2</v>
      </c>
      <c r="J651" s="1" t="s">
        <v>3</v>
      </c>
      <c r="K651" s="1" t="s">
        <v>8256</v>
      </c>
      <c r="L651" s="1" t="s">
        <v>7</v>
      </c>
      <c r="M651" s="1"/>
      <c r="N651" s="1" t="s">
        <v>8257</v>
      </c>
      <c r="O651" s="1" t="s">
        <v>5765</v>
      </c>
      <c r="P651" s="1"/>
      <c r="Q651" s="1"/>
      <c r="R651" s="1" t="s">
        <v>11</v>
      </c>
      <c r="S651" s="1"/>
      <c r="T651" s="1"/>
      <c r="U651" s="1"/>
      <c r="V651" s="1"/>
      <c r="W651" s="1" t="s">
        <v>8258</v>
      </c>
      <c r="X651" s="1" t="s">
        <v>8259</v>
      </c>
      <c r="Y651" s="1"/>
      <c r="Z651" s="1"/>
      <c r="AA651" s="1"/>
      <c r="AB651" s="1" t="s">
        <v>8260</v>
      </c>
      <c r="AC651" s="1"/>
      <c r="AD651" s="1"/>
      <c r="AE651" s="1" t="s">
        <v>8261</v>
      </c>
      <c r="AF651" s="1"/>
      <c r="AG651" s="1"/>
      <c r="AH651" s="1" t="s">
        <v>8262</v>
      </c>
      <c r="AI651" s="1"/>
      <c r="AJ651" s="1" t="s">
        <v>5771</v>
      </c>
      <c r="AK651" s="1" t="s">
        <v>4273</v>
      </c>
      <c r="AL651" s="1" t="s">
        <v>5772</v>
      </c>
      <c r="AM651" s="1" t="s">
        <v>5771</v>
      </c>
      <c r="AN651" s="1" t="s">
        <v>4273</v>
      </c>
      <c r="AO651" s="1" t="s">
        <v>5772</v>
      </c>
      <c r="AP651" s="2" t="s">
        <v>8263</v>
      </c>
      <c r="AQ651" s="2" t="s">
        <v>1154</v>
      </c>
      <c r="AR651" s="1" t="s">
        <v>286</v>
      </c>
      <c r="AS651" s="1" t="s">
        <v>8264</v>
      </c>
      <c r="AT651" s="1" t="s">
        <v>5</v>
      </c>
    </row>
    <row r="652" spans="1:46" hidden="1" x14ac:dyDescent="0.4">
      <c r="A652" s="1" t="s">
        <v>5940</v>
      </c>
      <c r="B652" s="10"/>
      <c r="C652" s="1" t="s">
        <v>0</v>
      </c>
      <c r="D652" s="1" t="s">
        <v>2827</v>
      </c>
      <c r="E652" s="1" t="s">
        <v>2078</v>
      </c>
      <c r="F652" s="1" t="s">
        <v>14</v>
      </c>
      <c r="G652" s="1" t="s">
        <v>1</v>
      </c>
      <c r="H652" s="1" t="s">
        <v>6</v>
      </c>
      <c r="I652" s="1" t="s">
        <v>2</v>
      </c>
      <c r="J652" s="1" t="s">
        <v>3</v>
      </c>
      <c r="K652" s="1" t="s">
        <v>5941</v>
      </c>
      <c r="L652" s="1" t="s">
        <v>4</v>
      </c>
      <c r="M652" s="1"/>
      <c r="N652" s="1" t="s">
        <v>5942</v>
      </c>
      <c r="O652" s="1" t="s">
        <v>5943</v>
      </c>
      <c r="P652" s="1"/>
      <c r="Q652" s="1"/>
      <c r="R652" s="1" t="s">
        <v>11</v>
      </c>
      <c r="S652" s="1"/>
      <c r="T652" s="1"/>
      <c r="U652" s="1"/>
      <c r="V652" s="1"/>
      <c r="W652" s="1"/>
      <c r="X652" s="1" t="s">
        <v>5944</v>
      </c>
      <c r="Y652" s="1"/>
      <c r="Z652" s="1"/>
      <c r="AA652" s="1"/>
      <c r="AB652" s="1" t="s">
        <v>5945</v>
      </c>
      <c r="AC652" s="1"/>
      <c r="AD652" s="1"/>
      <c r="AE652" s="1" t="s">
        <v>5946</v>
      </c>
      <c r="AF652" s="1"/>
      <c r="AG652" s="1"/>
      <c r="AH652" s="1" t="s">
        <v>5947</v>
      </c>
      <c r="AI652" s="1"/>
      <c r="AJ652" s="1" t="s">
        <v>78</v>
      </c>
      <c r="AK652" s="1" t="s">
        <v>519</v>
      </c>
      <c r="AL652" s="1" t="s">
        <v>130</v>
      </c>
      <c r="AM652" s="1" t="s">
        <v>5948</v>
      </c>
      <c r="AN652" s="1" t="s">
        <v>519</v>
      </c>
      <c r="AO652" s="1" t="s">
        <v>5949</v>
      </c>
      <c r="AP652" s="2" t="s">
        <v>5950</v>
      </c>
      <c r="AQ652" s="2" t="s">
        <v>1077</v>
      </c>
      <c r="AR652" s="1" t="s">
        <v>286</v>
      </c>
      <c r="AS652" s="1"/>
      <c r="AT652" s="1" t="s">
        <v>5</v>
      </c>
    </row>
    <row r="653" spans="1:46" hidden="1" x14ac:dyDescent="0.4">
      <c r="A653" s="1" t="s">
        <v>8663</v>
      </c>
      <c r="B653" s="10"/>
      <c r="C653" s="1" t="s">
        <v>0</v>
      </c>
      <c r="D653" s="1" t="s">
        <v>2827</v>
      </c>
      <c r="E653" s="1" t="s">
        <v>2078</v>
      </c>
      <c r="F653" s="1" t="s">
        <v>14</v>
      </c>
      <c r="G653" s="1" t="s">
        <v>1</v>
      </c>
      <c r="H653" s="1" t="s">
        <v>6</v>
      </c>
      <c r="I653" s="1" t="s">
        <v>2</v>
      </c>
      <c r="J653" s="1" t="s">
        <v>3</v>
      </c>
      <c r="K653" s="1" t="s">
        <v>8664</v>
      </c>
      <c r="L653" s="1" t="s">
        <v>4</v>
      </c>
      <c r="M653" s="1" t="s">
        <v>9</v>
      </c>
      <c r="N653" s="1" t="s">
        <v>8665</v>
      </c>
      <c r="O653" s="1" t="s">
        <v>8666</v>
      </c>
      <c r="P653" s="1"/>
      <c r="Q653" s="1"/>
      <c r="R653" s="1" t="s">
        <v>11</v>
      </c>
      <c r="S653" s="1"/>
      <c r="T653" s="1"/>
      <c r="U653" s="1"/>
      <c r="V653" s="1"/>
      <c r="W653" s="1"/>
      <c r="X653" s="1"/>
      <c r="Y653" s="1"/>
      <c r="Z653" s="1"/>
      <c r="AA653" s="1"/>
      <c r="AB653" s="1" t="s">
        <v>8667</v>
      </c>
      <c r="AC653" s="1"/>
      <c r="AD653" s="1"/>
      <c r="AE653" s="1" t="s">
        <v>8668</v>
      </c>
      <c r="AF653" s="1"/>
      <c r="AG653" s="1"/>
      <c r="AH653" s="1" t="s">
        <v>8669</v>
      </c>
      <c r="AI653" s="1"/>
      <c r="AJ653" s="1" t="s">
        <v>8670</v>
      </c>
      <c r="AK653" s="1" t="s">
        <v>8671</v>
      </c>
      <c r="AL653" s="1" t="s">
        <v>8672</v>
      </c>
      <c r="AM653" s="1" t="s">
        <v>8673</v>
      </c>
      <c r="AN653" s="1" t="s">
        <v>8671</v>
      </c>
      <c r="AO653" s="1" t="s">
        <v>8674</v>
      </c>
      <c r="AP653" s="2" t="s">
        <v>8675</v>
      </c>
      <c r="AQ653" s="2" t="s">
        <v>1154</v>
      </c>
      <c r="AR653" s="1" t="s">
        <v>286</v>
      </c>
      <c r="AS653" s="1"/>
      <c r="AT653" s="1" t="s">
        <v>5</v>
      </c>
    </row>
    <row r="654" spans="1:46" hidden="1" x14ac:dyDescent="0.4">
      <c r="A654" s="1" t="s">
        <v>9104</v>
      </c>
      <c r="B654" s="10"/>
      <c r="C654" s="1" t="s">
        <v>93</v>
      </c>
      <c r="D654" s="1" t="s">
        <v>2076</v>
      </c>
      <c r="E654" s="1" t="s">
        <v>2078</v>
      </c>
      <c r="F654" s="1" t="s">
        <v>14</v>
      </c>
      <c r="G654" s="1" t="s">
        <v>1</v>
      </c>
      <c r="H654" s="1" t="s">
        <v>6</v>
      </c>
      <c r="I654" s="1" t="s">
        <v>2</v>
      </c>
      <c r="J654" s="1" t="s">
        <v>3</v>
      </c>
      <c r="K654" s="1" t="s">
        <v>9105</v>
      </c>
      <c r="L654" s="1" t="s">
        <v>4</v>
      </c>
      <c r="M654" s="1"/>
      <c r="N654" s="1" t="s">
        <v>9106</v>
      </c>
      <c r="O654" s="1" t="s">
        <v>2238</v>
      </c>
      <c r="P654" s="1"/>
      <c r="Q654" s="1"/>
      <c r="R654" s="1" t="s">
        <v>11</v>
      </c>
      <c r="S654" s="1"/>
      <c r="T654" s="1"/>
      <c r="U654" s="1"/>
      <c r="V654" s="1"/>
      <c r="W654" s="1"/>
      <c r="X654" s="1" t="s">
        <v>9107</v>
      </c>
      <c r="Y654" s="1"/>
      <c r="Z654" s="1"/>
      <c r="AA654" s="1"/>
      <c r="AB654" s="1" t="s">
        <v>9108</v>
      </c>
      <c r="AC654" s="1"/>
      <c r="AD654" s="1"/>
      <c r="AE654" s="1" t="s">
        <v>9109</v>
      </c>
      <c r="AF654" s="1"/>
      <c r="AG654" s="1"/>
      <c r="AH654" s="1" t="s">
        <v>9110</v>
      </c>
      <c r="AI654" s="1"/>
      <c r="AJ654" s="1" t="s">
        <v>253</v>
      </c>
      <c r="AK654" s="1" t="s">
        <v>329</v>
      </c>
      <c r="AL654" s="1" t="s">
        <v>254</v>
      </c>
      <c r="AM654" s="1" t="s">
        <v>253</v>
      </c>
      <c r="AN654" s="1" t="s">
        <v>329</v>
      </c>
      <c r="AO654" s="1" t="s">
        <v>254</v>
      </c>
      <c r="AP654" s="2" t="s">
        <v>9111</v>
      </c>
      <c r="AQ654" s="2" t="s">
        <v>1154</v>
      </c>
      <c r="AR654" s="1" t="s">
        <v>286</v>
      </c>
      <c r="AS654" s="1"/>
      <c r="AT654" s="1" t="s">
        <v>5</v>
      </c>
    </row>
    <row r="655" spans="1:46" hidden="1" x14ac:dyDescent="0.4">
      <c r="A655" s="1" t="s">
        <v>9902</v>
      </c>
      <c r="B655" s="10"/>
      <c r="C655" s="1" t="s">
        <v>93</v>
      </c>
      <c r="D655" s="1" t="s">
        <v>2220</v>
      </c>
      <c r="E655" s="1" t="s">
        <v>2078</v>
      </c>
      <c r="F655" s="1" t="s">
        <v>14</v>
      </c>
      <c r="G655" s="1" t="s">
        <v>1</v>
      </c>
      <c r="H655" s="1" t="s">
        <v>6</v>
      </c>
      <c r="I655" s="1" t="s">
        <v>2</v>
      </c>
      <c r="J655" s="1" t="s">
        <v>3</v>
      </c>
      <c r="K655" s="1" t="s">
        <v>9903</v>
      </c>
      <c r="L655" s="1" t="s">
        <v>7</v>
      </c>
      <c r="M655" s="1"/>
      <c r="N655" s="1" t="s">
        <v>9904</v>
      </c>
      <c r="O655" s="1" t="s">
        <v>9905</v>
      </c>
      <c r="P655" s="1"/>
      <c r="Q655" s="1"/>
      <c r="R655" s="1" t="s">
        <v>11</v>
      </c>
      <c r="S655" s="1"/>
      <c r="T655" s="1"/>
      <c r="U655" s="1"/>
      <c r="V655" s="1"/>
      <c r="W655" s="1" t="s">
        <v>9906</v>
      </c>
      <c r="X655" s="1" t="s">
        <v>9219</v>
      </c>
      <c r="Y655" s="1"/>
      <c r="Z655" s="1"/>
      <c r="AA655" s="1"/>
      <c r="AB655" s="1" t="s">
        <v>9907</v>
      </c>
      <c r="AC655" s="1"/>
      <c r="AD655" s="1"/>
      <c r="AE655" s="1"/>
      <c r="AF655" s="1"/>
      <c r="AG655" s="1"/>
      <c r="AH655" s="1" t="s">
        <v>9908</v>
      </c>
      <c r="AI655" s="1"/>
      <c r="AJ655" s="1" t="s">
        <v>9087</v>
      </c>
      <c r="AK655" s="1" t="s">
        <v>3947</v>
      </c>
      <c r="AL655" s="1" t="s">
        <v>9088</v>
      </c>
      <c r="AM655" s="1" t="s">
        <v>9087</v>
      </c>
      <c r="AN655" s="1" t="s">
        <v>3947</v>
      </c>
      <c r="AO655" s="1" t="s">
        <v>9088</v>
      </c>
      <c r="AP655" s="2" t="s">
        <v>9909</v>
      </c>
      <c r="AQ655" s="2" t="s">
        <v>1155</v>
      </c>
      <c r="AR655" s="1" t="s">
        <v>286</v>
      </c>
      <c r="AS655" s="1" t="s">
        <v>9910</v>
      </c>
      <c r="AT655" s="1" t="s">
        <v>5</v>
      </c>
    </row>
    <row r="656" spans="1:46" hidden="1" x14ac:dyDescent="0.4">
      <c r="A656" s="1" t="s">
        <v>3925</v>
      </c>
      <c r="B656" s="10"/>
      <c r="C656" s="1" t="s">
        <v>93</v>
      </c>
      <c r="D656" s="1" t="s">
        <v>2211</v>
      </c>
      <c r="E656" s="1" t="s">
        <v>2078</v>
      </c>
      <c r="F656" s="1" t="s">
        <v>14</v>
      </c>
      <c r="G656" s="1" t="s">
        <v>1</v>
      </c>
      <c r="H656" s="1" t="s">
        <v>6</v>
      </c>
      <c r="I656" s="1" t="s">
        <v>2</v>
      </c>
      <c r="J656" s="1" t="s">
        <v>3</v>
      </c>
      <c r="K656" s="1" t="s">
        <v>3926</v>
      </c>
      <c r="L656" s="1" t="s">
        <v>7</v>
      </c>
      <c r="M656" s="1"/>
      <c r="N656" s="1" t="s">
        <v>3927</v>
      </c>
      <c r="O656" s="1" t="s">
        <v>3928</v>
      </c>
      <c r="P656" s="1"/>
      <c r="Q656" s="1"/>
      <c r="R656" s="1" t="s">
        <v>11</v>
      </c>
      <c r="S656" s="1"/>
      <c r="T656" s="1"/>
      <c r="U656" s="1"/>
      <c r="V656" s="1"/>
      <c r="W656" s="1"/>
      <c r="X656" s="1"/>
      <c r="Y656" s="1"/>
      <c r="Z656" s="1"/>
      <c r="AA656" s="1"/>
      <c r="AB656" s="1" t="s">
        <v>3929</v>
      </c>
      <c r="AC656" s="1"/>
      <c r="AD656" s="1"/>
      <c r="AE656" s="1" t="s">
        <v>3930</v>
      </c>
      <c r="AF656" s="1"/>
      <c r="AG656" s="1"/>
      <c r="AH656" s="1" t="s">
        <v>3931</v>
      </c>
      <c r="AI656" s="1"/>
      <c r="AJ656" s="1" t="s">
        <v>3932</v>
      </c>
      <c r="AK656" s="1" t="s">
        <v>3933</v>
      </c>
      <c r="AL656" s="1" t="s">
        <v>3934</v>
      </c>
      <c r="AM656" s="1" t="s">
        <v>3932</v>
      </c>
      <c r="AN656" s="1" t="s">
        <v>3933</v>
      </c>
      <c r="AO656" s="1" t="s">
        <v>3934</v>
      </c>
      <c r="AP656" s="2" t="s">
        <v>3935</v>
      </c>
      <c r="AQ656" s="2" t="s">
        <v>1153</v>
      </c>
      <c r="AR656" s="1" t="s">
        <v>286</v>
      </c>
      <c r="AS656" s="1"/>
      <c r="AT656" s="1" t="s">
        <v>5</v>
      </c>
    </row>
    <row r="657" spans="1:46" hidden="1" x14ac:dyDescent="0.4">
      <c r="A657" s="1" t="s">
        <v>2409</v>
      </c>
      <c r="B657" s="10"/>
      <c r="C657" s="1" t="s">
        <v>0</v>
      </c>
      <c r="D657" s="1" t="s">
        <v>2211</v>
      </c>
      <c r="E657" s="1" t="s">
        <v>2078</v>
      </c>
      <c r="F657" s="1" t="s">
        <v>14</v>
      </c>
      <c r="G657" s="1" t="s">
        <v>1</v>
      </c>
      <c r="H657" s="1" t="s">
        <v>6</v>
      </c>
      <c r="I657" s="1" t="s">
        <v>2</v>
      </c>
      <c r="J657" s="1" t="s">
        <v>3</v>
      </c>
      <c r="K657" s="1" t="s">
        <v>2410</v>
      </c>
      <c r="L657" s="1" t="s">
        <v>7</v>
      </c>
      <c r="M657" s="1" t="s">
        <v>9</v>
      </c>
      <c r="N657" s="1" t="s">
        <v>2411</v>
      </c>
      <c r="O657" s="1" t="s">
        <v>2412</v>
      </c>
      <c r="P657" s="1"/>
      <c r="Q657" s="1"/>
      <c r="R657" s="1"/>
      <c r="S657" s="1"/>
      <c r="T657" s="1"/>
      <c r="U657" s="1"/>
      <c r="V657" s="1"/>
      <c r="W657" s="1" t="s">
        <v>2413</v>
      </c>
      <c r="X657" s="1" t="s">
        <v>2414</v>
      </c>
      <c r="Y657" s="1"/>
      <c r="Z657" s="1"/>
      <c r="AA657" s="1"/>
      <c r="AB657" s="1" t="s">
        <v>2415</v>
      </c>
      <c r="AC657" s="1"/>
      <c r="AD657" s="1"/>
      <c r="AE657" s="1" t="s">
        <v>2416</v>
      </c>
      <c r="AF657" s="1"/>
      <c r="AG657" s="1"/>
      <c r="AH657" s="1" t="s">
        <v>2417</v>
      </c>
      <c r="AI657" s="1"/>
      <c r="AJ657" s="1" t="s">
        <v>2418</v>
      </c>
      <c r="AK657" s="1" t="s">
        <v>2419</v>
      </c>
      <c r="AL657" s="1" t="s">
        <v>2420</v>
      </c>
      <c r="AM657" s="1" t="s">
        <v>2421</v>
      </c>
      <c r="AN657" s="1" t="s">
        <v>2422</v>
      </c>
      <c r="AO657" s="1"/>
      <c r="AP657" s="2" t="s">
        <v>2423</v>
      </c>
      <c r="AQ657" s="2" t="s">
        <v>1077</v>
      </c>
      <c r="AR657" s="1"/>
      <c r="AS657" s="1"/>
      <c r="AT657" s="1" t="s">
        <v>5</v>
      </c>
    </row>
    <row r="658" spans="1:46" hidden="1" x14ac:dyDescent="0.4">
      <c r="A658" s="1" t="s">
        <v>11102</v>
      </c>
      <c r="B658" s="10"/>
      <c r="C658" s="1" t="s">
        <v>93</v>
      </c>
      <c r="D658" s="1" t="s">
        <v>2157</v>
      </c>
      <c r="E658" s="1" t="s">
        <v>2078</v>
      </c>
      <c r="F658" s="1" t="s">
        <v>14</v>
      </c>
      <c r="G658" s="1" t="s">
        <v>1</v>
      </c>
      <c r="H658" s="1" t="s">
        <v>6</v>
      </c>
      <c r="I658" s="1" t="s">
        <v>2</v>
      </c>
      <c r="J658" s="1" t="s">
        <v>3</v>
      </c>
      <c r="K658" s="1" t="s">
        <v>11103</v>
      </c>
      <c r="L658" s="1" t="s">
        <v>7</v>
      </c>
      <c r="M658" s="1"/>
      <c r="N658" s="1" t="s">
        <v>11104</v>
      </c>
      <c r="O658" s="1" t="s">
        <v>7029</v>
      </c>
      <c r="P658" s="1"/>
      <c r="Q658" s="1"/>
      <c r="R658" s="1" t="s">
        <v>11</v>
      </c>
      <c r="S658" s="1"/>
      <c r="T658" s="1"/>
      <c r="U658" s="1"/>
      <c r="V658" s="1"/>
      <c r="W658" s="1" t="s">
        <v>11105</v>
      </c>
      <c r="X658" s="1"/>
      <c r="Y658" s="1"/>
      <c r="Z658" s="1"/>
      <c r="AA658" s="1"/>
      <c r="AB658" s="1" t="s">
        <v>11106</v>
      </c>
      <c r="AC658" s="1"/>
      <c r="AD658" s="1"/>
      <c r="AE658" s="1" t="s">
        <v>7032</v>
      </c>
      <c r="AF658" s="1"/>
      <c r="AG658" s="1"/>
      <c r="AH658" s="1" t="s">
        <v>11107</v>
      </c>
      <c r="AI658" s="1"/>
      <c r="AJ658" s="1" t="s">
        <v>5667</v>
      </c>
      <c r="AK658" s="1" t="s">
        <v>5668</v>
      </c>
      <c r="AL658" s="1" t="s">
        <v>5669</v>
      </c>
      <c r="AM658" s="1" t="s">
        <v>5667</v>
      </c>
      <c r="AN658" s="1" t="s">
        <v>5668</v>
      </c>
      <c r="AO658" s="1" t="s">
        <v>5669</v>
      </c>
      <c r="AP658" s="2" t="s">
        <v>11108</v>
      </c>
      <c r="AQ658" s="2" t="s">
        <v>1155</v>
      </c>
      <c r="AR658" s="1" t="s">
        <v>286</v>
      </c>
      <c r="AS658" s="1" t="s">
        <v>1017</v>
      </c>
      <c r="AT658" s="1" t="s">
        <v>5</v>
      </c>
    </row>
    <row r="659" spans="1:46" hidden="1" x14ac:dyDescent="0.4">
      <c r="A659" s="1" t="s">
        <v>5005</v>
      </c>
      <c r="B659" s="10"/>
      <c r="C659" s="1" t="s">
        <v>0</v>
      </c>
      <c r="D659" s="1" t="s">
        <v>2220</v>
      </c>
      <c r="E659" s="1" t="s">
        <v>2078</v>
      </c>
      <c r="F659" s="1" t="s">
        <v>14</v>
      </c>
      <c r="G659" s="1" t="s">
        <v>1</v>
      </c>
      <c r="H659" s="1" t="s">
        <v>6</v>
      </c>
      <c r="I659" s="1" t="s">
        <v>2</v>
      </c>
      <c r="J659" s="1" t="s">
        <v>3</v>
      </c>
      <c r="K659" s="1" t="s">
        <v>5006</v>
      </c>
      <c r="L659" s="1" t="s">
        <v>4</v>
      </c>
      <c r="M659" s="1" t="s">
        <v>9</v>
      </c>
      <c r="N659" s="1" t="s">
        <v>5007</v>
      </c>
      <c r="O659" s="1" t="s">
        <v>5008</v>
      </c>
      <c r="P659" s="1"/>
      <c r="Q659" s="1"/>
      <c r="R659" s="1" t="s">
        <v>11</v>
      </c>
      <c r="S659" s="1"/>
      <c r="T659" s="1"/>
      <c r="U659" s="1"/>
      <c r="V659" s="1"/>
      <c r="W659" s="1"/>
      <c r="X659" s="1" t="s">
        <v>5009</v>
      </c>
      <c r="Y659" s="1"/>
      <c r="Z659" s="1"/>
      <c r="AA659" s="1"/>
      <c r="AB659" s="1" t="s">
        <v>5010</v>
      </c>
      <c r="AC659" s="1"/>
      <c r="AD659" s="1"/>
      <c r="AE659" s="1" t="s">
        <v>5011</v>
      </c>
      <c r="AF659" s="1"/>
      <c r="AG659" s="1"/>
      <c r="AH659" s="1" t="s">
        <v>5012</v>
      </c>
      <c r="AI659" s="1"/>
      <c r="AJ659" s="1" t="s">
        <v>4084</v>
      </c>
      <c r="AK659" s="1" t="s">
        <v>4085</v>
      </c>
      <c r="AL659" s="1"/>
      <c r="AM659" s="1" t="s">
        <v>5013</v>
      </c>
      <c r="AN659" s="1" t="s">
        <v>5014</v>
      </c>
      <c r="AO659" s="1"/>
      <c r="AP659" s="2" t="s">
        <v>5015</v>
      </c>
      <c r="AQ659" s="2" t="s">
        <v>1153</v>
      </c>
      <c r="AR659" s="1" t="s">
        <v>286</v>
      </c>
      <c r="AS659" s="1" t="s">
        <v>5016</v>
      </c>
      <c r="AT659" s="1" t="s">
        <v>5</v>
      </c>
    </row>
    <row r="660" spans="1:46" hidden="1" x14ac:dyDescent="0.4">
      <c r="A660" s="1" t="s">
        <v>4131</v>
      </c>
      <c r="B660" s="10"/>
      <c r="C660" s="1" t="s">
        <v>93</v>
      </c>
      <c r="D660" s="1" t="s">
        <v>2157</v>
      </c>
      <c r="E660" s="1" t="s">
        <v>2078</v>
      </c>
      <c r="F660" s="1" t="s">
        <v>14</v>
      </c>
      <c r="G660" s="1" t="s">
        <v>1</v>
      </c>
      <c r="H660" s="1" t="s">
        <v>6</v>
      </c>
      <c r="I660" s="1" t="s">
        <v>2</v>
      </c>
      <c r="J660" s="1" t="s">
        <v>3</v>
      </c>
      <c r="K660" s="1" t="s">
        <v>4132</v>
      </c>
      <c r="L660" s="1" t="s">
        <v>7</v>
      </c>
      <c r="M660" s="1"/>
      <c r="N660" s="1" t="s">
        <v>4133</v>
      </c>
      <c r="O660" s="1" t="s">
        <v>4134</v>
      </c>
      <c r="P660" s="1"/>
      <c r="Q660" s="1"/>
      <c r="R660" s="1" t="s">
        <v>11</v>
      </c>
      <c r="S660" s="1"/>
      <c r="T660" s="1"/>
      <c r="U660" s="1"/>
      <c r="V660" s="1"/>
      <c r="W660" s="1"/>
      <c r="X660" s="1"/>
      <c r="Y660" s="1"/>
      <c r="Z660" s="1"/>
      <c r="AA660" s="1"/>
      <c r="AB660" s="1" t="s">
        <v>4135</v>
      </c>
      <c r="AC660" s="1"/>
      <c r="AD660" s="1"/>
      <c r="AE660" s="1" t="s">
        <v>4136</v>
      </c>
      <c r="AF660" s="1"/>
      <c r="AG660" s="1"/>
      <c r="AH660" s="1" t="s">
        <v>4137</v>
      </c>
      <c r="AI660" s="1"/>
      <c r="AJ660" s="1" t="s">
        <v>4138</v>
      </c>
      <c r="AK660" s="1" t="s">
        <v>4139</v>
      </c>
      <c r="AL660" s="1" t="s">
        <v>4140</v>
      </c>
      <c r="AM660" s="1" t="s">
        <v>4138</v>
      </c>
      <c r="AN660" s="1" t="s">
        <v>4139</v>
      </c>
      <c r="AO660" s="1" t="s">
        <v>4140</v>
      </c>
      <c r="AP660" s="2" t="s">
        <v>4141</v>
      </c>
      <c r="AQ660" s="2" t="s">
        <v>1153</v>
      </c>
      <c r="AR660" s="1" t="s">
        <v>286</v>
      </c>
      <c r="AS660" s="1"/>
      <c r="AT660" s="1" t="s">
        <v>5</v>
      </c>
    </row>
    <row r="661" spans="1:46" hidden="1" x14ac:dyDescent="0.4">
      <c r="A661" s="1" t="s">
        <v>6697</v>
      </c>
      <c r="B661" s="10"/>
      <c r="C661" s="1" t="s">
        <v>0</v>
      </c>
      <c r="D661" s="1" t="s">
        <v>2290</v>
      </c>
      <c r="E661" s="1" t="s">
        <v>2291</v>
      </c>
      <c r="F661" s="1" t="s">
        <v>14</v>
      </c>
      <c r="G661" s="1" t="s">
        <v>1</v>
      </c>
      <c r="H661" s="1" t="s">
        <v>6</v>
      </c>
      <c r="I661" s="1" t="s">
        <v>2</v>
      </c>
      <c r="J661" s="1" t="s">
        <v>3</v>
      </c>
      <c r="K661" s="1" t="s">
        <v>6698</v>
      </c>
      <c r="L661" s="1" t="s">
        <v>7</v>
      </c>
      <c r="M661" s="1" t="s">
        <v>9</v>
      </c>
      <c r="N661" s="1" t="s">
        <v>6699</v>
      </c>
      <c r="O661" s="1" t="s">
        <v>3756</v>
      </c>
      <c r="P661" s="1"/>
      <c r="Q661" s="1"/>
      <c r="R661" s="1" t="s">
        <v>11</v>
      </c>
      <c r="S661" s="1"/>
      <c r="T661" s="1"/>
      <c r="U661" s="1"/>
      <c r="V661" s="1"/>
      <c r="W661" s="1"/>
      <c r="X661" s="1"/>
      <c r="Y661" s="1"/>
      <c r="Z661" s="1"/>
      <c r="AA661" s="1"/>
      <c r="AB661" s="1" t="s">
        <v>6700</v>
      </c>
      <c r="AC661" s="1"/>
      <c r="AD661" s="1"/>
      <c r="AE661" s="1" t="s">
        <v>6701</v>
      </c>
      <c r="AF661" s="1"/>
      <c r="AG661" s="1"/>
      <c r="AH661" s="1" t="s">
        <v>6702</v>
      </c>
      <c r="AI661" s="1"/>
      <c r="AJ661" s="1" t="s">
        <v>4272</v>
      </c>
      <c r="AK661" s="1" t="s">
        <v>4273</v>
      </c>
      <c r="AL661" s="1" t="s">
        <v>4274</v>
      </c>
      <c r="AM661" s="1" t="s">
        <v>4272</v>
      </c>
      <c r="AN661" s="1" t="s">
        <v>4273</v>
      </c>
      <c r="AO661" s="1" t="s">
        <v>4274</v>
      </c>
      <c r="AP661" s="2" t="s">
        <v>6703</v>
      </c>
      <c r="AQ661" s="2" t="s">
        <v>1154</v>
      </c>
      <c r="AR661" s="1" t="s">
        <v>287</v>
      </c>
      <c r="AS661" s="1"/>
      <c r="AT661" s="1" t="s">
        <v>5</v>
      </c>
    </row>
    <row r="662" spans="1:46" hidden="1" x14ac:dyDescent="0.4">
      <c r="A662" s="1" t="s">
        <v>6690</v>
      </c>
      <c r="B662" s="10"/>
      <c r="C662" s="1" t="s">
        <v>93</v>
      </c>
      <c r="D662" s="1" t="s">
        <v>2290</v>
      </c>
      <c r="E662" s="1" t="s">
        <v>2291</v>
      </c>
      <c r="F662" s="1" t="s">
        <v>14</v>
      </c>
      <c r="G662" s="1" t="s">
        <v>1</v>
      </c>
      <c r="H662" s="1" t="s">
        <v>6</v>
      </c>
      <c r="I662" s="1" t="s">
        <v>2</v>
      </c>
      <c r="J662" s="1" t="s">
        <v>3</v>
      </c>
      <c r="K662" s="1" t="s">
        <v>6691</v>
      </c>
      <c r="L662" s="1" t="s">
        <v>7</v>
      </c>
      <c r="M662" s="1"/>
      <c r="N662" s="1" t="s">
        <v>6692</v>
      </c>
      <c r="O662" s="1" t="s">
        <v>3756</v>
      </c>
      <c r="P662" s="1"/>
      <c r="Q662" s="1"/>
      <c r="R662" s="1" t="s">
        <v>11</v>
      </c>
      <c r="S662" s="1"/>
      <c r="T662" s="1"/>
      <c r="U662" s="1"/>
      <c r="V662" s="1"/>
      <c r="W662" s="1"/>
      <c r="X662" s="1"/>
      <c r="Y662" s="1"/>
      <c r="Z662" s="1"/>
      <c r="AA662" s="1"/>
      <c r="AB662" s="1" t="s">
        <v>6693</v>
      </c>
      <c r="AC662" s="1"/>
      <c r="AD662" s="1"/>
      <c r="AE662" s="1" t="s">
        <v>6694</v>
      </c>
      <c r="AF662" s="1"/>
      <c r="AG662" s="1"/>
      <c r="AH662" s="1" t="s">
        <v>6695</v>
      </c>
      <c r="AI662" s="1"/>
      <c r="AJ662" s="1" t="s">
        <v>4272</v>
      </c>
      <c r="AK662" s="1" t="s">
        <v>4273</v>
      </c>
      <c r="AL662" s="1" t="s">
        <v>4274</v>
      </c>
      <c r="AM662" s="1" t="s">
        <v>4272</v>
      </c>
      <c r="AN662" s="1" t="s">
        <v>4273</v>
      </c>
      <c r="AO662" s="1" t="s">
        <v>4274</v>
      </c>
      <c r="AP662" s="2" t="s">
        <v>6696</v>
      </c>
      <c r="AQ662" s="2" t="s">
        <v>1077</v>
      </c>
      <c r="AR662" s="1" t="s">
        <v>287</v>
      </c>
      <c r="AS662" s="1"/>
      <c r="AT662" s="1" t="s">
        <v>5</v>
      </c>
    </row>
    <row r="663" spans="1:46" hidden="1" x14ac:dyDescent="0.4">
      <c r="A663" s="1" t="s">
        <v>8265</v>
      </c>
      <c r="B663" s="10"/>
      <c r="C663" s="1" t="s">
        <v>93</v>
      </c>
      <c r="D663" s="1" t="s">
        <v>2290</v>
      </c>
      <c r="E663" s="1" t="s">
        <v>2291</v>
      </c>
      <c r="F663" s="1" t="s">
        <v>14</v>
      </c>
      <c r="G663" s="1" t="s">
        <v>1</v>
      </c>
      <c r="H663" s="1" t="s">
        <v>6</v>
      </c>
      <c r="I663" s="1" t="s">
        <v>2</v>
      </c>
      <c r="J663" s="1" t="s">
        <v>3</v>
      </c>
      <c r="K663" s="1" t="s">
        <v>8266</v>
      </c>
      <c r="L663" s="1" t="s">
        <v>7</v>
      </c>
      <c r="M663" s="1"/>
      <c r="N663" s="1" t="s">
        <v>8267</v>
      </c>
      <c r="O663" s="1" t="s">
        <v>3756</v>
      </c>
      <c r="P663" s="1"/>
      <c r="Q663" s="1"/>
      <c r="R663" s="1" t="s">
        <v>11</v>
      </c>
      <c r="S663" s="1"/>
      <c r="T663" s="1"/>
      <c r="U663" s="1"/>
      <c r="V663" s="1"/>
      <c r="W663" s="1" t="s">
        <v>6385</v>
      </c>
      <c r="X663" s="1"/>
      <c r="Y663" s="1"/>
      <c r="Z663" s="1"/>
      <c r="AA663" s="1"/>
      <c r="AB663" s="1" t="s">
        <v>8268</v>
      </c>
      <c r="AC663" s="1"/>
      <c r="AD663" s="1"/>
      <c r="AE663" s="1" t="s">
        <v>8072</v>
      </c>
      <c r="AF663" s="1"/>
      <c r="AG663" s="1"/>
      <c r="AH663" s="1" t="s">
        <v>8269</v>
      </c>
      <c r="AI663" s="1"/>
      <c r="AJ663" s="1" t="s">
        <v>5935</v>
      </c>
      <c r="AK663" s="1" t="s">
        <v>1787</v>
      </c>
      <c r="AL663" s="1" t="s">
        <v>5936</v>
      </c>
      <c r="AM663" s="1" t="s">
        <v>5935</v>
      </c>
      <c r="AN663" s="1" t="s">
        <v>1787</v>
      </c>
      <c r="AO663" s="1" t="s">
        <v>5936</v>
      </c>
      <c r="AP663" s="2" t="s">
        <v>8270</v>
      </c>
      <c r="AQ663" s="2" t="s">
        <v>1154</v>
      </c>
      <c r="AR663" s="1" t="s">
        <v>286</v>
      </c>
      <c r="AS663" s="1" t="s">
        <v>8271</v>
      </c>
      <c r="AT663" s="1" t="s">
        <v>5</v>
      </c>
    </row>
    <row r="664" spans="1:46" hidden="1" x14ac:dyDescent="0.4">
      <c r="A664" s="1" t="s">
        <v>8068</v>
      </c>
      <c r="B664" s="10"/>
      <c r="C664" s="1" t="s">
        <v>93</v>
      </c>
      <c r="D664" s="1" t="s">
        <v>2290</v>
      </c>
      <c r="E664" s="1" t="s">
        <v>2291</v>
      </c>
      <c r="F664" s="1" t="s">
        <v>14</v>
      </c>
      <c r="G664" s="1" t="s">
        <v>1</v>
      </c>
      <c r="H664" s="1" t="s">
        <v>6</v>
      </c>
      <c r="I664" s="1" t="s">
        <v>2</v>
      </c>
      <c r="J664" s="1" t="s">
        <v>3</v>
      </c>
      <c r="K664" s="1" t="s">
        <v>8069</v>
      </c>
      <c r="L664" s="1" t="s">
        <v>7</v>
      </c>
      <c r="M664" s="1"/>
      <c r="N664" s="1" t="s">
        <v>8070</v>
      </c>
      <c r="O664" s="1" t="s">
        <v>3756</v>
      </c>
      <c r="P664" s="1"/>
      <c r="Q664" s="1"/>
      <c r="R664" s="1" t="s">
        <v>11</v>
      </c>
      <c r="S664" s="1"/>
      <c r="T664" s="1"/>
      <c r="U664" s="1"/>
      <c r="V664" s="1"/>
      <c r="W664" s="1" t="s">
        <v>6385</v>
      </c>
      <c r="X664" s="1"/>
      <c r="Y664" s="1"/>
      <c r="Z664" s="1"/>
      <c r="AA664" s="1"/>
      <c r="AB664" s="1" t="s">
        <v>8071</v>
      </c>
      <c r="AC664" s="1"/>
      <c r="AD664" s="1"/>
      <c r="AE664" s="1" t="s">
        <v>8072</v>
      </c>
      <c r="AF664" s="1"/>
      <c r="AG664" s="1"/>
      <c r="AH664" s="1" t="s">
        <v>8073</v>
      </c>
      <c r="AI664" s="1"/>
      <c r="AJ664" s="1" t="s">
        <v>5935</v>
      </c>
      <c r="AK664" s="1" t="s">
        <v>1787</v>
      </c>
      <c r="AL664" s="1" t="s">
        <v>5936</v>
      </c>
      <c r="AM664" s="1" t="s">
        <v>5935</v>
      </c>
      <c r="AN664" s="1" t="s">
        <v>1787</v>
      </c>
      <c r="AO664" s="1" t="s">
        <v>5936</v>
      </c>
      <c r="AP664" s="2" t="s">
        <v>8074</v>
      </c>
      <c r="AQ664" s="2" t="s">
        <v>1154</v>
      </c>
      <c r="AR664" s="1" t="s">
        <v>286</v>
      </c>
      <c r="AS664" s="1"/>
      <c r="AT664" s="1" t="s">
        <v>5</v>
      </c>
    </row>
    <row r="665" spans="1:46" hidden="1" x14ac:dyDescent="0.4">
      <c r="A665" s="1" t="s">
        <v>9154</v>
      </c>
      <c r="B665" s="10"/>
      <c r="C665" s="1" t="s">
        <v>93</v>
      </c>
      <c r="D665" s="1" t="s">
        <v>2290</v>
      </c>
      <c r="E665" s="1" t="s">
        <v>2291</v>
      </c>
      <c r="F665" s="1" t="s">
        <v>14</v>
      </c>
      <c r="G665" s="1" t="s">
        <v>1</v>
      </c>
      <c r="H665" s="1" t="s">
        <v>6</v>
      </c>
      <c r="I665" s="1" t="s">
        <v>2</v>
      </c>
      <c r="J665" s="1" t="s">
        <v>3</v>
      </c>
      <c r="K665" s="1" t="s">
        <v>9155</v>
      </c>
      <c r="L665" s="1" t="s">
        <v>7</v>
      </c>
      <c r="M665" s="1"/>
      <c r="N665" s="1" t="s">
        <v>9156</v>
      </c>
      <c r="O665" s="1" t="s">
        <v>3756</v>
      </c>
      <c r="P665" s="1"/>
      <c r="Q665" s="1"/>
      <c r="R665" s="1" t="s">
        <v>11</v>
      </c>
      <c r="S665" s="1"/>
      <c r="T665" s="1"/>
      <c r="U665" s="1"/>
      <c r="V665" s="1"/>
      <c r="W665" s="1"/>
      <c r="X665" s="1"/>
      <c r="Y665" s="1"/>
      <c r="Z665" s="1"/>
      <c r="AA665" s="1"/>
      <c r="AB665" s="1" t="s">
        <v>9157</v>
      </c>
      <c r="AC665" s="1"/>
      <c r="AD665" s="1"/>
      <c r="AE665" s="1" t="s">
        <v>9158</v>
      </c>
      <c r="AF665" s="1"/>
      <c r="AG665" s="1"/>
      <c r="AH665" s="1" t="s">
        <v>9159</v>
      </c>
      <c r="AI665" s="1"/>
      <c r="AJ665" s="1" t="s">
        <v>8383</v>
      </c>
      <c r="AK665" s="1" t="s">
        <v>1787</v>
      </c>
      <c r="AL665" s="1" t="s">
        <v>8384</v>
      </c>
      <c r="AM665" s="1" t="s">
        <v>9160</v>
      </c>
      <c r="AN665" s="1" t="s">
        <v>1787</v>
      </c>
      <c r="AO665" s="1" t="s">
        <v>9161</v>
      </c>
      <c r="AP665" s="2" t="s">
        <v>9162</v>
      </c>
      <c r="AQ665" s="2" t="s">
        <v>1154</v>
      </c>
      <c r="AR665" s="1" t="s">
        <v>286</v>
      </c>
      <c r="AS665" s="1"/>
      <c r="AT665" s="1" t="s">
        <v>5</v>
      </c>
    </row>
    <row r="666" spans="1:46" hidden="1" x14ac:dyDescent="0.4">
      <c r="A666" s="1" t="s">
        <v>9182</v>
      </c>
      <c r="B666" s="10"/>
      <c r="C666" s="1" t="s">
        <v>93</v>
      </c>
      <c r="D666" s="1" t="s">
        <v>2290</v>
      </c>
      <c r="E666" s="1" t="s">
        <v>2291</v>
      </c>
      <c r="F666" s="1" t="s">
        <v>14</v>
      </c>
      <c r="G666" s="1" t="s">
        <v>1</v>
      </c>
      <c r="H666" s="1" t="s">
        <v>6</v>
      </c>
      <c r="I666" s="1" t="s">
        <v>2</v>
      </c>
      <c r="J666" s="1" t="s">
        <v>3</v>
      </c>
      <c r="K666" s="1" t="s">
        <v>9183</v>
      </c>
      <c r="L666" s="1" t="s">
        <v>7</v>
      </c>
      <c r="M666" s="1"/>
      <c r="N666" s="1" t="s">
        <v>9184</v>
      </c>
      <c r="O666" s="1" t="s">
        <v>3756</v>
      </c>
      <c r="P666" s="1"/>
      <c r="Q666" s="1"/>
      <c r="R666" s="1" t="s">
        <v>11</v>
      </c>
      <c r="S666" s="1"/>
      <c r="T666" s="1"/>
      <c r="U666" s="1"/>
      <c r="V666" s="1"/>
      <c r="W666" s="1"/>
      <c r="X666" s="1"/>
      <c r="Y666" s="1"/>
      <c r="Z666" s="1"/>
      <c r="AA666" s="1"/>
      <c r="AB666" s="1" t="s">
        <v>9185</v>
      </c>
      <c r="AC666" s="1"/>
      <c r="AD666" s="1"/>
      <c r="AE666" s="1" t="s">
        <v>9186</v>
      </c>
      <c r="AF666" s="1"/>
      <c r="AG666" s="1"/>
      <c r="AH666" s="1" t="s">
        <v>9187</v>
      </c>
      <c r="AI666" s="1"/>
      <c r="AJ666" s="1" t="s">
        <v>8383</v>
      </c>
      <c r="AK666" s="1" t="s">
        <v>1787</v>
      </c>
      <c r="AL666" s="1" t="s">
        <v>8384</v>
      </c>
      <c r="AM666" s="1" t="s">
        <v>9160</v>
      </c>
      <c r="AN666" s="1" t="s">
        <v>1787</v>
      </c>
      <c r="AO666" s="1" t="s">
        <v>9161</v>
      </c>
      <c r="AP666" s="2" t="s">
        <v>9188</v>
      </c>
      <c r="AQ666" s="2" t="s">
        <v>1154</v>
      </c>
      <c r="AR666" s="1" t="s">
        <v>286</v>
      </c>
      <c r="AS666" s="1" t="s">
        <v>9189</v>
      </c>
      <c r="AT666" s="1" t="s">
        <v>5</v>
      </c>
    </row>
    <row r="667" spans="1:46" hidden="1" x14ac:dyDescent="0.4">
      <c r="A667" s="1" t="s">
        <v>8695</v>
      </c>
      <c r="B667" s="10"/>
      <c r="C667" s="1" t="s">
        <v>0</v>
      </c>
      <c r="D667" s="1" t="s">
        <v>2157</v>
      </c>
      <c r="E667" s="1" t="s">
        <v>2078</v>
      </c>
      <c r="F667" s="1" t="s">
        <v>14</v>
      </c>
      <c r="G667" s="1" t="s">
        <v>1</v>
      </c>
      <c r="H667" s="1" t="s">
        <v>6</v>
      </c>
      <c r="I667" s="1" t="s">
        <v>2</v>
      </c>
      <c r="J667" s="1" t="s">
        <v>3</v>
      </c>
      <c r="K667" s="1" t="s">
        <v>8696</v>
      </c>
      <c r="L667" s="1" t="s">
        <v>7</v>
      </c>
      <c r="M667" s="1"/>
      <c r="N667" s="1" t="s">
        <v>8697</v>
      </c>
      <c r="O667" s="1" t="s">
        <v>5542</v>
      </c>
      <c r="P667" s="1"/>
      <c r="Q667" s="1"/>
      <c r="R667" s="1" t="s">
        <v>11</v>
      </c>
      <c r="S667" s="1"/>
      <c r="T667" s="1"/>
      <c r="U667" s="1"/>
      <c r="V667" s="1"/>
      <c r="W667" s="1" t="s">
        <v>8698</v>
      </c>
      <c r="X667" s="1" t="s">
        <v>8699</v>
      </c>
      <c r="Y667" s="1"/>
      <c r="Z667" s="1"/>
      <c r="AA667" s="1"/>
      <c r="AB667" s="1" t="s">
        <v>8700</v>
      </c>
      <c r="AC667" s="1"/>
      <c r="AD667" s="1"/>
      <c r="AE667" s="1" t="s">
        <v>8701</v>
      </c>
      <c r="AF667" s="1"/>
      <c r="AG667" s="1"/>
      <c r="AH667" s="1" t="s">
        <v>8702</v>
      </c>
      <c r="AI667" s="1"/>
      <c r="AJ667" s="1" t="s">
        <v>1528</v>
      </c>
      <c r="AK667" s="1" t="s">
        <v>279</v>
      </c>
      <c r="AL667" s="1" t="s">
        <v>1529</v>
      </c>
      <c r="AM667" s="1" t="s">
        <v>8703</v>
      </c>
      <c r="AN667" s="1" t="s">
        <v>279</v>
      </c>
      <c r="AO667" s="1" t="s">
        <v>8704</v>
      </c>
      <c r="AP667" s="2" t="s">
        <v>8705</v>
      </c>
      <c r="AQ667" s="2" t="s">
        <v>1154</v>
      </c>
      <c r="AR667" s="1" t="s">
        <v>286</v>
      </c>
      <c r="AS667" s="1" t="s">
        <v>8706</v>
      </c>
      <c r="AT667" s="1" t="s">
        <v>5</v>
      </c>
    </row>
    <row r="668" spans="1:46" hidden="1" x14ac:dyDescent="0.4">
      <c r="A668" s="1" t="s">
        <v>6460</v>
      </c>
      <c r="B668" s="10"/>
      <c r="C668" s="1" t="s">
        <v>6443</v>
      </c>
      <c r="D668" s="1" t="s">
        <v>2211</v>
      </c>
      <c r="E668" s="1" t="s">
        <v>2078</v>
      </c>
      <c r="F668" s="1" t="s">
        <v>14</v>
      </c>
      <c r="G668" s="1" t="s">
        <v>1</v>
      </c>
      <c r="H668" s="1" t="s">
        <v>6</v>
      </c>
      <c r="I668" s="1" t="s">
        <v>2</v>
      </c>
      <c r="J668" s="1" t="s">
        <v>3</v>
      </c>
      <c r="K668" s="1" t="s">
        <v>6461</v>
      </c>
      <c r="L668" s="1" t="s">
        <v>7</v>
      </c>
      <c r="M668" s="1"/>
      <c r="N668" s="1" t="s">
        <v>6462</v>
      </c>
      <c r="O668" s="1" t="s">
        <v>6463</v>
      </c>
      <c r="P668" s="1"/>
      <c r="Q668" s="1"/>
      <c r="R668" s="1" t="s">
        <v>11</v>
      </c>
      <c r="S668" s="1"/>
      <c r="T668" s="1"/>
      <c r="U668" s="1"/>
      <c r="V668" s="1"/>
      <c r="W668" s="1" t="s">
        <v>6464</v>
      </c>
      <c r="X668" s="1"/>
      <c r="Y668" s="1"/>
      <c r="Z668" s="1"/>
      <c r="AA668" s="1"/>
      <c r="AB668" s="1" t="s">
        <v>6465</v>
      </c>
      <c r="AC668" s="1"/>
      <c r="AD668" s="1"/>
      <c r="AE668" s="1" t="s">
        <v>6466</v>
      </c>
      <c r="AF668" s="1"/>
      <c r="AG668" s="1"/>
      <c r="AH668" s="1" t="s">
        <v>6467</v>
      </c>
      <c r="AI668" s="1"/>
      <c r="AJ668" s="1" t="s">
        <v>6451</v>
      </c>
      <c r="AK668" s="1" t="s">
        <v>6452</v>
      </c>
      <c r="AL668" s="1" t="s">
        <v>6453</v>
      </c>
      <c r="AM668" s="1" t="s">
        <v>6451</v>
      </c>
      <c r="AN668" s="1" t="s">
        <v>6452</v>
      </c>
      <c r="AO668" s="1" t="s">
        <v>6453</v>
      </c>
      <c r="AP668" s="2" t="s">
        <v>6468</v>
      </c>
      <c r="AQ668" s="2" t="s">
        <v>1077</v>
      </c>
      <c r="AR668" s="1" t="s">
        <v>286</v>
      </c>
      <c r="AS668" s="1"/>
      <c r="AT668" s="1" t="s">
        <v>5</v>
      </c>
    </row>
    <row r="669" spans="1:46" hidden="1" x14ac:dyDescent="0.4">
      <c r="A669" s="1" t="s">
        <v>8623</v>
      </c>
      <c r="B669" s="10"/>
      <c r="C669" s="1" t="s">
        <v>6443</v>
      </c>
      <c r="D669" s="1" t="s">
        <v>2688</v>
      </c>
      <c r="E669" s="1" t="s">
        <v>3289</v>
      </c>
      <c r="F669" s="1" t="s">
        <v>2690</v>
      </c>
      <c r="G669" s="1" t="s">
        <v>1</v>
      </c>
      <c r="H669" s="1" t="s">
        <v>6</v>
      </c>
      <c r="I669" s="1" t="s">
        <v>2</v>
      </c>
      <c r="J669" s="1" t="s">
        <v>3</v>
      </c>
      <c r="K669" s="1" t="s">
        <v>8624</v>
      </c>
      <c r="L669" s="1" t="s">
        <v>4</v>
      </c>
      <c r="M669" s="1"/>
      <c r="N669" s="1" t="s">
        <v>8625</v>
      </c>
      <c r="O669" s="1" t="s">
        <v>6212</v>
      </c>
      <c r="P669" s="1"/>
      <c r="Q669" s="1"/>
      <c r="R669" s="1" t="s">
        <v>11</v>
      </c>
      <c r="S669" s="1"/>
      <c r="T669" s="1"/>
      <c r="U669" s="1"/>
      <c r="V669" s="1"/>
      <c r="W669" s="1" t="s">
        <v>8626</v>
      </c>
      <c r="X669" s="1" t="s">
        <v>8627</v>
      </c>
      <c r="Y669" s="1"/>
      <c r="Z669" s="1"/>
      <c r="AA669" s="1"/>
      <c r="AB669" s="1" t="s">
        <v>8628</v>
      </c>
      <c r="AC669" s="1"/>
      <c r="AD669" s="1"/>
      <c r="AE669" s="1" t="s">
        <v>8629</v>
      </c>
      <c r="AF669" s="1"/>
      <c r="AG669" s="1"/>
      <c r="AH669" s="1" t="s">
        <v>8630</v>
      </c>
      <c r="AI669" s="1"/>
      <c r="AJ669" s="1" t="s">
        <v>8631</v>
      </c>
      <c r="AK669" s="1" t="s">
        <v>6452</v>
      </c>
      <c r="AL669" s="1" t="s">
        <v>8632</v>
      </c>
      <c r="AM669" s="1" t="s">
        <v>8631</v>
      </c>
      <c r="AN669" s="1" t="s">
        <v>6452</v>
      </c>
      <c r="AO669" s="1" t="s">
        <v>8632</v>
      </c>
      <c r="AP669" s="2" t="s">
        <v>8633</v>
      </c>
      <c r="AQ669" s="2" t="s">
        <v>1154</v>
      </c>
      <c r="AR669" s="1" t="s">
        <v>287</v>
      </c>
      <c r="AS669" s="1"/>
      <c r="AT669" s="1" t="s">
        <v>5</v>
      </c>
    </row>
    <row r="670" spans="1:46" hidden="1" x14ac:dyDescent="0.4">
      <c r="A670" s="1" t="s">
        <v>10318</v>
      </c>
      <c r="B670" s="10"/>
      <c r="C670" s="1" t="s">
        <v>93</v>
      </c>
      <c r="D670" s="1" t="s">
        <v>2211</v>
      </c>
      <c r="E670" s="1" t="s">
        <v>2078</v>
      </c>
      <c r="F670" s="1" t="s">
        <v>14</v>
      </c>
      <c r="G670" s="1" t="s">
        <v>1</v>
      </c>
      <c r="H670" s="1" t="s">
        <v>6</v>
      </c>
      <c r="I670" s="1" t="s">
        <v>2</v>
      </c>
      <c r="J670" s="1" t="s">
        <v>3</v>
      </c>
      <c r="K670" s="1" t="s">
        <v>10319</v>
      </c>
      <c r="L670" s="1" t="s">
        <v>7</v>
      </c>
      <c r="M670" s="1"/>
      <c r="N670" s="1" t="s">
        <v>10320</v>
      </c>
      <c r="O670" s="1" t="s">
        <v>10321</v>
      </c>
      <c r="P670" s="1"/>
      <c r="Q670" s="1"/>
      <c r="R670" s="1" t="s">
        <v>11</v>
      </c>
      <c r="S670" s="1"/>
      <c r="T670" s="1"/>
      <c r="U670" s="1"/>
      <c r="V670" s="1"/>
      <c r="W670" s="1" t="s">
        <v>10322</v>
      </c>
      <c r="X670" s="1"/>
      <c r="Y670" s="1"/>
      <c r="Z670" s="1"/>
      <c r="AA670" s="1"/>
      <c r="AB670" s="1" t="s">
        <v>10323</v>
      </c>
      <c r="AC670" s="1"/>
      <c r="AD670" s="1"/>
      <c r="AE670" s="1" t="s">
        <v>10324</v>
      </c>
      <c r="AF670" s="1"/>
      <c r="AG670" s="1"/>
      <c r="AH670" s="1" t="s">
        <v>10325</v>
      </c>
      <c r="AI670" s="1"/>
      <c r="AJ670" s="1" t="s">
        <v>5667</v>
      </c>
      <c r="AK670" s="1" t="s">
        <v>5668</v>
      </c>
      <c r="AL670" s="1" t="s">
        <v>5669</v>
      </c>
      <c r="AM670" s="1" t="s">
        <v>5667</v>
      </c>
      <c r="AN670" s="1" t="s">
        <v>5668</v>
      </c>
      <c r="AO670" s="1" t="s">
        <v>5669</v>
      </c>
      <c r="AP670" s="2" t="s">
        <v>10326</v>
      </c>
      <c r="AQ670" s="2" t="s">
        <v>1155</v>
      </c>
      <c r="AR670" s="1" t="s">
        <v>286</v>
      </c>
      <c r="AS670" s="1" t="s">
        <v>10307</v>
      </c>
      <c r="AT670" s="1" t="s">
        <v>5</v>
      </c>
    </row>
    <row r="671" spans="1:46" hidden="1" x14ac:dyDescent="0.4">
      <c r="A671" s="1" t="s">
        <v>9138</v>
      </c>
      <c r="B671" s="10"/>
      <c r="C671" s="1" t="s">
        <v>93</v>
      </c>
      <c r="D671" s="1" t="s">
        <v>2211</v>
      </c>
      <c r="E671" s="1" t="s">
        <v>2078</v>
      </c>
      <c r="F671" s="1" t="s">
        <v>14</v>
      </c>
      <c r="G671" s="1" t="s">
        <v>1</v>
      </c>
      <c r="H671" s="1" t="s">
        <v>6</v>
      </c>
      <c r="I671" s="1" t="s">
        <v>2</v>
      </c>
      <c r="J671" s="1" t="s">
        <v>3</v>
      </c>
      <c r="K671" s="1" t="s">
        <v>9139</v>
      </c>
      <c r="L671" s="1" t="s">
        <v>7</v>
      </c>
      <c r="M671" s="1"/>
      <c r="N671" s="1" t="s">
        <v>9140</v>
      </c>
      <c r="O671" s="1" t="s">
        <v>3928</v>
      </c>
      <c r="P671" s="1"/>
      <c r="Q671" s="1"/>
      <c r="R671" s="1" t="s">
        <v>11</v>
      </c>
      <c r="S671" s="1"/>
      <c r="T671" s="1"/>
      <c r="U671" s="1"/>
      <c r="V671" s="1"/>
      <c r="W671" s="1" t="s">
        <v>9141</v>
      </c>
      <c r="X671" s="1"/>
      <c r="Y671" s="1"/>
      <c r="Z671" s="1"/>
      <c r="AA671" s="1"/>
      <c r="AB671" s="1" t="s">
        <v>9142</v>
      </c>
      <c r="AC671" s="1"/>
      <c r="AD671" s="1"/>
      <c r="AE671" s="1" t="s">
        <v>5665</v>
      </c>
      <c r="AF671" s="1"/>
      <c r="AG671" s="1"/>
      <c r="AH671" s="1" t="s">
        <v>9143</v>
      </c>
      <c r="AI671" s="1"/>
      <c r="AJ671" s="1" t="s">
        <v>3932</v>
      </c>
      <c r="AK671" s="1" t="s">
        <v>3933</v>
      </c>
      <c r="AL671" s="1" t="s">
        <v>3934</v>
      </c>
      <c r="AM671" s="1" t="s">
        <v>3932</v>
      </c>
      <c r="AN671" s="1" t="s">
        <v>3933</v>
      </c>
      <c r="AO671" s="1" t="s">
        <v>3934</v>
      </c>
      <c r="AP671" s="2" t="s">
        <v>9144</v>
      </c>
      <c r="AQ671" s="2" t="s">
        <v>1154</v>
      </c>
      <c r="AR671" s="1" t="s">
        <v>286</v>
      </c>
      <c r="AS671" s="1"/>
      <c r="AT671" s="1" t="s">
        <v>5</v>
      </c>
    </row>
    <row r="672" spans="1:46" hidden="1" x14ac:dyDescent="0.4">
      <c r="A672" s="1" t="s">
        <v>6959</v>
      </c>
      <c r="B672" s="10"/>
      <c r="C672" s="1" t="s">
        <v>93</v>
      </c>
      <c r="D672" s="1" t="s">
        <v>2157</v>
      </c>
      <c r="E672" s="1" t="s">
        <v>2078</v>
      </c>
      <c r="F672" s="1" t="s">
        <v>14</v>
      </c>
      <c r="G672" s="1" t="s">
        <v>1</v>
      </c>
      <c r="H672" s="1" t="s">
        <v>6</v>
      </c>
      <c r="I672" s="1" t="s">
        <v>2</v>
      </c>
      <c r="J672" s="1" t="s">
        <v>3</v>
      </c>
      <c r="K672" s="1" t="s">
        <v>6960</v>
      </c>
      <c r="L672" s="1" t="s">
        <v>7</v>
      </c>
      <c r="M672" s="1"/>
      <c r="N672" s="1" t="s">
        <v>6961</v>
      </c>
      <c r="O672" s="1" t="s">
        <v>6962</v>
      </c>
      <c r="P672" s="1"/>
      <c r="Q672" s="1"/>
      <c r="R672" s="1" t="s">
        <v>11</v>
      </c>
      <c r="S672" s="1"/>
      <c r="T672" s="1"/>
      <c r="U672" s="1"/>
      <c r="V672" s="1"/>
      <c r="W672" s="1" t="s">
        <v>6963</v>
      </c>
      <c r="X672" s="1"/>
      <c r="Y672" s="1"/>
      <c r="Z672" s="1"/>
      <c r="AA672" s="1"/>
      <c r="AB672" s="1" t="s">
        <v>6964</v>
      </c>
      <c r="AC672" s="1"/>
      <c r="AD672" s="1"/>
      <c r="AE672" s="1" t="s">
        <v>6965</v>
      </c>
      <c r="AF672" s="1"/>
      <c r="AG672" s="1"/>
      <c r="AH672" s="1" t="s">
        <v>6966</v>
      </c>
      <c r="AI672" s="1"/>
      <c r="AJ672" s="1" t="s">
        <v>6849</v>
      </c>
      <c r="AK672" s="1" t="s">
        <v>329</v>
      </c>
      <c r="AL672" s="1" t="s">
        <v>6850</v>
      </c>
      <c r="AM672" s="1" t="s">
        <v>6967</v>
      </c>
      <c r="AN672" s="1" t="s">
        <v>6968</v>
      </c>
      <c r="AO672" s="1" t="s">
        <v>6969</v>
      </c>
      <c r="AP672" s="2" t="s">
        <v>6970</v>
      </c>
      <c r="AQ672" s="2" t="s">
        <v>1077</v>
      </c>
      <c r="AR672" s="1" t="s">
        <v>286</v>
      </c>
      <c r="AS672" s="1"/>
      <c r="AT672" s="1" t="s">
        <v>5</v>
      </c>
    </row>
    <row r="673" spans="1:46" hidden="1" x14ac:dyDescent="0.4">
      <c r="A673" s="1" t="s">
        <v>9366</v>
      </c>
      <c r="B673" s="10"/>
      <c r="C673" s="1" t="s">
        <v>0</v>
      </c>
      <c r="D673" s="1" t="s">
        <v>2157</v>
      </c>
      <c r="E673" s="1" t="s">
        <v>2078</v>
      </c>
      <c r="F673" s="1" t="s">
        <v>14</v>
      </c>
      <c r="G673" s="1" t="s">
        <v>1</v>
      </c>
      <c r="H673" s="1" t="s">
        <v>6</v>
      </c>
      <c r="I673" s="1" t="s">
        <v>2</v>
      </c>
      <c r="J673" s="1" t="s">
        <v>3</v>
      </c>
      <c r="K673" s="1" t="s">
        <v>9367</v>
      </c>
      <c r="L673" s="1" t="s">
        <v>7</v>
      </c>
      <c r="M673" s="1" t="s">
        <v>9</v>
      </c>
      <c r="N673" s="1" t="s">
        <v>9368</v>
      </c>
      <c r="O673" s="1" t="s">
        <v>9369</v>
      </c>
      <c r="P673" s="1"/>
      <c r="Q673" s="1"/>
      <c r="R673" s="1" t="s">
        <v>11</v>
      </c>
      <c r="S673" s="1"/>
      <c r="T673" s="1"/>
      <c r="U673" s="1"/>
      <c r="V673" s="1"/>
      <c r="W673" s="1" t="s">
        <v>9370</v>
      </c>
      <c r="X673" s="1"/>
      <c r="Y673" s="1"/>
      <c r="Z673" s="1"/>
      <c r="AA673" s="1"/>
      <c r="AB673" s="1" t="s">
        <v>9371</v>
      </c>
      <c r="AC673" s="1"/>
      <c r="AD673" s="1"/>
      <c r="AE673" s="1" t="s">
        <v>9372</v>
      </c>
      <c r="AF673" s="1"/>
      <c r="AG673" s="1"/>
      <c r="AH673" s="1" t="s">
        <v>9373</v>
      </c>
      <c r="AI673" s="1"/>
      <c r="AJ673" s="1" t="s">
        <v>9374</v>
      </c>
      <c r="AK673" s="1" t="s">
        <v>3805</v>
      </c>
      <c r="AL673" s="1" t="s">
        <v>9375</v>
      </c>
      <c r="AM673" s="1" t="s">
        <v>9374</v>
      </c>
      <c r="AN673" s="1" t="s">
        <v>3805</v>
      </c>
      <c r="AO673" s="1" t="s">
        <v>9375</v>
      </c>
      <c r="AP673" s="2" t="s">
        <v>9376</v>
      </c>
      <c r="AQ673" s="2" t="s">
        <v>1154</v>
      </c>
      <c r="AR673" s="1" t="s">
        <v>286</v>
      </c>
      <c r="AS673" s="1"/>
      <c r="AT673" s="1" t="s">
        <v>5</v>
      </c>
    </row>
    <row r="674" spans="1:46" hidden="1" x14ac:dyDescent="0.4">
      <c r="A674" s="1" t="s">
        <v>9759</v>
      </c>
      <c r="B674" s="10"/>
      <c r="C674" s="1" t="s">
        <v>0</v>
      </c>
      <c r="D674" s="1" t="s">
        <v>2076</v>
      </c>
      <c r="E674" s="1" t="s">
        <v>2078</v>
      </c>
      <c r="F674" s="1" t="s">
        <v>14</v>
      </c>
      <c r="G674" s="1" t="s">
        <v>1</v>
      </c>
      <c r="H674" s="1" t="s">
        <v>6</v>
      </c>
      <c r="I674" s="1" t="s">
        <v>2</v>
      </c>
      <c r="J674" s="1" t="s">
        <v>3</v>
      </c>
      <c r="K674" s="1" t="s">
        <v>9760</v>
      </c>
      <c r="L674" s="1" t="s">
        <v>7</v>
      </c>
      <c r="M674" s="1" t="s">
        <v>9</v>
      </c>
      <c r="N674" s="1" t="s">
        <v>9761</v>
      </c>
      <c r="O674" s="1" t="s">
        <v>9762</v>
      </c>
      <c r="P674" s="1"/>
      <c r="Q674" s="1"/>
      <c r="R674" s="1" t="s">
        <v>11</v>
      </c>
      <c r="S674" s="1"/>
      <c r="T674" s="1"/>
      <c r="U674" s="1"/>
      <c r="V674" s="1"/>
      <c r="W674" s="1" t="s">
        <v>9763</v>
      </c>
      <c r="X674" s="1" t="s">
        <v>9764</v>
      </c>
      <c r="Y674" s="1"/>
      <c r="Z674" s="1"/>
      <c r="AA674" s="1"/>
      <c r="AB674" s="1" t="s">
        <v>9765</v>
      </c>
      <c r="AC674" s="1"/>
      <c r="AD674" s="1"/>
      <c r="AE674" s="1" t="s">
        <v>9766</v>
      </c>
      <c r="AF674" s="1"/>
      <c r="AG674" s="1"/>
      <c r="AH674" s="1" t="s">
        <v>9767</v>
      </c>
      <c r="AI674" s="1"/>
      <c r="AJ674" s="1" t="s">
        <v>1835</v>
      </c>
      <c r="AK674" s="1" t="s">
        <v>1836</v>
      </c>
      <c r="AL674" s="1" t="s">
        <v>1837</v>
      </c>
      <c r="AM674" s="1" t="s">
        <v>9768</v>
      </c>
      <c r="AN674" s="1" t="s">
        <v>1839</v>
      </c>
      <c r="AO674" s="1"/>
      <c r="AP674" s="2" t="s">
        <v>9769</v>
      </c>
      <c r="AQ674" s="2" t="s">
        <v>1155</v>
      </c>
      <c r="AR674" s="1" t="s">
        <v>286</v>
      </c>
      <c r="AS674" s="1" t="s">
        <v>9770</v>
      </c>
      <c r="AT674" s="1" t="s">
        <v>5</v>
      </c>
    </row>
    <row r="675" spans="1:46" hidden="1" x14ac:dyDescent="0.4">
      <c r="A675" s="1" t="s">
        <v>6874</v>
      </c>
      <c r="B675" s="10"/>
      <c r="C675" s="1" t="s">
        <v>6443</v>
      </c>
      <c r="D675" s="1" t="s">
        <v>2157</v>
      </c>
      <c r="E675" s="1" t="s">
        <v>2078</v>
      </c>
      <c r="F675" s="1" t="s">
        <v>14</v>
      </c>
      <c r="G675" s="1" t="s">
        <v>1</v>
      </c>
      <c r="H675" s="1" t="s">
        <v>6</v>
      </c>
      <c r="I675" s="1" t="s">
        <v>2</v>
      </c>
      <c r="J675" s="1" t="s">
        <v>3</v>
      </c>
      <c r="K675" s="1" t="s">
        <v>6875</v>
      </c>
      <c r="L675" s="1" t="s">
        <v>7</v>
      </c>
      <c r="M675" s="1"/>
      <c r="N675" s="1" t="s">
        <v>6876</v>
      </c>
      <c r="O675" s="1" t="s">
        <v>6869</v>
      </c>
      <c r="P675" s="1"/>
      <c r="Q675" s="1"/>
      <c r="R675" s="1" t="s">
        <v>11</v>
      </c>
      <c r="S675" s="1"/>
      <c r="T675" s="1"/>
      <c r="U675" s="1"/>
      <c r="V675" s="1"/>
      <c r="W675" s="1"/>
      <c r="X675" s="1"/>
      <c r="Y675" s="1"/>
      <c r="Z675" s="1"/>
      <c r="AA675" s="1"/>
      <c r="AB675" s="1" t="s">
        <v>6877</v>
      </c>
      <c r="AC675" s="1"/>
      <c r="AD675" s="1"/>
      <c r="AE675" s="1" t="s">
        <v>6878</v>
      </c>
      <c r="AF675" s="1"/>
      <c r="AG675" s="1"/>
      <c r="AH675" s="1" t="s">
        <v>6879</v>
      </c>
      <c r="AI675" s="1"/>
      <c r="AJ675" s="1" t="s">
        <v>6451</v>
      </c>
      <c r="AK675" s="1" t="s">
        <v>6452</v>
      </c>
      <c r="AL675" s="1" t="s">
        <v>6453</v>
      </c>
      <c r="AM675" s="1" t="s">
        <v>6451</v>
      </c>
      <c r="AN675" s="1" t="s">
        <v>6452</v>
      </c>
      <c r="AO675" s="1" t="s">
        <v>6453</v>
      </c>
      <c r="AP675" s="2" t="s">
        <v>6880</v>
      </c>
      <c r="AQ675" s="2" t="s">
        <v>1077</v>
      </c>
      <c r="AR675" s="1" t="s">
        <v>286</v>
      </c>
      <c r="AS675" s="1"/>
      <c r="AT675" s="1" t="s">
        <v>5</v>
      </c>
    </row>
    <row r="676" spans="1:46" hidden="1" x14ac:dyDescent="0.4">
      <c r="A676" s="1" t="s">
        <v>6866</v>
      </c>
      <c r="B676" s="10"/>
      <c r="C676" s="1" t="s">
        <v>6443</v>
      </c>
      <c r="D676" s="1" t="s">
        <v>2157</v>
      </c>
      <c r="E676" s="1" t="s">
        <v>2078</v>
      </c>
      <c r="F676" s="1" t="s">
        <v>14</v>
      </c>
      <c r="G676" s="1" t="s">
        <v>1</v>
      </c>
      <c r="H676" s="1" t="s">
        <v>6</v>
      </c>
      <c r="I676" s="1" t="s">
        <v>2</v>
      </c>
      <c r="J676" s="1" t="s">
        <v>3</v>
      </c>
      <c r="K676" s="1" t="s">
        <v>6867</v>
      </c>
      <c r="L676" s="1" t="s">
        <v>7</v>
      </c>
      <c r="M676" s="1"/>
      <c r="N676" s="1" t="s">
        <v>6868</v>
      </c>
      <c r="O676" s="1" t="s">
        <v>6869</v>
      </c>
      <c r="P676" s="1"/>
      <c r="Q676" s="1"/>
      <c r="R676" s="1" t="s">
        <v>11</v>
      </c>
      <c r="S676" s="1"/>
      <c r="T676" s="1"/>
      <c r="U676" s="1"/>
      <c r="V676" s="1"/>
      <c r="W676" s="1"/>
      <c r="X676" s="1"/>
      <c r="Y676" s="1"/>
      <c r="Z676" s="1"/>
      <c r="AA676" s="1"/>
      <c r="AB676" s="1" t="s">
        <v>6870</v>
      </c>
      <c r="AC676" s="1"/>
      <c r="AD676" s="1"/>
      <c r="AE676" s="1" t="s">
        <v>6871</v>
      </c>
      <c r="AF676" s="1"/>
      <c r="AG676" s="1"/>
      <c r="AH676" s="1" t="s">
        <v>6872</v>
      </c>
      <c r="AI676" s="1"/>
      <c r="AJ676" s="1" t="s">
        <v>6451</v>
      </c>
      <c r="AK676" s="1" t="s">
        <v>6452</v>
      </c>
      <c r="AL676" s="1" t="s">
        <v>6453</v>
      </c>
      <c r="AM676" s="1" t="s">
        <v>6451</v>
      </c>
      <c r="AN676" s="1" t="s">
        <v>6452</v>
      </c>
      <c r="AO676" s="1" t="s">
        <v>6453</v>
      </c>
      <c r="AP676" s="2" t="s">
        <v>6873</v>
      </c>
      <c r="AQ676" s="2" t="s">
        <v>1077</v>
      </c>
      <c r="AR676" s="1" t="s">
        <v>286</v>
      </c>
      <c r="AS676" s="1"/>
      <c r="AT676" s="1" t="s">
        <v>5</v>
      </c>
    </row>
    <row r="677" spans="1:46" hidden="1" x14ac:dyDescent="0.4">
      <c r="A677" s="1" t="s">
        <v>3410</v>
      </c>
      <c r="B677" s="10"/>
      <c r="C677" s="1" t="s">
        <v>2705</v>
      </c>
      <c r="D677" s="1" t="s">
        <v>2157</v>
      </c>
      <c r="E677" s="1" t="s">
        <v>2078</v>
      </c>
      <c r="F677" s="1" t="s">
        <v>14</v>
      </c>
      <c r="G677" s="1" t="s">
        <v>1</v>
      </c>
      <c r="H677" s="1" t="s">
        <v>6</v>
      </c>
      <c r="I677" s="1" t="s">
        <v>2</v>
      </c>
      <c r="J677" s="1" t="s">
        <v>2813</v>
      </c>
      <c r="K677" s="1" t="s">
        <v>3411</v>
      </c>
      <c r="L677" s="1" t="s">
        <v>7</v>
      </c>
      <c r="M677" s="1" t="s">
        <v>9</v>
      </c>
      <c r="N677" s="1" t="s">
        <v>3412</v>
      </c>
      <c r="O677" s="1" t="s">
        <v>3413</v>
      </c>
      <c r="P677" s="1"/>
      <c r="Q677" s="1"/>
      <c r="R677" s="1" t="s">
        <v>11</v>
      </c>
      <c r="S677" s="1"/>
      <c r="T677" s="1"/>
      <c r="U677" s="1"/>
      <c r="V677" s="1"/>
      <c r="W677" s="1"/>
      <c r="X677" s="1" t="s">
        <v>3414</v>
      </c>
      <c r="Y677" s="1"/>
      <c r="Z677" s="1"/>
      <c r="AA677" s="1"/>
      <c r="AB677" s="1" t="s">
        <v>3415</v>
      </c>
      <c r="AC677" s="1"/>
      <c r="AD677" s="1"/>
      <c r="AE677" s="1" t="s">
        <v>3416</v>
      </c>
      <c r="AF677" s="1"/>
      <c r="AG677" s="1"/>
      <c r="AH677" s="1" t="s">
        <v>3417</v>
      </c>
      <c r="AI677" s="1"/>
      <c r="AJ677" s="1" t="s">
        <v>3418</v>
      </c>
      <c r="AK677" s="1" t="s">
        <v>3419</v>
      </c>
      <c r="AL677" s="1" t="s">
        <v>3420</v>
      </c>
      <c r="AM677" s="1" t="s">
        <v>3418</v>
      </c>
      <c r="AN677" s="1" t="s">
        <v>3419</v>
      </c>
      <c r="AO677" s="1" t="s">
        <v>3420</v>
      </c>
      <c r="AP677" s="2" t="s">
        <v>3421</v>
      </c>
      <c r="AQ677" s="2" t="s">
        <v>1155</v>
      </c>
      <c r="AR677" s="1"/>
      <c r="AS677" s="1" t="s">
        <v>3422</v>
      </c>
      <c r="AT677" s="1" t="s">
        <v>5</v>
      </c>
    </row>
    <row r="678" spans="1:46" hidden="1" x14ac:dyDescent="0.4">
      <c r="A678" s="1" t="s">
        <v>10327</v>
      </c>
      <c r="B678" s="10"/>
      <c r="C678" s="1" t="s">
        <v>93</v>
      </c>
      <c r="D678" s="1" t="s">
        <v>2157</v>
      </c>
      <c r="E678" s="1" t="s">
        <v>2078</v>
      </c>
      <c r="F678" s="1" t="s">
        <v>14</v>
      </c>
      <c r="G678" s="1" t="s">
        <v>1</v>
      </c>
      <c r="H678" s="1" t="s">
        <v>6</v>
      </c>
      <c r="I678" s="1" t="s">
        <v>2</v>
      </c>
      <c r="J678" s="1" t="s">
        <v>3</v>
      </c>
      <c r="K678" s="1" t="s">
        <v>10328</v>
      </c>
      <c r="L678" s="1" t="s">
        <v>7</v>
      </c>
      <c r="M678" s="1"/>
      <c r="N678" s="1" t="s">
        <v>10329</v>
      </c>
      <c r="O678" s="1" t="s">
        <v>6435</v>
      </c>
      <c r="P678" s="1"/>
      <c r="Q678" s="1"/>
      <c r="R678" s="1" t="s">
        <v>11</v>
      </c>
      <c r="S678" s="1"/>
      <c r="T678" s="1"/>
      <c r="U678" s="1"/>
      <c r="V678" s="1"/>
      <c r="W678" s="1"/>
      <c r="X678" s="1"/>
      <c r="Y678" s="1"/>
      <c r="Z678" s="1"/>
      <c r="AA678" s="1"/>
      <c r="AB678" s="1" t="s">
        <v>10330</v>
      </c>
      <c r="AC678" s="1"/>
      <c r="AD678" s="1"/>
      <c r="AE678" s="1" t="s">
        <v>9337</v>
      </c>
      <c r="AF678" s="1"/>
      <c r="AG678" s="1"/>
      <c r="AH678" s="1" t="s">
        <v>10331</v>
      </c>
      <c r="AI678" s="1"/>
      <c r="AJ678" s="1" t="s">
        <v>9239</v>
      </c>
      <c r="AK678" s="1" t="s">
        <v>9240</v>
      </c>
      <c r="AL678" s="1" t="s">
        <v>9241</v>
      </c>
      <c r="AM678" s="1" t="s">
        <v>9239</v>
      </c>
      <c r="AN678" s="1" t="s">
        <v>9240</v>
      </c>
      <c r="AO678" s="1" t="s">
        <v>9241</v>
      </c>
      <c r="AP678" s="2" t="s">
        <v>10332</v>
      </c>
      <c r="AQ678" s="2" t="s">
        <v>1155</v>
      </c>
      <c r="AR678" s="1" t="s">
        <v>286</v>
      </c>
      <c r="AS678" s="1" t="s">
        <v>10333</v>
      </c>
      <c r="AT678" s="1" t="s">
        <v>5</v>
      </c>
    </row>
    <row r="679" spans="1:46" hidden="1" x14ac:dyDescent="0.4">
      <c r="A679" s="1" t="s">
        <v>9145</v>
      </c>
      <c r="B679" s="10"/>
      <c r="C679" s="1" t="s">
        <v>0</v>
      </c>
      <c r="D679" s="1" t="s">
        <v>2290</v>
      </c>
      <c r="E679" s="1" t="s">
        <v>2291</v>
      </c>
      <c r="F679" s="1" t="s">
        <v>14</v>
      </c>
      <c r="G679" s="1" t="s">
        <v>1</v>
      </c>
      <c r="H679" s="1" t="s">
        <v>6</v>
      </c>
      <c r="I679" s="1" t="s">
        <v>2</v>
      </c>
      <c r="J679" s="1" t="s">
        <v>3</v>
      </c>
      <c r="K679" s="1" t="s">
        <v>9146</v>
      </c>
      <c r="L679" s="1" t="s">
        <v>7</v>
      </c>
      <c r="M679" s="1" t="s">
        <v>9</v>
      </c>
      <c r="N679" s="1" t="s">
        <v>9147</v>
      </c>
      <c r="O679" s="1" t="s">
        <v>2465</v>
      </c>
      <c r="P679" s="1"/>
      <c r="Q679" s="1"/>
      <c r="R679" s="1" t="s">
        <v>11</v>
      </c>
      <c r="S679" s="1"/>
      <c r="T679" s="1"/>
      <c r="U679" s="1"/>
      <c r="V679" s="1"/>
      <c r="W679" s="1"/>
      <c r="X679" s="1"/>
      <c r="Y679" s="1"/>
      <c r="Z679" s="1"/>
      <c r="AA679" s="1"/>
      <c r="AB679" s="1" t="s">
        <v>9148</v>
      </c>
      <c r="AC679" s="1"/>
      <c r="AD679" s="1"/>
      <c r="AE679" s="1" t="s">
        <v>9149</v>
      </c>
      <c r="AF679" s="1"/>
      <c r="AG679" s="1"/>
      <c r="AH679" s="1" t="s">
        <v>9150</v>
      </c>
      <c r="AI679" s="1"/>
      <c r="AJ679" s="1" t="s">
        <v>1983</v>
      </c>
      <c r="AK679" s="1" t="s">
        <v>514</v>
      </c>
      <c r="AL679" s="1" t="s">
        <v>1984</v>
      </c>
      <c r="AM679" s="1" t="s">
        <v>9151</v>
      </c>
      <c r="AN679" s="1" t="s">
        <v>514</v>
      </c>
      <c r="AO679" s="1" t="s">
        <v>9152</v>
      </c>
      <c r="AP679" s="2" t="s">
        <v>9153</v>
      </c>
      <c r="AQ679" s="2" t="s">
        <v>1154</v>
      </c>
      <c r="AR679" s="1" t="s">
        <v>286</v>
      </c>
      <c r="AS679" s="1"/>
      <c r="AT679" s="1" t="s">
        <v>5</v>
      </c>
    </row>
    <row r="680" spans="1:46" hidden="1" x14ac:dyDescent="0.4">
      <c r="A680" s="1" t="s">
        <v>7479</v>
      </c>
      <c r="B680" s="10"/>
      <c r="C680" s="1" t="s">
        <v>93</v>
      </c>
      <c r="D680" s="1" t="s">
        <v>2827</v>
      </c>
      <c r="E680" s="1" t="s">
        <v>2478</v>
      </c>
      <c r="F680" s="1" t="s">
        <v>14</v>
      </c>
      <c r="G680" s="1" t="s">
        <v>1</v>
      </c>
      <c r="H680" s="1" t="s">
        <v>6</v>
      </c>
      <c r="I680" s="1" t="s">
        <v>2</v>
      </c>
      <c r="J680" s="1" t="s">
        <v>3</v>
      </c>
      <c r="K680" s="1" t="s">
        <v>7480</v>
      </c>
      <c r="L680" s="1" t="s">
        <v>7</v>
      </c>
      <c r="M680" s="1"/>
      <c r="N680" s="1" t="s">
        <v>7481</v>
      </c>
      <c r="O680" s="1" t="s">
        <v>7468</v>
      </c>
      <c r="P680" s="1"/>
      <c r="Q680" s="1"/>
      <c r="R680" s="1" t="s">
        <v>11</v>
      </c>
      <c r="S680" s="1"/>
      <c r="T680" s="1"/>
      <c r="U680" s="1"/>
      <c r="V680" s="1"/>
      <c r="W680" s="1"/>
      <c r="X680" s="1"/>
      <c r="Y680" s="1"/>
      <c r="Z680" s="1"/>
      <c r="AA680" s="1"/>
      <c r="AB680" s="1" t="s">
        <v>7482</v>
      </c>
      <c r="AC680" s="1"/>
      <c r="AD680" s="1"/>
      <c r="AE680" s="1" t="s">
        <v>7470</v>
      </c>
      <c r="AF680" s="1"/>
      <c r="AG680" s="1"/>
      <c r="AH680" s="1" t="s">
        <v>7483</v>
      </c>
      <c r="AI680" s="1"/>
      <c r="AJ680" s="1" t="s">
        <v>5110</v>
      </c>
      <c r="AK680" s="1" t="s">
        <v>5111</v>
      </c>
      <c r="AL680" s="1" t="s">
        <v>5112</v>
      </c>
      <c r="AM680" s="1" t="s">
        <v>5110</v>
      </c>
      <c r="AN680" s="1" t="s">
        <v>5111</v>
      </c>
      <c r="AO680" s="1" t="s">
        <v>5112</v>
      </c>
      <c r="AP680" s="2" t="s">
        <v>7484</v>
      </c>
      <c r="AQ680" s="2" t="s">
        <v>1077</v>
      </c>
      <c r="AR680" s="1" t="s">
        <v>286</v>
      </c>
      <c r="AS680" s="1" t="s">
        <v>7485</v>
      </c>
      <c r="AT680" s="1" t="s">
        <v>5</v>
      </c>
    </row>
    <row r="681" spans="1:46" hidden="1" x14ac:dyDescent="0.4">
      <c r="A681" s="1" t="s">
        <v>5671</v>
      </c>
      <c r="B681" s="10"/>
      <c r="C681" s="1" t="s">
        <v>93</v>
      </c>
      <c r="D681" s="1" t="s">
        <v>2220</v>
      </c>
      <c r="E681" s="1" t="s">
        <v>2078</v>
      </c>
      <c r="F681" s="1" t="s">
        <v>14</v>
      </c>
      <c r="G681" s="1" t="s">
        <v>1</v>
      </c>
      <c r="H681" s="1" t="s">
        <v>6</v>
      </c>
      <c r="I681" s="1" t="s">
        <v>2</v>
      </c>
      <c r="J681" s="1" t="s">
        <v>3</v>
      </c>
      <c r="K681" s="1" t="s">
        <v>5672</v>
      </c>
      <c r="L681" s="1" t="s">
        <v>2231</v>
      </c>
      <c r="M681" s="1"/>
      <c r="N681" s="1" t="s">
        <v>5673</v>
      </c>
      <c r="O681" s="1" t="s">
        <v>5020</v>
      </c>
      <c r="P681" s="1"/>
      <c r="Q681" s="1"/>
      <c r="R681" s="1" t="s">
        <v>11</v>
      </c>
      <c r="S681" s="1"/>
      <c r="T681" s="1"/>
      <c r="U681" s="1"/>
      <c r="V681" s="1"/>
      <c r="W681" s="1" t="s">
        <v>5674</v>
      </c>
      <c r="X681" s="1"/>
      <c r="Y681" s="1"/>
      <c r="Z681" s="1"/>
      <c r="AA681" s="1"/>
      <c r="AB681" s="1" t="s">
        <v>5675</v>
      </c>
      <c r="AC681" s="1"/>
      <c r="AD681" s="1"/>
      <c r="AE681" s="1" t="s">
        <v>5023</v>
      </c>
      <c r="AF681" s="1"/>
      <c r="AG681" s="1"/>
      <c r="AH681" s="1" t="s">
        <v>5676</v>
      </c>
      <c r="AI681" s="1"/>
      <c r="AJ681" s="1" t="s">
        <v>4386</v>
      </c>
      <c r="AK681" s="1" t="s">
        <v>3792</v>
      </c>
      <c r="AL681" s="1" t="s">
        <v>4387</v>
      </c>
      <c r="AM681" s="1" t="s">
        <v>4386</v>
      </c>
      <c r="AN681" s="1" t="s">
        <v>3792</v>
      </c>
      <c r="AO681" s="1" t="s">
        <v>4387</v>
      </c>
      <c r="AP681" s="2" t="s">
        <v>5677</v>
      </c>
      <c r="AQ681" s="2" t="s">
        <v>1077</v>
      </c>
      <c r="AR681" s="1" t="s">
        <v>287</v>
      </c>
      <c r="AS681" s="1" t="s">
        <v>5678</v>
      </c>
      <c r="AT681" s="1" t="s">
        <v>5</v>
      </c>
    </row>
    <row r="682" spans="1:46" hidden="1" x14ac:dyDescent="0.4">
      <c r="A682" s="1" t="s">
        <v>5017</v>
      </c>
      <c r="B682" s="10"/>
      <c r="C682" s="1" t="s">
        <v>93</v>
      </c>
      <c r="D682" s="1" t="s">
        <v>2220</v>
      </c>
      <c r="E682" s="1" t="s">
        <v>2078</v>
      </c>
      <c r="F682" s="1" t="s">
        <v>14</v>
      </c>
      <c r="G682" s="1" t="s">
        <v>1</v>
      </c>
      <c r="H682" s="1" t="s">
        <v>6</v>
      </c>
      <c r="I682" s="1" t="s">
        <v>2</v>
      </c>
      <c r="J682" s="1" t="s">
        <v>3</v>
      </c>
      <c r="K682" s="1" t="s">
        <v>5018</v>
      </c>
      <c r="L682" s="1" t="s">
        <v>2231</v>
      </c>
      <c r="M682" s="1" t="s">
        <v>9</v>
      </c>
      <c r="N682" s="1" t="s">
        <v>5019</v>
      </c>
      <c r="O682" s="1" t="s">
        <v>5020</v>
      </c>
      <c r="P682" s="1"/>
      <c r="Q682" s="1"/>
      <c r="R682" s="1" t="s">
        <v>11</v>
      </c>
      <c r="S682" s="1"/>
      <c r="T682" s="1"/>
      <c r="U682" s="1"/>
      <c r="V682" s="1"/>
      <c r="W682" s="1" t="s">
        <v>5021</v>
      </c>
      <c r="X682" s="1"/>
      <c r="Y682" s="1"/>
      <c r="Z682" s="1"/>
      <c r="AA682" s="1"/>
      <c r="AB682" s="1" t="s">
        <v>5022</v>
      </c>
      <c r="AC682" s="1"/>
      <c r="AD682" s="1"/>
      <c r="AE682" s="1" t="s">
        <v>5023</v>
      </c>
      <c r="AF682" s="1"/>
      <c r="AG682" s="1"/>
      <c r="AH682" s="1" t="s">
        <v>5024</v>
      </c>
      <c r="AI682" s="1"/>
      <c r="AJ682" s="1" t="s">
        <v>4386</v>
      </c>
      <c r="AK682" s="1" t="s">
        <v>3792</v>
      </c>
      <c r="AL682" s="1" t="s">
        <v>4387</v>
      </c>
      <c r="AM682" s="1" t="s">
        <v>4386</v>
      </c>
      <c r="AN682" s="1" t="s">
        <v>3792</v>
      </c>
      <c r="AO682" s="1" t="s">
        <v>4387</v>
      </c>
      <c r="AP682" s="2" t="s">
        <v>5025</v>
      </c>
      <c r="AQ682" s="2" t="s">
        <v>1077</v>
      </c>
      <c r="AR682" s="1" t="s">
        <v>286</v>
      </c>
      <c r="AS682" s="1"/>
      <c r="AT682" s="1" t="s">
        <v>5</v>
      </c>
    </row>
    <row r="683" spans="1:46" hidden="1" x14ac:dyDescent="0.4">
      <c r="A683" s="1" t="s">
        <v>6310</v>
      </c>
      <c r="B683" s="10"/>
      <c r="C683" s="1" t="s">
        <v>2491</v>
      </c>
      <c r="D683" s="1" t="s">
        <v>2157</v>
      </c>
      <c r="E683" s="1" t="s">
        <v>2078</v>
      </c>
      <c r="F683" s="1" t="s">
        <v>14</v>
      </c>
      <c r="G683" s="1" t="s">
        <v>1</v>
      </c>
      <c r="H683" s="1" t="s">
        <v>6</v>
      </c>
      <c r="I683" s="1" t="s">
        <v>2</v>
      </c>
      <c r="J683" s="1" t="s">
        <v>2492</v>
      </c>
      <c r="K683" s="1" t="s">
        <v>6311</v>
      </c>
      <c r="L683" s="1" t="s">
        <v>7</v>
      </c>
      <c r="M683" s="1" t="s">
        <v>9</v>
      </c>
      <c r="N683" s="1" t="s">
        <v>6312</v>
      </c>
      <c r="O683" s="1" t="s">
        <v>6313</v>
      </c>
      <c r="P683" s="1"/>
      <c r="Q683" s="1"/>
      <c r="R683" s="1" t="s">
        <v>11</v>
      </c>
      <c r="S683" s="1"/>
      <c r="T683" s="1"/>
      <c r="U683" s="1"/>
      <c r="V683" s="1"/>
      <c r="W683" s="1" t="s">
        <v>6314</v>
      </c>
      <c r="X683" s="1" t="s">
        <v>6315</v>
      </c>
      <c r="Y683" s="1"/>
      <c r="Z683" s="1"/>
      <c r="AA683" s="1"/>
      <c r="AB683" s="1" t="s">
        <v>6316</v>
      </c>
      <c r="AC683" s="1"/>
      <c r="AD683" s="1"/>
      <c r="AE683" s="1"/>
      <c r="AF683" s="1"/>
      <c r="AG683" s="1"/>
      <c r="AH683" s="1" t="s">
        <v>6317</v>
      </c>
      <c r="AI683" s="1"/>
      <c r="AJ683" s="1" t="s">
        <v>3481</v>
      </c>
      <c r="AK683" s="1" t="s">
        <v>3482</v>
      </c>
      <c r="AL683" s="1" t="s">
        <v>3483</v>
      </c>
      <c r="AM683" s="1" t="s">
        <v>4551</v>
      </c>
      <c r="AN683" s="1" t="s">
        <v>3482</v>
      </c>
      <c r="AO683" s="1" t="s">
        <v>4552</v>
      </c>
      <c r="AP683" s="2" t="s">
        <v>6318</v>
      </c>
      <c r="AQ683" s="2" t="s">
        <v>1077</v>
      </c>
      <c r="AR683" s="1" t="s">
        <v>286</v>
      </c>
      <c r="AS683" s="1"/>
      <c r="AT683" s="1" t="s">
        <v>5</v>
      </c>
    </row>
    <row r="684" spans="1:46" hidden="1" x14ac:dyDescent="0.4">
      <c r="A684" s="1" t="s">
        <v>6319</v>
      </c>
      <c r="B684" s="10"/>
      <c r="C684" s="1" t="s">
        <v>2491</v>
      </c>
      <c r="D684" s="1" t="s">
        <v>2157</v>
      </c>
      <c r="E684" s="1" t="s">
        <v>2078</v>
      </c>
      <c r="F684" s="1" t="s">
        <v>14</v>
      </c>
      <c r="G684" s="1" t="s">
        <v>1</v>
      </c>
      <c r="H684" s="1" t="s">
        <v>6</v>
      </c>
      <c r="I684" s="1" t="s">
        <v>2</v>
      </c>
      <c r="J684" s="1" t="s">
        <v>2492</v>
      </c>
      <c r="K684" s="1" t="s">
        <v>6320</v>
      </c>
      <c r="L684" s="1" t="s">
        <v>7</v>
      </c>
      <c r="M684" s="1" t="s">
        <v>9</v>
      </c>
      <c r="N684" s="1" t="s">
        <v>6321</v>
      </c>
      <c r="O684" s="1" t="s">
        <v>6313</v>
      </c>
      <c r="P684" s="1"/>
      <c r="Q684" s="1"/>
      <c r="R684" s="1" t="s">
        <v>11</v>
      </c>
      <c r="S684" s="1"/>
      <c r="T684" s="1"/>
      <c r="U684" s="1"/>
      <c r="V684" s="1"/>
      <c r="W684" s="1" t="s">
        <v>6322</v>
      </c>
      <c r="X684" s="1" t="s">
        <v>6315</v>
      </c>
      <c r="Y684" s="1"/>
      <c r="Z684" s="1"/>
      <c r="AA684" s="1"/>
      <c r="AB684" s="1" t="s">
        <v>6323</v>
      </c>
      <c r="AC684" s="1"/>
      <c r="AD684" s="1"/>
      <c r="AE684" s="1"/>
      <c r="AF684" s="1"/>
      <c r="AG684" s="1"/>
      <c r="AH684" s="1" t="s">
        <v>6324</v>
      </c>
      <c r="AI684" s="1"/>
      <c r="AJ684" s="1" t="s">
        <v>3481</v>
      </c>
      <c r="AK684" s="1" t="s">
        <v>3482</v>
      </c>
      <c r="AL684" s="1" t="s">
        <v>3483</v>
      </c>
      <c r="AM684" s="1" t="s">
        <v>4551</v>
      </c>
      <c r="AN684" s="1" t="s">
        <v>3482</v>
      </c>
      <c r="AO684" s="1" t="s">
        <v>4552</v>
      </c>
      <c r="AP684" s="2" t="s">
        <v>6325</v>
      </c>
      <c r="AQ684" s="2" t="s">
        <v>1077</v>
      </c>
      <c r="AR684" s="1" t="s">
        <v>286</v>
      </c>
      <c r="AS684" s="1"/>
      <c r="AT684" s="1" t="s">
        <v>5</v>
      </c>
    </row>
    <row r="685" spans="1:46" hidden="1" x14ac:dyDescent="0.4">
      <c r="A685" s="1" t="s">
        <v>6326</v>
      </c>
      <c r="B685" s="10"/>
      <c r="C685" s="1" t="s">
        <v>2491</v>
      </c>
      <c r="D685" s="1" t="s">
        <v>2157</v>
      </c>
      <c r="E685" s="1" t="s">
        <v>2078</v>
      </c>
      <c r="F685" s="1" t="s">
        <v>14</v>
      </c>
      <c r="G685" s="1" t="s">
        <v>1</v>
      </c>
      <c r="H685" s="1" t="s">
        <v>6</v>
      </c>
      <c r="I685" s="1" t="s">
        <v>2</v>
      </c>
      <c r="J685" s="1" t="s">
        <v>2492</v>
      </c>
      <c r="K685" s="1" t="s">
        <v>6327</v>
      </c>
      <c r="L685" s="1" t="s">
        <v>7</v>
      </c>
      <c r="M685" s="1" t="s">
        <v>9</v>
      </c>
      <c r="N685" s="1" t="s">
        <v>6328</v>
      </c>
      <c r="O685" s="1" t="s">
        <v>6313</v>
      </c>
      <c r="P685" s="1"/>
      <c r="Q685" s="1"/>
      <c r="R685" s="1" t="s">
        <v>11</v>
      </c>
      <c r="S685" s="1"/>
      <c r="T685" s="1"/>
      <c r="U685" s="1"/>
      <c r="V685" s="1"/>
      <c r="W685" s="1" t="s">
        <v>6314</v>
      </c>
      <c r="X685" s="1" t="s">
        <v>6315</v>
      </c>
      <c r="Y685" s="1"/>
      <c r="Z685" s="1"/>
      <c r="AA685" s="1"/>
      <c r="AB685" s="1" t="s">
        <v>6329</v>
      </c>
      <c r="AC685" s="1"/>
      <c r="AD685" s="1"/>
      <c r="AE685" s="1"/>
      <c r="AF685" s="1"/>
      <c r="AG685" s="1"/>
      <c r="AH685" s="1" t="s">
        <v>6330</v>
      </c>
      <c r="AI685" s="1"/>
      <c r="AJ685" s="1" t="s">
        <v>3481</v>
      </c>
      <c r="AK685" s="1" t="s">
        <v>3482</v>
      </c>
      <c r="AL685" s="1" t="s">
        <v>3483</v>
      </c>
      <c r="AM685" s="1" t="s">
        <v>4551</v>
      </c>
      <c r="AN685" s="1" t="s">
        <v>3482</v>
      </c>
      <c r="AO685" s="1" t="s">
        <v>4552</v>
      </c>
      <c r="AP685" s="2" t="s">
        <v>6331</v>
      </c>
      <c r="AQ685" s="2" t="s">
        <v>1077</v>
      </c>
      <c r="AR685" s="1" t="s">
        <v>286</v>
      </c>
      <c r="AS685" s="1"/>
      <c r="AT685" s="1" t="s">
        <v>5</v>
      </c>
    </row>
    <row r="686" spans="1:46" hidden="1" x14ac:dyDescent="0.4">
      <c r="A686" s="1" t="s">
        <v>6332</v>
      </c>
      <c r="B686" s="10"/>
      <c r="C686" s="1" t="s">
        <v>2491</v>
      </c>
      <c r="D686" s="1" t="s">
        <v>2157</v>
      </c>
      <c r="E686" s="1" t="s">
        <v>2078</v>
      </c>
      <c r="F686" s="1" t="s">
        <v>14</v>
      </c>
      <c r="G686" s="1" t="s">
        <v>1</v>
      </c>
      <c r="H686" s="1" t="s">
        <v>6</v>
      </c>
      <c r="I686" s="1" t="s">
        <v>2</v>
      </c>
      <c r="J686" s="1" t="s">
        <v>2492</v>
      </c>
      <c r="K686" s="1" t="s">
        <v>6333</v>
      </c>
      <c r="L686" s="1" t="s">
        <v>7</v>
      </c>
      <c r="M686" s="1" t="s">
        <v>9</v>
      </c>
      <c r="N686" s="1" t="s">
        <v>6334</v>
      </c>
      <c r="O686" s="1" t="s">
        <v>6313</v>
      </c>
      <c r="P686" s="1"/>
      <c r="Q686" s="1"/>
      <c r="R686" s="1" t="s">
        <v>11</v>
      </c>
      <c r="S686" s="1"/>
      <c r="T686" s="1"/>
      <c r="U686" s="1"/>
      <c r="V686" s="1"/>
      <c r="W686" s="1"/>
      <c r="X686" s="1" t="s">
        <v>6315</v>
      </c>
      <c r="Y686" s="1"/>
      <c r="Z686" s="1"/>
      <c r="AA686" s="1"/>
      <c r="AB686" s="1" t="s">
        <v>6335</v>
      </c>
      <c r="AC686" s="1"/>
      <c r="AD686" s="1"/>
      <c r="AE686" s="1"/>
      <c r="AF686" s="1"/>
      <c r="AG686" s="1"/>
      <c r="AH686" s="1" t="s">
        <v>6336</v>
      </c>
      <c r="AI686" s="1"/>
      <c r="AJ686" s="1" t="s">
        <v>3481</v>
      </c>
      <c r="AK686" s="1" t="s">
        <v>3482</v>
      </c>
      <c r="AL686" s="1" t="s">
        <v>3483</v>
      </c>
      <c r="AM686" s="1" t="s">
        <v>4551</v>
      </c>
      <c r="AN686" s="1" t="s">
        <v>3482</v>
      </c>
      <c r="AO686" s="1" t="s">
        <v>4552</v>
      </c>
      <c r="AP686" s="2" t="s">
        <v>6337</v>
      </c>
      <c r="AQ686" s="2" t="s">
        <v>1077</v>
      </c>
      <c r="AR686" s="1" t="s">
        <v>286</v>
      </c>
      <c r="AS686" s="1"/>
      <c r="AT686" s="1" t="s">
        <v>5</v>
      </c>
    </row>
    <row r="687" spans="1:46" hidden="1" x14ac:dyDescent="0.4">
      <c r="A687" s="1" t="s">
        <v>6338</v>
      </c>
      <c r="B687" s="10"/>
      <c r="C687" s="1" t="s">
        <v>2491</v>
      </c>
      <c r="D687" s="1" t="s">
        <v>2157</v>
      </c>
      <c r="E687" s="1" t="s">
        <v>2078</v>
      </c>
      <c r="F687" s="1" t="s">
        <v>14</v>
      </c>
      <c r="G687" s="1" t="s">
        <v>1</v>
      </c>
      <c r="H687" s="1" t="s">
        <v>6</v>
      </c>
      <c r="I687" s="1" t="s">
        <v>2</v>
      </c>
      <c r="J687" s="1" t="s">
        <v>2492</v>
      </c>
      <c r="K687" s="1" t="s">
        <v>6339</v>
      </c>
      <c r="L687" s="1" t="s">
        <v>7</v>
      </c>
      <c r="M687" s="1" t="s">
        <v>9</v>
      </c>
      <c r="N687" s="1" t="s">
        <v>6340</v>
      </c>
      <c r="O687" s="1" t="s">
        <v>6313</v>
      </c>
      <c r="P687" s="1"/>
      <c r="Q687" s="1"/>
      <c r="R687" s="1" t="s">
        <v>11</v>
      </c>
      <c r="S687" s="1"/>
      <c r="T687" s="1"/>
      <c r="U687" s="1"/>
      <c r="V687" s="1"/>
      <c r="W687" s="1"/>
      <c r="X687" s="1" t="s">
        <v>6315</v>
      </c>
      <c r="Y687" s="1"/>
      <c r="Z687" s="1"/>
      <c r="AA687" s="1"/>
      <c r="AB687" s="1" t="s">
        <v>6341</v>
      </c>
      <c r="AC687" s="1"/>
      <c r="AD687" s="1"/>
      <c r="AE687" s="1"/>
      <c r="AF687" s="1"/>
      <c r="AG687" s="1"/>
      <c r="AH687" s="1" t="s">
        <v>6342</v>
      </c>
      <c r="AI687" s="1"/>
      <c r="AJ687" s="1" t="s">
        <v>3481</v>
      </c>
      <c r="AK687" s="1" t="s">
        <v>3482</v>
      </c>
      <c r="AL687" s="1" t="s">
        <v>3483</v>
      </c>
      <c r="AM687" s="1" t="s">
        <v>4551</v>
      </c>
      <c r="AN687" s="1" t="s">
        <v>3482</v>
      </c>
      <c r="AO687" s="1" t="s">
        <v>4552</v>
      </c>
      <c r="AP687" s="2" t="s">
        <v>6343</v>
      </c>
      <c r="AQ687" s="2" t="s">
        <v>1077</v>
      </c>
      <c r="AR687" s="1" t="s">
        <v>286</v>
      </c>
      <c r="AS687" s="1"/>
      <c r="AT687" s="1" t="s">
        <v>5</v>
      </c>
    </row>
    <row r="688" spans="1:46" hidden="1" x14ac:dyDescent="0.4">
      <c r="A688" s="1" t="s">
        <v>4089</v>
      </c>
      <c r="B688" s="10"/>
      <c r="C688" s="1" t="s">
        <v>0</v>
      </c>
      <c r="D688" s="1" t="s">
        <v>3381</v>
      </c>
      <c r="E688" s="1" t="s">
        <v>2291</v>
      </c>
      <c r="F688" s="1" t="s">
        <v>3382</v>
      </c>
      <c r="G688" s="1" t="s">
        <v>1</v>
      </c>
      <c r="H688" s="1" t="s">
        <v>6</v>
      </c>
      <c r="I688" s="1" t="s">
        <v>2</v>
      </c>
      <c r="J688" s="1" t="s">
        <v>3</v>
      </c>
      <c r="K688" s="1" t="s">
        <v>4090</v>
      </c>
      <c r="L688" s="1" t="s">
        <v>4</v>
      </c>
      <c r="M688" s="1" t="s">
        <v>9</v>
      </c>
      <c r="N688" s="1" t="s">
        <v>4091</v>
      </c>
      <c r="O688" s="1" t="s">
        <v>4077</v>
      </c>
      <c r="P688" s="1"/>
      <c r="Q688" s="1"/>
      <c r="R688" s="1" t="s">
        <v>11</v>
      </c>
      <c r="S688" s="1"/>
      <c r="T688" s="1"/>
      <c r="U688" s="1"/>
      <c r="V688" s="1"/>
      <c r="W688" s="1" t="s">
        <v>4092</v>
      </c>
      <c r="X688" s="1" t="s">
        <v>4093</v>
      </c>
      <c r="Y688" s="1"/>
      <c r="Z688" s="1"/>
      <c r="AA688" s="1"/>
      <c r="AB688" s="1" t="s">
        <v>4094</v>
      </c>
      <c r="AC688" s="1"/>
      <c r="AD688" s="1"/>
      <c r="AE688" s="1" t="s">
        <v>4082</v>
      </c>
      <c r="AF688" s="1"/>
      <c r="AG688" s="1"/>
      <c r="AH688" s="1" t="s">
        <v>4095</v>
      </c>
      <c r="AI688" s="1"/>
      <c r="AJ688" s="1" t="s">
        <v>4084</v>
      </c>
      <c r="AK688" s="1" t="s">
        <v>4085</v>
      </c>
      <c r="AL688" s="1"/>
      <c r="AM688" s="1" t="s">
        <v>4086</v>
      </c>
      <c r="AN688" s="1" t="s">
        <v>4087</v>
      </c>
      <c r="AO688" s="1"/>
      <c r="AP688" s="2" t="s">
        <v>4096</v>
      </c>
      <c r="AQ688" s="2" t="s">
        <v>1153</v>
      </c>
      <c r="AR688" s="1" t="s">
        <v>286</v>
      </c>
      <c r="AS688" s="1"/>
      <c r="AT688" s="1" t="s">
        <v>5</v>
      </c>
    </row>
    <row r="689" spans="1:46" hidden="1" x14ac:dyDescent="0.4">
      <c r="A689" s="1" t="s">
        <v>4074</v>
      </c>
      <c r="B689" s="10"/>
      <c r="C689" s="1" t="s">
        <v>0</v>
      </c>
      <c r="D689" s="1" t="s">
        <v>3381</v>
      </c>
      <c r="E689" s="1" t="s">
        <v>2291</v>
      </c>
      <c r="F689" s="1" t="s">
        <v>3382</v>
      </c>
      <c r="G689" s="1" t="s">
        <v>1</v>
      </c>
      <c r="H689" s="1" t="s">
        <v>6</v>
      </c>
      <c r="I689" s="1" t="s">
        <v>2</v>
      </c>
      <c r="J689" s="1" t="s">
        <v>3</v>
      </c>
      <c r="K689" s="1" t="s">
        <v>4075</v>
      </c>
      <c r="L689" s="1" t="s">
        <v>4</v>
      </c>
      <c r="M689" s="1" t="s">
        <v>9</v>
      </c>
      <c r="N689" s="1" t="s">
        <v>4076</v>
      </c>
      <c r="O689" s="1" t="s">
        <v>4077</v>
      </c>
      <c r="P689" s="1" t="s">
        <v>4078</v>
      </c>
      <c r="Q689" s="1"/>
      <c r="R689" s="1" t="s">
        <v>11</v>
      </c>
      <c r="S689" s="1"/>
      <c r="T689" s="1"/>
      <c r="U689" s="1"/>
      <c r="V689" s="1"/>
      <c r="W689" s="1" t="s">
        <v>4079</v>
      </c>
      <c r="X689" s="1" t="s">
        <v>4080</v>
      </c>
      <c r="Y689" s="1"/>
      <c r="Z689" s="1"/>
      <c r="AA689" s="1"/>
      <c r="AB689" s="1" t="s">
        <v>4081</v>
      </c>
      <c r="AC689" s="1"/>
      <c r="AD689" s="1"/>
      <c r="AE689" s="1" t="s">
        <v>4082</v>
      </c>
      <c r="AF689" s="1"/>
      <c r="AG689" s="1"/>
      <c r="AH689" s="1" t="s">
        <v>4083</v>
      </c>
      <c r="AI689" s="1"/>
      <c r="AJ689" s="1" t="s">
        <v>4084</v>
      </c>
      <c r="AK689" s="1" t="s">
        <v>4085</v>
      </c>
      <c r="AL689" s="1"/>
      <c r="AM689" s="1" t="s">
        <v>4086</v>
      </c>
      <c r="AN689" s="1" t="s">
        <v>4087</v>
      </c>
      <c r="AO689" s="1"/>
      <c r="AP689" s="2" t="s">
        <v>4088</v>
      </c>
      <c r="AQ689" s="2" t="s">
        <v>1153</v>
      </c>
      <c r="AR689" s="1" t="s">
        <v>286</v>
      </c>
      <c r="AS689" s="1"/>
      <c r="AT689" s="1" t="s">
        <v>5</v>
      </c>
    </row>
    <row r="690" spans="1:46" hidden="1" x14ac:dyDescent="0.4">
      <c r="A690" s="1" t="s">
        <v>11697</v>
      </c>
      <c r="B690" s="10"/>
      <c r="C690" s="1" t="s">
        <v>6443</v>
      </c>
      <c r="D690" s="1" t="s">
        <v>2157</v>
      </c>
      <c r="E690" s="1" t="s">
        <v>2078</v>
      </c>
      <c r="F690" s="1" t="s">
        <v>14</v>
      </c>
      <c r="G690" s="1" t="s">
        <v>1</v>
      </c>
      <c r="H690" s="1" t="s">
        <v>6</v>
      </c>
      <c r="I690" s="1" t="s">
        <v>2</v>
      </c>
      <c r="J690" s="1" t="s">
        <v>3</v>
      </c>
      <c r="K690" s="1" t="s">
        <v>11698</v>
      </c>
      <c r="L690" s="1" t="s">
        <v>7</v>
      </c>
      <c r="M690" s="1"/>
      <c r="N690" s="1" t="s">
        <v>11699</v>
      </c>
      <c r="O690" s="1" t="s">
        <v>8886</v>
      </c>
      <c r="P690" s="1"/>
      <c r="Q690" s="1" t="s">
        <v>12</v>
      </c>
      <c r="R690" s="1" t="s">
        <v>11</v>
      </c>
      <c r="S690" s="1"/>
      <c r="T690" s="1" t="s">
        <v>12</v>
      </c>
      <c r="U690" s="1" t="s">
        <v>11</v>
      </c>
      <c r="V690" s="1"/>
      <c r="W690" s="1"/>
      <c r="X690" s="1"/>
      <c r="Y690" s="1"/>
      <c r="Z690" s="1"/>
      <c r="AA690" s="1"/>
      <c r="AB690" s="1" t="s">
        <v>11700</v>
      </c>
      <c r="AC690" s="1"/>
      <c r="AD690" s="1"/>
      <c r="AE690" s="1" t="s">
        <v>8889</v>
      </c>
      <c r="AF690" s="1"/>
      <c r="AG690" s="1"/>
      <c r="AH690" s="1" t="s">
        <v>11701</v>
      </c>
      <c r="AI690" s="1"/>
      <c r="AJ690" s="1" t="s">
        <v>11684</v>
      </c>
      <c r="AK690" s="1" t="s">
        <v>11685</v>
      </c>
      <c r="AL690" s="1" t="s">
        <v>11686</v>
      </c>
      <c r="AM690" s="1" t="s">
        <v>11684</v>
      </c>
      <c r="AN690" s="1" t="s">
        <v>11685</v>
      </c>
      <c r="AO690" s="1" t="s">
        <v>11686</v>
      </c>
      <c r="AP690" s="2" t="s">
        <v>11702</v>
      </c>
      <c r="AQ690" s="2" t="s">
        <v>1156</v>
      </c>
      <c r="AR690" s="1" t="s">
        <v>286</v>
      </c>
      <c r="AS690" s="1" t="s">
        <v>1076</v>
      </c>
      <c r="AT690" s="1" t="s">
        <v>5</v>
      </c>
    </row>
    <row r="691" spans="1:46" hidden="1" x14ac:dyDescent="0.4">
      <c r="A691" s="1" t="s">
        <v>11678</v>
      </c>
      <c r="B691" s="10"/>
      <c r="C691" s="1" t="s">
        <v>6443</v>
      </c>
      <c r="D691" s="1" t="s">
        <v>2157</v>
      </c>
      <c r="E691" s="1" t="s">
        <v>2078</v>
      </c>
      <c r="F691" s="1" t="s">
        <v>14</v>
      </c>
      <c r="G691" s="1" t="s">
        <v>1</v>
      </c>
      <c r="H691" s="1" t="s">
        <v>6</v>
      </c>
      <c r="I691" s="1" t="s">
        <v>2</v>
      </c>
      <c r="J691" s="1" t="s">
        <v>3</v>
      </c>
      <c r="K691" s="1" t="s">
        <v>11679</v>
      </c>
      <c r="L691" s="1" t="s">
        <v>7</v>
      </c>
      <c r="M691" s="1"/>
      <c r="N691" s="1" t="s">
        <v>11680</v>
      </c>
      <c r="O691" s="1" t="s">
        <v>8886</v>
      </c>
      <c r="P691" s="1"/>
      <c r="Q691" s="1" t="s">
        <v>12</v>
      </c>
      <c r="R691" s="1" t="s">
        <v>11</v>
      </c>
      <c r="S691" s="1"/>
      <c r="T691" s="1" t="s">
        <v>12</v>
      </c>
      <c r="U691" s="1" t="s">
        <v>11</v>
      </c>
      <c r="V691" s="1"/>
      <c r="W691" s="1"/>
      <c r="X691" s="1"/>
      <c r="Y691" s="1"/>
      <c r="Z691" s="1"/>
      <c r="AA691" s="1"/>
      <c r="AB691" s="1" t="s">
        <v>11681</v>
      </c>
      <c r="AC691" s="1"/>
      <c r="AD691" s="1"/>
      <c r="AE691" s="1" t="s">
        <v>11682</v>
      </c>
      <c r="AF691" s="1"/>
      <c r="AG691" s="1"/>
      <c r="AH691" s="1" t="s">
        <v>11683</v>
      </c>
      <c r="AI691" s="1"/>
      <c r="AJ691" s="1" t="s">
        <v>11684</v>
      </c>
      <c r="AK691" s="1" t="s">
        <v>11685</v>
      </c>
      <c r="AL691" s="1" t="s">
        <v>11686</v>
      </c>
      <c r="AM691" s="1" t="s">
        <v>11684</v>
      </c>
      <c r="AN691" s="1" t="s">
        <v>11685</v>
      </c>
      <c r="AO691" s="1" t="s">
        <v>11686</v>
      </c>
      <c r="AP691" s="2" t="s">
        <v>11687</v>
      </c>
      <c r="AQ691" s="2" t="s">
        <v>1156</v>
      </c>
      <c r="AR691" s="1" t="s">
        <v>286</v>
      </c>
      <c r="AS691" s="1" t="s">
        <v>11688</v>
      </c>
      <c r="AT691" s="1" t="s">
        <v>5</v>
      </c>
    </row>
    <row r="692" spans="1:46" hidden="1" x14ac:dyDescent="0.4">
      <c r="A692" s="1" t="s">
        <v>11710</v>
      </c>
      <c r="B692" s="10"/>
      <c r="C692" s="1" t="s">
        <v>6443</v>
      </c>
      <c r="D692" s="1" t="s">
        <v>2157</v>
      </c>
      <c r="E692" s="1" t="s">
        <v>2078</v>
      </c>
      <c r="F692" s="1" t="s">
        <v>14</v>
      </c>
      <c r="G692" s="1" t="s">
        <v>1</v>
      </c>
      <c r="H692" s="1" t="s">
        <v>6</v>
      </c>
      <c r="I692" s="1" t="s">
        <v>2</v>
      </c>
      <c r="J692" s="1" t="s">
        <v>3</v>
      </c>
      <c r="K692" s="1" t="s">
        <v>11711</v>
      </c>
      <c r="L692" s="1" t="s">
        <v>7</v>
      </c>
      <c r="M692" s="1"/>
      <c r="N692" s="1" t="s">
        <v>11712</v>
      </c>
      <c r="O692" s="1" t="s">
        <v>8886</v>
      </c>
      <c r="P692" s="1"/>
      <c r="Q692" s="1" t="s">
        <v>12</v>
      </c>
      <c r="R692" s="1" t="s">
        <v>11</v>
      </c>
      <c r="S692" s="1"/>
      <c r="T692" s="1" t="s">
        <v>12</v>
      </c>
      <c r="U692" s="1" t="s">
        <v>11</v>
      </c>
      <c r="V692" s="1"/>
      <c r="W692" s="1"/>
      <c r="X692" s="1"/>
      <c r="Y692" s="1"/>
      <c r="Z692" s="1"/>
      <c r="AA692" s="1"/>
      <c r="AB692" s="1" t="s">
        <v>11713</v>
      </c>
      <c r="AC692" s="1"/>
      <c r="AD692" s="1"/>
      <c r="AE692" s="1" t="s">
        <v>8889</v>
      </c>
      <c r="AF692" s="1"/>
      <c r="AG692" s="1"/>
      <c r="AH692" s="1" t="s">
        <v>11714</v>
      </c>
      <c r="AI692" s="1"/>
      <c r="AJ692" s="1" t="s">
        <v>11684</v>
      </c>
      <c r="AK692" s="1" t="s">
        <v>11685</v>
      </c>
      <c r="AL692" s="1" t="s">
        <v>11686</v>
      </c>
      <c r="AM692" s="1" t="s">
        <v>11684</v>
      </c>
      <c r="AN692" s="1" t="s">
        <v>11685</v>
      </c>
      <c r="AO692" s="1" t="s">
        <v>11686</v>
      </c>
      <c r="AP692" s="2" t="s">
        <v>11715</v>
      </c>
      <c r="AQ692" s="2" t="s">
        <v>1156</v>
      </c>
      <c r="AR692" s="1" t="s">
        <v>286</v>
      </c>
      <c r="AS692" s="1" t="s">
        <v>1076</v>
      </c>
      <c r="AT692" s="1" t="s">
        <v>5</v>
      </c>
    </row>
    <row r="693" spans="1:46" hidden="1" x14ac:dyDescent="0.4">
      <c r="A693" s="1" t="s">
        <v>8883</v>
      </c>
      <c r="B693" s="10"/>
      <c r="C693" s="1" t="s">
        <v>6443</v>
      </c>
      <c r="D693" s="1" t="s">
        <v>2157</v>
      </c>
      <c r="E693" s="1" t="s">
        <v>2078</v>
      </c>
      <c r="F693" s="1" t="s">
        <v>14</v>
      </c>
      <c r="G693" s="1" t="s">
        <v>1</v>
      </c>
      <c r="H693" s="1" t="s">
        <v>6</v>
      </c>
      <c r="I693" s="1" t="s">
        <v>2</v>
      </c>
      <c r="J693" s="1" t="s">
        <v>3</v>
      </c>
      <c r="K693" s="1" t="s">
        <v>8884</v>
      </c>
      <c r="L693" s="1" t="s">
        <v>7</v>
      </c>
      <c r="M693" s="1"/>
      <c r="N693" s="1" t="s">
        <v>8885</v>
      </c>
      <c r="O693" s="1" t="s">
        <v>8886</v>
      </c>
      <c r="P693" s="1"/>
      <c r="Q693" s="1"/>
      <c r="R693" s="1" t="s">
        <v>11</v>
      </c>
      <c r="S693" s="1"/>
      <c r="T693" s="1"/>
      <c r="U693" s="1"/>
      <c r="V693" s="1"/>
      <c r="W693" s="1" t="s">
        <v>8887</v>
      </c>
      <c r="X693" s="1"/>
      <c r="Y693" s="1"/>
      <c r="Z693" s="1"/>
      <c r="AA693" s="1"/>
      <c r="AB693" s="1" t="s">
        <v>8888</v>
      </c>
      <c r="AC693" s="1"/>
      <c r="AD693" s="1"/>
      <c r="AE693" s="1" t="s">
        <v>8889</v>
      </c>
      <c r="AF693" s="1"/>
      <c r="AG693" s="1"/>
      <c r="AH693" s="1" t="s">
        <v>8890</v>
      </c>
      <c r="AI693" s="1"/>
      <c r="AJ693" s="1" t="s">
        <v>6451</v>
      </c>
      <c r="AK693" s="1" t="s">
        <v>6452</v>
      </c>
      <c r="AL693" s="1" t="s">
        <v>6453</v>
      </c>
      <c r="AM693" s="1" t="s">
        <v>6451</v>
      </c>
      <c r="AN693" s="1" t="s">
        <v>6452</v>
      </c>
      <c r="AO693" s="1" t="s">
        <v>6453</v>
      </c>
      <c r="AP693" s="2" t="s">
        <v>8891</v>
      </c>
      <c r="AQ693" s="2" t="s">
        <v>1154</v>
      </c>
      <c r="AR693" s="1" t="s">
        <v>286</v>
      </c>
      <c r="AS693" s="1"/>
      <c r="AT693" s="1" t="s">
        <v>5</v>
      </c>
    </row>
    <row r="694" spans="1:46" hidden="1" x14ac:dyDescent="0.4">
      <c r="A694" s="1" t="s">
        <v>11766</v>
      </c>
      <c r="B694" s="10"/>
      <c r="C694" s="1" t="s">
        <v>11219</v>
      </c>
      <c r="D694" s="1" t="s">
        <v>2211</v>
      </c>
      <c r="E694" s="1" t="s">
        <v>2078</v>
      </c>
      <c r="F694" s="1" t="s">
        <v>14</v>
      </c>
      <c r="G694" s="1" t="s">
        <v>1</v>
      </c>
      <c r="H694" s="1" t="s">
        <v>6</v>
      </c>
      <c r="I694" s="1" t="s">
        <v>2</v>
      </c>
      <c r="J694" s="1" t="s">
        <v>3</v>
      </c>
      <c r="K694" s="1" t="s">
        <v>11767</v>
      </c>
      <c r="L694" s="1" t="s">
        <v>7</v>
      </c>
      <c r="M694" s="1"/>
      <c r="N694" s="1" t="s">
        <v>11768</v>
      </c>
      <c r="O694" s="1" t="s">
        <v>11769</v>
      </c>
      <c r="P694" s="1"/>
      <c r="Q694" s="1" t="s">
        <v>12</v>
      </c>
      <c r="R694" s="1" t="s">
        <v>11</v>
      </c>
      <c r="S694" s="1"/>
      <c r="T694" s="1" t="s">
        <v>12</v>
      </c>
      <c r="U694" s="1" t="s">
        <v>11</v>
      </c>
      <c r="V694" s="1"/>
      <c r="W694" s="1" t="s">
        <v>11770</v>
      </c>
      <c r="X694" s="1" t="s">
        <v>11771</v>
      </c>
      <c r="Y694" s="1"/>
      <c r="Z694" s="1"/>
      <c r="AA694" s="1"/>
      <c r="AB694" s="1" t="s">
        <v>11772</v>
      </c>
      <c r="AC694" s="1"/>
      <c r="AD694" s="1"/>
      <c r="AE694" s="1" t="s">
        <v>11773</v>
      </c>
      <c r="AF694" s="1"/>
      <c r="AG694" s="1"/>
      <c r="AH694" s="1" t="s">
        <v>11774</v>
      </c>
      <c r="AI694" s="1"/>
      <c r="AJ694" s="1" t="s">
        <v>11775</v>
      </c>
      <c r="AK694" s="1" t="s">
        <v>11776</v>
      </c>
      <c r="AL694" s="1" t="s">
        <v>11777</v>
      </c>
      <c r="AM694" s="1" t="s">
        <v>11778</v>
      </c>
      <c r="AN694" s="1" t="s">
        <v>11776</v>
      </c>
      <c r="AO694" s="1" t="s">
        <v>11779</v>
      </c>
      <c r="AP694" s="2" t="s">
        <v>11780</v>
      </c>
      <c r="AQ694" s="2" t="s">
        <v>1156</v>
      </c>
      <c r="AR694" s="1" t="s">
        <v>286</v>
      </c>
      <c r="AS694" s="1" t="s">
        <v>1076</v>
      </c>
      <c r="AT694" s="1" t="s">
        <v>5</v>
      </c>
    </row>
    <row r="695" spans="1:46" hidden="1" x14ac:dyDescent="0.4">
      <c r="A695" s="1" t="s">
        <v>8485</v>
      </c>
      <c r="B695" s="10"/>
      <c r="C695" s="1" t="s">
        <v>93</v>
      </c>
      <c r="D695" s="1" t="s">
        <v>2211</v>
      </c>
      <c r="E695" s="1" t="s">
        <v>13</v>
      </c>
      <c r="F695" s="1" t="s">
        <v>14</v>
      </c>
      <c r="G695" s="1" t="s">
        <v>1</v>
      </c>
      <c r="H695" s="1" t="s">
        <v>6</v>
      </c>
      <c r="I695" s="1" t="s">
        <v>2</v>
      </c>
      <c r="J695" s="1" t="s">
        <v>3</v>
      </c>
      <c r="K695" s="1" t="s">
        <v>8486</v>
      </c>
      <c r="L695" s="1" t="s">
        <v>7</v>
      </c>
      <c r="M695" s="1"/>
      <c r="N695" s="1" t="s">
        <v>8487</v>
      </c>
      <c r="O695" s="1" t="s">
        <v>8488</v>
      </c>
      <c r="P695" s="1"/>
      <c r="Q695" s="1"/>
      <c r="R695" s="1" t="s">
        <v>11</v>
      </c>
      <c r="S695" s="1"/>
      <c r="T695" s="1"/>
      <c r="U695" s="1"/>
      <c r="V695" s="1"/>
      <c r="W695" s="1"/>
      <c r="X695" s="1" t="s">
        <v>8489</v>
      </c>
      <c r="Y695" s="1"/>
      <c r="Z695" s="1"/>
      <c r="AA695" s="1"/>
      <c r="AB695" s="1" t="s">
        <v>8490</v>
      </c>
      <c r="AC695" s="1"/>
      <c r="AD695" s="1"/>
      <c r="AE695" s="1" t="s">
        <v>8491</v>
      </c>
      <c r="AF695" s="1"/>
      <c r="AG695" s="1"/>
      <c r="AH695" s="1" t="s">
        <v>8492</v>
      </c>
      <c r="AI695" s="1"/>
      <c r="AJ695" s="1" t="s">
        <v>8395</v>
      </c>
      <c r="AK695" s="1" t="s">
        <v>8396</v>
      </c>
      <c r="AL695" s="1" t="s">
        <v>8397</v>
      </c>
      <c r="AM695" s="1" t="s">
        <v>8395</v>
      </c>
      <c r="AN695" s="1" t="s">
        <v>8396</v>
      </c>
      <c r="AO695" s="1" t="s">
        <v>8397</v>
      </c>
      <c r="AP695" s="2" t="s">
        <v>8493</v>
      </c>
      <c r="AQ695" s="2" t="s">
        <v>1154</v>
      </c>
      <c r="AR695" s="1" t="s">
        <v>286</v>
      </c>
      <c r="AS695" s="1" t="s">
        <v>8494</v>
      </c>
      <c r="AT695" s="1" t="s">
        <v>5</v>
      </c>
    </row>
    <row r="696" spans="1:46" hidden="1" x14ac:dyDescent="0.4">
      <c r="A696" s="1" t="s">
        <v>5856</v>
      </c>
      <c r="B696" s="10"/>
      <c r="C696" s="1" t="s">
        <v>0</v>
      </c>
      <c r="D696" s="1" t="s">
        <v>2211</v>
      </c>
      <c r="E696" s="1" t="s">
        <v>2078</v>
      </c>
      <c r="F696" s="1" t="s">
        <v>14</v>
      </c>
      <c r="G696" s="1" t="s">
        <v>1</v>
      </c>
      <c r="H696" s="1" t="s">
        <v>6</v>
      </c>
      <c r="I696" s="1" t="s">
        <v>2</v>
      </c>
      <c r="J696" s="1" t="s">
        <v>3</v>
      </c>
      <c r="K696" s="1" t="s">
        <v>5857</v>
      </c>
      <c r="L696" s="1" t="s">
        <v>7</v>
      </c>
      <c r="M696" s="1" t="s">
        <v>9</v>
      </c>
      <c r="N696" s="1" t="s">
        <v>5858</v>
      </c>
      <c r="O696" s="1" t="s">
        <v>5859</v>
      </c>
      <c r="P696" s="1" t="s">
        <v>5860</v>
      </c>
      <c r="Q696" s="1"/>
      <c r="R696" s="1" t="s">
        <v>11</v>
      </c>
      <c r="S696" s="1"/>
      <c r="T696" s="1"/>
      <c r="U696" s="1"/>
      <c r="V696" s="1"/>
      <c r="W696" s="1"/>
      <c r="X696" s="1"/>
      <c r="Y696" s="1"/>
      <c r="Z696" s="1"/>
      <c r="AA696" s="1"/>
      <c r="AB696" s="1" t="s">
        <v>5861</v>
      </c>
      <c r="AC696" s="1"/>
      <c r="AD696" s="1"/>
      <c r="AE696" s="1" t="s">
        <v>5862</v>
      </c>
      <c r="AF696" s="1"/>
      <c r="AG696" s="1"/>
      <c r="AH696" s="1" t="s">
        <v>5863</v>
      </c>
      <c r="AI696" s="1"/>
      <c r="AJ696" s="1" t="s">
        <v>51</v>
      </c>
      <c r="AK696" s="1" t="s">
        <v>518</v>
      </c>
      <c r="AL696" s="1" t="s">
        <v>136</v>
      </c>
      <c r="AM696" s="1" t="s">
        <v>5864</v>
      </c>
      <c r="AN696" s="1" t="s">
        <v>518</v>
      </c>
      <c r="AO696" s="1" t="s">
        <v>5865</v>
      </c>
      <c r="AP696" s="2" t="s">
        <v>5866</v>
      </c>
      <c r="AQ696" s="2" t="s">
        <v>1077</v>
      </c>
      <c r="AR696" s="1" t="s">
        <v>286</v>
      </c>
      <c r="AS696" s="1"/>
      <c r="AT696" s="1" t="s">
        <v>5</v>
      </c>
    </row>
    <row r="697" spans="1:46" hidden="1" x14ac:dyDescent="0.4">
      <c r="A697" s="1" t="s">
        <v>4590</v>
      </c>
      <c r="B697" s="10"/>
      <c r="C697" s="1" t="s">
        <v>4098</v>
      </c>
      <c r="D697" s="1" t="s">
        <v>2211</v>
      </c>
      <c r="E697" s="1" t="s">
        <v>2078</v>
      </c>
      <c r="F697" s="1" t="s">
        <v>14</v>
      </c>
      <c r="G697" s="1" t="s">
        <v>1</v>
      </c>
      <c r="H697" s="1" t="s">
        <v>6</v>
      </c>
      <c r="I697" s="1" t="s">
        <v>2</v>
      </c>
      <c r="J697" s="1" t="s">
        <v>3</v>
      </c>
      <c r="K697" s="1" t="s">
        <v>4591</v>
      </c>
      <c r="L697" s="1" t="s">
        <v>7</v>
      </c>
      <c r="M697" s="1"/>
      <c r="N697" s="1" t="s">
        <v>4592</v>
      </c>
      <c r="O697" s="1" t="s">
        <v>4593</v>
      </c>
      <c r="P697" s="1"/>
      <c r="Q697" s="1"/>
      <c r="R697" s="1" t="s">
        <v>11</v>
      </c>
      <c r="S697" s="1"/>
      <c r="T697" s="1"/>
      <c r="U697" s="1"/>
      <c r="V697" s="1"/>
      <c r="W697" s="1" t="s">
        <v>4594</v>
      </c>
      <c r="X697" s="1" t="s">
        <v>4595</v>
      </c>
      <c r="Y697" s="1"/>
      <c r="Z697" s="1"/>
      <c r="AA697" s="1"/>
      <c r="AB697" s="1" t="s">
        <v>4596</v>
      </c>
      <c r="AC697" s="1"/>
      <c r="AD697" s="1"/>
      <c r="AE697" s="1"/>
      <c r="AF697" s="1"/>
      <c r="AG697" s="1"/>
      <c r="AH697" s="1" t="s">
        <v>4597</v>
      </c>
      <c r="AI697" s="1"/>
      <c r="AJ697" s="1" t="s">
        <v>4598</v>
      </c>
      <c r="AK697" s="1" t="s">
        <v>4599</v>
      </c>
      <c r="AL697" s="1" t="s">
        <v>4600</v>
      </c>
      <c r="AM697" s="1" t="s">
        <v>4601</v>
      </c>
      <c r="AN697" s="1" t="s">
        <v>4599</v>
      </c>
      <c r="AO697" s="1" t="s">
        <v>4602</v>
      </c>
      <c r="AP697" s="2" t="s">
        <v>4603</v>
      </c>
      <c r="AQ697" s="2" t="s">
        <v>1153</v>
      </c>
      <c r="AR697" s="1" t="s">
        <v>286</v>
      </c>
      <c r="AS697" s="1"/>
      <c r="AT697" s="1" t="s">
        <v>5</v>
      </c>
    </row>
    <row r="698" spans="1:46" hidden="1" x14ac:dyDescent="0.4">
      <c r="A698" s="1" t="s">
        <v>4604</v>
      </c>
      <c r="B698" s="10"/>
      <c r="C698" s="1" t="s">
        <v>4098</v>
      </c>
      <c r="D698" s="1" t="s">
        <v>2211</v>
      </c>
      <c r="E698" s="1" t="s">
        <v>2078</v>
      </c>
      <c r="F698" s="1" t="s">
        <v>14</v>
      </c>
      <c r="G698" s="1" t="s">
        <v>1</v>
      </c>
      <c r="H698" s="1" t="s">
        <v>6</v>
      </c>
      <c r="I698" s="1" t="s">
        <v>2</v>
      </c>
      <c r="J698" s="1" t="s">
        <v>3</v>
      </c>
      <c r="K698" s="1" t="s">
        <v>4605</v>
      </c>
      <c r="L698" s="1" t="s">
        <v>7</v>
      </c>
      <c r="M698" s="1"/>
      <c r="N698" s="1" t="s">
        <v>4606</v>
      </c>
      <c r="O698" s="1" t="s">
        <v>4593</v>
      </c>
      <c r="P698" s="1"/>
      <c r="Q698" s="1"/>
      <c r="R698" s="1" t="s">
        <v>11</v>
      </c>
      <c r="S698" s="1"/>
      <c r="T698" s="1"/>
      <c r="U698" s="1"/>
      <c r="V698" s="1"/>
      <c r="W698" s="1" t="s">
        <v>4607</v>
      </c>
      <c r="X698" s="1" t="s">
        <v>4608</v>
      </c>
      <c r="Y698" s="1"/>
      <c r="Z698" s="1"/>
      <c r="AA698" s="1"/>
      <c r="AB698" s="1" t="s">
        <v>4609</v>
      </c>
      <c r="AC698" s="1"/>
      <c r="AD698" s="1"/>
      <c r="AE698" s="1"/>
      <c r="AF698" s="1"/>
      <c r="AG698" s="1"/>
      <c r="AH698" s="1" t="s">
        <v>4610</v>
      </c>
      <c r="AI698" s="1"/>
      <c r="AJ698" s="1" t="s">
        <v>4598</v>
      </c>
      <c r="AK698" s="1" t="s">
        <v>4599</v>
      </c>
      <c r="AL698" s="1" t="s">
        <v>4600</v>
      </c>
      <c r="AM698" s="1" t="s">
        <v>4601</v>
      </c>
      <c r="AN698" s="1" t="s">
        <v>4599</v>
      </c>
      <c r="AO698" s="1" t="s">
        <v>4602</v>
      </c>
      <c r="AP698" s="2" t="s">
        <v>4611</v>
      </c>
      <c r="AQ698" s="2" t="s">
        <v>1153</v>
      </c>
      <c r="AR698" s="1" t="s">
        <v>286</v>
      </c>
      <c r="AS698" s="1"/>
      <c r="AT698" s="1" t="s">
        <v>5</v>
      </c>
    </row>
    <row r="699" spans="1:46" hidden="1" x14ac:dyDescent="0.4">
      <c r="A699" s="1" t="s">
        <v>2136</v>
      </c>
      <c r="B699" s="10"/>
      <c r="C699" s="1" t="s">
        <v>0</v>
      </c>
      <c r="D699" s="1" t="s">
        <v>2076</v>
      </c>
      <c r="E699" s="1" t="s">
        <v>2078</v>
      </c>
      <c r="F699" s="1" t="s">
        <v>14</v>
      </c>
      <c r="G699" s="1" t="s">
        <v>1</v>
      </c>
      <c r="H699" s="1" t="s">
        <v>6</v>
      </c>
      <c r="I699" s="1" t="s">
        <v>2</v>
      </c>
      <c r="J699" s="1" t="s">
        <v>3</v>
      </c>
      <c r="K699" s="1" t="s">
        <v>2137</v>
      </c>
      <c r="L699" s="1" t="s">
        <v>7</v>
      </c>
      <c r="M699" s="1" t="s">
        <v>9</v>
      </c>
      <c r="N699" s="1" t="s">
        <v>10969</v>
      </c>
      <c r="O699" s="1" t="s">
        <v>10970</v>
      </c>
      <c r="P699" s="1"/>
      <c r="Q699" s="1"/>
      <c r="R699" s="1" t="s">
        <v>11</v>
      </c>
      <c r="S699" s="1"/>
      <c r="T699" s="1"/>
      <c r="U699" s="1"/>
      <c r="V699" s="1"/>
      <c r="W699" s="1"/>
      <c r="X699" s="1"/>
      <c r="Y699" s="1"/>
      <c r="Z699" s="1"/>
      <c r="AA699" s="1"/>
      <c r="AB699" s="1" t="s">
        <v>10971</v>
      </c>
      <c r="AC699" s="1"/>
      <c r="AD699" s="1"/>
      <c r="AE699" s="1" t="s">
        <v>2139</v>
      </c>
      <c r="AF699" s="1"/>
      <c r="AG699" s="1"/>
      <c r="AH699" s="1" t="s">
        <v>10972</v>
      </c>
      <c r="AI699" s="1"/>
      <c r="AJ699" s="1" t="s">
        <v>2138</v>
      </c>
      <c r="AK699" s="1" t="s">
        <v>10973</v>
      </c>
      <c r="AL699" s="1" t="s">
        <v>10974</v>
      </c>
      <c r="AM699" s="1" t="s">
        <v>10975</v>
      </c>
      <c r="AN699" s="1" t="s">
        <v>10973</v>
      </c>
      <c r="AO699" s="1" t="s">
        <v>10976</v>
      </c>
      <c r="AP699" s="2" t="s">
        <v>10977</v>
      </c>
      <c r="AQ699" s="2" t="s">
        <v>1155</v>
      </c>
      <c r="AR699" s="1" t="s">
        <v>286</v>
      </c>
      <c r="AS699" s="1"/>
      <c r="AT699" s="1" t="s">
        <v>5</v>
      </c>
    </row>
    <row r="700" spans="1:46" hidden="1" x14ac:dyDescent="0.4">
      <c r="A700" s="1" t="s">
        <v>9046</v>
      </c>
      <c r="B700" s="10"/>
      <c r="C700" s="1" t="s">
        <v>93</v>
      </c>
      <c r="D700" s="1" t="s">
        <v>2290</v>
      </c>
      <c r="E700" s="1" t="s">
        <v>2291</v>
      </c>
      <c r="F700" s="1" t="s">
        <v>14</v>
      </c>
      <c r="G700" s="1" t="s">
        <v>1</v>
      </c>
      <c r="H700" s="1" t="s">
        <v>6</v>
      </c>
      <c r="I700" s="1" t="s">
        <v>2</v>
      </c>
      <c r="J700" s="1" t="s">
        <v>3</v>
      </c>
      <c r="K700" s="1" t="s">
        <v>9047</v>
      </c>
      <c r="L700" s="1" t="s">
        <v>7</v>
      </c>
      <c r="M700" s="1"/>
      <c r="N700" s="1" t="s">
        <v>9048</v>
      </c>
      <c r="O700" s="1" t="s">
        <v>9049</v>
      </c>
      <c r="P700" s="1"/>
      <c r="Q700" s="1"/>
      <c r="R700" s="1" t="s">
        <v>11</v>
      </c>
      <c r="S700" s="1"/>
      <c r="T700" s="1"/>
      <c r="U700" s="1"/>
      <c r="V700" s="1"/>
      <c r="W700" s="1" t="s">
        <v>9050</v>
      </c>
      <c r="X700" s="1"/>
      <c r="Y700" s="1"/>
      <c r="Z700" s="1"/>
      <c r="AA700" s="1"/>
      <c r="AB700" s="1" t="s">
        <v>9051</v>
      </c>
      <c r="AC700" s="1"/>
      <c r="AD700" s="1"/>
      <c r="AE700" s="1" t="s">
        <v>9052</v>
      </c>
      <c r="AF700" s="1"/>
      <c r="AG700" s="1"/>
      <c r="AH700" s="1" t="s">
        <v>9053</v>
      </c>
      <c r="AI700" s="1"/>
      <c r="AJ700" s="1" t="s">
        <v>8008</v>
      </c>
      <c r="AK700" s="1" t="s">
        <v>1787</v>
      </c>
      <c r="AL700" s="1" t="s">
        <v>8009</v>
      </c>
      <c r="AM700" s="1" t="s">
        <v>8008</v>
      </c>
      <c r="AN700" s="1" t="s">
        <v>1787</v>
      </c>
      <c r="AO700" s="1" t="s">
        <v>8009</v>
      </c>
      <c r="AP700" s="2" t="s">
        <v>9054</v>
      </c>
      <c r="AQ700" s="2" t="s">
        <v>1154</v>
      </c>
      <c r="AR700" s="1" t="s">
        <v>286</v>
      </c>
      <c r="AS700" s="1" t="s">
        <v>9055</v>
      </c>
      <c r="AT700" s="1" t="s">
        <v>5</v>
      </c>
    </row>
    <row r="701" spans="1:46" hidden="1" x14ac:dyDescent="0.4">
      <c r="A701" s="1" t="s">
        <v>9201</v>
      </c>
      <c r="B701" s="10"/>
      <c r="C701" s="1" t="s">
        <v>0</v>
      </c>
      <c r="D701" s="1" t="s">
        <v>2827</v>
      </c>
      <c r="E701" s="1" t="s">
        <v>2078</v>
      </c>
      <c r="F701" s="1" t="s">
        <v>14</v>
      </c>
      <c r="G701" s="1" t="s">
        <v>1</v>
      </c>
      <c r="H701" s="1" t="s">
        <v>6</v>
      </c>
      <c r="I701" s="1" t="s">
        <v>2</v>
      </c>
      <c r="J701" s="1" t="s">
        <v>3</v>
      </c>
      <c r="K701" s="1" t="s">
        <v>9202</v>
      </c>
      <c r="L701" s="1" t="s">
        <v>7</v>
      </c>
      <c r="M701" s="1" t="s">
        <v>9</v>
      </c>
      <c r="N701" s="1" t="s">
        <v>9203</v>
      </c>
      <c r="O701" s="1" t="s">
        <v>9204</v>
      </c>
      <c r="P701" s="1"/>
      <c r="Q701" s="1"/>
      <c r="R701" s="1" t="s">
        <v>11</v>
      </c>
      <c r="S701" s="1"/>
      <c r="T701" s="1"/>
      <c r="U701" s="1"/>
      <c r="V701" s="1"/>
      <c r="W701" s="1"/>
      <c r="X701" s="1"/>
      <c r="Y701" s="1"/>
      <c r="Z701" s="1"/>
      <c r="AA701" s="1"/>
      <c r="AB701" s="1" t="s">
        <v>9205</v>
      </c>
      <c r="AC701" s="1"/>
      <c r="AD701" s="1"/>
      <c r="AE701" s="1" t="s">
        <v>9206</v>
      </c>
      <c r="AF701" s="1"/>
      <c r="AG701" s="1"/>
      <c r="AH701" s="1" t="s">
        <v>9207</v>
      </c>
      <c r="AI701" s="1"/>
      <c r="AJ701" s="1" t="s">
        <v>9208</v>
      </c>
      <c r="AK701" s="1" t="s">
        <v>9209</v>
      </c>
      <c r="AL701" s="1" t="s">
        <v>9210</v>
      </c>
      <c r="AM701" s="1" t="s">
        <v>9211</v>
      </c>
      <c r="AN701" s="1" t="s">
        <v>9212</v>
      </c>
      <c r="AO701" s="1" t="s">
        <v>9213</v>
      </c>
      <c r="AP701" s="2" t="s">
        <v>9214</v>
      </c>
      <c r="AQ701" s="2" t="s">
        <v>1154</v>
      </c>
      <c r="AR701" s="1" t="s">
        <v>286</v>
      </c>
      <c r="AS701" s="1"/>
      <c r="AT701" s="1" t="s">
        <v>5</v>
      </c>
    </row>
    <row r="702" spans="1:46" hidden="1" x14ac:dyDescent="0.4">
      <c r="A702" s="1" t="s">
        <v>8114</v>
      </c>
      <c r="B702" s="10"/>
      <c r="C702" s="1" t="s">
        <v>0</v>
      </c>
      <c r="D702" s="1" t="s">
        <v>2396</v>
      </c>
      <c r="E702" s="1" t="s">
        <v>2078</v>
      </c>
      <c r="F702" s="1" t="s">
        <v>14</v>
      </c>
      <c r="G702" s="1" t="s">
        <v>1</v>
      </c>
      <c r="H702" s="1" t="s">
        <v>6</v>
      </c>
      <c r="I702" s="1" t="s">
        <v>2</v>
      </c>
      <c r="J702" s="1" t="s">
        <v>3</v>
      </c>
      <c r="K702" s="1" t="s">
        <v>8115</v>
      </c>
      <c r="L702" s="1" t="s">
        <v>7</v>
      </c>
      <c r="M702" s="1"/>
      <c r="N702" s="1" t="s">
        <v>8116</v>
      </c>
      <c r="O702" s="1" t="s">
        <v>8087</v>
      </c>
      <c r="P702" s="1"/>
      <c r="Q702" s="1"/>
      <c r="R702" s="1" t="s">
        <v>11</v>
      </c>
      <c r="S702" s="1"/>
      <c r="T702" s="1"/>
      <c r="U702" s="1"/>
      <c r="V702" s="1"/>
      <c r="W702" s="1" t="s">
        <v>8117</v>
      </c>
      <c r="X702" s="1"/>
      <c r="Y702" s="1"/>
      <c r="Z702" s="1"/>
      <c r="AA702" s="1"/>
      <c r="AB702" s="1" t="s">
        <v>8118</v>
      </c>
      <c r="AC702" s="1"/>
      <c r="AD702" s="1"/>
      <c r="AE702" s="1" t="s">
        <v>8090</v>
      </c>
      <c r="AF702" s="1"/>
      <c r="AG702" s="1"/>
      <c r="AH702" s="1" t="s">
        <v>8119</v>
      </c>
      <c r="AI702" s="1"/>
      <c r="AJ702" s="1" t="s">
        <v>1835</v>
      </c>
      <c r="AK702" s="1" t="s">
        <v>1836</v>
      </c>
      <c r="AL702" s="1" t="s">
        <v>1837</v>
      </c>
      <c r="AM702" s="1" t="s">
        <v>1835</v>
      </c>
      <c r="AN702" s="1" t="s">
        <v>1836</v>
      </c>
      <c r="AO702" s="1" t="s">
        <v>1837</v>
      </c>
      <c r="AP702" s="2" t="s">
        <v>8120</v>
      </c>
      <c r="AQ702" s="2" t="s">
        <v>1154</v>
      </c>
      <c r="AR702" s="1" t="s">
        <v>286</v>
      </c>
      <c r="AS702" s="1"/>
      <c r="AT702" s="1" t="s">
        <v>5</v>
      </c>
    </row>
    <row r="703" spans="1:46" hidden="1" x14ac:dyDescent="0.4">
      <c r="A703" s="1" t="s">
        <v>3214</v>
      </c>
      <c r="B703" s="10"/>
      <c r="C703" s="1" t="s">
        <v>0</v>
      </c>
      <c r="D703" s="1" t="s">
        <v>2157</v>
      </c>
      <c r="E703" s="1" t="s">
        <v>2078</v>
      </c>
      <c r="F703" s="1" t="s">
        <v>14</v>
      </c>
      <c r="G703" s="1" t="s">
        <v>1</v>
      </c>
      <c r="H703" s="1" t="s">
        <v>6</v>
      </c>
      <c r="I703" s="1" t="s">
        <v>2</v>
      </c>
      <c r="J703" s="1" t="s">
        <v>3</v>
      </c>
      <c r="K703" s="1" t="s">
        <v>3215</v>
      </c>
      <c r="L703" s="1" t="s">
        <v>7</v>
      </c>
      <c r="M703" s="1" t="s">
        <v>9</v>
      </c>
      <c r="N703" s="1" t="s">
        <v>3216</v>
      </c>
      <c r="O703" s="1" t="s">
        <v>3217</v>
      </c>
      <c r="P703" s="1"/>
      <c r="Q703" s="1"/>
      <c r="R703" s="1" t="s">
        <v>11</v>
      </c>
      <c r="S703" s="1"/>
      <c r="T703" s="1"/>
      <c r="U703" s="1"/>
      <c r="V703" s="1"/>
      <c r="W703" s="1"/>
      <c r="X703" s="1"/>
      <c r="Y703" s="1"/>
      <c r="Z703" s="1"/>
      <c r="AA703" s="1"/>
      <c r="AB703" s="1" t="s">
        <v>3218</v>
      </c>
      <c r="AC703" s="1"/>
      <c r="AD703" s="1"/>
      <c r="AE703" s="1" t="s">
        <v>3219</v>
      </c>
      <c r="AF703" s="1"/>
      <c r="AG703" s="1"/>
      <c r="AH703" s="1" t="s">
        <v>3220</v>
      </c>
      <c r="AI703" s="1" t="s">
        <v>3221</v>
      </c>
      <c r="AJ703" s="1" t="s">
        <v>3222</v>
      </c>
      <c r="AK703" s="1" t="s">
        <v>3223</v>
      </c>
      <c r="AL703" s="1" t="s">
        <v>3224</v>
      </c>
      <c r="AM703" s="1" t="s">
        <v>3222</v>
      </c>
      <c r="AN703" s="1" t="s">
        <v>3223</v>
      </c>
      <c r="AO703" s="1" t="s">
        <v>3224</v>
      </c>
      <c r="AP703" s="2" t="s">
        <v>3225</v>
      </c>
      <c r="AQ703" s="2" t="s">
        <v>1077</v>
      </c>
      <c r="AR703" s="1"/>
      <c r="AS703" s="1" t="s">
        <v>3226</v>
      </c>
      <c r="AT703" s="1" t="s">
        <v>5</v>
      </c>
    </row>
    <row r="704" spans="1:46" hidden="1" x14ac:dyDescent="0.4">
      <c r="A704" s="1" t="s">
        <v>9817</v>
      </c>
      <c r="B704" s="10"/>
      <c r="C704" s="1" t="s">
        <v>93</v>
      </c>
      <c r="D704" s="1" t="s">
        <v>2211</v>
      </c>
      <c r="E704" s="1" t="s">
        <v>2078</v>
      </c>
      <c r="F704" s="1" t="s">
        <v>14</v>
      </c>
      <c r="G704" s="1" t="s">
        <v>1</v>
      </c>
      <c r="H704" s="1" t="s">
        <v>6</v>
      </c>
      <c r="I704" s="1" t="s">
        <v>2</v>
      </c>
      <c r="J704" s="1" t="s">
        <v>3</v>
      </c>
      <c r="K704" s="1" t="s">
        <v>9818</v>
      </c>
      <c r="L704" s="1" t="s">
        <v>7</v>
      </c>
      <c r="M704" s="1"/>
      <c r="N704" s="1" t="s">
        <v>9819</v>
      </c>
      <c r="O704" s="1" t="s">
        <v>3928</v>
      </c>
      <c r="P704" s="1"/>
      <c r="Q704" s="1"/>
      <c r="R704" s="1" t="s">
        <v>11</v>
      </c>
      <c r="S704" s="1"/>
      <c r="T704" s="1"/>
      <c r="U704" s="1"/>
      <c r="V704" s="1"/>
      <c r="W704" s="1" t="s">
        <v>9820</v>
      </c>
      <c r="X704" s="1"/>
      <c r="Y704" s="1"/>
      <c r="Z704" s="1"/>
      <c r="AA704" s="1"/>
      <c r="AB704" s="1" t="s">
        <v>9821</v>
      </c>
      <c r="AC704" s="1"/>
      <c r="AD704" s="1"/>
      <c r="AE704" s="1" t="s">
        <v>4719</v>
      </c>
      <c r="AF704" s="1"/>
      <c r="AG704" s="1"/>
      <c r="AH704" s="1" t="s">
        <v>9822</v>
      </c>
      <c r="AI704" s="1"/>
      <c r="AJ704" s="1" t="s">
        <v>3932</v>
      </c>
      <c r="AK704" s="1" t="s">
        <v>3933</v>
      </c>
      <c r="AL704" s="1" t="s">
        <v>3934</v>
      </c>
      <c r="AM704" s="1" t="s">
        <v>3932</v>
      </c>
      <c r="AN704" s="1" t="s">
        <v>3933</v>
      </c>
      <c r="AO704" s="1" t="s">
        <v>3934</v>
      </c>
      <c r="AP704" s="2" t="s">
        <v>9823</v>
      </c>
      <c r="AQ704" s="2" t="s">
        <v>1155</v>
      </c>
      <c r="AR704" s="1" t="s">
        <v>286</v>
      </c>
      <c r="AS704" s="1" t="s">
        <v>9824</v>
      </c>
      <c r="AT704" s="1" t="s">
        <v>5</v>
      </c>
    </row>
    <row r="705" spans="1:46" hidden="1" x14ac:dyDescent="0.4">
      <c r="A705" s="1" t="s">
        <v>9809</v>
      </c>
      <c r="B705" s="10"/>
      <c r="C705" s="1" t="s">
        <v>93</v>
      </c>
      <c r="D705" s="1" t="s">
        <v>2211</v>
      </c>
      <c r="E705" s="1" t="s">
        <v>2078</v>
      </c>
      <c r="F705" s="1" t="s">
        <v>14</v>
      </c>
      <c r="G705" s="1" t="s">
        <v>1</v>
      </c>
      <c r="H705" s="1" t="s">
        <v>6</v>
      </c>
      <c r="I705" s="1" t="s">
        <v>2</v>
      </c>
      <c r="J705" s="1" t="s">
        <v>3</v>
      </c>
      <c r="K705" s="1" t="s">
        <v>9810</v>
      </c>
      <c r="L705" s="1" t="s">
        <v>7</v>
      </c>
      <c r="M705" s="1"/>
      <c r="N705" s="1" t="s">
        <v>9811</v>
      </c>
      <c r="O705" s="1" t="s">
        <v>3928</v>
      </c>
      <c r="P705" s="1"/>
      <c r="Q705" s="1"/>
      <c r="R705" s="1" t="s">
        <v>11</v>
      </c>
      <c r="S705" s="1"/>
      <c r="T705" s="1"/>
      <c r="U705" s="1"/>
      <c r="V705" s="1"/>
      <c r="W705" s="1" t="s">
        <v>9812</v>
      </c>
      <c r="X705" s="1"/>
      <c r="Y705" s="1"/>
      <c r="Z705" s="1"/>
      <c r="AA705" s="1"/>
      <c r="AB705" s="1" t="s">
        <v>9813</v>
      </c>
      <c r="AC705" s="1"/>
      <c r="AD705" s="1"/>
      <c r="AE705" s="1" t="s">
        <v>4719</v>
      </c>
      <c r="AF705" s="1"/>
      <c r="AG705" s="1"/>
      <c r="AH705" s="1" t="s">
        <v>9814</v>
      </c>
      <c r="AI705" s="1"/>
      <c r="AJ705" s="1" t="s">
        <v>3932</v>
      </c>
      <c r="AK705" s="1" t="s">
        <v>3933</v>
      </c>
      <c r="AL705" s="1" t="s">
        <v>3934</v>
      </c>
      <c r="AM705" s="1" t="s">
        <v>3932</v>
      </c>
      <c r="AN705" s="1" t="s">
        <v>3933</v>
      </c>
      <c r="AO705" s="1" t="s">
        <v>3934</v>
      </c>
      <c r="AP705" s="2" t="s">
        <v>9815</v>
      </c>
      <c r="AQ705" s="2" t="s">
        <v>1155</v>
      </c>
      <c r="AR705" s="1" t="s">
        <v>286</v>
      </c>
      <c r="AS705" s="1" t="s">
        <v>9816</v>
      </c>
      <c r="AT705" s="1" t="s">
        <v>5</v>
      </c>
    </row>
    <row r="706" spans="1:46" hidden="1" x14ac:dyDescent="0.4">
      <c r="A706" s="1" t="s">
        <v>8715</v>
      </c>
      <c r="B706" s="10"/>
      <c r="C706" s="1" t="s">
        <v>0</v>
      </c>
      <c r="D706" s="1" t="s">
        <v>3381</v>
      </c>
      <c r="E706" s="1" t="s">
        <v>2291</v>
      </c>
      <c r="F706" s="1" t="s">
        <v>3382</v>
      </c>
      <c r="G706" s="1" t="s">
        <v>1</v>
      </c>
      <c r="H706" s="1" t="s">
        <v>6</v>
      </c>
      <c r="I706" s="1" t="s">
        <v>2</v>
      </c>
      <c r="J706" s="1" t="s">
        <v>3</v>
      </c>
      <c r="K706" s="1" t="s">
        <v>8716</v>
      </c>
      <c r="L706" s="1" t="s">
        <v>7</v>
      </c>
      <c r="M706" s="1" t="s">
        <v>9</v>
      </c>
      <c r="N706" s="1" t="s">
        <v>8717</v>
      </c>
      <c r="O706" s="1" t="s">
        <v>8718</v>
      </c>
      <c r="P706" s="1"/>
      <c r="Q706" s="1"/>
      <c r="R706" s="1" t="s">
        <v>11</v>
      </c>
      <c r="S706" s="1"/>
      <c r="T706" s="1"/>
      <c r="U706" s="1"/>
      <c r="V706" s="1"/>
      <c r="W706" s="1" t="s">
        <v>8719</v>
      </c>
      <c r="X706" s="1"/>
      <c r="Y706" s="1"/>
      <c r="Z706" s="1"/>
      <c r="AA706" s="1"/>
      <c r="AB706" s="1" t="s">
        <v>8720</v>
      </c>
      <c r="AC706" s="1"/>
      <c r="AD706" s="1"/>
      <c r="AE706" s="1" t="s">
        <v>8721</v>
      </c>
      <c r="AF706" s="1"/>
      <c r="AG706" s="1"/>
      <c r="AH706" s="1" t="s">
        <v>8722</v>
      </c>
      <c r="AI706" s="1"/>
      <c r="AJ706" s="1" t="s">
        <v>1393</v>
      </c>
      <c r="AK706" s="1" t="s">
        <v>1394</v>
      </c>
      <c r="AL706" s="1"/>
      <c r="AM706" s="1" t="s">
        <v>1395</v>
      </c>
      <c r="AN706" s="1" t="s">
        <v>1394</v>
      </c>
      <c r="AO706" s="1" t="s">
        <v>1396</v>
      </c>
      <c r="AP706" s="2" t="s">
        <v>8723</v>
      </c>
      <c r="AQ706" s="2" t="s">
        <v>1154</v>
      </c>
      <c r="AR706" s="1" t="s">
        <v>286</v>
      </c>
      <c r="AS706" s="1"/>
      <c r="AT706" s="1" t="s">
        <v>5</v>
      </c>
    </row>
    <row r="707" spans="1:46" hidden="1" x14ac:dyDescent="0.4">
      <c r="A707" s="1" t="s">
        <v>8724</v>
      </c>
      <c r="B707" s="10"/>
      <c r="C707" s="1" t="s">
        <v>0</v>
      </c>
      <c r="D707" s="1" t="s">
        <v>3381</v>
      </c>
      <c r="E707" s="1" t="s">
        <v>2291</v>
      </c>
      <c r="F707" s="1" t="s">
        <v>3382</v>
      </c>
      <c r="G707" s="1" t="s">
        <v>1</v>
      </c>
      <c r="H707" s="1" t="s">
        <v>6</v>
      </c>
      <c r="I707" s="1" t="s">
        <v>2</v>
      </c>
      <c r="J707" s="1" t="s">
        <v>3</v>
      </c>
      <c r="K707" s="1" t="s">
        <v>8725</v>
      </c>
      <c r="L707" s="1" t="s">
        <v>7</v>
      </c>
      <c r="M707" s="1" t="s">
        <v>9</v>
      </c>
      <c r="N707" s="1" t="s">
        <v>8726</v>
      </c>
      <c r="O707" s="1" t="s">
        <v>8718</v>
      </c>
      <c r="P707" s="1"/>
      <c r="Q707" s="1"/>
      <c r="R707" s="1" t="s">
        <v>11</v>
      </c>
      <c r="S707" s="1"/>
      <c r="T707" s="1"/>
      <c r="U707" s="1"/>
      <c r="V707" s="1"/>
      <c r="W707" s="1"/>
      <c r="X707" s="1" t="s">
        <v>8727</v>
      </c>
      <c r="Y707" s="1"/>
      <c r="Z707" s="1"/>
      <c r="AA707" s="1"/>
      <c r="AB707" s="1" t="s">
        <v>8728</v>
      </c>
      <c r="AC707" s="1"/>
      <c r="AD707" s="1"/>
      <c r="AE707" s="1" t="s">
        <v>8721</v>
      </c>
      <c r="AF707" s="1"/>
      <c r="AG707" s="1"/>
      <c r="AH707" s="1" t="s">
        <v>8729</v>
      </c>
      <c r="AI707" s="1"/>
      <c r="AJ707" s="1" t="s">
        <v>1393</v>
      </c>
      <c r="AK707" s="1" t="s">
        <v>1394</v>
      </c>
      <c r="AL707" s="1"/>
      <c r="AM707" s="1" t="s">
        <v>1395</v>
      </c>
      <c r="AN707" s="1" t="s">
        <v>1394</v>
      </c>
      <c r="AO707" s="1" t="s">
        <v>1396</v>
      </c>
      <c r="AP707" s="2" t="s">
        <v>8730</v>
      </c>
      <c r="AQ707" s="2" t="s">
        <v>1154</v>
      </c>
      <c r="AR707" s="1" t="s">
        <v>286</v>
      </c>
      <c r="AS707" s="1"/>
      <c r="AT707" s="1" t="s">
        <v>5</v>
      </c>
    </row>
    <row r="708" spans="1:46" hidden="1" x14ac:dyDescent="0.4">
      <c r="A708" s="1" t="s">
        <v>3761</v>
      </c>
      <c r="B708" s="10"/>
      <c r="C708" s="1" t="s">
        <v>2491</v>
      </c>
      <c r="D708" s="1" t="s">
        <v>2396</v>
      </c>
      <c r="E708" s="1" t="s">
        <v>2078</v>
      </c>
      <c r="F708" s="1" t="s">
        <v>14</v>
      </c>
      <c r="G708" s="1" t="s">
        <v>1</v>
      </c>
      <c r="H708" s="1" t="s">
        <v>6</v>
      </c>
      <c r="I708" s="1" t="s">
        <v>2</v>
      </c>
      <c r="J708" s="1" t="s">
        <v>2492</v>
      </c>
      <c r="K708" s="1" t="s">
        <v>3762</v>
      </c>
      <c r="L708" s="1" t="s">
        <v>7</v>
      </c>
      <c r="M708" s="1"/>
      <c r="N708" s="1" t="s">
        <v>3763</v>
      </c>
      <c r="O708" s="1" t="s">
        <v>3764</v>
      </c>
      <c r="P708" s="1"/>
      <c r="Q708" s="1"/>
      <c r="R708" s="1" t="s">
        <v>11</v>
      </c>
      <c r="S708" s="1"/>
      <c r="T708" s="1"/>
      <c r="U708" s="1"/>
      <c r="V708" s="1"/>
      <c r="W708" s="1" t="s">
        <v>3765</v>
      </c>
      <c r="X708" s="1"/>
      <c r="Y708" s="1"/>
      <c r="Z708" s="1"/>
      <c r="AA708" s="1"/>
      <c r="AB708" s="1" t="s">
        <v>3766</v>
      </c>
      <c r="AC708" s="1"/>
      <c r="AD708" s="1"/>
      <c r="AE708" s="1" t="s">
        <v>3767</v>
      </c>
      <c r="AF708" s="1"/>
      <c r="AG708" s="1"/>
      <c r="AH708" s="1" t="s">
        <v>3768</v>
      </c>
      <c r="AI708" s="1"/>
      <c r="AJ708" s="1" t="s">
        <v>3769</v>
      </c>
      <c r="AK708" s="1" t="s">
        <v>3770</v>
      </c>
      <c r="AL708" s="1" t="s">
        <v>3771</v>
      </c>
      <c r="AM708" s="1" t="s">
        <v>3772</v>
      </c>
      <c r="AN708" s="1" t="s">
        <v>3770</v>
      </c>
      <c r="AO708" s="1" t="s">
        <v>3773</v>
      </c>
      <c r="AP708" s="2" t="s">
        <v>3774</v>
      </c>
      <c r="AQ708" s="2" t="s">
        <v>1153</v>
      </c>
      <c r="AR708" s="1" t="s">
        <v>287</v>
      </c>
      <c r="AS708" s="1"/>
      <c r="AT708" s="1" t="s">
        <v>5</v>
      </c>
    </row>
    <row r="709" spans="1:46" hidden="1" x14ac:dyDescent="0.4">
      <c r="A709" s="1" t="s">
        <v>3775</v>
      </c>
      <c r="B709" s="10"/>
      <c r="C709" s="1" t="s">
        <v>2491</v>
      </c>
      <c r="D709" s="1" t="s">
        <v>2396</v>
      </c>
      <c r="E709" s="1" t="s">
        <v>2078</v>
      </c>
      <c r="F709" s="1" t="s">
        <v>14</v>
      </c>
      <c r="G709" s="1" t="s">
        <v>1</v>
      </c>
      <c r="H709" s="1" t="s">
        <v>6</v>
      </c>
      <c r="I709" s="1" t="s">
        <v>2</v>
      </c>
      <c r="J709" s="1" t="s">
        <v>2492</v>
      </c>
      <c r="K709" s="1" t="s">
        <v>3776</v>
      </c>
      <c r="L709" s="1" t="s">
        <v>7</v>
      </c>
      <c r="M709" s="1" t="s">
        <v>9</v>
      </c>
      <c r="N709" s="1" t="s">
        <v>3777</v>
      </c>
      <c r="O709" s="1" t="s">
        <v>3764</v>
      </c>
      <c r="P709" s="1"/>
      <c r="Q709" s="1"/>
      <c r="R709" s="1" t="s">
        <v>11</v>
      </c>
      <c r="S709" s="1"/>
      <c r="T709" s="1"/>
      <c r="U709" s="1"/>
      <c r="V709" s="1"/>
      <c r="W709" s="1" t="s">
        <v>3778</v>
      </c>
      <c r="X709" s="1"/>
      <c r="Y709" s="1"/>
      <c r="Z709" s="1"/>
      <c r="AA709" s="1"/>
      <c r="AB709" s="1" t="s">
        <v>3779</v>
      </c>
      <c r="AC709" s="1"/>
      <c r="AD709" s="1"/>
      <c r="AE709" s="1" t="s">
        <v>3767</v>
      </c>
      <c r="AF709" s="1"/>
      <c r="AG709" s="1"/>
      <c r="AH709" s="1" t="s">
        <v>3780</v>
      </c>
      <c r="AI709" s="1"/>
      <c r="AJ709" s="1" t="s">
        <v>3769</v>
      </c>
      <c r="AK709" s="1" t="s">
        <v>3770</v>
      </c>
      <c r="AL709" s="1" t="s">
        <v>3771</v>
      </c>
      <c r="AM709" s="1" t="s">
        <v>3772</v>
      </c>
      <c r="AN709" s="1" t="s">
        <v>3770</v>
      </c>
      <c r="AO709" s="1" t="s">
        <v>3773</v>
      </c>
      <c r="AP709" s="2" t="s">
        <v>3781</v>
      </c>
      <c r="AQ709" s="2" t="s">
        <v>1153</v>
      </c>
      <c r="AR709" s="1" t="s">
        <v>287</v>
      </c>
      <c r="AS709" s="1"/>
      <c r="AT709" s="1" t="s">
        <v>5</v>
      </c>
    </row>
    <row r="710" spans="1:46" hidden="1" x14ac:dyDescent="0.4">
      <c r="A710" s="1" t="s">
        <v>4625</v>
      </c>
      <c r="B710" s="10"/>
      <c r="C710" s="1" t="s">
        <v>93</v>
      </c>
      <c r="D710" s="1" t="s">
        <v>2827</v>
      </c>
      <c r="E710" s="1" t="s">
        <v>2078</v>
      </c>
      <c r="F710" s="1" t="s">
        <v>14</v>
      </c>
      <c r="G710" s="1" t="s">
        <v>1</v>
      </c>
      <c r="H710" s="1" t="s">
        <v>6</v>
      </c>
      <c r="I710" s="1" t="s">
        <v>2</v>
      </c>
      <c r="J710" s="1" t="s">
        <v>3</v>
      </c>
      <c r="K710" s="1" t="s">
        <v>4626</v>
      </c>
      <c r="L710" s="1" t="s">
        <v>7</v>
      </c>
      <c r="M710" s="1"/>
      <c r="N710" s="1" t="s">
        <v>4627</v>
      </c>
      <c r="O710" s="1" t="s">
        <v>4628</v>
      </c>
      <c r="P710" s="1"/>
      <c r="Q710" s="1"/>
      <c r="R710" s="1" t="s">
        <v>11</v>
      </c>
      <c r="S710" s="1"/>
      <c r="T710" s="1"/>
      <c r="U710" s="1"/>
      <c r="V710" s="1"/>
      <c r="W710" s="1" t="s">
        <v>4629</v>
      </c>
      <c r="X710" s="1"/>
      <c r="Y710" s="1"/>
      <c r="Z710" s="1"/>
      <c r="AA710" s="1"/>
      <c r="AB710" s="1" t="s">
        <v>4630</v>
      </c>
      <c r="AC710" s="1"/>
      <c r="AD710" s="1"/>
      <c r="AE710" s="1" t="s">
        <v>4631</v>
      </c>
      <c r="AF710" s="1"/>
      <c r="AG710" s="1"/>
      <c r="AH710" s="1" t="s">
        <v>4632</v>
      </c>
      <c r="AI710" s="1"/>
      <c r="AJ710" s="1" t="s">
        <v>4502</v>
      </c>
      <c r="AK710" s="1" t="s">
        <v>4503</v>
      </c>
      <c r="AL710" s="1" t="s">
        <v>4504</v>
      </c>
      <c r="AM710" s="1" t="s">
        <v>4502</v>
      </c>
      <c r="AN710" s="1" t="s">
        <v>4503</v>
      </c>
      <c r="AO710" s="1" t="s">
        <v>4504</v>
      </c>
      <c r="AP710" s="2" t="s">
        <v>4633</v>
      </c>
      <c r="AQ710" s="2" t="s">
        <v>1153</v>
      </c>
      <c r="AR710" s="1" t="s">
        <v>286</v>
      </c>
      <c r="AS710" s="1"/>
      <c r="AT710" s="1" t="s">
        <v>5</v>
      </c>
    </row>
    <row r="711" spans="1:46" hidden="1" x14ac:dyDescent="0.4">
      <c r="A711" s="1" t="s">
        <v>7885</v>
      </c>
      <c r="B711" s="10"/>
      <c r="C711" s="1" t="s">
        <v>93</v>
      </c>
      <c r="D711" s="1" t="s">
        <v>2157</v>
      </c>
      <c r="E711" s="1" t="s">
        <v>2478</v>
      </c>
      <c r="F711" s="1" t="s">
        <v>14</v>
      </c>
      <c r="G711" s="1" t="s">
        <v>1</v>
      </c>
      <c r="H711" s="1" t="s">
        <v>6</v>
      </c>
      <c r="I711" s="1" t="s">
        <v>2</v>
      </c>
      <c r="J711" s="1" t="s">
        <v>3</v>
      </c>
      <c r="K711" s="1" t="s">
        <v>7886</v>
      </c>
      <c r="L711" s="1" t="s">
        <v>4</v>
      </c>
      <c r="M711" s="1"/>
      <c r="N711" s="1" t="s">
        <v>7887</v>
      </c>
      <c r="O711" s="1" t="s">
        <v>7888</v>
      </c>
      <c r="P711" s="1"/>
      <c r="Q711" s="1"/>
      <c r="R711" s="1" t="s">
        <v>11</v>
      </c>
      <c r="S711" s="1"/>
      <c r="T711" s="1"/>
      <c r="U711" s="1"/>
      <c r="V711" s="1"/>
      <c r="W711" s="1" t="s">
        <v>7889</v>
      </c>
      <c r="X711" s="1"/>
      <c r="Y711" s="1"/>
      <c r="Z711" s="1"/>
      <c r="AA711" s="1"/>
      <c r="AB711" s="1" t="s">
        <v>7890</v>
      </c>
      <c r="AC711" s="1"/>
      <c r="AD711" s="1"/>
      <c r="AE711" s="1" t="s">
        <v>7891</v>
      </c>
      <c r="AF711" s="1"/>
      <c r="AG711" s="1"/>
      <c r="AH711" s="1" t="s">
        <v>7892</v>
      </c>
      <c r="AI711" s="1"/>
      <c r="AJ711" s="1" t="s">
        <v>6849</v>
      </c>
      <c r="AK711" s="1" t="s">
        <v>329</v>
      </c>
      <c r="AL711" s="1" t="s">
        <v>6850</v>
      </c>
      <c r="AM711" s="1" t="s">
        <v>6851</v>
      </c>
      <c r="AN711" s="1" t="s">
        <v>6852</v>
      </c>
      <c r="AO711" s="1" t="s">
        <v>6853</v>
      </c>
      <c r="AP711" s="2" t="s">
        <v>7893</v>
      </c>
      <c r="AQ711" s="2" t="s">
        <v>1154</v>
      </c>
      <c r="AR711" s="1" t="s">
        <v>286</v>
      </c>
      <c r="AS711" s="1" t="s">
        <v>7894</v>
      </c>
      <c r="AT711" s="1" t="s">
        <v>5</v>
      </c>
    </row>
    <row r="712" spans="1:46" hidden="1" x14ac:dyDescent="0.4">
      <c r="A712" s="1" t="s">
        <v>10289</v>
      </c>
      <c r="B712" s="10"/>
      <c r="C712" s="1" t="s">
        <v>93</v>
      </c>
      <c r="D712" s="1" t="s">
        <v>2211</v>
      </c>
      <c r="E712" s="1" t="s">
        <v>2078</v>
      </c>
      <c r="F712" s="1" t="s">
        <v>14</v>
      </c>
      <c r="G712" s="1" t="s">
        <v>1</v>
      </c>
      <c r="H712" s="1" t="s">
        <v>6</v>
      </c>
      <c r="I712" s="1" t="s">
        <v>2</v>
      </c>
      <c r="J712" s="1" t="s">
        <v>3</v>
      </c>
      <c r="K712" s="1" t="s">
        <v>10290</v>
      </c>
      <c r="L712" s="1" t="s">
        <v>7</v>
      </c>
      <c r="M712" s="1"/>
      <c r="N712" s="1" t="s">
        <v>10291</v>
      </c>
      <c r="O712" s="1" t="s">
        <v>5188</v>
      </c>
      <c r="P712" s="1"/>
      <c r="Q712" s="1"/>
      <c r="R712" s="1" t="s">
        <v>11</v>
      </c>
      <c r="S712" s="1"/>
      <c r="T712" s="1"/>
      <c r="U712" s="1"/>
      <c r="V712" s="1"/>
      <c r="W712" s="1" t="s">
        <v>10292</v>
      </c>
      <c r="X712" s="1"/>
      <c r="Y712" s="1"/>
      <c r="Z712" s="1"/>
      <c r="AA712" s="1"/>
      <c r="AB712" s="1" t="s">
        <v>10293</v>
      </c>
      <c r="AC712" s="1"/>
      <c r="AD712" s="1"/>
      <c r="AE712" s="1" t="s">
        <v>7320</v>
      </c>
      <c r="AF712" s="1"/>
      <c r="AG712" s="1"/>
      <c r="AH712" s="1" t="s">
        <v>10294</v>
      </c>
      <c r="AI712" s="1" t="s">
        <v>10295</v>
      </c>
      <c r="AJ712" s="1" t="s">
        <v>3932</v>
      </c>
      <c r="AK712" s="1" t="s">
        <v>3933</v>
      </c>
      <c r="AL712" s="1" t="s">
        <v>3934</v>
      </c>
      <c r="AM712" s="1" t="s">
        <v>3932</v>
      </c>
      <c r="AN712" s="1" t="s">
        <v>3933</v>
      </c>
      <c r="AO712" s="1" t="s">
        <v>3934</v>
      </c>
      <c r="AP712" s="2" t="s">
        <v>10296</v>
      </c>
      <c r="AQ712" s="2" t="s">
        <v>1155</v>
      </c>
      <c r="AR712" s="1" t="s">
        <v>286</v>
      </c>
      <c r="AS712" s="1" t="s">
        <v>10297</v>
      </c>
      <c r="AT712" s="1" t="s">
        <v>5</v>
      </c>
    </row>
    <row r="713" spans="1:46" hidden="1" x14ac:dyDescent="0.4">
      <c r="A713" s="1" t="s">
        <v>9080</v>
      </c>
      <c r="B713" s="10"/>
      <c r="C713" s="1" t="s">
        <v>93</v>
      </c>
      <c r="D713" s="1" t="s">
        <v>2220</v>
      </c>
      <c r="E713" s="1" t="s">
        <v>2078</v>
      </c>
      <c r="F713" s="1" t="s">
        <v>14</v>
      </c>
      <c r="G713" s="1" t="s">
        <v>1</v>
      </c>
      <c r="H713" s="1" t="s">
        <v>6</v>
      </c>
      <c r="I713" s="1" t="s">
        <v>2</v>
      </c>
      <c r="J713" s="1" t="s">
        <v>3</v>
      </c>
      <c r="K713" s="1" t="s">
        <v>9081</v>
      </c>
      <c r="L713" s="1" t="s">
        <v>7</v>
      </c>
      <c r="M713" s="1"/>
      <c r="N713" s="1" t="s">
        <v>9082</v>
      </c>
      <c r="O713" s="1" t="s">
        <v>9083</v>
      </c>
      <c r="P713" s="1"/>
      <c r="Q713" s="1"/>
      <c r="R713" s="1" t="s">
        <v>11</v>
      </c>
      <c r="S713" s="1"/>
      <c r="T713" s="1"/>
      <c r="U713" s="1"/>
      <c r="V713" s="1"/>
      <c r="W713" s="1"/>
      <c r="X713" s="1"/>
      <c r="Y713" s="1"/>
      <c r="Z713" s="1"/>
      <c r="AA713" s="1"/>
      <c r="AB713" s="1" t="s">
        <v>9084</v>
      </c>
      <c r="AC713" s="1"/>
      <c r="AD713" s="1"/>
      <c r="AE713" s="1" t="s">
        <v>9085</v>
      </c>
      <c r="AF713" s="1"/>
      <c r="AG713" s="1"/>
      <c r="AH713" s="1" t="s">
        <v>9086</v>
      </c>
      <c r="AI713" s="1"/>
      <c r="AJ713" s="1" t="s">
        <v>9087</v>
      </c>
      <c r="AK713" s="1" t="s">
        <v>3947</v>
      </c>
      <c r="AL713" s="1" t="s">
        <v>9088</v>
      </c>
      <c r="AM713" s="1" t="s">
        <v>9087</v>
      </c>
      <c r="AN713" s="1" t="s">
        <v>3947</v>
      </c>
      <c r="AO713" s="1" t="s">
        <v>9088</v>
      </c>
      <c r="AP713" s="2" t="s">
        <v>9089</v>
      </c>
      <c r="AQ713" s="2" t="s">
        <v>1154</v>
      </c>
      <c r="AR713" s="1" t="s">
        <v>286</v>
      </c>
      <c r="AS713" s="1"/>
      <c r="AT713" s="1" t="s">
        <v>5</v>
      </c>
    </row>
    <row r="714" spans="1:46" hidden="1" x14ac:dyDescent="0.4">
      <c r="A714" s="1" t="s">
        <v>9588</v>
      </c>
      <c r="B714" s="10"/>
      <c r="C714" s="1" t="s">
        <v>93</v>
      </c>
      <c r="D714" s="1" t="s">
        <v>2157</v>
      </c>
      <c r="E714" s="1" t="s">
        <v>2078</v>
      </c>
      <c r="F714" s="1" t="s">
        <v>14</v>
      </c>
      <c r="G714" s="1" t="s">
        <v>1</v>
      </c>
      <c r="H714" s="1" t="s">
        <v>6</v>
      </c>
      <c r="I714" s="1" t="s">
        <v>2</v>
      </c>
      <c r="J714" s="1" t="s">
        <v>3</v>
      </c>
      <c r="K714" s="1" t="s">
        <v>9589</v>
      </c>
      <c r="L714" s="1" t="s">
        <v>7</v>
      </c>
      <c r="M714" s="1"/>
      <c r="N714" s="1" t="s">
        <v>9590</v>
      </c>
      <c r="O714" s="1" t="s">
        <v>3928</v>
      </c>
      <c r="P714" s="1"/>
      <c r="Q714" s="1"/>
      <c r="R714" s="1" t="s">
        <v>11</v>
      </c>
      <c r="S714" s="1"/>
      <c r="T714" s="1"/>
      <c r="U714" s="1"/>
      <c r="V714" s="1"/>
      <c r="W714" s="1"/>
      <c r="X714" s="1"/>
      <c r="Y714" s="1"/>
      <c r="Z714" s="1"/>
      <c r="AA714" s="1"/>
      <c r="AB714" s="1" t="s">
        <v>9591</v>
      </c>
      <c r="AC714" s="1"/>
      <c r="AD714" s="1"/>
      <c r="AE714" s="1" t="s">
        <v>9585</v>
      </c>
      <c r="AF714" s="1"/>
      <c r="AG714" s="1"/>
      <c r="AH714" s="1" t="s">
        <v>9592</v>
      </c>
      <c r="AI714" s="1"/>
      <c r="AJ714" s="1" t="s">
        <v>6822</v>
      </c>
      <c r="AK714" s="1" t="s">
        <v>6275</v>
      </c>
      <c r="AL714" s="1" t="s">
        <v>6823</v>
      </c>
      <c r="AM714" s="1" t="s">
        <v>6822</v>
      </c>
      <c r="AN714" s="1" t="s">
        <v>6275</v>
      </c>
      <c r="AO714" s="1" t="s">
        <v>6823</v>
      </c>
      <c r="AP714" s="2" t="s">
        <v>9593</v>
      </c>
      <c r="AQ714" s="2" t="s">
        <v>1155</v>
      </c>
      <c r="AR714" s="1" t="s">
        <v>286</v>
      </c>
      <c r="AS714" s="1" t="s">
        <v>9540</v>
      </c>
      <c r="AT714" s="1" t="s">
        <v>5</v>
      </c>
    </row>
    <row r="715" spans="1:46" hidden="1" x14ac:dyDescent="0.4">
      <c r="A715" s="1" t="s">
        <v>9534</v>
      </c>
      <c r="B715" s="10"/>
      <c r="C715" s="1" t="s">
        <v>93</v>
      </c>
      <c r="D715" s="1" t="s">
        <v>2157</v>
      </c>
      <c r="E715" s="1" t="s">
        <v>2078</v>
      </c>
      <c r="F715" s="1" t="s">
        <v>14</v>
      </c>
      <c r="G715" s="1" t="s">
        <v>1</v>
      </c>
      <c r="H715" s="1" t="s">
        <v>6</v>
      </c>
      <c r="I715" s="1" t="s">
        <v>2</v>
      </c>
      <c r="J715" s="1" t="s">
        <v>3</v>
      </c>
      <c r="K715" s="1" t="s">
        <v>9535</v>
      </c>
      <c r="L715" s="1" t="s">
        <v>7</v>
      </c>
      <c r="M715" s="1"/>
      <c r="N715" s="1" t="s">
        <v>9536</v>
      </c>
      <c r="O715" s="1" t="s">
        <v>3928</v>
      </c>
      <c r="P715" s="1"/>
      <c r="Q715" s="1"/>
      <c r="R715" s="1" t="s">
        <v>11</v>
      </c>
      <c r="S715" s="1"/>
      <c r="T715" s="1"/>
      <c r="U715" s="1"/>
      <c r="V715" s="1"/>
      <c r="W715" s="1"/>
      <c r="X715" s="1"/>
      <c r="Y715" s="1"/>
      <c r="Z715" s="1"/>
      <c r="AA715" s="1"/>
      <c r="AB715" s="1" t="s">
        <v>9537</v>
      </c>
      <c r="AC715" s="1"/>
      <c r="AD715" s="1"/>
      <c r="AE715" s="1" t="s">
        <v>4719</v>
      </c>
      <c r="AF715" s="1"/>
      <c r="AG715" s="1"/>
      <c r="AH715" s="1" t="s">
        <v>9538</v>
      </c>
      <c r="AI715" s="1"/>
      <c r="AJ715" s="1" t="s">
        <v>6822</v>
      </c>
      <c r="AK715" s="1" t="s">
        <v>6275</v>
      </c>
      <c r="AL715" s="1" t="s">
        <v>6823</v>
      </c>
      <c r="AM715" s="1" t="s">
        <v>6822</v>
      </c>
      <c r="AN715" s="1" t="s">
        <v>6275</v>
      </c>
      <c r="AO715" s="1" t="s">
        <v>6823</v>
      </c>
      <c r="AP715" s="2" t="s">
        <v>9539</v>
      </c>
      <c r="AQ715" s="2" t="s">
        <v>1155</v>
      </c>
      <c r="AR715" s="1" t="s">
        <v>286</v>
      </c>
      <c r="AS715" s="1" t="s">
        <v>9540</v>
      </c>
      <c r="AT715" s="1" t="s">
        <v>5</v>
      </c>
    </row>
    <row r="716" spans="1:46" hidden="1" x14ac:dyDescent="0.4">
      <c r="A716" s="1" t="s">
        <v>9547</v>
      </c>
      <c r="B716" s="10"/>
      <c r="C716" s="1" t="s">
        <v>93</v>
      </c>
      <c r="D716" s="1" t="s">
        <v>2157</v>
      </c>
      <c r="E716" s="1" t="s">
        <v>2078</v>
      </c>
      <c r="F716" s="1" t="s">
        <v>14</v>
      </c>
      <c r="G716" s="1" t="s">
        <v>1</v>
      </c>
      <c r="H716" s="1" t="s">
        <v>6</v>
      </c>
      <c r="I716" s="1" t="s">
        <v>2</v>
      </c>
      <c r="J716" s="1" t="s">
        <v>3</v>
      </c>
      <c r="K716" s="1" t="s">
        <v>9548</v>
      </c>
      <c r="L716" s="1" t="s">
        <v>7</v>
      </c>
      <c r="M716" s="1"/>
      <c r="N716" s="1" t="s">
        <v>9549</v>
      </c>
      <c r="O716" s="1" t="s">
        <v>3928</v>
      </c>
      <c r="P716" s="1"/>
      <c r="Q716" s="1"/>
      <c r="R716" s="1" t="s">
        <v>11</v>
      </c>
      <c r="S716" s="1"/>
      <c r="T716" s="1"/>
      <c r="U716" s="1"/>
      <c r="V716" s="1"/>
      <c r="W716" s="1"/>
      <c r="X716" s="1"/>
      <c r="Y716" s="1"/>
      <c r="Z716" s="1"/>
      <c r="AA716" s="1"/>
      <c r="AB716" s="1" t="s">
        <v>9550</v>
      </c>
      <c r="AC716" s="1"/>
      <c r="AD716" s="1"/>
      <c r="AE716" s="1" t="s">
        <v>4719</v>
      </c>
      <c r="AF716" s="1"/>
      <c r="AG716" s="1"/>
      <c r="AH716" s="1" t="s">
        <v>9551</v>
      </c>
      <c r="AI716" s="1"/>
      <c r="AJ716" s="1" t="s">
        <v>6822</v>
      </c>
      <c r="AK716" s="1" t="s">
        <v>6275</v>
      </c>
      <c r="AL716" s="1" t="s">
        <v>6823</v>
      </c>
      <c r="AM716" s="1" t="s">
        <v>6822</v>
      </c>
      <c r="AN716" s="1" t="s">
        <v>6275</v>
      </c>
      <c r="AO716" s="1" t="s">
        <v>6823</v>
      </c>
      <c r="AP716" s="2" t="s">
        <v>9552</v>
      </c>
      <c r="AQ716" s="2" t="s">
        <v>1155</v>
      </c>
      <c r="AR716" s="1" t="s">
        <v>286</v>
      </c>
      <c r="AS716" s="1" t="s">
        <v>9540</v>
      </c>
      <c r="AT716" s="1" t="s">
        <v>5</v>
      </c>
    </row>
    <row r="717" spans="1:46" hidden="1" x14ac:dyDescent="0.4">
      <c r="A717" s="1" t="s">
        <v>9541</v>
      </c>
      <c r="B717" s="10"/>
      <c r="C717" s="1" t="s">
        <v>93</v>
      </c>
      <c r="D717" s="1" t="s">
        <v>2157</v>
      </c>
      <c r="E717" s="1" t="s">
        <v>2078</v>
      </c>
      <c r="F717" s="1" t="s">
        <v>14</v>
      </c>
      <c r="G717" s="1" t="s">
        <v>1</v>
      </c>
      <c r="H717" s="1" t="s">
        <v>6</v>
      </c>
      <c r="I717" s="1" t="s">
        <v>2</v>
      </c>
      <c r="J717" s="1" t="s">
        <v>3</v>
      </c>
      <c r="K717" s="1" t="s">
        <v>9542</v>
      </c>
      <c r="L717" s="1" t="s">
        <v>7</v>
      </c>
      <c r="M717" s="1"/>
      <c r="N717" s="1" t="s">
        <v>9543</v>
      </c>
      <c r="O717" s="1" t="s">
        <v>3928</v>
      </c>
      <c r="P717" s="1"/>
      <c r="Q717" s="1"/>
      <c r="R717" s="1" t="s">
        <v>11</v>
      </c>
      <c r="S717" s="1"/>
      <c r="T717" s="1"/>
      <c r="U717" s="1"/>
      <c r="V717" s="1"/>
      <c r="W717" s="1"/>
      <c r="X717" s="1"/>
      <c r="Y717" s="1"/>
      <c r="Z717" s="1"/>
      <c r="AA717" s="1"/>
      <c r="AB717" s="1" t="s">
        <v>9544</v>
      </c>
      <c r="AC717" s="1"/>
      <c r="AD717" s="1"/>
      <c r="AE717" s="1" t="s">
        <v>4719</v>
      </c>
      <c r="AF717" s="1"/>
      <c r="AG717" s="1"/>
      <c r="AH717" s="1" t="s">
        <v>9545</v>
      </c>
      <c r="AI717" s="1"/>
      <c r="AJ717" s="1" t="s">
        <v>6822</v>
      </c>
      <c r="AK717" s="1" t="s">
        <v>6275</v>
      </c>
      <c r="AL717" s="1" t="s">
        <v>6823</v>
      </c>
      <c r="AM717" s="1" t="s">
        <v>6822</v>
      </c>
      <c r="AN717" s="1" t="s">
        <v>6275</v>
      </c>
      <c r="AO717" s="1" t="s">
        <v>6823</v>
      </c>
      <c r="AP717" s="2" t="s">
        <v>9546</v>
      </c>
      <c r="AQ717" s="2" t="s">
        <v>1155</v>
      </c>
      <c r="AR717" s="1" t="s">
        <v>286</v>
      </c>
      <c r="AS717" s="1" t="s">
        <v>9540</v>
      </c>
      <c r="AT717" s="1" t="s">
        <v>5</v>
      </c>
    </row>
    <row r="718" spans="1:46" hidden="1" x14ac:dyDescent="0.4">
      <c r="A718" s="1" t="s">
        <v>9559</v>
      </c>
      <c r="B718" s="10"/>
      <c r="C718" s="1" t="s">
        <v>93</v>
      </c>
      <c r="D718" s="1" t="s">
        <v>2157</v>
      </c>
      <c r="E718" s="1" t="s">
        <v>2078</v>
      </c>
      <c r="F718" s="1" t="s">
        <v>14</v>
      </c>
      <c r="G718" s="1" t="s">
        <v>1</v>
      </c>
      <c r="H718" s="1" t="s">
        <v>6</v>
      </c>
      <c r="I718" s="1" t="s">
        <v>2</v>
      </c>
      <c r="J718" s="1" t="s">
        <v>3</v>
      </c>
      <c r="K718" s="1" t="s">
        <v>9560</v>
      </c>
      <c r="L718" s="1" t="s">
        <v>7</v>
      </c>
      <c r="M718" s="1"/>
      <c r="N718" s="1" t="s">
        <v>9561</v>
      </c>
      <c r="O718" s="1" t="s">
        <v>3928</v>
      </c>
      <c r="P718" s="1"/>
      <c r="Q718" s="1"/>
      <c r="R718" s="1" t="s">
        <v>11</v>
      </c>
      <c r="S718" s="1"/>
      <c r="T718" s="1"/>
      <c r="U718" s="1"/>
      <c r="V718" s="1"/>
      <c r="W718" s="1"/>
      <c r="X718" s="1"/>
      <c r="Y718" s="1"/>
      <c r="Z718" s="1"/>
      <c r="AA718" s="1"/>
      <c r="AB718" s="1" t="s">
        <v>9562</v>
      </c>
      <c r="AC718" s="1"/>
      <c r="AD718" s="1"/>
      <c r="AE718" s="1" t="s">
        <v>4719</v>
      </c>
      <c r="AF718" s="1"/>
      <c r="AG718" s="1"/>
      <c r="AH718" s="1" t="s">
        <v>9563</v>
      </c>
      <c r="AI718" s="1"/>
      <c r="AJ718" s="1" t="s">
        <v>6822</v>
      </c>
      <c r="AK718" s="1" t="s">
        <v>6275</v>
      </c>
      <c r="AL718" s="1" t="s">
        <v>6823</v>
      </c>
      <c r="AM718" s="1" t="s">
        <v>6822</v>
      </c>
      <c r="AN718" s="1" t="s">
        <v>6275</v>
      </c>
      <c r="AO718" s="1" t="s">
        <v>6823</v>
      </c>
      <c r="AP718" s="2" t="s">
        <v>9546</v>
      </c>
      <c r="AQ718" s="2" t="s">
        <v>1155</v>
      </c>
      <c r="AR718" s="1" t="s">
        <v>286</v>
      </c>
      <c r="AS718" s="1" t="s">
        <v>9540</v>
      </c>
      <c r="AT718" s="1" t="s">
        <v>5</v>
      </c>
    </row>
    <row r="719" spans="1:46" hidden="1" x14ac:dyDescent="0.4">
      <c r="A719" s="1" t="s">
        <v>9553</v>
      </c>
      <c r="B719" s="10"/>
      <c r="C719" s="1" t="s">
        <v>93</v>
      </c>
      <c r="D719" s="1" t="s">
        <v>2157</v>
      </c>
      <c r="E719" s="1" t="s">
        <v>2078</v>
      </c>
      <c r="F719" s="1" t="s">
        <v>14</v>
      </c>
      <c r="G719" s="1" t="s">
        <v>1</v>
      </c>
      <c r="H719" s="1" t="s">
        <v>6</v>
      </c>
      <c r="I719" s="1" t="s">
        <v>2</v>
      </c>
      <c r="J719" s="1" t="s">
        <v>3</v>
      </c>
      <c r="K719" s="1" t="s">
        <v>9554</v>
      </c>
      <c r="L719" s="1" t="s">
        <v>7</v>
      </c>
      <c r="M719" s="1"/>
      <c r="N719" s="1" t="s">
        <v>9555</v>
      </c>
      <c r="O719" s="1" t="s">
        <v>3928</v>
      </c>
      <c r="P719" s="1"/>
      <c r="Q719" s="1"/>
      <c r="R719" s="1" t="s">
        <v>11</v>
      </c>
      <c r="S719" s="1"/>
      <c r="T719" s="1"/>
      <c r="U719" s="1"/>
      <c r="V719" s="1"/>
      <c r="W719" s="1"/>
      <c r="X719" s="1"/>
      <c r="Y719" s="1"/>
      <c r="Z719" s="1"/>
      <c r="AA719" s="1"/>
      <c r="AB719" s="1" t="s">
        <v>9556</v>
      </c>
      <c r="AC719" s="1"/>
      <c r="AD719" s="1"/>
      <c r="AE719" s="1" t="s">
        <v>4719</v>
      </c>
      <c r="AF719" s="1"/>
      <c r="AG719" s="1"/>
      <c r="AH719" s="1" t="s">
        <v>9557</v>
      </c>
      <c r="AI719" s="1"/>
      <c r="AJ719" s="1" t="s">
        <v>6822</v>
      </c>
      <c r="AK719" s="1" t="s">
        <v>6275</v>
      </c>
      <c r="AL719" s="1" t="s">
        <v>6823</v>
      </c>
      <c r="AM719" s="1" t="s">
        <v>6822</v>
      </c>
      <c r="AN719" s="1" t="s">
        <v>6275</v>
      </c>
      <c r="AO719" s="1" t="s">
        <v>6823</v>
      </c>
      <c r="AP719" s="2" t="s">
        <v>9558</v>
      </c>
      <c r="AQ719" s="2" t="s">
        <v>1155</v>
      </c>
      <c r="AR719" s="1" t="s">
        <v>286</v>
      </c>
      <c r="AS719" s="1" t="s">
        <v>9540</v>
      </c>
      <c r="AT719" s="1" t="s">
        <v>5</v>
      </c>
    </row>
    <row r="720" spans="1:46" hidden="1" x14ac:dyDescent="0.4">
      <c r="A720" s="1" t="s">
        <v>9575</v>
      </c>
      <c r="B720" s="10"/>
      <c r="C720" s="1" t="s">
        <v>93</v>
      </c>
      <c r="D720" s="1" t="s">
        <v>2157</v>
      </c>
      <c r="E720" s="1" t="s">
        <v>2078</v>
      </c>
      <c r="F720" s="1" t="s">
        <v>14</v>
      </c>
      <c r="G720" s="1" t="s">
        <v>1</v>
      </c>
      <c r="H720" s="1" t="s">
        <v>6</v>
      </c>
      <c r="I720" s="1" t="s">
        <v>2</v>
      </c>
      <c r="J720" s="1" t="s">
        <v>3</v>
      </c>
      <c r="K720" s="1" t="s">
        <v>9576</v>
      </c>
      <c r="L720" s="1" t="s">
        <v>7</v>
      </c>
      <c r="M720" s="1"/>
      <c r="N720" s="1" t="s">
        <v>9577</v>
      </c>
      <c r="O720" s="1" t="s">
        <v>3928</v>
      </c>
      <c r="P720" s="1"/>
      <c r="Q720" s="1"/>
      <c r="R720" s="1" t="s">
        <v>11</v>
      </c>
      <c r="S720" s="1"/>
      <c r="T720" s="1"/>
      <c r="U720" s="1"/>
      <c r="V720" s="1"/>
      <c r="W720" s="1"/>
      <c r="X720" s="1"/>
      <c r="Y720" s="1"/>
      <c r="Z720" s="1"/>
      <c r="AA720" s="1"/>
      <c r="AB720" s="1" t="s">
        <v>9578</v>
      </c>
      <c r="AC720" s="1"/>
      <c r="AD720" s="1"/>
      <c r="AE720" s="1" t="s">
        <v>4719</v>
      </c>
      <c r="AF720" s="1"/>
      <c r="AG720" s="1"/>
      <c r="AH720" s="1" t="s">
        <v>9579</v>
      </c>
      <c r="AI720" s="1"/>
      <c r="AJ720" s="1" t="s">
        <v>6822</v>
      </c>
      <c r="AK720" s="1" t="s">
        <v>6275</v>
      </c>
      <c r="AL720" s="1" t="s">
        <v>6823</v>
      </c>
      <c r="AM720" s="1" t="s">
        <v>6822</v>
      </c>
      <c r="AN720" s="1" t="s">
        <v>6275</v>
      </c>
      <c r="AO720" s="1" t="s">
        <v>6823</v>
      </c>
      <c r="AP720" s="2" t="s">
        <v>9580</v>
      </c>
      <c r="AQ720" s="2" t="s">
        <v>1155</v>
      </c>
      <c r="AR720" s="1" t="s">
        <v>286</v>
      </c>
      <c r="AS720" s="1" t="s">
        <v>9540</v>
      </c>
      <c r="AT720" s="1" t="s">
        <v>5</v>
      </c>
    </row>
    <row r="721" spans="1:46" hidden="1" x14ac:dyDescent="0.4">
      <c r="A721" s="1" t="s">
        <v>9569</v>
      </c>
      <c r="B721" s="10"/>
      <c r="C721" s="1" t="s">
        <v>93</v>
      </c>
      <c r="D721" s="1" t="s">
        <v>2157</v>
      </c>
      <c r="E721" s="1" t="s">
        <v>2078</v>
      </c>
      <c r="F721" s="1" t="s">
        <v>14</v>
      </c>
      <c r="G721" s="1" t="s">
        <v>1</v>
      </c>
      <c r="H721" s="1" t="s">
        <v>6</v>
      </c>
      <c r="I721" s="1" t="s">
        <v>2</v>
      </c>
      <c r="J721" s="1" t="s">
        <v>3</v>
      </c>
      <c r="K721" s="1" t="s">
        <v>9570</v>
      </c>
      <c r="L721" s="1" t="s">
        <v>7</v>
      </c>
      <c r="M721" s="1"/>
      <c r="N721" s="1" t="s">
        <v>9571</v>
      </c>
      <c r="O721" s="1" t="s">
        <v>3928</v>
      </c>
      <c r="P721" s="1"/>
      <c r="Q721" s="1"/>
      <c r="R721" s="1" t="s">
        <v>11</v>
      </c>
      <c r="S721" s="1"/>
      <c r="T721" s="1"/>
      <c r="U721" s="1"/>
      <c r="V721" s="1"/>
      <c r="W721" s="1"/>
      <c r="X721" s="1"/>
      <c r="Y721" s="1"/>
      <c r="Z721" s="1"/>
      <c r="AA721" s="1"/>
      <c r="AB721" s="1" t="s">
        <v>9572</v>
      </c>
      <c r="AC721" s="1"/>
      <c r="AD721" s="1"/>
      <c r="AE721" s="1" t="s">
        <v>4719</v>
      </c>
      <c r="AF721" s="1"/>
      <c r="AG721" s="1"/>
      <c r="AH721" s="1" t="s">
        <v>9573</v>
      </c>
      <c r="AI721" s="1"/>
      <c r="AJ721" s="1" t="s">
        <v>6822</v>
      </c>
      <c r="AK721" s="1" t="s">
        <v>6275</v>
      </c>
      <c r="AL721" s="1" t="s">
        <v>6823</v>
      </c>
      <c r="AM721" s="1" t="s">
        <v>6822</v>
      </c>
      <c r="AN721" s="1" t="s">
        <v>6275</v>
      </c>
      <c r="AO721" s="1" t="s">
        <v>6823</v>
      </c>
      <c r="AP721" s="2" t="s">
        <v>9574</v>
      </c>
      <c r="AQ721" s="2" t="s">
        <v>1155</v>
      </c>
      <c r="AR721" s="1" t="s">
        <v>286</v>
      </c>
      <c r="AS721" s="1" t="s">
        <v>9540</v>
      </c>
      <c r="AT721" s="1" t="s">
        <v>5</v>
      </c>
    </row>
    <row r="722" spans="1:46" hidden="1" x14ac:dyDescent="0.4">
      <c r="A722" s="1" t="s">
        <v>9564</v>
      </c>
      <c r="B722" s="10"/>
      <c r="C722" s="1" t="s">
        <v>93</v>
      </c>
      <c r="D722" s="1" t="s">
        <v>2157</v>
      </c>
      <c r="E722" s="1" t="s">
        <v>2078</v>
      </c>
      <c r="F722" s="1" t="s">
        <v>14</v>
      </c>
      <c r="G722" s="1" t="s">
        <v>1</v>
      </c>
      <c r="H722" s="1" t="s">
        <v>6</v>
      </c>
      <c r="I722" s="1" t="s">
        <v>2</v>
      </c>
      <c r="J722" s="1" t="s">
        <v>3</v>
      </c>
      <c r="K722" s="1" t="s">
        <v>9565</v>
      </c>
      <c r="L722" s="1" t="s">
        <v>7</v>
      </c>
      <c r="M722" s="1"/>
      <c r="N722" s="1" t="s">
        <v>9566</v>
      </c>
      <c r="O722" s="1" t="s">
        <v>3928</v>
      </c>
      <c r="P722" s="1"/>
      <c r="Q722" s="1"/>
      <c r="R722" s="1" t="s">
        <v>11</v>
      </c>
      <c r="S722" s="1"/>
      <c r="T722" s="1"/>
      <c r="U722" s="1"/>
      <c r="V722" s="1"/>
      <c r="W722" s="1"/>
      <c r="X722" s="1"/>
      <c r="Y722" s="1"/>
      <c r="Z722" s="1"/>
      <c r="AA722" s="1"/>
      <c r="AB722" s="1" t="s">
        <v>9567</v>
      </c>
      <c r="AC722" s="1"/>
      <c r="AD722" s="1"/>
      <c r="AE722" s="1" t="s">
        <v>4719</v>
      </c>
      <c r="AF722" s="1"/>
      <c r="AG722" s="1"/>
      <c r="AH722" s="1" t="s">
        <v>9568</v>
      </c>
      <c r="AI722" s="1"/>
      <c r="AJ722" s="1" t="s">
        <v>6822</v>
      </c>
      <c r="AK722" s="1" t="s">
        <v>6275</v>
      </c>
      <c r="AL722" s="1" t="s">
        <v>6823</v>
      </c>
      <c r="AM722" s="1" t="s">
        <v>6822</v>
      </c>
      <c r="AN722" s="1" t="s">
        <v>6275</v>
      </c>
      <c r="AO722" s="1" t="s">
        <v>6823</v>
      </c>
      <c r="AP722" s="2" t="s">
        <v>9552</v>
      </c>
      <c r="AQ722" s="2" t="s">
        <v>1155</v>
      </c>
      <c r="AR722" s="1" t="s">
        <v>286</v>
      </c>
      <c r="AS722" s="1" t="s">
        <v>9540</v>
      </c>
      <c r="AT722" s="1" t="s">
        <v>5</v>
      </c>
    </row>
    <row r="723" spans="1:46" hidden="1" x14ac:dyDescent="0.4">
      <c r="A723" s="1" t="s">
        <v>9581</v>
      </c>
      <c r="B723" s="10"/>
      <c r="C723" s="1" t="s">
        <v>93</v>
      </c>
      <c r="D723" s="1" t="s">
        <v>2157</v>
      </c>
      <c r="E723" s="1" t="s">
        <v>2078</v>
      </c>
      <c r="F723" s="1" t="s">
        <v>14</v>
      </c>
      <c r="G723" s="1" t="s">
        <v>1</v>
      </c>
      <c r="H723" s="1" t="s">
        <v>6</v>
      </c>
      <c r="I723" s="1" t="s">
        <v>2</v>
      </c>
      <c r="J723" s="1" t="s">
        <v>3</v>
      </c>
      <c r="K723" s="1" t="s">
        <v>9582</v>
      </c>
      <c r="L723" s="1" t="s">
        <v>7</v>
      </c>
      <c r="M723" s="1"/>
      <c r="N723" s="1" t="s">
        <v>9583</v>
      </c>
      <c r="O723" s="1" t="s">
        <v>3928</v>
      </c>
      <c r="P723" s="1"/>
      <c r="Q723" s="1"/>
      <c r="R723" s="1" t="s">
        <v>11</v>
      </c>
      <c r="S723" s="1"/>
      <c r="T723" s="1"/>
      <c r="U723" s="1"/>
      <c r="V723" s="1"/>
      <c r="W723" s="1"/>
      <c r="X723" s="1"/>
      <c r="Y723" s="1"/>
      <c r="Z723" s="1"/>
      <c r="AA723" s="1"/>
      <c r="AB723" s="1" t="s">
        <v>9584</v>
      </c>
      <c r="AC723" s="1"/>
      <c r="AD723" s="1"/>
      <c r="AE723" s="1" t="s">
        <v>9585</v>
      </c>
      <c r="AF723" s="1"/>
      <c r="AG723" s="1"/>
      <c r="AH723" s="1" t="s">
        <v>9586</v>
      </c>
      <c r="AI723" s="1"/>
      <c r="AJ723" s="1" t="s">
        <v>6822</v>
      </c>
      <c r="AK723" s="1" t="s">
        <v>6275</v>
      </c>
      <c r="AL723" s="1" t="s">
        <v>6823</v>
      </c>
      <c r="AM723" s="1" t="s">
        <v>6822</v>
      </c>
      <c r="AN723" s="1" t="s">
        <v>6275</v>
      </c>
      <c r="AO723" s="1" t="s">
        <v>6823</v>
      </c>
      <c r="AP723" s="2" t="s">
        <v>9587</v>
      </c>
      <c r="AQ723" s="2" t="s">
        <v>1155</v>
      </c>
      <c r="AR723" s="1" t="s">
        <v>286</v>
      </c>
      <c r="AS723" s="1" t="s">
        <v>9540</v>
      </c>
      <c r="AT723" s="1" t="s">
        <v>5</v>
      </c>
    </row>
    <row r="724" spans="1:46" hidden="1" x14ac:dyDescent="0.4">
      <c r="A724" s="1" t="s">
        <v>8613</v>
      </c>
      <c r="B724" s="10"/>
      <c r="C724" s="1" t="s">
        <v>93</v>
      </c>
      <c r="D724" s="1" t="s">
        <v>2211</v>
      </c>
      <c r="E724" s="1" t="s">
        <v>2078</v>
      </c>
      <c r="F724" s="1" t="s">
        <v>14</v>
      </c>
      <c r="G724" s="1" t="s">
        <v>1</v>
      </c>
      <c r="H724" s="1" t="s">
        <v>6</v>
      </c>
      <c r="I724" s="1" t="s">
        <v>2</v>
      </c>
      <c r="J724" s="1" t="s">
        <v>3</v>
      </c>
      <c r="K724" s="1" t="s">
        <v>8614</v>
      </c>
      <c r="L724" s="1" t="s">
        <v>7</v>
      </c>
      <c r="M724" s="1" t="s">
        <v>9</v>
      </c>
      <c r="N724" s="1" t="s">
        <v>8615</v>
      </c>
      <c r="O724" s="1" t="s">
        <v>6241</v>
      </c>
      <c r="P724" s="1"/>
      <c r="Q724" s="1"/>
      <c r="R724" s="1" t="s">
        <v>11</v>
      </c>
      <c r="S724" s="1"/>
      <c r="T724" s="1"/>
      <c r="U724" s="1"/>
      <c r="V724" s="1"/>
      <c r="W724" s="1"/>
      <c r="X724" s="1"/>
      <c r="Y724" s="1"/>
      <c r="Z724" s="1"/>
      <c r="AA724" s="1"/>
      <c r="AB724" s="1" t="s">
        <v>8616</v>
      </c>
      <c r="AC724" s="1"/>
      <c r="AD724" s="1"/>
      <c r="AE724" s="1" t="s">
        <v>8617</v>
      </c>
      <c r="AF724" s="1"/>
      <c r="AG724" s="1"/>
      <c r="AH724" s="1" t="s">
        <v>8618</v>
      </c>
      <c r="AI724" s="1"/>
      <c r="AJ724" s="1" t="s">
        <v>8383</v>
      </c>
      <c r="AK724" s="1" t="s">
        <v>1787</v>
      </c>
      <c r="AL724" s="1" t="s">
        <v>8384</v>
      </c>
      <c r="AM724" s="1" t="s">
        <v>8619</v>
      </c>
      <c r="AN724" s="1" t="s">
        <v>1787</v>
      </c>
      <c r="AO724" s="1" t="s">
        <v>8620</v>
      </c>
      <c r="AP724" s="2" t="s">
        <v>8621</v>
      </c>
      <c r="AQ724" s="2" t="s">
        <v>1154</v>
      </c>
      <c r="AR724" s="1" t="s">
        <v>286</v>
      </c>
      <c r="AS724" s="1" t="s">
        <v>8622</v>
      </c>
      <c r="AT724" s="1" t="s">
        <v>5</v>
      </c>
    </row>
    <row r="725" spans="1:46" hidden="1" x14ac:dyDescent="0.4">
      <c r="A725" s="1" t="s">
        <v>6712</v>
      </c>
      <c r="B725" s="10"/>
      <c r="C725" s="1" t="s">
        <v>93</v>
      </c>
      <c r="D725" s="1" t="s">
        <v>2157</v>
      </c>
      <c r="E725" s="1" t="s">
        <v>2078</v>
      </c>
      <c r="F725" s="1" t="s">
        <v>14</v>
      </c>
      <c r="G725" s="1" t="s">
        <v>1</v>
      </c>
      <c r="H725" s="1" t="s">
        <v>6</v>
      </c>
      <c r="I725" s="1" t="s">
        <v>2</v>
      </c>
      <c r="J725" s="1" t="s">
        <v>3</v>
      </c>
      <c r="K725" s="1" t="s">
        <v>6713</v>
      </c>
      <c r="L725" s="1" t="s">
        <v>7</v>
      </c>
      <c r="M725" s="1"/>
      <c r="N725" s="1" t="s">
        <v>6714</v>
      </c>
      <c r="O725" s="1" t="s">
        <v>5495</v>
      </c>
      <c r="P725" s="1"/>
      <c r="Q725" s="1"/>
      <c r="R725" s="1" t="s">
        <v>11</v>
      </c>
      <c r="S725" s="1"/>
      <c r="T725" s="1"/>
      <c r="U725" s="1"/>
      <c r="V725" s="1"/>
      <c r="W725" s="1"/>
      <c r="X725" s="1" t="s">
        <v>2947</v>
      </c>
      <c r="Y725" s="1"/>
      <c r="Z725" s="1"/>
      <c r="AA725" s="1"/>
      <c r="AB725" s="1" t="s">
        <v>6715</v>
      </c>
      <c r="AC725" s="1"/>
      <c r="AD725" s="1"/>
      <c r="AE725" s="1" t="s">
        <v>6716</v>
      </c>
      <c r="AF725" s="1"/>
      <c r="AG725" s="1"/>
      <c r="AH725" s="1" t="s">
        <v>6717</v>
      </c>
      <c r="AI725" s="1"/>
      <c r="AJ725" s="1" t="s">
        <v>6718</v>
      </c>
      <c r="AK725" s="1" t="s">
        <v>4240</v>
      </c>
      <c r="AL725" s="1" t="s">
        <v>6719</v>
      </c>
      <c r="AM725" s="1" t="s">
        <v>6720</v>
      </c>
      <c r="AN725" s="1" t="s">
        <v>4240</v>
      </c>
      <c r="AO725" s="1" t="s">
        <v>6721</v>
      </c>
      <c r="AP725" s="2" t="s">
        <v>6722</v>
      </c>
      <c r="AQ725" s="2" t="s">
        <v>1077</v>
      </c>
      <c r="AR725" s="1" t="s">
        <v>287</v>
      </c>
      <c r="AS725" s="1"/>
      <c r="AT725" s="1" t="s">
        <v>5</v>
      </c>
    </row>
    <row r="726" spans="1:46" hidden="1" x14ac:dyDescent="0.4">
      <c r="A726" s="1" t="s">
        <v>7934</v>
      </c>
      <c r="B726" s="10"/>
      <c r="C726" s="1" t="s">
        <v>93</v>
      </c>
      <c r="D726" s="1" t="s">
        <v>2211</v>
      </c>
      <c r="E726" s="1" t="s">
        <v>2478</v>
      </c>
      <c r="F726" s="1" t="s">
        <v>14</v>
      </c>
      <c r="G726" s="1" t="s">
        <v>1</v>
      </c>
      <c r="H726" s="1" t="s">
        <v>6</v>
      </c>
      <c r="I726" s="1" t="s">
        <v>2</v>
      </c>
      <c r="J726" s="1" t="s">
        <v>3</v>
      </c>
      <c r="K726" s="1" t="s">
        <v>7935</v>
      </c>
      <c r="L726" s="1" t="s">
        <v>7</v>
      </c>
      <c r="M726" s="1"/>
      <c r="N726" s="1" t="s">
        <v>7936</v>
      </c>
      <c r="O726" s="1" t="s">
        <v>7937</v>
      </c>
      <c r="P726" s="1" t="s">
        <v>7938</v>
      </c>
      <c r="Q726" s="1"/>
      <c r="R726" s="1" t="s">
        <v>11</v>
      </c>
      <c r="S726" s="1"/>
      <c r="T726" s="1"/>
      <c r="U726" s="1"/>
      <c r="V726" s="1"/>
      <c r="W726" s="1"/>
      <c r="X726" s="1"/>
      <c r="Y726" s="1"/>
      <c r="Z726" s="1"/>
      <c r="AA726" s="1"/>
      <c r="AB726" s="1" t="s">
        <v>7939</v>
      </c>
      <c r="AC726" s="1"/>
      <c r="AD726" s="1"/>
      <c r="AE726" s="1" t="s">
        <v>7940</v>
      </c>
      <c r="AF726" s="1"/>
      <c r="AG726" s="1"/>
      <c r="AH726" s="1" t="s">
        <v>7941</v>
      </c>
      <c r="AI726" s="1"/>
      <c r="AJ726" s="1" t="s">
        <v>7942</v>
      </c>
      <c r="AK726" s="1" t="s">
        <v>7943</v>
      </c>
      <c r="AL726" s="1" t="s">
        <v>7944</v>
      </c>
      <c r="AM726" s="1" t="s">
        <v>7942</v>
      </c>
      <c r="AN726" s="1" t="s">
        <v>7943</v>
      </c>
      <c r="AO726" s="1" t="s">
        <v>7944</v>
      </c>
      <c r="AP726" s="2" t="s">
        <v>7945</v>
      </c>
      <c r="AQ726" s="2" t="s">
        <v>1154</v>
      </c>
      <c r="AR726" s="1" t="s">
        <v>286</v>
      </c>
      <c r="AS726" s="1" t="s">
        <v>7946</v>
      </c>
      <c r="AT726" s="1" t="s">
        <v>5</v>
      </c>
    </row>
    <row r="727" spans="1:46" hidden="1" x14ac:dyDescent="0.4">
      <c r="A727" s="1" t="s">
        <v>9683</v>
      </c>
      <c r="B727" s="10"/>
      <c r="C727" s="1" t="s">
        <v>0</v>
      </c>
      <c r="D727" s="1" t="s">
        <v>2396</v>
      </c>
      <c r="E727" s="1" t="s">
        <v>2078</v>
      </c>
      <c r="F727" s="1" t="s">
        <v>14</v>
      </c>
      <c r="G727" s="1" t="s">
        <v>1</v>
      </c>
      <c r="H727" s="1" t="s">
        <v>6</v>
      </c>
      <c r="I727" s="1" t="s">
        <v>2</v>
      </c>
      <c r="J727" s="1" t="s">
        <v>3</v>
      </c>
      <c r="K727" s="1" t="s">
        <v>9684</v>
      </c>
      <c r="L727" s="1" t="s">
        <v>7</v>
      </c>
      <c r="M727" s="1" t="s">
        <v>9</v>
      </c>
      <c r="N727" s="1" t="s">
        <v>9685</v>
      </c>
      <c r="O727" s="1" t="s">
        <v>9662</v>
      </c>
      <c r="P727" s="1"/>
      <c r="Q727" s="1"/>
      <c r="R727" s="1" t="s">
        <v>11</v>
      </c>
      <c r="S727" s="1"/>
      <c r="T727" s="1"/>
      <c r="U727" s="1"/>
      <c r="V727" s="1"/>
      <c r="W727" s="1" t="s">
        <v>9686</v>
      </c>
      <c r="X727" s="1"/>
      <c r="Y727" s="1"/>
      <c r="Z727" s="1"/>
      <c r="AA727" s="1"/>
      <c r="AB727" s="1" t="s">
        <v>9687</v>
      </c>
      <c r="AC727" s="1"/>
      <c r="AD727" s="1"/>
      <c r="AE727" s="1" t="s">
        <v>8813</v>
      </c>
      <c r="AF727" s="1"/>
      <c r="AG727" s="1"/>
      <c r="AH727" s="1" t="s">
        <v>9688</v>
      </c>
      <c r="AI727" s="1"/>
      <c r="AJ727" s="1" t="s">
        <v>1835</v>
      </c>
      <c r="AK727" s="1" t="s">
        <v>1836</v>
      </c>
      <c r="AL727" s="1" t="s">
        <v>1837</v>
      </c>
      <c r="AM727" s="1" t="s">
        <v>9666</v>
      </c>
      <c r="AN727" s="1" t="s">
        <v>1839</v>
      </c>
      <c r="AO727" s="1"/>
      <c r="AP727" s="2" t="s">
        <v>9689</v>
      </c>
      <c r="AQ727" s="2" t="s">
        <v>1155</v>
      </c>
      <c r="AR727" s="1" t="s">
        <v>286</v>
      </c>
      <c r="AS727" s="1" t="s">
        <v>9690</v>
      </c>
      <c r="AT727" s="1" t="s">
        <v>5</v>
      </c>
    </row>
    <row r="728" spans="1:46" hidden="1" x14ac:dyDescent="0.4">
      <c r="A728" s="1" t="s">
        <v>9676</v>
      </c>
      <c r="B728" s="10"/>
      <c r="C728" s="1" t="s">
        <v>0</v>
      </c>
      <c r="D728" s="1" t="s">
        <v>2396</v>
      </c>
      <c r="E728" s="1" t="s">
        <v>2078</v>
      </c>
      <c r="F728" s="1" t="s">
        <v>14</v>
      </c>
      <c r="G728" s="1" t="s">
        <v>1</v>
      </c>
      <c r="H728" s="1" t="s">
        <v>6</v>
      </c>
      <c r="I728" s="1" t="s">
        <v>2</v>
      </c>
      <c r="J728" s="1" t="s">
        <v>3</v>
      </c>
      <c r="K728" s="1" t="s">
        <v>9677</v>
      </c>
      <c r="L728" s="1" t="s">
        <v>7</v>
      </c>
      <c r="M728" s="1" t="s">
        <v>9</v>
      </c>
      <c r="N728" s="1" t="s">
        <v>9678</v>
      </c>
      <c r="O728" s="1" t="s">
        <v>9662</v>
      </c>
      <c r="P728" s="1"/>
      <c r="Q728" s="1"/>
      <c r="R728" s="1" t="s">
        <v>11</v>
      </c>
      <c r="S728" s="1"/>
      <c r="T728" s="1"/>
      <c r="U728" s="1"/>
      <c r="V728" s="1"/>
      <c r="W728" s="1" t="s">
        <v>9679</v>
      </c>
      <c r="X728" s="1"/>
      <c r="Y728" s="1"/>
      <c r="Z728" s="1"/>
      <c r="AA728" s="1"/>
      <c r="AB728" s="1" t="s">
        <v>9680</v>
      </c>
      <c r="AC728" s="1"/>
      <c r="AD728" s="1"/>
      <c r="AE728" s="1" t="s">
        <v>8813</v>
      </c>
      <c r="AF728" s="1"/>
      <c r="AG728" s="1"/>
      <c r="AH728" s="1" t="s">
        <v>9681</v>
      </c>
      <c r="AI728" s="1"/>
      <c r="AJ728" s="1" t="s">
        <v>1835</v>
      </c>
      <c r="AK728" s="1" t="s">
        <v>1836</v>
      </c>
      <c r="AL728" s="1" t="s">
        <v>1837</v>
      </c>
      <c r="AM728" s="1" t="s">
        <v>9666</v>
      </c>
      <c r="AN728" s="1" t="s">
        <v>1839</v>
      </c>
      <c r="AO728" s="1"/>
      <c r="AP728" s="2" t="s">
        <v>9682</v>
      </c>
      <c r="AQ728" s="2" t="s">
        <v>1155</v>
      </c>
      <c r="AR728" s="1" t="s">
        <v>286</v>
      </c>
      <c r="AS728" s="1" t="s">
        <v>9668</v>
      </c>
      <c r="AT728" s="1" t="s">
        <v>5</v>
      </c>
    </row>
    <row r="729" spans="1:46" hidden="1" x14ac:dyDescent="0.4">
      <c r="A729" s="1" t="s">
        <v>9659</v>
      </c>
      <c r="B729" s="10"/>
      <c r="C729" s="1" t="s">
        <v>0</v>
      </c>
      <c r="D729" s="1" t="s">
        <v>2396</v>
      </c>
      <c r="E729" s="1" t="s">
        <v>2078</v>
      </c>
      <c r="F729" s="1" t="s">
        <v>14</v>
      </c>
      <c r="G729" s="1" t="s">
        <v>1</v>
      </c>
      <c r="H729" s="1" t="s">
        <v>6</v>
      </c>
      <c r="I729" s="1" t="s">
        <v>2</v>
      </c>
      <c r="J729" s="1" t="s">
        <v>3</v>
      </c>
      <c r="K729" s="1" t="s">
        <v>9660</v>
      </c>
      <c r="L729" s="1" t="s">
        <v>7</v>
      </c>
      <c r="M729" s="1" t="s">
        <v>9</v>
      </c>
      <c r="N729" s="1" t="s">
        <v>9661</v>
      </c>
      <c r="O729" s="1" t="s">
        <v>9662</v>
      </c>
      <c r="P729" s="1"/>
      <c r="Q729" s="1"/>
      <c r="R729" s="1" t="s">
        <v>11</v>
      </c>
      <c r="S729" s="1"/>
      <c r="T729" s="1"/>
      <c r="U729" s="1"/>
      <c r="V729" s="1"/>
      <c r="W729" s="1" t="s">
        <v>9663</v>
      </c>
      <c r="X729" s="1"/>
      <c r="Y729" s="1"/>
      <c r="Z729" s="1"/>
      <c r="AA729" s="1"/>
      <c r="AB729" s="1" t="s">
        <v>9664</v>
      </c>
      <c r="AC729" s="1"/>
      <c r="AD729" s="1"/>
      <c r="AE729" s="1" t="s">
        <v>8813</v>
      </c>
      <c r="AF729" s="1"/>
      <c r="AG729" s="1"/>
      <c r="AH729" s="1" t="s">
        <v>9665</v>
      </c>
      <c r="AI729" s="1"/>
      <c r="AJ729" s="1" t="s">
        <v>1835</v>
      </c>
      <c r="AK729" s="1" t="s">
        <v>1836</v>
      </c>
      <c r="AL729" s="1" t="s">
        <v>1837</v>
      </c>
      <c r="AM729" s="1" t="s">
        <v>9666</v>
      </c>
      <c r="AN729" s="1" t="s">
        <v>1839</v>
      </c>
      <c r="AO729" s="1"/>
      <c r="AP729" s="2" t="s">
        <v>9667</v>
      </c>
      <c r="AQ729" s="2" t="s">
        <v>1155</v>
      </c>
      <c r="AR729" s="1" t="s">
        <v>286</v>
      </c>
      <c r="AS729" s="1" t="s">
        <v>9668</v>
      </c>
      <c r="AT729" s="1" t="s">
        <v>5</v>
      </c>
    </row>
    <row r="730" spans="1:46" hidden="1" x14ac:dyDescent="0.4">
      <c r="A730" s="1" t="s">
        <v>9669</v>
      </c>
      <c r="B730" s="10"/>
      <c r="C730" s="1" t="s">
        <v>0</v>
      </c>
      <c r="D730" s="1" t="s">
        <v>2396</v>
      </c>
      <c r="E730" s="1" t="s">
        <v>2078</v>
      </c>
      <c r="F730" s="1" t="s">
        <v>14</v>
      </c>
      <c r="G730" s="1" t="s">
        <v>1</v>
      </c>
      <c r="H730" s="1" t="s">
        <v>6</v>
      </c>
      <c r="I730" s="1" t="s">
        <v>2</v>
      </c>
      <c r="J730" s="1" t="s">
        <v>3</v>
      </c>
      <c r="K730" s="1" t="s">
        <v>9670</v>
      </c>
      <c r="L730" s="1" t="s">
        <v>7</v>
      </c>
      <c r="M730" s="1" t="s">
        <v>9</v>
      </c>
      <c r="N730" s="1" t="s">
        <v>9671</v>
      </c>
      <c r="O730" s="1" t="s">
        <v>9662</v>
      </c>
      <c r="P730" s="1"/>
      <c r="Q730" s="1"/>
      <c r="R730" s="1" t="s">
        <v>11</v>
      </c>
      <c r="S730" s="1"/>
      <c r="T730" s="1"/>
      <c r="U730" s="1"/>
      <c r="V730" s="1"/>
      <c r="W730" s="1" t="s">
        <v>9672</v>
      </c>
      <c r="X730" s="1"/>
      <c r="Y730" s="1"/>
      <c r="Z730" s="1"/>
      <c r="AA730" s="1"/>
      <c r="AB730" s="1" t="s">
        <v>9673</v>
      </c>
      <c r="AC730" s="1"/>
      <c r="AD730" s="1"/>
      <c r="AE730" s="1" t="s">
        <v>8813</v>
      </c>
      <c r="AF730" s="1"/>
      <c r="AG730" s="1"/>
      <c r="AH730" s="1" t="s">
        <v>9674</v>
      </c>
      <c r="AI730" s="1"/>
      <c r="AJ730" s="1" t="s">
        <v>1835</v>
      </c>
      <c r="AK730" s="1" t="s">
        <v>1836</v>
      </c>
      <c r="AL730" s="1" t="s">
        <v>1837</v>
      </c>
      <c r="AM730" s="1" t="s">
        <v>9666</v>
      </c>
      <c r="AN730" s="1" t="s">
        <v>1839</v>
      </c>
      <c r="AO730" s="1"/>
      <c r="AP730" s="2" t="s">
        <v>9675</v>
      </c>
      <c r="AQ730" s="2" t="s">
        <v>1155</v>
      </c>
      <c r="AR730" s="1" t="s">
        <v>286</v>
      </c>
      <c r="AS730" s="1" t="s">
        <v>9668</v>
      </c>
      <c r="AT730" s="1" t="s">
        <v>5</v>
      </c>
    </row>
    <row r="731" spans="1:46" hidden="1" x14ac:dyDescent="0.4">
      <c r="A731" s="1" t="s">
        <v>10160</v>
      </c>
      <c r="B731" s="10"/>
      <c r="C731" s="1" t="s">
        <v>93</v>
      </c>
      <c r="D731" s="1" t="s">
        <v>2157</v>
      </c>
      <c r="E731" s="1" t="s">
        <v>2078</v>
      </c>
      <c r="F731" s="1" t="s">
        <v>14</v>
      </c>
      <c r="G731" s="1" t="s">
        <v>1</v>
      </c>
      <c r="H731" s="1" t="s">
        <v>6</v>
      </c>
      <c r="I731" s="1" t="s">
        <v>2</v>
      </c>
      <c r="J731" s="1" t="s">
        <v>3</v>
      </c>
      <c r="K731" s="1" t="s">
        <v>10161</v>
      </c>
      <c r="L731" s="1" t="s">
        <v>2129</v>
      </c>
      <c r="M731" s="1"/>
      <c r="N731" s="1" t="s">
        <v>10162</v>
      </c>
      <c r="O731" s="1" t="s">
        <v>10163</v>
      </c>
      <c r="P731" s="1"/>
      <c r="Q731" s="1"/>
      <c r="R731" s="1" t="s">
        <v>11</v>
      </c>
      <c r="S731" s="1"/>
      <c r="T731" s="1"/>
      <c r="U731" s="1"/>
      <c r="V731" s="1"/>
      <c r="W731" s="1" t="s">
        <v>10164</v>
      </c>
      <c r="X731" s="1"/>
      <c r="Y731" s="1"/>
      <c r="Z731" s="1"/>
      <c r="AA731" s="1"/>
      <c r="AB731" s="1" t="s">
        <v>10165</v>
      </c>
      <c r="AC731" s="1"/>
      <c r="AD731" s="1"/>
      <c r="AE731" s="1" t="s">
        <v>10166</v>
      </c>
      <c r="AF731" s="1"/>
      <c r="AG731" s="1"/>
      <c r="AH731" s="1" t="s">
        <v>10167</v>
      </c>
      <c r="AI731" s="1"/>
      <c r="AJ731" s="1" t="s">
        <v>3932</v>
      </c>
      <c r="AK731" s="1" t="s">
        <v>3933</v>
      </c>
      <c r="AL731" s="1" t="s">
        <v>3934</v>
      </c>
      <c r="AM731" s="1" t="s">
        <v>3932</v>
      </c>
      <c r="AN731" s="1" t="s">
        <v>3933</v>
      </c>
      <c r="AO731" s="1" t="s">
        <v>3934</v>
      </c>
      <c r="AP731" s="2" t="s">
        <v>10168</v>
      </c>
      <c r="AQ731" s="2" t="s">
        <v>1155</v>
      </c>
      <c r="AR731" s="1" t="s">
        <v>286</v>
      </c>
      <c r="AS731" s="1" t="s">
        <v>10169</v>
      </c>
      <c r="AT731" s="1" t="s">
        <v>5</v>
      </c>
    </row>
    <row r="732" spans="1:46" hidden="1" x14ac:dyDescent="0.4">
      <c r="A732" s="1" t="s">
        <v>2655</v>
      </c>
      <c r="B732" s="10"/>
      <c r="C732" s="1" t="s">
        <v>0</v>
      </c>
      <c r="D732" s="1" t="s">
        <v>2157</v>
      </c>
      <c r="E732" s="1" t="s">
        <v>2078</v>
      </c>
      <c r="F732" s="1" t="s">
        <v>14</v>
      </c>
      <c r="G732" s="1" t="s">
        <v>1</v>
      </c>
      <c r="H732" s="1" t="s">
        <v>6</v>
      </c>
      <c r="I732" s="1" t="s">
        <v>2</v>
      </c>
      <c r="J732" s="1" t="s">
        <v>3</v>
      </c>
      <c r="K732" s="1" t="s">
        <v>2656</v>
      </c>
      <c r="L732" s="1" t="s">
        <v>7</v>
      </c>
      <c r="M732" s="1" t="s">
        <v>9</v>
      </c>
      <c r="N732" s="1" t="s">
        <v>2657</v>
      </c>
      <c r="O732" s="1" t="s">
        <v>2658</v>
      </c>
      <c r="P732" s="1"/>
      <c r="Q732" s="1"/>
      <c r="R732" s="1" t="s">
        <v>11</v>
      </c>
      <c r="S732" s="1"/>
      <c r="T732" s="1"/>
      <c r="U732" s="1"/>
      <c r="V732" s="1"/>
      <c r="W732" s="1" t="s">
        <v>2659</v>
      </c>
      <c r="X732" s="1" t="s">
        <v>2660</v>
      </c>
      <c r="Y732" s="1"/>
      <c r="Z732" s="1"/>
      <c r="AA732" s="1"/>
      <c r="AB732" s="1" t="s">
        <v>2661</v>
      </c>
      <c r="AC732" s="1"/>
      <c r="AD732" s="1"/>
      <c r="AE732" s="1" t="s">
        <v>2662</v>
      </c>
      <c r="AF732" s="1"/>
      <c r="AG732" s="1"/>
      <c r="AH732" s="1" t="s">
        <v>2663</v>
      </c>
      <c r="AI732" s="1"/>
      <c r="AJ732" s="1" t="s">
        <v>1214</v>
      </c>
      <c r="AK732" s="1" t="s">
        <v>1215</v>
      </c>
      <c r="AL732" s="1"/>
      <c r="AM732" s="1" t="s">
        <v>2664</v>
      </c>
      <c r="AN732" s="1" t="s">
        <v>1215</v>
      </c>
      <c r="AO732" s="1"/>
      <c r="AP732" s="2" t="s">
        <v>2665</v>
      </c>
      <c r="AQ732" s="2" t="s">
        <v>1077</v>
      </c>
      <c r="AR732" s="1"/>
      <c r="AS732" s="1"/>
      <c r="AT732" s="1" t="s">
        <v>5</v>
      </c>
    </row>
    <row r="733" spans="1:46" hidden="1" x14ac:dyDescent="0.4">
      <c r="A733" s="1" t="s">
        <v>10107</v>
      </c>
      <c r="B733" s="10"/>
      <c r="C733" s="1" t="s">
        <v>93</v>
      </c>
      <c r="D733" s="1" t="s">
        <v>2220</v>
      </c>
      <c r="E733" s="1" t="s">
        <v>2078</v>
      </c>
      <c r="F733" s="1" t="s">
        <v>14</v>
      </c>
      <c r="G733" s="1" t="s">
        <v>1</v>
      </c>
      <c r="H733" s="1" t="s">
        <v>6</v>
      </c>
      <c r="I733" s="1" t="s">
        <v>2</v>
      </c>
      <c r="J733" s="1" t="s">
        <v>3</v>
      </c>
      <c r="K733" s="1" t="s">
        <v>10108</v>
      </c>
      <c r="L733" s="1" t="s">
        <v>7</v>
      </c>
      <c r="M733" s="1"/>
      <c r="N733" s="1" t="s">
        <v>10109</v>
      </c>
      <c r="O733" s="1" t="s">
        <v>10110</v>
      </c>
      <c r="P733" s="1"/>
      <c r="Q733" s="1"/>
      <c r="R733" s="1" t="s">
        <v>11</v>
      </c>
      <c r="S733" s="1"/>
      <c r="T733" s="1"/>
      <c r="U733" s="1"/>
      <c r="V733" s="1"/>
      <c r="W733" s="1"/>
      <c r="X733" s="1" t="s">
        <v>9219</v>
      </c>
      <c r="Y733" s="1"/>
      <c r="Z733" s="1"/>
      <c r="AA733" s="1"/>
      <c r="AB733" s="1" t="s">
        <v>10111</v>
      </c>
      <c r="AC733" s="1"/>
      <c r="AD733" s="1"/>
      <c r="AE733" s="1"/>
      <c r="AF733" s="1"/>
      <c r="AG733" s="1"/>
      <c r="AH733" s="1" t="s">
        <v>10112</v>
      </c>
      <c r="AI733" s="1"/>
      <c r="AJ733" s="1" t="s">
        <v>9087</v>
      </c>
      <c r="AK733" s="1" t="s">
        <v>3947</v>
      </c>
      <c r="AL733" s="1" t="s">
        <v>9088</v>
      </c>
      <c r="AM733" s="1" t="s">
        <v>9087</v>
      </c>
      <c r="AN733" s="1" t="s">
        <v>3947</v>
      </c>
      <c r="AO733" s="1" t="s">
        <v>9088</v>
      </c>
      <c r="AP733" s="2" t="s">
        <v>10113</v>
      </c>
      <c r="AQ733" s="2" t="s">
        <v>1155</v>
      </c>
      <c r="AR733" s="1" t="s">
        <v>286</v>
      </c>
      <c r="AS733" s="1" t="s">
        <v>10114</v>
      </c>
      <c r="AT733" s="1" t="s">
        <v>5</v>
      </c>
    </row>
    <row r="734" spans="1:46" hidden="1" x14ac:dyDescent="0.4">
      <c r="A734" s="1" t="s">
        <v>10922</v>
      </c>
      <c r="B734" s="10"/>
      <c r="C734" s="1" t="s">
        <v>93</v>
      </c>
      <c r="D734" s="1" t="s">
        <v>2220</v>
      </c>
      <c r="E734" s="1" t="s">
        <v>2078</v>
      </c>
      <c r="F734" s="1" t="s">
        <v>14</v>
      </c>
      <c r="G734" s="1" t="s">
        <v>1</v>
      </c>
      <c r="H734" s="1" t="s">
        <v>6</v>
      </c>
      <c r="I734" s="1" t="s">
        <v>2</v>
      </c>
      <c r="J734" s="1" t="s">
        <v>3</v>
      </c>
      <c r="K734" s="1" t="s">
        <v>10923</v>
      </c>
      <c r="L734" s="1" t="s">
        <v>7</v>
      </c>
      <c r="M734" s="1"/>
      <c r="N734" s="1" t="s">
        <v>10924</v>
      </c>
      <c r="O734" s="1" t="s">
        <v>10925</v>
      </c>
      <c r="P734" s="1"/>
      <c r="Q734" s="1"/>
      <c r="R734" s="1" t="s">
        <v>11</v>
      </c>
      <c r="S734" s="1"/>
      <c r="T734" s="1"/>
      <c r="U734" s="1"/>
      <c r="V734" s="1"/>
      <c r="W734" s="1"/>
      <c r="X734" s="1" t="s">
        <v>10926</v>
      </c>
      <c r="Y734" s="1"/>
      <c r="Z734" s="1"/>
      <c r="AA734" s="1"/>
      <c r="AB734" s="1" t="s">
        <v>10927</v>
      </c>
      <c r="AC734" s="1"/>
      <c r="AD734" s="1"/>
      <c r="AE734" s="1"/>
      <c r="AF734" s="1"/>
      <c r="AG734" s="1"/>
      <c r="AH734" s="1" t="s">
        <v>10928</v>
      </c>
      <c r="AI734" s="1" t="s">
        <v>10929</v>
      </c>
      <c r="AJ734" s="1" t="s">
        <v>10408</v>
      </c>
      <c r="AK734" s="1" t="s">
        <v>10409</v>
      </c>
      <c r="AL734" s="1" t="s">
        <v>10410</v>
      </c>
      <c r="AM734" s="1" t="s">
        <v>10408</v>
      </c>
      <c r="AN734" s="1" t="s">
        <v>10409</v>
      </c>
      <c r="AO734" s="1" t="s">
        <v>10410</v>
      </c>
      <c r="AP734" s="2" t="s">
        <v>10930</v>
      </c>
      <c r="AQ734" s="2" t="s">
        <v>1155</v>
      </c>
      <c r="AR734" s="1" t="s">
        <v>286</v>
      </c>
      <c r="AS734" s="1" t="s">
        <v>1017</v>
      </c>
      <c r="AT734" s="1" t="s">
        <v>5</v>
      </c>
    </row>
    <row r="735" spans="1:46" hidden="1" x14ac:dyDescent="0.4">
      <c r="A735" s="1" t="s">
        <v>8843</v>
      </c>
      <c r="B735" s="10"/>
      <c r="C735" s="1" t="s">
        <v>93</v>
      </c>
      <c r="D735" s="1" t="s">
        <v>2220</v>
      </c>
      <c r="E735" s="1" t="s">
        <v>2078</v>
      </c>
      <c r="F735" s="1" t="s">
        <v>14</v>
      </c>
      <c r="G735" s="1" t="s">
        <v>1</v>
      </c>
      <c r="H735" s="1" t="s">
        <v>6</v>
      </c>
      <c r="I735" s="1" t="s">
        <v>2</v>
      </c>
      <c r="J735" s="1" t="s">
        <v>3</v>
      </c>
      <c r="K735" s="1" t="s">
        <v>8844</v>
      </c>
      <c r="L735" s="1" t="s">
        <v>4</v>
      </c>
      <c r="M735" s="1"/>
      <c r="N735" s="1" t="s">
        <v>8845</v>
      </c>
      <c r="O735" s="1" t="s">
        <v>8846</v>
      </c>
      <c r="P735" s="1"/>
      <c r="Q735" s="1"/>
      <c r="R735" s="1" t="s">
        <v>11</v>
      </c>
      <c r="S735" s="1"/>
      <c r="T735" s="1"/>
      <c r="U735" s="1"/>
      <c r="V735" s="1"/>
      <c r="W735" s="1" t="s">
        <v>8847</v>
      </c>
      <c r="X735" s="1"/>
      <c r="Y735" s="1"/>
      <c r="Z735" s="1"/>
      <c r="AA735" s="1"/>
      <c r="AB735" s="1" t="s">
        <v>8848</v>
      </c>
      <c r="AC735" s="1"/>
      <c r="AD735" s="1"/>
      <c r="AE735" s="1" t="s">
        <v>8849</v>
      </c>
      <c r="AF735" s="1"/>
      <c r="AG735" s="1"/>
      <c r="AH735" s="1" t="s">
        <v>8850</v>
      </c>
      <c r="AI735" s="1"/>
      <c r="AJ735" s="1" t="s">
        <v>8383</v>
      </c>
      <c r="AK735" s="1" t="s">
        <v>1787</v>
      </c>
      <c r="AL735" s="1" t="s">
        <v>8384</v>
      </c>
      <c r="AM735" s="1" t="s">
        <v>8619</v>
      </c>
      <c r="AN735" s="1" t="s">
        <v>1787</v>
      </c>
      <c r="AO735" s="1" t="s">
        <v>8620</v>
      </c>
      <c r="AP735" s="2" t="s">
        <v>8851</v>
      </c>
      <c r="AQ735" s="2" t="s">
        <v>1154</v>
      </c>
      <c r="AR735" s="1" t="s">
        <v>286</v>
      </c>
      <c r="AS735" s="1"/>
      <c r="AT735" s="1" t="s">
        <v>5</v>
      </c>
    </row>
    <row r="736" spans="1:46" hidden="1" x14ac:dyDescent="0.4">
      <c r="A736" s="1" t="s">
        <v>8475</v>
      </c>
      <c r="B736" s="10"/>
      <c r="C736" s="1" t="s">
        <v>93</v>
      </c>
      <c r="D736" s="1" t="s">
        <v>2157</v>
      </c>
      <c r="E736" s="1" t="s">
        <v>2078</v>
      </c>
      <c r="F736" s="1" t="s">
        <v>14</v>
      </c>
      <c r="G736" s="1" t="s">
        <v>1</v>
      </c>
      <c r="H736" s="1" t="s">
        <v>6</v>
      </c>
      <c r="I736" s="1" t="s">
        <v>2</v>
      </c>
      <c r="J736" s="1" t="s">
        <v>3</v>
      </c>
      <c r="K736" s="1" t="s">
        <v>8476</v>
      </c>
      <c r="L736" s="1" t="s">
        <v>7</v>
      </c>
      <c r="M736" s="1"/>
      <c r="N736" s="1" t="s">
        <v>8477</v>
      </c>
      <c r="O736" s="1" t="s">
        <v>8478</v>
      </c>
      <c r="P736" s="1"/>
      <c r="Q736" s="1"/>
      <c r="R736" s="1" t="s">
        <v>11</v>
      </c>
      <c r="S736" s="1"/>
      <c r="T736" s="1"/>
      <c r="U736" s="1"/>
      <c r="V736" s="1"/>
      <c r="W736" s="1" t="s">
        <v>8479</v>
      </c>
      <c r="X736" s="1"/>
      <c r="Y736" s="1"/>
      <c r="Z736" s="1"/>
      <c r="AA736" s="1"/>
      <c r="AB736" s="1" t="s">
        <v>8480</v>
      </c>
      <c r="AC736" s="1"/>
      <c r="AD736" s="1"/>
      <c r="AE736" s="1" t="s">
        <v>8481</v>
      </c>
      <c r="AF736" s="1"/>
      <c r="AG736" s="1"/>
      <c r="AH736" s="1" t="s">
        <v>8482</v>
      </c>
      <c r="AI736" s="1"/>
      <c r="AJ736" s="1" t="s">
        <v>5935</v>
      </c>
      <c r="AK736" s="1" t="s">
        <v>1787</v>
      </c>
      <c r="AL736" s="1" t="s">
        <v>5936</v>
      </c>
      <c r="AM736" s="1" t="s">
        <v>7513</v>
      </c>
      <c r="AN736" s="1" t="s">
        <v>1787</v>
      </c>
      <c r="AO736" s="1" t="s">
        <v>7514</v>
      </c>
      <c r="AP736" s="2" t="s">
        <v>8483</v>
      </c>
      <c r="AQ736" s="2" t="s">
        <v>1154</v>
      </c>
      <c r="AR736" s="1" t="s">
        <v>286</v>
      </c>
      <c r="AS736" s="1" t="s">
        <v>8484</v>
      </c>
      <c r="AT736" s="1" t="s">
        <v>5</v>
      </c>
    </row>
    <row r="737" spans="1:46" hidden="1" x14ac:dyDescent="0.4">
      <c r="A737" s="1" t="s">
        <v>11570</v>
      </c>
      <c r="B737" s="10"/>
      <c r="C737" s="1" t="s">
        <v>0</v>
      </c>
      <c r="D737" s="1" t="s">
        <v>2157</v>
      </c>
      <c r="E737" s="1" t="s">
        <v>2078</v>
      </c>
      <c r="F737" s="1" t="s">
        <v>14</v>
      </c>
      <c r="G737" s="1" t="s">
        <v>1</v>
      </c>
      <c r="H737" s="1" t="s">
        <v>6</v>
      </c>
      <c r="I737" s="1" t="s">
        <v>2</v>
      </c>
      <c r="J737" s="1" t="s">
        <v>3</v>
      </c>
      <c r="K737" s="1" t="s">
        <v>11571</v>
      </c>
      <c r="L737" s="1" t="s">
        <v>4</v>
      </c>
      <c r="M737" s="1" t="s">
        <v>9</v>
      </c>
      <c r="N737" s="1" t="s">
        <v>11572</v>
      </c>
      <c r="O737" s="1" t="s">
        <v>11573</v>
      </c>
      <c r="P737" s="1"/>
      <c r="Q737" s="1" t="s">
        <v>12</v>
      </c>
      <c r="R737" s="1" t="s">
        <v>11</v>
      </c>
      <c r="S737" s="1"/>
      <c r="T737" s="1" t="s">
        <v>12</v>
      </c>
      <c r="U737" s="1" t="s">
        <v>11</v>
      </c>
      <c r="V737" s="1"/>
      <c r="W737" s="1"/>
      <c r="X737" s="1"/>
      <c r="Y737" s="1"/>
      <c r="Z737" s="1"/>
      <c r="AA737" s="1"/>
      <c r="AB737" s="1" t="s">
        <v>11574</v>
      </c>
      <c r="AC737" s="1"/>
      <c r="AD737" s="1"/>
      <c r="AE737" s="1"/>
      <c r="AF737" s="1"/>
      <c r="AG737" s="1"/>
      <c r="AH737" s="1" t="s">
        <v>11575</v>
      </c>
      <c r="AI737" s="1"/>
      <c r="AJ737" s="1" t="s">
        <v>11133</v>
      </c>
      <c r="AK737" s="1" t="s">
        <v>11134</v>
      </c>
      <c r="AL737" s="1" t="s">
        <v>11135</v>
      </c>
      <c r="AM737" s="1" t="s">
        <v>11576</v>
      </c>
      <c r="AN737" s="1" t="s">
        <v>11134</v>
      </c>
      <c r="AO737" s="1" t="s">
        <v>11577</v>
      </c>
      <c r="AP737" s="2" t="s">
        <v>11578</v>
      </c>
      <c r="AQ737" s="2" t="s">
        <v>1155</v>
      </c>
      <c r="AR737" s="1" t="s">
        <v>286</v>
      </c>
      <c r="AS737" s="1" t="s">
        <v>11579</v>
      </c>
      <c r="AT737" s="1" t="s">
        <v>5</v>
      </c>
    </row>
    <row r="738" spans="1:46" hidden="1" x14ac:dyDescent="0.4">
      <c r="A738" s="1" t="s">
        <v>8220</v>
      </c>
      <c r="B738" s="10"/>
      <c r="C738" s="1" t="s">
        <v>93</v>
      </c>
      <c r="D738" s="1" t="s">
        <v>2157</v>
      </c>
      <c r="E738" s="1" t="s">
        <v>2078</v>
      </c>
      <c r="F738" s="1" t="s">
        <v>14</v>
      </c>
      <c r="G738" s="1" t="s">
        <v>1</v>
      </c>
      <c r="H738" s="1" t="s">
        <v>6</v>
      </c>
      <c r="I738" s="1" t="s">
        <v>2</v>
      </c>
      <c r="J738" s="1" t="s">
        <v>3</v>
      </c>
      <c r="K738" s="1" t="s">
        <v>8221</v>
      </c>
      <c r="L738" s="1" t="s">
        <v>4</v>
      </c>
      <c r="M738" s="1"/>
      <c r="N738" s="1" t="s">
        <v>8222</v>
      </c>
      <c r="O738" s="1" t="s">
        <v>8223</v>
      </c>
      <c r="P738" s="1"/>
      <c r="Q738" s="1"/>
      <c r="R738" s="1" t="s">
        <v>11</v>
      </c>
      <c r="S738" s="1"/>
      <c r="T738" s="1"/>
      <c r="U738" s="1"/>
      <c r="V738" s="1"/>
      <c r="W738" s="1"/>
      <c r="X738" s="1"/>
      <c r="Y738" s="1"/>
      <c r="Z738" s="1"/>
      <c r="AA738" s="1"/>
      <c r="AB738" s="1" t="s">
        <v>8224</v>
      </c>
      <c r="AC738" s="1"/>
      <c r="AD738" s="1"/>
      <c r="AE738" s="1" t="s">
        <v>8225</v>
      </c>
      <c r="AF738" s="1"/>
      <c r="AG738" s="1"/>
      <c r="AH738" s="1" t="s">
        <v>8226</v>
      </c>
      <c r="AI738" s="1"/>
      <c r="AJ738" s="1" t="s">
        <v>5667</v>
      </c>
      <c r="AK738" s="1" t="s">
        <v>5668</v>
      </c>
      <c r="AL738" s="1" t="s">
        <v>5669</v>
      </c>
      <c r="AM738" s="1" t="s">
        <v>5667</v>
      </c>
      <c r="AN738" s="1" t="s">
        <v>5668</v>
      </c>
      <c r="AO738" s="1" t="s">
        <v>5669</v>
      </c>
      <c r="AP738" s="2" t="s">
        <v>8227</v>
      </c>
      <c r="AQ738" s="2" t="s">
        <v>1154</v>
      </c>
      <c r="AR738" s="1" t="s">
        <v>286</v>
      </c>
      <c r="AS738" s="1" t="s">
        <v>8228</v>
      </c>
      <c r="AT738" s="1" t="s">
        <v>5</v>
      </c>
    </row>
    <row r="739" spans="1:46" hidden="1" x14ac:dyDescent="0.4">
      <c r="A739" s="1" t="s">
        <v>6835</v>
      </c>
      <c r="B739" s="10"/>
      <c r="C739" s="1" t="s">
        <v>6443</v>
      </c>
      <c r="D739" s="1" t="s">
        <v>2211</v>
      </c>
      <c r="E739" s="1" t="s">
        <v>2478</v>
      </c>
      <c r="F739" s="1" t="s">
        <v>14</v>
      </c>
      <c r="G739" s="1" t="s">
        <v>1</v>
      </c>
      <c r="H739" s="1" t="s">
        <v>6</v>
      </c>
      <c r="I739" s="1" t="s">
        <v>2</v>
      </c>
      <c r="J739" s="1" t="s">
        <v>3</v>
      </c>
      <c r="K739" s="1" t="s">
        <v>6836</v>
      </c>
      <c r="L739" s="1" t="s">
        <v>7</v>
      </c>
      <c r="M739" s="1"/>
      <c r="N739" s="1" t="s">
        <v>6837</v>
      </c>
      <c r="O739" s="1" t="s">
        <v>6838</v>
      </c>
      <c r="P739" s="1"/>
      <c r="Q739" s="1"/>
      <c r="R739" s="1" t="s">
        <v>11</v>
      </c>
      <c r="S739" s="1"/>
      <c r="T739" s="1"/>
      <c r="U739" s="1"/>
      <c r="V739" s="1"/>
      <c r="W739" s="1"/>
      <c r="X739" s="1"/>
      <c r="Y739" s="1"/>
      <c r="Z739" s="1"/>
      <c r="AA739" s="1"/>
      <c r="AB739" s="1" t="s">
        <v>6839</v>
      </c>
      <c r="AC739" s="1"/>
      <c r="AD739" s="1"/>
      <c r="AE739" s="1" t="s">
        <v>6840</v>
      </c>
      <c r="AF739" s="1"/>
      <c r="AG739" s="1"/>
      <c r="AH739" s="1" t="s">
        <v>6841</v>
      </c>
      <c r="AI739" s="1"/>
      <c r="AJ739" s="1" t="s">
        <v>6451</v>
      </c>
      <c r="AK739" s="1" t="s">
        <v>6452</v>
      </c>
      <c r="AL739" s="1" t="s">
        <v>6453</v>
      </c>
      <c r="AM739" s="1" t="s">
        <v>6451</v>
      </c>
      <c r="AN739" s="1" t="s">
        <v>6452</v>
      </c>
      <c r="AO739" s="1" t="s">
        <v>6453</v>
      </c>
      <c r="AP739" s="2" t="s">
        <v>6842</v>
      </c>
      <c r="AQ739" s="2" t="s">
        <v>1077</v>
      </c>
      <c r="AR739" s="1" t="s">
        <v>286</v>
      </c>
      <c r="AS739" s="1" t="s">
        <v>6825</v>
      </c>
      <c r="AT739" s="1" t="s">
        <v>5</v>
      </c>
    </row>
    <row r="740" spans="1:46" hidden="1" x14ac:dyDescent="0.4">
      <c r="A740" s="1" t="s">
        <v>5964</v>
      </c>
      <c r="B740" s="10"/>
      <c r="C740" s="1" t="s">
        <v>0</v>
      </c>
      <c r="D740" s="1" t="s">
        <v>2157</v>
      </c>
      <c r="E740" s="1" t="s">
        <v>2078</v>
      </c>
      <c r="F740" s="1" t="s">
        <v>14</v>
      </c>
      <c r="G740" s="1" t="s">
        <v>1</v>
      </c>
      <c r="H740" s="1" t="s">
        <v>6</v>
      </c>
      <c r="I740" s="1" t="s">
        <v>2</v>
      </c>
      <c r="J740" s="1" t="s">
        <v>3</v>
      </c>
      <c r="K740" s="1" t="s">
        <v>5965</v>
      </c>
      <c r="L740" s="1" t="s">
        <v>7</v>
      </c>
      <c r="M740" s="1"/>
      <c r="N740" s="1" t="s">
        <v>5966</v>
      </c>
      <c r="O740" s="1" t="s">
        <v>5967</v>
      </c>
      <c r="P740" s="1"/>
      <c r="Q740" s="1"/>
      <c r="R740" s="1" t="s">
        <v>11</v>
      </c>
      <c r="S740" s="1"/>
      <c r="T740" s="1"/>
      <c r="U740" s="1"/>
      <c r="V740" s="1"/>
      <c r="W740" s="1"/>
      <c r="X740" s="1"/>
      <c r="Y740" s="1"/>
      <c r="Z740" s="1"/>
      <c r="AA740" s="1"/>
      <c r="AB740" s="1" t="s">
        <v>5968</v>
      </c>
      <c r="AC740" s="1"/>
      <c r="AD740" s="1"/>
      <c r="AE740" s="1" t="s">
        <v>5969</v>
      </c>
      <c r="AF740" s="1"/>
      <c r="AG740" s="1"/>
      <c r="AH740" s="1" t="s">
        <v>5970</v>
      </c>
      <c r="AI740" s="1"/>
      <c r="AJ740" s="1" t="s">
        <v>5971</v>
      </c>
      <c r="AK740" s="1" t="s">
        <v>5972</v>
      </c>
      <c r="AL740" s="1"/>
      <c r="AM740" s="1" t="s">
        <v>5973</v>
      </c>
      <c r="AN740" s="1" t="s">
        <v>5972</v>
      </c>
      <c r="AO740" s="1"/>
      <c r="AP740" s="2" t="s">
        <v>5974</v>
      </c>
      <c r="AQ740" s="2" t="s">
        <v>1077</v>
      </c>
      <c r="AR740" s="1" t="s">
        <v>286</v>
      </c>
      <c r="AS740" s="1" t="s">
        <v>5975</v>
      </c>
      <c r="AT740" s="1" t="s">
        <v>5</v>
      </c>
    </row>
    <row r="741" spans="1:46" hidden="1" x14ac:dyDescent="0.4">
      <c r="A741" s="1" t="s">
        <v>7812</v>
      </c>
      <c r="B741" s="10"/>
      <c r="C741" s="1" t="s">
        <v>0</v>
      </c>
      <c r="D741" s="1" t="s">
        <v>2076</v>
      </c>
      <c r="E741" s="1" t="s">
        <v>2078</v>
      </c>
      <c r="F741" s="1" t="s">
        <v>14</v>
      </c>
      <c r="G741" s="1" t="s">
        <v>1</v>
      </c>
      <c r="H741" s="1" t="s">
        <v>6</v>
      </c>
      <c r="I741" s="1" t="s">
        <v>2</v>
      </c>
      <c r="J741" s="1" t="s">
        <v>3</v>
      </c>
      <c r="K741" s="1" t="s">
        <v>7813</v>
      </c>
      <c r="L741" s="1" t="s">
        <v>7</v>
      </c>
      <c r="M741" s="1" t="s">
        <v>9</v>
      </c>
      <c r="N741" s="1" t="s">
        <v>7814</v>
      </c>
      <c r="O741" s="1" t="s">
        <v>7815</v>
      </c>
      <c r="P741" s="1"/>
      <c r="Q741" s="1"/>
      <c r="R741" s="1" t="s">
        <v>11</v>
      </c>
      <c r="S741" s="1"/>
      <c r="T741" s="1"/>
      <c r="U741" s="1"/>
      <c r="V741" s="1"/>
      <c r="W741" s="1"/>
      <c r="X741" s="1" t="s">
        <v>7816</v>
      </c>
      <c r="Y741" s="1"/>
      <c r="Z741" s="1"/>
      <c r="AA741" s="1"/>
      <c r="AB741" s="1" t="s">
        <v>7817</v>
      </c>
      <c r="AC741" s="1"/>
      <c r="AD741" s="1"/>
      <c r="AE741" s="1" t="s">
        <v>7818</v>
      </c>
      <c r="AF741" s="1"/>
      <c r="AG741" s="1"/>
      <c r="AH741" s="1" t="s">
        <v>7819</v>
      </c>
      <c r="AI741" s="1"/>
      <c r="AJ741" s="1" t="s">
        <v>7809</v>
      </c>
      <c r="AK741" s="1" t="s">
        <v>7300</v>
      </c>
      <c r="AL741" s="1" t="s">
        <v>7810</v>
      </c>
      <c r="AM741" s="1" t="s">
        <v>7820</v>
      </c>
      <c r="AN741" s="1" t="s">
        <v>7300</v>
      </c>
      <c r="AO741" s="1" t="s">
        <v>7821</v>
      </c>
      <c r="AP741" s="2" t="s">
        <v>7822</v>
      </c>
      <c r="AQ741" s="2" t="s">
        <v>1154</v>
      </c>
      <c r="AR741" s="1" t="s">
        <v>286</v>
      </c>
      <c r="AS741" s="1"/>
      <c r="AT741" s="1" t="s">
        <v>5</v>
      </c>
    </row>
    <row r="742" spans="1:46" hidden="1" x14ac:dyDescent="0.4">
      <c r="A742" s="1" t="s">
        <v>6486</v>
      </c>
      <c r="B742" s="10"/>
      <c r="C742" s="1" t="s">
        <v>6443</v>
      </c>
      <c r="D742" s="1" t="s">
        <v>2220</v>
      </c>
      <c r="E742" s="1" t="s">
        <v>2078</v>
      </c>
      <c r="F742" s="1" t="s">
        <v>14</v>
      </c>
      <c r="G742" s="1" t="s">
        <v>1</v>
      </c>
      <c r="H742" s="1" t="s">
        <v>6</v>
      </c>
      <c r="I742" s="1" t="s">
        <v>2</v>
      </c>
      <c r="J742" s="1" t="s">
        <v>3</v>
      </c>
      <c r="K742" s="1" t="s">
        <v>6487</v>
      </c>
      <c r="L742" s="1" t="s">
        <v>7</v>
      </c>
      <c r="M742" s="1"/>
      <c r="N742" s="1" t="s">
        <v>6488</v>
      </c>
      <c r="O742" s="1" t="s">
        <v>6480</v>
      </c>
      <c r="P742" s="1"/>
      <c r="Q742" s="1"/>
      <c r="R742" s="1" t="s">
        <v>11</v>
      </c>
      <c r="S742" s="1"/>
      <c r="T742" s="1"/>
      <c r="U742" s="1"/>
      <c r="V742" s="1"/>
      <c r="W742" s="1" t="s">
        <v>6481</v>
      </c>
      <c r="X742" s="1"/>
      <c r="Y742" s="1"/>
      <c r="Z742" s="1"/>
      <c r="AA742" s="1"/>
      <c r="AB742" s="1" t="s">
        <v>6489</v>
      </c>
      <c r="AC742" s="1"/>
      <c r="AD742" s="1"/>
      <c r="AE742" s="1" t="s">
        <v>6490</v>
      </c>
      <c r="AF742" s="1"/>
      <c r="AG742" s="1"/>
      <c r="AH742" s="1" t="s">
        <v>6491</v>
      </c>
      <c r="AI742" s="1"/>
      <c r="AJ742" s="1" t="s">
        <v>6451</v>
      </c>
      <c r="AK742" s="1" t="s">
        <v>6452</v>
      </c>
      <c r="AL742" s="1" t="s">
        <v>6453</v>
      </c>
      <c r="AM742" s="1" t="s">
        <v>6451</v>
      </c>
      <c r="AN742" s="1" t="s">
        <v>6452</v>
      </c>
      <c r="AO742" s="1" t="s">
        <v>6453</v>
      </c>
      <c r="AP742" s="2" t="s">
        <v>6492</v>
      </c>
      <c r="AQ742" s="2" t="s">
        <v>1077</v>
      </c>
      <c r="AR742" s="1" t="s">
        <v>286</v>
      </c>
      <c r="AS742" s="1"/>
      <c r="AT742" s="1" t="s">
        <v>5</v>
      </c>
    </row>
    <row r="743" spans="1:46" hidden="1" x14ac:dyDescent="0.4">
      <c r="A743" s="1" t="s">
        <v>6477</v>
      </c>
      <c r="B743" s="10"/>
      <c r="C743" s="1" t="s">
        <v>6443</v>
      </c>
      <c r="D743" s="1" t="s">
        <v>2220</v>
      </c>
      <c r="E743" s="1" t="s">
        <v>2078</v>
      </c>
      <c r="F743" s="1" t="s">
        <v>14</v>
      </c>
      <c r="G743" s="1" t="s">
        <v>1</v>
      </c>
      <c r="H743" s="1" t="s">
        <v>6</v>
      </c>
      <c r="I743" s="1" t="s">
        <v>2</v>
      </c>
      <c r="J743" s="1" t="s">
        <v>3</v>
      </c>
      <c r="K743" s="1" t="s">
        <v>6478</v>
      </c>
      <c r="L743" s="1" t="s">
        <v>7</v>
      </c>
      <c r="M743" s="1"/>
      <c r="N743" s="1" t="s">
        <v>6479</v>
      </c>
      <c r="O743" s="1" t="s">
        <v>6480</v>
      </c>
      <c r="P743" s="1"/>
      <c r="Q743" s="1"/>
      <c r="R743" s="1" t="s">
        <v>11</v>
      </c>
      <c r="S743" s="1"/>
      <c r="T743" s="1"/>
      <c r="U743" s="1"/>
      <c r="V743" s="1"/>
      <c r="W743" s="1" t="s">
        <v>6481</v>
      </c>
      <c r="X743" s="1"/>
      <c r="Y743" s="1"/>
      <c r="Z743" s="1"/>
      <c r="AA743" s="1"/>
      <c r="AB743" s="1" t="s">
        <v>6482</v>
      </c>
      <c r="AC743" s="1"/>
      <c r="AD743" s="1"/>
      <c r="AE743" s="1" t="s">
        <v>6483</v>
      </c>
      <c r="AF743" s="1"/>
      <c r="AG743" s="1"/>
      <c r="AH743" s="1" t="s">
        <v>6484</v>
      </c>
      <c r="AI743" s="1"/>
      <c r="AJ743" s="1" t="s">
        <v>6451</v>
      </c>
      <c r="AK743" s="1" t="s">
        <v>6452</v>
      </c>
      <c r="AL743" s="1" t="s">
        <v>6453</v>
      </c>
      <c r="AM743" s="1" t="s">
        <v>6451</v>
      </c>
      <c r="AN743" s="1" t="s">
        <v>6452</v>
      </c>
      <c r="AO743" s="1" t="s">
        <v>6453</v>
      </c>
      <c r="AP743" s="2" t="s">
        <v>6485</v>
      </c>
      <c r="AQ743" s="2" t="s">
        <v>1077</v>
      </c>
      <c r="AR743" s="1" t="s">
        <v>286</v>
      </c>
      <c r="AS743" s="1"/>
      <c r="AT743" s="1" t="s">
        <v>5</v>
      </c>
    </row>
    <row r="744" spans="1:46" hidden="1" x14ac:dyDescent="0.4">
      <c r="A744" s="1" t="s">
        <v>8950</v>
      </c>
      <c r="B744" s="10"/>
      <c r="C744" s="1" t="s">
        <v>0</v>
      </c>
      <c r="D744" s="1" t="s">
        <v>2290</v>
      </c>
      <c r="E744" s="1" t="s">
        <v>2291</v>
      </c>
      <c r="F744" s="1" t="s">
        <v>14</v>
      </c>
      <c r="G744" s="1" t="s">
        <v>1</v>
      </c>
      <c r="H744" s="1" t="s">
        <v>6</v>
      </c>
      <c r="I744" s="1" t="s">
        <v>2</v>
      </c>
      <c r="J744" s="1" t="s">
        <v>3</v>
      </c>
      <c r="K744" s="1" t="s">
        <v>8951</v>
      </c>
      <c r="L744" s="1" t="s">
        <v>7</v>
      </c>
      <c r="M744" s="1" t="s">
        <v>9</v>
      </c>
      <c r="N744" s="1" t="s">
        <v>8952</v>
      </c>
      <c r="O744" s="1" t="s">
        <v>3756</v>
      </c>
      <c r="P744" s="1"/>
      <c r="Q744" s="1"/>
      <c r="R744" s="1" t="s">
        <v>11</v>
      </c>
      <c r="S744" s="1"/>
      <c r="T744" s="1"/>
      <c r="U744" s="1"/>
      <c r="V744" s="1"/>
      <c r="W744" s="1"/>
      <c r="X744" s="1"/>
      <c r="Y744" s="1"/>
      <c r="Z744" s="1"/>
      <c r="AA744" s="1"/>
      <c r="AB744" s="1" t="s">
        <v>8953</v>
      </c>
      <c r="AC744" s="1"/>
      <c r="AD744" s="1"/>
      <c r="AE744" s="1" t="s">
        <v>8954</v>
      </c>
      <c r="AF744" s="1"/>
      <c r="AG744" s="1"/>
      <c r="AH744" s="1" t="s">
        <v>8955</v>
      </c>
      <c r="AI744" s="1"/>
      <c r="AJ744" s="1" t="s">
        <v>2117</v>
      </c>
      <c r="AK744" s="1" t="s">
        <v>5356</v>
      </c>
      <c r="AL744" s="1" t="s">
        <v>2934</v>
      </c>
      <c r="AM744" s="1" t="s">
        <v>8956</v>
      </c>
      <c r="AN744" s="1" t="s">
        <v>5356</v>
      </c>
      <c r="AO744" s="1" t="s">
        <v>8957</v>
      </c>
      <c r="AP744" s="2" t="s">
        <v>8958</v>
      </c>
      <c r="AQ744" s="2" t="s">
        <v>1154</v>
      </c>
      <c r="AR744" s="1" t="s">
        <v>286</v>
      </c>
      <c r="AS744" s="1" t="s">
        <v>8959</v>
      </c>
      <c r="AT744" s="1" t="s">
        <v>5</v>
      </c>
    </row>
    <row r="745" spans="1:46" hidden="1" x14ac:dyDescent="0.4">
      <c r="A745" s="1" t="s">
        <v>9651</v>
      </c>
      <c r="B745" s="10"/>
      <c r="C745" s="1" t="s">
        <v>93</v>
      </c>
      <c r="D745" s="1" t="s">
        <v>2211</v>
      </c>
      <c r="E745" s="1" t="s">
        <v>2078</v>
      </c>
      <c r="F745" s="1" t="s">
        <v>14</v>
      </c>
      <c r="G745" s="1" t="s">
        <v>1</v>
      </c>
      <c r="H745" s="1" t="s">
        <v>6</v>
      </c>
      <c r="I745" s="1" t="s">
        <v>2</v>
      </c>
      <c r="J745" s="1" t="s">
        <v>3</v>
      </c>
      <c r="K745" s="1" t="s">
        <v>9652</v>
      </c>
      <c r="L745" s="1" t="s">
        <v>7</v>
      </c>
      <c r="M745" s="1"/>
      <c r="N745" s="1" t="s">
        <v>9653</v>
      </c>
      <c r="O745" s="1" t="s">
        <v>7734</v>
      </c>
      <c r="P745" s="1"/>
      <c r="Q745" s="1"/>
      <c r="R745" s="1" t="s">
        <v>11</v>
      </c>
      <c r="S745" s="1"/>
      <c r="T745" s="1"/>
      <c r="U745" s="1"/>
      <c r="V745" s="1"/>
      <c r="W745" s="1" t="s">
        <v>9654</v>
      </c>
      <c r="X745" s="1"/>
      <c r="Y745" s="1"/>
      <c r="Z745" s="1"/>
      <c r="AA745" s="1"/>
      <c r="AB745" s="1" t="s">
        <v>9655</v>
      </c>
      <c r="AC745" s="1"/>
      <c r="AD745" s="1"/>
      <c r="AE745" s="1" t="s">
        <v>7737</v>
      </c>
      <c r="AF745" s="1"/>
      <c r="AG745" s="1"/>
      <c r="AH745" s="1" t="s">
        <v>9656</v>
      </c>
      <c r="AI745" s="1"/>
      <c r="AJ745" s="1" t="s">
        <v>3932</v>
      </c>
      <c r="AK745" s="1" t="s">
        <v>3933</v>
      </c>
      <c r="AL745" s="1" t="s">
        <v>3934</v>
      </c>
      <c r="AM745" s="1" t="s">
        <v>3932</v>
      </c>
      <c r="AN745" s="1" t="s">
        <v>3933</v>
      </c>
      <c r="AO745" s="1" t="s">
        <v>3934</v>
      </c>
      <c r="AP745" s="2" t="s">
        <v>9657</v>
      </c>
      <c r="AQ745" s="2" t="s">
        <v>1155</v>
      </c>
      <c r="AR745" s="1" t="s">
        <v>286</v>
      </c>
      <c r="AS745" s="1" t="s">
        <v>9658</v>
      </c>
      <c r="AT745" s="1" t="s">
        <v>5</v>
      </c>
    </row>
    <row r="746" spans="1:46" hidden="1" x14ac:dyDescent="0.4">
      <c r="A746" s="1" t="s">
        <v>7740</v>
      </c>
      <c r="B746" s="10"/>
      <c r="C746" s="1" t="s">
        <v>93</v>
      </c>
      <c r="D746" s="1" t="s">
        <v>2211</v>
      </c>
      <c r="E746" s="1" t="s">
        <v>2478</v>
      </c>
      <c r="F746" s="1" t="s">
        <v>14</v>
      </c>
      <c r="G746" s="1" t="s">
        <v>1</v>
      </c>
      <c r="H746" s="1" t="s">
        <v>6</v>
      </c>
      <c r="I746" s="1" t="s">
        <v>2</v>
      </c>
      <c r="J746" s="1" t="s">
        <v>3</v>
      </c>
      <c r="K746" s="1" t="s">
        <v>7741</v>
      </c>
      <c r="L746" s="1" t="s">
        <v>7</v>
      </c>
      <c r="M746" s="1"/>
      <c r="N746" s="1" t="s">
        <v>7742</v>
      </c>
      <c r="O746" s="1" t="s">
        <v>7734</v>
      </c>
      <c r="P746" s="1"/>
      <c r="Q746" s="1"/>
      <c r="R746" s="1" t="s">
        <v>11</v>
      </c>
      <c r="S746" s="1"/>
      <c r="T746" s="1"/>
      <c r="U746" s="1"/>
      <c r="V746" s="1"/>
      <c r="W746" s="1" t="s">
        <v>7735</v>
      </c>
      <c r="X746" s="1"/>
      <c r="Y746" s="1"/>
      <c r="Z746" s="1"/>
      <c r="AA746" s="1"/>
      <c r="AB746" s="1" t="s">
        <v>7743</v>
      </c>
      <c r="AC746" s="1"/>
      <c r="AD746" s="1"/>
      <c r="AE746" s="1" t="s">
        <v>7737</v>
      </c>
      <c r="AF746" s="1"/>
      <c r="AG746" s="1"/>
      <c r="AH746" s="1" t="s">
        <v>7744</v>
      </c>
      <c r="AI746" s="1"/>
      <c r="AJ746" s="1" t="s">
        <v>5110</v>
      </c>
      <c r="AK746" s="1" t="s">
        <v>5111</v>
      </c>
      <c r="AL746" s="1" t="s">
        <v>5112</v>
      </c>
      <c r="AM746" s="1" t="s">
        <v>5110</v>
      </c>
      <c r="AN746" s="1" t="s">
        <v>5111</v>
      </c>
      <c r="AO746" s="1" t="s">
        <v>5112</v>
      </c>
      <c r="AP746" s="2" t="s">
        <v>7745</v>
      </c>
      <c r="AQ746" s="2" t="s">
        <v>1154</v>
      </c>
      <c r="AR746" s="1" t="s">
        <v>286</v>
      </c>
      <c r="AS746" s="1" t="s">
        <v>7746</v>
      </c>
      <c r="AT746" s="1" t="s">
        <v>5</v>
      </c>
    </row>
    <row r="747" spans="1:46" hidden="1" x14ac:dyDescent="0.4">
      <c r="A747" s="1" t="s">
        <v>7731</v>
      </c>
      <c r="B747" s="10"/>
      <c r="C747" s="1" t="s">
        <v>93</v>
      </c>
      <c r="D747" s="1" t="s">
        <v>2211</v>
      </c>
      <c r="E747" s="1" t="s">
        <v>2478</v>
      </c>
      <c r="F747" s="1" t="s">
        <v>14</v>
      </c>
      <c r="G747" s="1" t="s">
        <v>1</v>
      </c>
      <c r="H747" s="1" t="s">
        <v>6</v>
      </c>
      <c r="I747" s="1" t="s">
        <v>2</v>
      </c>
      <c r="J747" s="1" t="s">
        <v>3</v>
      </c>
      <c r="K747" s="1" t="s">
        <v>7732</v>
      </c>
      <c r="L747" s="1" t="s">
        <v>7</v>
      </c>
      <c r="M747" s="1"/>
      <c r="N747" s="1" t="s">
        <v>7733</v>
      </c>
      <c r="O747" s="1" t="s">
        <v>7734</v>
      </c>
      <c r="P747" s="1"/>
      <c r="Q747" s="1"/>
      <c r="R747" s="1" t="s">
        <v>11</v>
      </c>
      <c r="S747" s="1"/>
      <c r="T747" s="1"/>
      <c r="U747" s="1"/>
      <c r="V747" s="1"/>
      <c r="W747" s="1" t="s">
        <v>7735</v>
      </c>
      <c r="X747" s="1"/>
      <c r="Y747" s="1"/>
      <c r="Z747" s="1"/>
      <c r="AA747" s="1"/>
      <c r="AB747" s="1" t="s">
        <v>7736</v>
      </c>
      <c r="AC747" s="1"/>
      <c r="AD747" s="1"/>
      <c r="AE747" s="1" t="s">
        <v>7737</v>
      </c>
      <c r="AF747" s="1"/>
      <c r="AG747" s="1"/>
      <c r="AH747" s="1" t="s">
        <v>7738</v>
      </c>
      <c r="AI747" s="1"/>
      <c r="AJ747" s="1" t="s">
        <v>5110</v>
      </c>
      <c r="AK747" s="1" t="s">
        <v>5111</v>
      </c>
      <c r="AL747" s="1" t="s">
        <v>5112</v>
      </c>
      <c r="AM747" s="1" t="s">
        <v>5110</v>
      </c>
      <c r="AN747" s="1" t="s">
        <v>5111</v>
      </c>
      <c r="AO747" s="1" t="s">
        <v>5112</v>
      </c>
      <c r="AP747" s="2" t="s">
        <v>7739</v>
      </c>
      <c r="AQ747" s="2" t="s">
        <v>1154</v>
      </c>
      <c r="AR747" s="1" t="s">
        <v>286</v>
      </c>
      <c r="AS747" s="1" t="s">
        <v>790</v>
      </c>
      <c r="AT747" s="1" t="s">
        <v>5</v>
      </c>
    </row>
    <row r="748" spans="1:46" hidden="1" x14ac:dyDescent="0.4">
      <c r="A748" s="1" t="s">
        <v>4410</v>
      </c>
      <c r="B748" s="10"/>
      <c r="C748" s="1" t="s">
        <v>93</v>
      </c>
      <c r="D748" s="1" t="s">
        <v>2157</v>
      </c>
      <c r="E748" s="1" t="s">
        <v>2078</v>
      </c>
      <c r="F748" s="1" t="s">
        <v>14</v>
      </c>
      <c r="G748" s="1" t="s">
        <v>1</v>
      </c>
      <c r="H748" s="1" t="s">
        <v>6</v>
      </c>
      <c r="I748" s="1" t="s">
        <v>2</v>
      </c>
      <c r="J748" s="1" t="s">
        <v>3</v>
      </c>
      <c r="K748" s="1" t="s">
        <v>4411</v>
      </c>
      <c r="L748" s="1" t="s">
        <v>7</v>
      </c>
      <c r="M748" s="1"/>
      <c r="N748" s="1" t="s">
        <v>4412</v>
      </c>
      <c r="O748" s="1" t="s">
        <v>3928</v>
      </c>
      <c r="P748" s="1"/>
      <c r="Q748" s="1"/>
      <c r="R748" s="1" t="s">
        <v>11</v>
      </c>
      <c r="S748" s="1"/>
      <c r="T748" s="1"/>
      <c r="U748" s="1"/>
      <c r="V748" s="1"/>
      <c r="W748" s="1" t="s">
        <v>4413</v>
      </c>
      <c r="X748" s="1" t="s">
        <v>4414</v>
      </c>
      <c r="Y748" s="1"/>
      <c r="Z748" s="1"/>
      <c r="AA748" s="1"/>
      <c r="AB748" s="1" t="s">
        <v>4415</v>
      </c>
      <c r="AC748" s="1"/>
      <c r="AD748" s="1"/>
      <c r="AE748" s="1"/>
      <c r="AF748" s="1"/>
      <c r="AG748" s="1"/>
      <c r="AH748" s="1" t="s">
        <v>4416</v>
      </c>
      <c r="AI748" s="1"/>
      <c r="AJ748" s="1" t="s">
        <v>4239</v>
      </c>
      <c r="AK748" s="1" t="s">
        <v>4240</v>
      </c>
      <c r="AL748" s="1" t="s">
        <v>4241</v>
      </c>
      <c r="AM748" s="1" t="s">
        <v>4242</v>
      </c>
      <c r="AN748" s="1" t="s">
        <v>4243</v>
      </c>
      <c r="AO748" s="1" t="s">
        <v>4244</v>
      </c>
      <c r="AP748" s="2" t="s">
        <v>4417</v>
      </c>
      <c r="AQ748" s="2" t="s">
        <v>1153</v>
      </c>
      <c r="AR748" s="1" t="s">
        <v>286</v>
      </c>
      <c r="AS748" s="1"/>
      <c r="AT748" s="1" t="s">
        <v>5</v>
      </c>
    </row>
    <row r="749" spans="1:46" hidden="1" x14ac:dyDescent="0.4">
      <c r="A749" s="1" t="s">
        <v>9090</v>
      </c>
      <c r="B749" s="10"/>
      <c r="C749" s="1" t="s">
        <v>93</v>
      </c>
      <c r="D749" s="1" t="s">
        <v>2220</v>
      </c>
      <c r="E749" s="1" t="s">
        <v>2078</v>
      </c>
      <c r="F749" s="1" t="s">
        <v>14</v>
      </c>
      <c r="G749" s="1" t="s">
        <v>1</v>
      </c>
      <c r="H749" s="1" t="s">
        <v>6</v>
      </c>
      <c r="I749" s="1" t="s">
        <v>2</v>
      </c>
      <c r="J749" s="1" t="s">
        <v>3</v>
      </c>
      <c r="K749" s="1" t="s">
        <v>9091</v>
      </c>
      <c r="L749" s="1" t="s">
        <v>7</v>
      </c>
      <c r="M749" s="1"/>
      <c r="N749" s="1" t="s">
        <v>9092</v>
      </c>
      <c r="O749" s="1" t="s">
        <v>6480</v>
      </c>
      <c r="P749" s="1"/>
      <c r="Q749" s="1"/>
      <c r="R749" s="1" t="s">
        <v>11</v>
      </c>
      <c r="S749" s="1"/>
      <c r="T749" s="1"/>
      <c r="U749" s="1"/>
      <c r="V749" s="1"/>
      <c r="W749" s="1"/>
      <c r="X749" s="1" t="s">
        <v>9093</v>
      </c>
      <c r="Y749" s="1"/>
      <c r="Z749" s="1"/>
      <c r="AA749" s="1"/>
      <c r="AB749" s="1" t="s">
        <v>9094</v>
      </c>
      <c r="AC749" s="1"/>
      <c r="AD749" s="1"/>
      <c r="AE749" s="1" t="s">
        <v>9095</v>
      </c>
      <c r="AF749" s="1"/>
      <c r="AG749" s="1"/>
      <c r="AH749" s="1" t="s">
        <v>9096</v>
      </c>
      <c r="AI749" s="1"/>
      <c r="AJ749" s="1" t="s">
        <v>3932</v>
      </c>
      <c r="AK749" s="1" t="s">
        <v>3933</v>
      </c>
      <c r="AL749" s="1" t="s">
        <v>3934</v>
      </c>
      <c r="AM749" s="1" t="s">
        <v>3932</v>
      </c>
      <c r="AN749" s="1" t="s">
        <v>3933</v>
      </c>
      <c r="AO749" s="1" t="s">
        <v>3934</v>
      </c>
      <c r="AP749" s="2" t="s">
        <v>9097</v>
      </c>
      <c r="AQ749" s="2" t="s">
        <v>1154</v>
      </c>
      <c r="AR749" s="1" t="s">
        <v>286</v>
      </c>
      <c r="AS749" s="1"/>
      <c r="AT749" s="1" t="s">
        <v>5</v>
      </c>
    </row>
    <row r="750" spans="1:46" hidden="1" x14ac:dyDescent="0.4">
      <c r="A750" s="1" t="s">
        <v>4715</v>
      </c>
      <c r="B750" s="10"/>
      <c r="C750" s="1" t="s">
        <v>93</v>
      </c>
      <c r="D750" s="1" t="s">
        <v>2157</v>
      </c>
      <c r="E750" s="1" t="s">
        <v>2078</v>
      </c>
      <c r="F750" s="1" t="s">
        <v>14</v>
      </c>
      <c r="G750" s="1" t="s">
        <v>1</v>
      </c>
      <c r="H750" s="1" t="s">
        <v>6</v>
      </c>
      <c r="I750" s="1" t="s">
        <v>2</v>
      </c>
      <c r="J750" s="1" t="s">
        <v>3</v>
      </c>
      <c r="K750" s="1" t="s">
        <v>4716</v>
      </c>
      <c r="L750" s="1" t="s">
        <v>7</v>
      </c>
      <c r="M750" s="1"/>
      <c r="N750" s="1" t="s">
        <v>4717</v>
      </c>
      <c r="O750" s="1" t="s">
        <v>3928</v>
      </c>
      <c r="P750" s="1"/>
      <c r="Q750" s="1"/>
      <c r="R750" s="1" t="s">
        <v>11</v>
      </c>
      <c r="S750" s="1"/>
      <c r="T750" s="1"/>
      <c r="U750" s="1"/>
      <c r="V750" s="1"/>
      <c r="W750" s="1"/>
      <c r="X750" s="1"/>
      <c r="Y750" s="1"/>
      <c r="Z750" s="1"/>
      <c r="AA750" s="1"/>
      <c r="AB750" s="1" t="s">
        <v>4718</v>
      </c>
      <c r="AC750" s="1"/>
      <c r="AD750" s="1"/>
      <c r="AE750" s="1" t="s">
        <v>4719</v>
      </c>
      <c r="AF750" s="1"/>
      <c r="AG750" s="1"/>
      <c r="AH750" s="1" t="s">
        <v>4720</v>
      </c>
      <c r="AI750" s="1"/>
      <c r="AJ750" s="1" t="s">
        <v>4502</v>
      </c>
      <c r="AK750" s="1" t="s">
        <v>4503</v>
      </c>
      <c r="AL750" s="1" t="s">
        <v>4504</v>
      </c>
      <c r="AM750" s="1" t="s">
        <v>4502</v>
      </c>
      <c r="AN750" s="1" t="s">
        <v>4503</v>
      </c>
      <c r="AO750" s="1" t="s">
        <v>4504</v>
      </c>
      <c r="AP750" s="2" t="s">
        <v>4721</v>
      </c>
      <c r="AQ750" s="2" t="s">
        <v>1153</v>
      </c>
      <c r="AR750" s="1" t="s">
        <v>286</v>
      </c>
      <c r="AS750" s="1"/>
      <c r="AT750" s="1" t="s">
        <v>5</v>
      </c>
    </row>
    <row r="751" spans="1:46" hidden="1" x14ac:dyDescent="0.4">
      <c r="A751" s="1" t="s">
        <v>11965</v>
      </c>
      <c r="B751" s="10"/>
      <c r="C751" s="1" t="s">
        <v>0</v>
      </c>
      <c r="D751" s="1" t="s">
        <v>2827</v>
      </c>
      <c r="E751" s="1" t="s">
        <v>2078</v>
      </c>
      <c r="F751" s="1" t="s">
        <v>14</v>
      </c>
      <c r="G751" s="1" t="s">
        <v>1</v>
      </c>
      <c r="H751" s="1" t="s">
        <v>6</v>
      </c>
      <c r="I751" s="1" t="s">
        <v>2</v>
      </c>
      <c r="J751" s="1" t="s">
        <v>3</v>
      </c>
      <c r="K751" s="1" t="s">
        <v>11966</v>
      </c>
      <c r="L751" s="1" t="s">
        <v>7</v>
      </c>
      <c r="M751" s="1"/>
      <c r="N751" s="1" t="s">
        <v>11967</v>
      </c>
      <c r="O751" s="1" t="s">
        <v>11915</v>
      </c>
      <c r="P751" s="1"/>
      <c r="Q751" s="1" t="s">
        <v>12</v>
      </c>
      <c r="R751" s="1" t="s">
        <v>11</v>
      </c>
      <c r="S751" s="1"/>
      <c r="T751" s="1" t="s">
        <v>12</v>
      </c>
      <c r="U751" s="1" t="s">
        <v>11</v>
      </c>
      <c r="V751" s="1"/>
      <c r="W751" s="1" t="s">
        <v>11968</v>
      </c>
      <c r="X751" s="1" t="s">
        <v>11917</v>
      </c>
      <c r="Y751" s="1"/>
      <c r="Z751" s="1"/>
      <c r="AA751" s="1"/>
      <c r="AB751" s="1" t="s">
        <v>11969</v>
      </c>
      <c r="AC751" s="1"/>
      <c r="AD751" s="1"/>
      <c r="AE751" s="1" t="s">
        <v>11919</v>
      </c>
      <c r="AF751" s="1"/>
      <c r="AG751" s="1"/>
      <c r="AH751" s="1" t="s">
        <v>11970</v>
      </c>
      <c r="AI751" s="1"/>
      <c r="AJ751" s="1" t="s">
        <v>11921</v>
      </c>
      <c r="AK751" s="1" t="s">
        <v>10696</v>
      </c>
      <c r="AL751" s="1" t="s">
        <v>11922</v>
      </c>
      <c r="AM751" s="1" t="s">
        <v>11923</v>
      </c>
      <c r="AN751" s="1" t="s">
        <v>10696</v>
      </c>
      <c r="AO751" s="1" t="s">
        <v>11924</v>
      </c>
      <c r="AP751" s="2" t="s">
        <v>11971</v>
      </c>
      <c r="AQ751" s="2" t="s">
        <v>1156</v>
      </c>
      <c r="AR751" s="1" t="s">
        <v>286</v>
      </c>
      <c r="AS751" s="1" t="s">
        <v>11873</v>
      </c>
      <c r="AT751" s="1" t="s">
        <v>5</v>
      </c>
    </row>
    <row r="752" spans="1:46" hidden="1" x14ac:dyDescent="0.4">
      <c r="A752" s="1" t="s">
        <v>11942</v>
      </c>
      <c r="B752" s="10"/>
      <c r="C752" s="1" t="s">
        <v>0</v>
      </c>
      <c r="D752" s="1" t="s">
        <v>2827</v>
      </c>
      <c r="E752" s="1" t="s">
        <v>2078</v>
      </c>
      <c r="F752" s="1" t="s">
        <v>14</v>
      </c>
      <c r="G752" s="1" t="s">
        <v>1</v>
      </c>
      <c r="H752" s="1" t="s">
        <v>6</v>
      </c>
      <c r="I752" s="1" t="s">
        <v>2</v>
      </c>
      <c r="J752" s="1" t="s">
        <v>3</v>
      </c>
      <c r="K752" s="1" t="s">
        <v>11943</v>
      </c>
      <c r="L752" s="1" t="s">
        <v>7</v>
      </c>
      <c r="M752" s="1"/>
      <c r="N752" s="1" t="s">
        <v>11944</v>
      </c>
      <c r="O752" s="1" t="s">
        <v>11915</v>
      </c>
      <c r="P752" s="1"/>
      <c r="Q752" s="1" t="s">
        <v>12</v>
      </c>
      <c r="R752" s="1" t="s">
        <v>11</v>
      </c>
      <c r="S752" s="1"/>
      <c r="T752" s="1" t="s">
        <v>12</v>
      </c>
      <c r="U752" s="1" t="s">
        <v>11</v>
      </c>
      <c r="V752" s="1"/>
      <c r="W752" s="1" t="s">
        <v>11945</v>
      </c>
      <c r="X752" s="1" t="s">
        <v>11917</v>
      </c>
      <c r="Y752" s="1"/>
      <c r="Z752" s="1"/>
      <c r="AA752" s="1"/>
      <c r="AB752" s="1" t="s">
        <v>11946</v>
      </c>
      <c r="AC752" s="1"/>
      <c r="AD752" s="1"/>
      <c r="AE752" s="1" t="s">
        <v>11919</v>
      </c>
      <c r="AF752" s="1"/>
      <c r="AG752" s="1"/>
      <c r="AH752" s="1" t="s">
        <v>11947</v>
      </c>
      <c r="AI752" s="1"/>
      <c r="AJ752" s="1" t="s">
        <v>11921</v>
      </c>
      <c r="AK752" s="1" t="s">
        <v>10696</v>
      </c>
      <c r="AL752" s="1" t="s">
        <v>11922</v>
      </c>
      <c r="AM752" s="1" t="s">
        <v>11923</v>
      </c>
      <c r="AN752" s="1" t="s">
        <v>10696</v>
      </c>
      <c r="AO752" s="1" t="s">
        <v>11924</v>
      </c>
      <c r="AP752" s="2" t="s">
        <v>11948</v>
      </c>
      <c r="AQ752" s="2" t="s">
        <v>1156</v>
      </c>
      <c r="AR752" s="1" t="s">
        <v>286</v>
      </c>
      <c r="AS752" s="1" t="s">
        <v>11873</v>
      </c>
      <c r="AT752" s="1" t="s">
        <v>5</v>
      </c>
    </row>
    <row r="753" spans="1:46" hidden="1" x14ac:dyDescent="0.4">
      <c r="A753" s="1" t="s">
        <v>11912</v>
      </c>
      <c r="B753" s="10"/>
      <c r="C753" s="1" t="s">
        <v>0</v>
      </c>
      <c r="D753" s="1" t="s">
        <v>2827</v>
      </c>
      <c r="E753" s="1" t="s">
        <v>2078</v>
      </c>
      <c r="F753" s="1" t="s">
        <v>14</v>
      </c>
      <c r="G753" s="1" t="s">
        <v>1</v>
      </c>
      <c r="H753" s="1" t="s">
        <v>6</v>
      </c>
      <c r="I753" s="1" t="s">
        <v>2</v>
      </c>
      <c r="J753" s="1" t="s">
        <v>3</v>
      </c>
      <c r="K753" s="1" t="s">
        <v>11913</v>
      </c>
      <c r="L753" s="1" t="s">
        <v>7</v>
      </c>
      <c r="M753" s="1"/>
      <c r="N753" s="1" t="s">
        <v>11914</v>
      </c>
      <c r="O753" s="1" t="s">
        <v>11915</v>
      </c>
      <c r="P753" s="1"/>
      <c r="Q753" s="1" t="s">
        <v>12</v>
      </c>
      <c r="R753" s="1" t="s">
        <v>11</v>
      </c>
      <c r="S753" s="1"/>
      <c r="T753" s="1" t="s">
        <v>12</v>
      </c>
      <c r="U753" s="1" t="s">
        <v>11</v>
      </c>
      <c r="V753" s="1"/>
      <c r="W753" s="1" t="s">
        <v>11916</v>
      </c>
      <c r="X753" s="1" t="s">
        <v>11917</v>
      </c>
      <c r="Y753" s="1"/>
      <c r="Z753" s="1"/>
      <c r="AA753" s="1"/>
      <c r="AB753" s="1" t="s">
        <v>11918</v>
      </c>
      <c r="AC753" s="1"/>
      <c r="AD753" s="1"/>
      <c r="AE753" s="1" t="s">
        <v>11919</v>
      </c>
      <c r="AF753" s="1"/>
      <c r="AG753" s="1"/>
      <c r="AH753" s="1" t="s">
        <v>11920</v>
      </c>
      <c r="AI753" s="1"/>
      <c r="AJ753" s="1" t="s">
        <v>11921</v>
      </c>
      <c r="AK753" s="1" t="s">
        <v>10696</v>
      </c>
      <c r="AL753" s="1" t="s">
        <v>11922</v>
      </c>
      <c r="AM753" s="1" t="s">
        <v>11923</v>
      </c>
      <c r="AN753" s="1" t="s">
        <v>10696</v>
      </c>
      <c r="AO753" s="1" t="s">
        <v>11924</v>
      </c>
      <c r="AP753" s="2" t="s">
        <v>11925</v>
      </c>
      <c r="AQ753" s="2" t="s">
        <v>1156</v>
      </c>
      <c r="AR753" s="1" t="s">
        <v>286</v>
      </c>
      <c r="AS753" s="1" t="s">
        <v>11873</v>
      </c>
      <c r="AT753" s="1" t="s">
        <v>5</v>
      </c>
    </row>
    <row r="754" spans="1:46" hidden="1" x14ac:dyDescent="0.4">
      <c r="A754" s="1" t="s">
        <v>9998</v>
      </c>
      <c r="B754" s="10"/>
      <c r="C754" s="1" t="s">
        <v>0</v>
      </c>
      <c r="D754" s="1" t="s">
        <v>2220</v>
      </c>
      <c r="E754" s="1" t="s">
        <v>2078</v>
      </c>
      <c r="F754" s="1" t="s">
        <v>14</v>
      </c>
      <c r="G754" s="1" t="s">
        <v>1</v>
      </c>
      <c r="H754" s="1" t="s">
        <v>6</v>
      </c>
      <c r="I754" s="1" t="s">
        <v>2</v>
      </c>
      <c r="J754" s="1" t="s">
        <v>3</v>
      </c>
      <c r="K754" s="1" t="s">
        <v>9999</v>
      </c>
      <c r="L754" s="1" t="s">
        <v>7</v>
      </c>
      <c r="M754" s="1" t="s">
        <v>9</v>
      </c>
      <c r="N754" s="1" t="s">
        <v>10000</v>
      </c>
      <c r="O754" s="1" t="s">
        <v>10001</v>
      </c>
      <c r="P754" s="1"/>
      <c r="Q754" s="1"/>
      <c r="R754" s="1" t="s">
        <v>11</v>
      </c>
      <c r="S754" s="1"/>
      <c r="T754" s="1"/>
      <c r="U754" s="1"/>
      <c r="V754" s="1"/>
      <c r="W754" s="1"/>
      <c r="X754" s="1" t="s">
        <v>10002</v>
      </c>
      <c r="Y754" s="1"/>
      <c r="Z754" s="1"/>
      <c r="AA754" s="1"/>
      <c r="AB754" s="1" t="s">
        <v>10003</v>
      </c>
      <c r="AC754" s="1"/>
      <c r="AD754" s="1"/>
      <c r="AE754" s="1" t="s">
        <v>10004</v>
      </c>
      <c r="AF754" s="1"/>
      <c r="AG754" s="1"/>
      <c r="AH754" s="1" t="s">
        <v>10005</v>
      </c>
      <c r="AI754" s="1" t="s">
        <v>10006</v>
      </c>
      <c r="AJ754" s="1" t="s">
        <v>1835</v>
      </c>
      <c r="AK754" s="1" t="s">
        <v>1836</v>
      </c>
      <c r="AL754" s="1" t="s">
        <v>1837</v>
      </c>
      <c r="AM754" s="1" t="s">
        <v>9666</v>
      </c>
      <c r="AN754" s="1" t="s">
        <v>1839</v>
      </c>
      <c r="AO754" s="1"/>
      <c r="AP754" s="2" t="s">
        <v>10007</v>
      </c>
      <c r="AQ754" s="2" t="s">
        <v>1155</v>
      </c>
      <c r="AR754" s="1" t="s">
        <v>286</v>
      </c>
      <c r="AS754" s="1" t="s">
        <v>10008</v>
      </c>
      <c r="AT754" s="1" t="s">
        <v>5</v>
      </c>
    </row>
    <row r="755" spans="1:46" hidden="1" x14ac:dyDescent="0.4">
      <c r="A755" s="1" t="s">
        <v>9163</v>
      </c>
      <c r="B755" s="10"/>
      <c r="C755" s="1" t="s">
        <v>93</v>
      </c>
      <c r="D755" s="1" t="s">
        <v>2220</v>
      </c>
      <c r="E755" s="1" t="s">
        <v>2078</v>
      </c>
      <c r="F755" s="1" t="s">
        <v>14</v>
      </c>
      <c r="G755" s="1" t="s">
        <v>1</v>
      </c>
      <c r="H755" s="1" t="s">
        <v>6</v>
      </c>
      <c r="I755" s="1" t="s">
        <v>2</v>
      </c>
      <c r="J755" s="1" t="s">
        <v>3</v>
      </c>
      <c r="K755" s="1" t="s">
        <v>9164</v>
      </c>
      <c r="L755" s="1" t="s">
        <v>7</v>
      </c>
      <c r="M755" s="1"/>
      <c r="N755" s="1" t="s">
        <v>9165</v>
      </c>
      <c r="O755" s="1" t="s">
        <v>9166</v>
      </c>
      <c r="P755" s="1"/>
      <c r="Q755" s="1"/>
      <c r="R755" s="1" t="s">
        <v>11</v>
      </c>
      <c r="S755" s="1"/>
      <c r="T755" s="1"/>
      <c r="U755" s="1"/>
      <c r="V755" s="1"/>
      <c r="W755" s="1" t="s">
        <v>9167</v>
      </c>
      <c r="X755" s="1"/>
      <c r="Y755" s="1"/>
      <c r="Z755" s="1"/>
      <c r="AA755" s="1"/>
      <c r="AB755" s="1" t="s">
        <v>9168</v>
      </c>
      <c r="AC755" s="1"/>
      <c r="AD755" s="1"/>
      <c r="AE755" s="1" t="s">
        <v>9169</v>
      </c>
      <c r="AF755" s="1"/>
      <c r="AG755" s="1"/>
      <c r="AH755" s="1" t="s">
        <v>9170</v>
      </c>
      <c r="AI755" s="1"/>
      <c r="AJ755" s="1" t="s">
        <v>7511</v>
      </c>
      <c r="AK755" s="1" t="s">
        <v>1787</v>
      </c>
      <c r="AL755" s="1" t="s">
        <v>7512</v>
      </c>
      <c r="AM755" s="1" t="s">
        <v>9171</v>
      </c>
      <c r="AN755" s="1" t="s">
        <v>1787</v>
      </c>
      <c r="AO755" s="1" t="s">
        <v>9172</v>
      </c>
      <c r="AP755" s="2" t="s">
        <v>9173</v>
      </c>
      <c r="AQ755" s="2" t="s">
        <v>1154</v>
      </c>
      <c r="AR755" s="1" t="s">
        <v>286</v>
      </c>
      <c r="AS755" s="1" t="s">
        <v>8826</v>
      </c>
      <c r="AT755" s="1" t="s">
        <v>5</v>
      </c>
    </row>
    <row r="756" spans="1:46" hidden="1" x14ac:dyDescent="0.4">
      <c r="A756" s="1" t="s">
        <v>4741</v>
      </c>
      <c r="B756" s="10"/>
      <c r="C756" s="1" t="s">
        <v>93</v>
      </c>
      <c r="D756" s="1" t="s">
        <v>2220</v>
      </c>
      <c r="E756" s="1" t="s">
        <v>2078</v>
      </c>
      <c r="F756" s="1" t="s">
        <v>14</v>
      </c>
      <c r="G756" s="1" t="s">
        <v>1</v>
      </c>
      <c r="H756" s="1" t="s">
        <v>6</v>
      </c>
      <c r="I756" s="1" t="s">
        <v>2</v>
      </c>
      <c r="J756" s="1" t="s">
        <v>3</v>
      </c>
      <c r="K756" s="1" t="s">
        <v>4742</v>
      </c>
      <c r="L756" s="1" t="s">
        <v>7</v>
      </c>
      <c r="M756" s="1"/>
      <c r="N756" s="1" t="s">
        <v>4743</v>
      </c>
      <c r="O756" s="1" t="s">
        <v>19</v>
      </c>
      <c r="P756" s="1"/>
      <c r="Q756" s="1"/>
      <c r="R756" s="1" t="s">
        <v>11</v>
      </c>
      <c r="S756" s="1"/>
      <c r="T756" s="1"/>
      <c r="U756" s="1"/>
      <c r="V756" s="1"/>
      <c r="W756" s="1" t="s">
        <v>4744</v>
      </c>
      <c r="X756" s="1"/>
      <c r="Y756" s="1"/>
      <c r="Z756" s="1"/>
      <c r="AA756" s="1"/>
      <c r="AB756" s="1" t="s">
        <v>4745</v>
      </c>
      <c r="AC756" s="1"/>
      <c r="AD756" s="1"/>
      <c r="AE756" s="1" t="s">
        <v>4746</v>
      </c>
      <c r="AF756" s="1"/>
      <c r="AG756" s="1"/>
      <c r="AH756" s="1" t="s">
        <v>4747</v>
      </c>
      <c r="AI756" s="1"/>
      <c r="AJ756" s="1" t="s">
        <v>4502</v>
      </c>
      <c r="AK756" s="1" t="s">
        <v>4503</v>
      </c>
      <c r="AL756" s="1" t="s">
        <v>4504</v>
      </c>
      <c r="AM756" s="1" t="s">
        <v>4502</v>
      </c>
      <c r="AN756" s="1" t="s">
        <v>4503</v>
      </c>
      <c r="AO756" s="1" t="s">
        <v>4504</v>
      </c>
      <c r="AP756" s="2" t="s">
        <v>4748</v>
      </c>
      <c r="AQ756" s="2" t="s">
        <v>1153</v>
      </c>
      <c r="AR756" s="1" t="s">
        <v>286</v>
      </c>
      <c r="AS756" s="1"/>
      <c r="AT756" s="1" t="s">
        <v>5</v>
      </c>
    </row>
    <row r="757" spans="1:46" hidden="1" x14ac:dyDescent="0.4">
      <c r="A757" s="1" t="s">
        <v>11645</v>
      </c>
      <c r="B757" s="10"/>
      <c r="C757" s="1" t="s">
        <v>93</v>
      </c>
      <c r="D757" s="1" t="s">
        <v>2220</v>
      </c>
      <c r="E757" s="1" t="s">
        <v>2078</v>
      </c>
      <c r="F757" s="1" t="s">
        <v>14</v>
      </c>
      <c r="G757" s="1" t="s">
        <v>1</v>
      </c>
      <c r="H757" s="1" t="s">
        <v>6</v>
      </c>
      <c r="I757" s="1" t="s">
        <v>2</v>
      </c>
      <c r="J757" s="1" t="s">
        <v>3</v>
      </c>
      <c r="K757" s="1" t="s">
        <v>11646</v>
      </c>
      <c r="L757" s="1" t="s">
        <v>7</v>
      </c>
      <c r="M757" s="1"/>
      <c r="N757" s="1" t="s">
        <v>11015</v>
      </c>
      <c r="O757" s="1" t="s">
        <v>11647</v>
      </c>
      <c r="P757" s="1"/>
      <c r="Q757" s="1" t="s">
        <v>12</v>
      </c>
      <c r="R757" s="1" t="s">
        <v>11</v>
      </c>
      <c r="S757" s="1"/>
      <c r="T757" s="1" t="s">
        <v>12</v>
      </c>
      <c r="U757" s="1" t="s">
        <v>11</v>
      </c>
      <c r="V757" s="1"/>
      <c r="W757" s="1" t="s">
        <v>11648</v>
      </c>
      <c r="X757" s="1" t="s">
        <v>9219</v>
      </c>
      <c r="Y757" s="1"/>
      <c r="Z757" s="1"/>
      <c r="AA757" s="1"/>
      <c r="AB757" s="1" t="s">
        <v>11649</v>
      </c>
      <c r="AC757" s="1"/>
      <c r="AD757" s="1"/>
      <c r="AE757" s="1"/>
      <c r="AF757" s="1"/>
      <c r="AG757" s="1"/>
      <c r="AH757" s="1" t="s">
        <v>11650</v>
      </c>
      <c r="AI757" s="1"/>
      <c r="AJ757" s="1" t="s">
        <v>9087</v>
      </c>
      <c r="AK757" s="1" t="s">
        <v>3947</v>
      </c>
      <c r="AL757" s="1" t="s">
        <v>9088</v>
      </c>
      <c r="AM757" s="1" t="s">
        <v>9087</v>
      </c>
      <c r="AN757" s="1" t="s">
        <v>3947</v>
      </c>
      <c r="AO757" s="1" t="s">
        <v>9088</v>
      </c>
      <c r="AP757" s="2" t="s">
        <v>11651</v>
      </c>
      <c r="AQ757" s="2" t="s">
        <v>1155</v>
      </c>
      <c r="AR757" s="1" t="s">
        <v>286</v>
      </c>
      <c r="AS757" s="1" t="s">
        <v>1076</v>
      </c>
      <c r="AT757" s="1" t="s">
        <v>5</v>
      </c>
    </row>
    <row r="758" spans="1:46" hidden="1" x14ac:dyDescent="0.4">
      <c r="A758" s="1" t="s">
        <v>4142</v>
      </c>
      <c r="B758" s="10"/>
      <c r="C758" s="1" t="s">
        <v>0</v>
      </c>
      <c r="D758" s="1" t="s">
        <v>2211</v>
      </c>
      <c r="E758" s="1" t="s">
        <v>2078</v>
      </c>
      <c r="F758" s="1" t="s">
        <v>14</v>
      </c>
      <c r="G758" s="1" t="s">
        <v>1</v>
      </c>
      <c r="H758" s="1" t="s">
        <v>6</v>
      </c>
      <c r="I758" s="1" t="s">
        <v>2</v>
      </c>
      <c r="J758" s="1" t="s">
        <v>3</v>
      </c>
      <c r="K758" s="1" t="s">
        <v>4143</v>
      </c>
      <c r="L758" s="1" t="s">
        <v>7</v>
      </c>
      <c r="M758" s="1" t="s">
        <v>9</v>
      </c>
      <c r="N758" s="1" t="s">
        <v>4144</v>
      </c>
      <c r="O758" s="1" t="s">
        <v>4145</v>
      </c>
      <c r="P758" s="1"/>
      <c r="Q758" s="1"/>
      <c r="R758" s="1" t="s">
        <v>11</v>
      </c>
      <c r="S758" s="1"/>
      <c r="T758" s="1"/>
      <c r="U758" s="1"/>
      <c r="V758" s="1"/>
      <c r="W758" s="1"/>
      <c r="X758" s="1" t="s">
        <v>4146</v>
      </c>
      <c r="Y758" s="1"/>
      <c r="Z758" s="1"/>
      <c r="AA758" s="1"/>
      <c r="AB758" s="1" t="s">
        <v>4147</v>
      </c>
      <c r="AC758" s="1"/>
      <c r="AD758" s="1"/>
      <c r="AE758" s="1" t="s">
        <v>4148</v>
      </c>
      <c r="AF758" s="1"/>
      <c r="AG758" s="1"/>
      <c r="AH758" s="1" t="s">
        <v>4149</v>
      </c>
      <c r="AI758" s="1"/>
      <c r="AJ758" s="1" t="s">
        <v>4150</v>
      </c>
      <c r="AK758" s="1" t="s">
        <v>3335</v>
      </c>
      <c r="AL758" s="1" t="s">
        <v>4151</v>
      </c>
      <c r="AM758" s="1" t="s">
        <v>4152</v>
      </c>
      <c r="AN758" s="1" t="s">
        <v>4153</v>
      </c>
      <c r="AO758" s="1" t="s">
        <v>4154</v>
      </c>
      <c r="AP758" s="2" t="s">
        <v>4155</v>
      </c>
      <c r="AQ758" s="2" t="s">
        <v>1153</v>
      </c>
      <c r="AR758" s="1" t="s">
        <v>286</v>
      </c>
      <c r="AS758" s="1"/>
      <c r="AT758" s="1" t="s">
        <v>5</v>
      </c>
    </row>
    <row r="759" spans="1:46" hidden="1" x14ac:dyDescent="0.4">
      <c r="A759" s="1" t="s">
        <v>4170</v>
      </c>
      <c r="B759" s="10"/>
      <c r="C759" s="1" t="s">
        <v>0</v>
      </c>
      <c r="D759" s="1" t="s">
        <v>2220</v>
      </c>
      <c r="E759" s="1" t="s">
        <v>2078</v>
      </c>
      <c r="F759" s="1" t="s">
        <v>14</v>
      </c>
      <c r="G759" s="1" t="s">
        <v>1</v>
      </c>
      <c r="H759" s="1" t="s">
        <v>6</v>
      </c>
      <c r="I759" s="1" t="s">
        <v>2</v>
      </c>
      <c r="J759" s="1" t="s">
        <v>3</v>
      </c>
      <c r="K759" s="1" t="s">
        <v>4171</v>
      </c>
      <c r="L759" s="1" t="s">
        <v>7</v>
      </c>
      <c r="M759" s="1" t="s">
        <v>9</v>
      </c>
      <c r="N759" s="1" t="s">
        <v>4172</v>
      </c>
      <c r="O759" s="1" t="s">
        <v>4145</v>
      </c>
      <c r="P759" s="1"/>
      <c r="Q759" s="1"/>
      <c r="R759" s="1" t="s">
        <v>11</v>
      </c>
      <c r="S759" s="1"/>
      <c r="T759" s="1"/>
      <c r="U759" s="1"/>
      <c r="V759" s="1"/>
      <c r="W759" s="1"/>
      <c r="X759" s="1"/>
      <c r="Y759" s="1"/>
      <c r="Z759" s="1"/>
      <c r="AA759" s="1"/>
      <c r="AB759" s="1" t="s">
        <v>4173</v>
      </c>
      <c r="AC759" s="1"/>
      <c r="AD759" s="1"/>
      <c r="AE759" s="1" t="s">
        <v>4148</v>
      </c>
      <c r="AF759" s="1"/>
      <c r="AG759" s="1"/>
      <c r="AH759" s="1" t="s">
        <v>4174</v>
      </c>
      <c r="AI759" s="1"/>
      <c r="AJ759" s="1" t="s">
        <v>4150</v>
      </c>
      <c r="AK759" s="1" t="s">
        <v>3335</v>
      </c>
      <c r="AL759" s="1" t="s">
        <v>4151</v>
      </c>
      <c r="AM759" s="1" t="s">
        <v>4152</v>
      </c>
      <c r="AN759" s="1" t="s">
        <v>4153</v>
      </c>
      <c r="AO759" s="1" t="s">
        <v>4154</v>
      </c>
      <c r="AP759" s="2" t="s">
        <v>4175</v>
      </c>
      <c r="AQ759" s="2" t="s">
        <v>1153</v>
      </c>
      <c r="AR759" s="1" t="s">
        <v>286</v>
      </c>
      <c r="AS759" s="1"/>
      <c r="AT759" s="1" t="s">
        <v>5</v>
      </c>
    </row>
    <row r="760" spans="1:46" hidden="1" x14ac:dyDescent="0.4">
      <c r="A760" s="1" t="s">
        <v>4156</v>
      </c>
      <c r="B760" s="10"/>
      <c r="C760" s="1" t="s">
        <v>0</v>
      </c>
      <c r="D760" s="1" t="s">
        <v>2211</v>
      </c>
      <c r="E760" s="1" t="s">
        <v>2078</v>
      </c>
      <c r="F760" s="1" t="s">
        <v>14</v>
      </c>
      <c r="G760" s="1" t="s">
        <v>1</v>
      </c>
      <c r="H760" s="1" t="s">
        <v>6</v>
      </c>
      <c r="I760" s="1" t="s">
        <v>2</v>
      </c>
      <c r="J760" s="1" t="s">
        <v>3</v>
      </c>
      <c r="K760" s="1" t="s">
        <v>4157</v>
      </c>
      <c r="L760" s="1" t="s">
        <v>7</v>
      </c>
      <c r="M760" s="1" t="s">
        <v>9</v>
      </c>
      <c r="N760" s="1" t="s">
        <v>4158</v>
      </c>
      <c r="O760" s="1" t="s">
        <v>4145</v>
      </c>
      <c r="P760" s="1"/>
      <c r="Q760" s="1"/>
      <c r="R760" s="1" t="s">
        <v>11</v>
      </c>
      <c r="S760" s="1"/>
      <c r="T760" s="1"/>
      <c r="U760" s="1"/>
      <c r="V760" s="1"/>
      <c r="W760" s="1"/>
      <c r="X760" s="1" t="s">
        <v>4159</v>
      </c>
      <c r="Y760" s="1"/>
      <c r="Z760" s="1"/>
      <c r="AA760" s="1"/>
      <c r="AB760" s="1" t="s">
        <v>4160</v>
      </c>
      <c r="AC760" s="1"/>
      <c r="AD760" s="1"/>
      <c r="AE760" s="1" t="s">
        <v>4148</v>
      </c>
      <c r="AF760" s="1"/>
      <c r="AG760" s="1"/>
      <c r="AH760" s="1" t="s">
        <v>4161</v>
      </c>
      <c r="AI760" s="1"/>
      <c r="AJ760" s="1" t="s">
        <v>4150</v>
      </c>
      <c r="AK760" s="1" t="s">
        <v>3335</v>
      </c>
      <c r="AL760" s="1" t="s">
        <v>4151</v>
      </c>
      <c r="AM760" s="1" t="s">
        <v>4152</v>
      </c>
      <c r="AN760" s="1" t="s">
        <v>4153</v>
      </c>
      <c r="AO760" s="1" t="s">
        <v>4154</v>
      </c>
      <c r="AP760" s="2" t="s">
        <v>4162</v>
      </c>
      <c r="AQ760" s="2" t="s">
        <v>1153</v>
      </c>
      <c r="AR760" s="1" t="s">
        <v>286</v>
      </c>
      <c r="AS760" s="1"/>
      <c r="AT760" s="1" t="s">
        <v>5</v>
      </c>
    </row>
    <row r="761" spans="1:46" hidden="1" x14ac:dyDescent="0.4">
      <c r="A761" s="1" t="s">
        <v>4176</v>
      </c>
      <c r="B761" s="10"/>
      <c r="C761" s="1" t="s">
        <v>0</v>
      </c>
      <c r="D761" s="1" t="s">
        <v>2220</v>
      </c>
      <c r="E761" s="1" t="s">
        <v>2078</v>
      </c>
      <c r="F761" s="1" t="s">
        <v>14</v>
      </c>
      <c r="G761" s="1" t="s">
        <v>1</v>
      </c>
      <c r="H761" s="1" t="s">
        <v>6</v>
      </c>
      <c r="I761" s="1" t="s">
        <v>2</v>
      </c>
      <c r="J761" s="1" t="s">
        <v>3</v>
      </c>
      <c r="K761" s="1" t="s">
        <v>4177</v>
      </c>
      <c r="L761" s="1" t="s">
        <v>7</v>
      </c>
      <c r="M761" s="1" t="s">
        <v>9</v>
      </c>
      <c r="N761" s="1" t="s">
        <v>4178</v>
      </c>
      <c r="O761" s="1" t="s">
        <v>4145</v>
      </c>
      <c r="P761" s="1"/>
      <c r="Q761" s="1"/>
      <c r="R761" s="1" t="s">
        <v>11</v>
      </c>
      <c r="S761" s="1"/>
      <c r="T761" s="1"/>
      <c r="U761" s="1"/>
      <c r="V761" s="1"/>
      <c r="W761" s="1"/>
      <c r="X761" s="1" t="s">
        <v>4159</v>
      </c>
      <c r="Y761" s="1"/>
      <c r="Z761" s="1"/>
      <c r="AA761" s="1"/>
      <c r="AB761" s="1" t="s">
        <v>4179</v>
      </c>
      <c r="AC761" s="1"/>
      <c r="AD761" s="1"/>
      <c r="AE761" s="1"/>
      <c r="AF761" s="1"/>
      <c r="AG761" s="1"/>
      <c r="AH761" s="1" t="s">
        <v>4180</v>
      </c>
      <c r="AI761" s="1"/>
      <c r="AJ761" s="1" t="s">
        <v>4150</v>
      </c>
      <c r="AK761" s="1" t="s">
        <v>3335</v>
      </c>
      <c r="AL761" s="1" t="s">
        <v>4151</v>
      </c>
      <c r="AM761" s="1" t="s">
        <v>4152</v>
      </c>
      <c r="AN761" s="1" t="s">
        <v>4153</v>
      </c>
      <c r="AO761" s="1" t="s">
        <v>4154</v>
      </c>
      <c r="AP761" s="2" t="s">
        <v>4181</v>
      </c>
      <c r="AQ761" s="2" t="s">
        <v>1153</v>
      </c>
      <c r="AR761" s="1" t="s">
        <v>286</v>
      </c>
      <c r="AS761" s="1"/>
      <c r="AT761" s="1" t="s">
        <v>5</v>
      </c>
    </row>
    <row r="762" spans="1:46" hidden="1" x14ac:dyDescent="0.4">
      <c r="A762" s="1" t="s">
        <v>9243</v>
      </c>
      <c r="B762" s="10"/>
      <c r="C762" s="1" t="s">
        <v>93</v>
      </c>
      <c r="D762" s="1" t="s">
        <v>2076</v>
      </c>
      <c r="E762" s="1" t="s">
        <v>13</v>
      </c>
      <c r="F762" s="1" t="s">
        <v>14</v>
      </c>
      <c r="G762" s="1" t="s">
        <v>1</v>
      </c>
      <c r="H762" s="1" t="s">
        <v>6</v>
      </c>
      <c r="I762" s="1" t="s">
        <v>2</v>
      </c>
      <c r="J762" s="1" t="s">
        <v>3</v>
      </c>
      <c r="K762" s="1" t="s">
        <v>9244</v>
      </c>
      <c r="L762" s="1" t="s">
        <v>7</v>
      </c>
      <c r="M762" s="1"/>
      <c r="N762" s="1" t="s">
        <v>9245</v>
      </c>
      <c r="O762" s="1" t="s">
        <v>9246</v>
      </c>
      <c r="P762" s="1"/>
      <c r="Q762" s="1"/>
      <c r="R762" s="1" t="s">
        <v>11</v>
      </c>
      <c r="S762" s="1"/>
      <c r="T762" s="1"/>
      <c r="U762" s="1"/>
      <c r="V762" s="1"/>
      <c r="W762" s="1" t="s">
        <v>9247</v>
      </c>
      <c r="X762" s="1" t="s">
        <v>9248</v>
      </c>
      <c r="Y762" s="1"/>
      <c r="Z762" s="1"/>
      <c r="AA762" s="1"/>
      <c r="AB762" s="1" t="s">
        <v>9249</v>
      </c>
      <c r="AC762" s="1"/>
      <c r="AD762" s="1"/>
      <c r="AE762" s="1" t="s">
        <v>9250</v>
      </c>
      <c r="AF762" s="1"/>
      <c r="AG762" s="1"/>
      <c r="AH762" s="1" t="s">
        <v>9251</v>
      </c>
      <c r="AI762" s="1"/>
      <c r="AJ762" s="1" t="s">
        <v>6930</v>
      </c>
      <c r="AK762" s="1" t="s">
        <v>6931</v>
      </c>
      <c r="AL762" s="1" t="s">
        <v>6932</v>
      </c>
      <c r="AM762" s="1" t="s">
        <v>6930</v>
      </c>
      <c r="AN762" s="1" t="s">
        <v>6931</v>
      </c>
      <c r="AO762" s="1" t="s">
        <v>6932</v>
      </c>
      <c r="AP762" s="2" t="s">
        <v>9252</v>
      </c>
      <c r="AQ762" s="2" t="s">
        <v>1154</v>
      </c>
      <c r="AR762" s="1" t="s">
        <v>286</v>
      </c>
      <c r="AS762" s="1"/>
      <c r="AT762" s="1" t="s">
        <v>5</v>
      </c>
    </row>
    <row r="763" spans="1:46" hidden="1" x14ac:dyDescent="0.4">
      <c r="A763" s="1" t="s">
        <v>11478</v>
      </c>
      <c r="B763" s="10"/>
      <c r="C763" s="1" t="s">
        <v>93</v>
      </c>
      <c r="D763" s="1" t="s">
        <v>2396</v>
      </c>
      <c r="E763" s="1" t="s">
        <v>2078</v>
      </c>
      <c r="F763" s="1" t="s">
        <v>14</v>
      </c>
      <c r="G763" s="1" t="s">
        <v>1</v>
      </c>
      <c r="H763" s="1" t="s">
        <v>6</v>
      </c>
      <c r="I763" s="1" t="s">
        <v>2</v>
      </c>
      <c r="J763" s="1" t="s">
        <v>3</v>
      </c>
      <c r="K763" s="1" t="s">
        <v>11479</v>
      </c>
      <c r="L763" s="1" t="s">
        <v>7</v>
      </c>
      <c r="M763" s="1"/>
      <c r="N763" s="1" t="s">
        <v>11480</v>
      </c>
      <c r="O763" s="1" t="s">
        <v>10195</v>
      </c>
      <c r="P763" s="1"/>
      <c r="Q763" s="1"/>
      <c r="R763" s="1" t="s">
        <v>11</v>
      </c>
      <c r="S763" s="1"/>
      <c r="T763" s="1"/>
      <c r="U763" s="1"/>
      <c r="V763" s="1"/>
      <c r="W763" s="1" t="s">
        <v>11481</v>
      </c>
      <c r="X763" s="1"/>
      <c r="Y763" s="1"/>
      <c r="Z763" s="1"/>
      <c r="AA763" s="1"/>
      <c r="AB763" s="1" t="s">
        <v>11482</v>
      </c>
      <c r="AC763" s="1"/>
      <c r="AD763" s="1"/>
      <c r="AE763" s="1" t="s">
        <v>10197</v>
      </c>
      <c r="AF763" s="1"/>
      <c r="AG763" s="1"/>
      <c r="AH763" s="1" t="s">
        <v>11483</v>
      </c>
      <c r="AI763" s="1"/>
      <c r="AJ763" s="1" t="s">
        <v>11408</v>
      </c>
      <c r="AK763" s="1" t="s">
        <v>8396</v>
      </c>
      <c r="AL763" s="1" t="s">
        <v>11409</v>
      </c>
      <c r="AM763" s="1" t="s">
        <v>11408</v>
      </c>
      <c r="AN763" s="1" t="s">
        <v>8396</v>
      </c>
      <c r="AO763" s="1" t="s">
        <v>11409</v>
      </c>
      <c r="AP763" s="2" t="s">
        <v>11484</v>
      </c>
      <c r="AQ763" s="2" t="s">
        <v>1155</v>
      </c>
      <c r="AR763" s="1" t="s">
        <v>286</v>
      </c>
      <c r="AS763" s="1" t="s">
        <v>1068</v>
      </c>
      <c r="AT763" s="1" t="s">
        <v>5</v>
      </c>
    </row>
    <row r="764" spans="1:46" hidden="1" x14ac:dyDescent="0.4">
      <c r="A764" s="1" t="s">
        <v>3971</v>
      </c>
      <c r="B764" s="10"/>
      <c r="C764" s="1" t="s">
        <v>0</v>
      </c>
      <c r="D764" s="1" t="s">
        <v>2076</v>
      </c>
      <c r="E764" s="1" t="s">
        <v>2078</v>
      </c>
      <c r="F764" s="1" t="s">
        <v>14</v>
      </c>
      <c r="G764" s="1" t="s">
        <v>1</v>
      </c>
      <c r="H764" s="1" t="s">
        <v>6</v>
      </c>
      <c r="I764" s="1" t="s">
        <v>2</v>
      </c>
      <c r="J764" s="1" t="s">
        <v>3</v>
      </c>
      <c r="K764" s="1" t="s">
        <v>3972</v>
      </c>
      <c r="L764" s="1" t="s">
        <v>4</v>
      </c>
      <c r="M764" s="1" t="s">
        <v>9</v>
      </c>
      <c r="N764" s="1" t="s">
        <v>3973</v>
      </c>
      <c r="O764" s="1" t="s">
        <v>3974</v>
      </c>
      <c r="P764" s="1"/>
      <c r="Q764" s="1"/>
      <c r="R764" s="1" t="s">
        <v>11</v>
      </c>
      <c r="S764" s="1"/>
      <c r="T764" s="1"/>
      <c r="U764" s="1"/>
      <c r="V764" s="1"/>
      <c r="W764" s="1"/>
      <c r="X764" s="1"/>
      <c r="Y764" s="1"/>
      <c r="Z764" s="1"/>
      <c r="AA764" s="1"/>
      <c r="AB764" s="1" t="s">
        <v>3975</v>
      </c>
      <c r="AC764" s="1"/>
      <c r="AD764" s="1"/>
      <c r="AE764" s="1" t="s">
        <v>3976</v>
      </c>
      <c r="AF764" s="1"/>
      <c r="AG764" s="1"/>
      <c r="AH764" s="1" t="s">
        <v>3977</v>
      </c>
      <c r="AI764" s="1"/>
      <c r="AJ764" s="1" t="s">
        <v>3978</v>
      </c>
      <c r="AK764" s="1" t="s">
        <v>251</v>
      </c>
      <c r="AL764" s="1"/>
      <c r="AM764" s="1" t="s">
        <v>3979</v>
      </c>
      <c r="AN764" s="1" t="s">
        <v>251</v>
      </c>
      <c r="AO764" s="1"/>
      <c r="AP764" s="2" t="s">
        <v>3980</v>
      </c>
      <c r="AQ764" s="2" t="s">
        <v>1153</v>
      </c>
      <c r="AR764" s="1" t="s">
        <v>286</v>
      </c>
      <c r="AS764" s="1" t="s">
        <v>3981</v>
      </c>
      <c r="AT764" s="1" t="s">
        <v>5</v>
      </c>
    </row>
    <row r="765" spans="1:46" hidden="1" x14ac:dyDescent="0.4">
      <c r="A765" s="1" t="s">
        <v>7974</v>
      </c>
      <c r="B765" s="10"/>
      <c r="C765" s="1" t="s">
        <v>6443</v>
      </c>
      <c r="D765" s="1" t="s">
        <v>2827</v>
      </c>
      <c r="E765" s="1" t="s">
        <v>2078</v>
      </c>
      <c r="F765" s="1" t="s">
        <v>14</v>
      </c>
      <c r="G765" s="1" t="s">
        <v>1</v>
      </c>
      <c r="H765" s="1" t="s">
        <v>6</v>
      </c>
      <c r="I765" s="1" t="s">
        <v>2</v>
      </c>
      <c r="J765" s="1" t="s">
        <v>3</v>
      </c>
      <c r="K765" s="1" t="s">
        <v>7975</v>
      </c>
      <c r="L765" s="1" t="s">
        <v>7</v>
      </c>
      <c r="M765" s="1"/>
      <c r="N765" s="1" t="s">
        <v>7976</v>
      </c>
      <c r="O765" s="1" t="s">
        <v>7969</v>
      </c>
      <c r="P765" s="1"/>
      <c r="Q765" s="1"/>
      <c r="R765" s="1" t="s">
        <v>11</v>
      </c>
      <c r="S765" s="1"/>
      <c r="T765" s="1"/>
      <c r="U765" s="1"/>
      <c r="V765" s="1"/>
      <c r="W765" s="1"/>
      <c r="X765" s="1"/>
      <c r="Y765" s="1"/>
      <c r="Z765" s="1"/>
      <c r="AA765" s="1"/>
      <c r="AB765" s="1" t="s">
        <v>7977</v>
      </c>
      <c r="AC765" s="1"/>
      <c r="AD765" s="1"/>
      <c r="AE765" s="1" t="s">
        <v>7971</v>
      </c>
      <c r="AF765" s="1"/>
      <c r="AG765" s="1"/>
      <c r="AH765" s="1" t="s">
        <v>7978</v>
      </c>
      <c r="AI765" s="1"/>
      <c r="AJ765" s="1" t="s">
        <v>6451</v>
      </c>
      <c r="AK765" s="1" t="s">
        <v>6452</v>
      </c>
      <c r="AL765" s="1" t="s">
        <v>6453</v>
      </c>
      <c r="AM765" s="1" t="s">
        <v>6451</v>
      </c>
      <c r="AN765" s="1" t="s">
        <v>6452</v>
      </c>
      <c r="AO765" s="1" t="s">
        <v>6453</v>
      </c>
      <c r="AP765" s="2" t="s">
        <v>7979</v>
      </c>
      <c r="AQ765" s="2" t="s">
        <v>1154</v>
      </c>
      <c r="AR765" s="1" t="s">
        <v>286</v>
      </c>
      <c r="AS765" s="1"/>
      <c r="AT765" s="1" t="s">
        <v>5</v>
      </c>
    </row>
    <row r="766" spans="1:46" hidden="1" x14ac:dyDescent="0.4">
      <c r="A766" s="1" t="s">
        <v>7966</v>
      </c>
      <c r="B766" s="10"/>
      <c r="C766" s="1" t="s">
        <v>6443</v>
      </c>
      <c r="D766" s="1" t="s">
        <v>2827</v>
      </c>
      <c r="E766" s="1" t="s">
        <v>2078</v>
      </c>
      <c r="F766" s="1" t="s">
        <v>14</v>
      </c>
      <c r="G766" s="1" t="s">
        <v>1</v>
      </c>
      <c r="H766" s="1" t="s">
        <v>6</v>
      </c>
      <c r="I766" s="1" t="s">
        <v>2</v>
      </c>
      <c r="J766" s="1" t="s">
        <v>3</v>
      </c>
      <c r="K766" s="1" t="s">
        <v>7967</v>
      </c>
      <c r="L766" s="1" t="s">
        <v>7</v>
      </c>
      <c r="M766" s="1"/>
      <c r="N766" s="1" t="s">
        <v>7968</v>
      </c>
      <c r="O766" s="1" t="s">
        <v>7969</v>
      </c>
      <c r="P766" s="1"/>
      <c r="Q766" s="1"/>
      <c r="R766" s="1" t="s">
        <v>11</v>
      </c>
      <c r="S766" s="1"/>
      <c r="T766" s="1"/>
      <c r="U766" s="1"/>
      <c r="V766" s="1"/>
      <c r="W766" s="1"/>
      <c r="X766" s="1"/>
      <c r="Y766" s="1"/>
      <c r="Z766" s="1"/>
      <c r="AA766" s="1"/>
      <c r="AB766" s="1" t="s">
        <v>7970</v>
      </c>
      <c r="AC766" s="1"/>
      <c r="AD766" s="1"/>
      <c r="AE766" s="1" t="s">
        <v>7971</v>
      </c>
      <c r="AF766" s="1"/>
      <c r="AG766" s="1"/>
      <c r="AH766" s="1" t="s">
        <v>7972</v>
      </c>
      <c r="AI766" s="1"/>
      <c r="AJ766" s="1" t="s">
        <v>6451</v>
      </c>
      <c r="AK766" s="1" t="s">
        <v>6452</v>
      </c>
      <c r="AL766" s="1" t="s">
        <v>6453</v>
      </c>
      <c r="AM766" s="1" t="s">
        <v>6451</v>
      </c>
      <c r="AN766" s="1" t="s">
        <v>6452</v>
      </c>
      <c r="AO766" s="1" t="s">
        <v>6453</v>
      </c>
      <c r="AP766" s="2" t="s">
        <v>7973</v>
      </c>
      <c r="AQ766" s="2" t="s">
        <v>1154</v>
      </c>
      <c r="AR766" s="1" t="s">
        <v>286</v>
      </c>
      <c r="AS766" s="1"/>
      <c r="AT766" s="1" t="s">
        <v>5</v>
      </c>
    </row>
    <row r="767" spans="1:46" hidden="1" x14ac:dyDescent="0.4">
      <c r="A767" s="1" t="s">
        <v>4929</v>
      </c>
      <c r="B767" s="10"/>
      <c r="C767" s="1" t="s">
        <v>0</v>
      </c>
      <c r="D767" s="1" t="s">
        <v>2076</v>
      </c>
      <c r="E767" s="1" t="s">
        <v>2078</v>
      </c>
      <c r="F767" s="1" t="s">
        <v>14</v>
      </c>
      <c r="G767" s="1" t="s">
        <v>1</v>
      </c>
      <c r="H767" s="1" t="s">
        <v>6</v>
      </c>
      <c r="I767" s="1" t="s">
        <v>2</v>
      </c>
      <c r="J767" s="1" t="s">
        <v>3</v>
      </c>
      <c r="K767" s="1" t="s">
        <v>4930</v>
      </c>
      <c r="L767" s="1" t="s">
        <v>4</v>
      </c>
      <c r="M767" s="1" t="s">
        <v>9</v>
      </c>
      <c r="N767" s="1" t="s">
        <v>4931</v>
      </c>
      <c r="O767" s="1" t="s">
        <v>4932</v>
      </c>
      <c r="P767" s="1"/>
      <c r="Q767" s="1"/>
      <c r="R767" s="1" t="s">
        <v>11</v>
      </c>
      <c r="S767" s="1"/>
      <c r="T767" s="1"/>
      <c r="U767" s="1"/>
      <c r="V767" s="1"/>
      <c r="W767" s="1"/>
      <c r="X767" s="1" t="s">
        <v>4933</v>
      </c>
      <c r="Y767" s="1"/>
      <c r="Z767" s="1"/>
      <c r="AA767" s="1"/>
      <c r="AB767" s="1" t="s">
        <v>4934</v>
      </c>
      <c r="AC767" s="1"/>
      <c r="AD767" s="1"/>
      <c r="AE767" s="1" t="s">
        <v>4935</v>
      </c>
      <c r="AF767" s="1"/>
      <c r="AG767" s="1"/>
      <c r="AH767" s="1" t="s">
        <v>4936</v>
      </c>
      <c r="AI767" s="1"/>
      <c r="AJ767" s="1" t="s">
        <v>1214</v>
      </c>
      <c r="AK767" s="1" t="s">
        <v>4937</v>
      </c>
      <c r="AL767" s="1"/>
      <c r="AM767" s="1" t="s">
        <v>4938</v>
      </c>
      <c r="AN767" s="1" t="s">
        <v>4937</v>
      </c>
      <c r="AO767" s="1" t="s">
        <v>4939</v>
      </c>
      <c r="AP767" s="2" t="s">
        <v>4940</v>
      </c>
      <c r="AQ767" s="2" t="s">
        <v>1153</v>
      </c>
      <c r="AR767" s="1" t="s">
        <v>286</v>
      </c>
      <c r="AS767" s="1"/>
      <c r="AT767" s="1" t="s">
        <v>5</v>
      </c>
    </row>
    <row r="768" spans="1:46" hidden="1" x14ac:dyDescent="0.4">
      <c r="A768" s="1" t="s">
        <v>10765</v>
      </c>
      <c r="B768" s="10"/>
      <c r="C768" s="1" t="s">
        <v>93</v>
      </c>
      <c r="D768" s="1" t="s">
        <v>2290</v>
      </c>
      <c r="E768" s="1" t="s">
        <v>2291</v>
      </c>
      <c r="F768" s="1" t="s">
        <v>14</v>
      </c>
      <c r="G768" s="1" t="s">
        <v>1</v>
      </c>
      <c r="H768" s="1" t="s">
        <v>6</v>
      </c>
      <c r="I768" s="1" t="s">
        <v>2</v>
      </c>
      <c r="J768" s="1" t="s">
        <v>3</v>
      </c>
      <c r="K768" s="1" t="s">
        <v>10766</v>
      </c>
      <c r="L768" s="1" t="s">
        <v>7</v>
      </c>
      <c r="M768" s="1"/>
      <c r="N768" s="1" t="s">
        <v>10767</v>
      </c>
      <c r="O768" s="1" t="s">
        <v>5628</v>
      </c>
      <c r="P768" s="1"/>
      <c r="Q768" s="1"/>
      <c r="R768" s="1" t="s">
        <v>11</v>
      </c>
      <c r="S768" s="1"/>
      <c r="T768" s="1"/>
      <c r="U768" s="1"/>
      <c r="V768" s="1"/>
      <c r="W768" s="1"/>
      <c r="X768" s="1"/>
      <c r="Y768" s="1"/>
      <c r="Z768" s="1"/>
      <c r="AA768" s="1"/>
      <c r="AB768" s="1" t="s">
        <v>10768</v>
      </c>
      <c r="AC768" s="1"/>
      <c r="AD768" s="1"/>
      <c r="AE768" s="1" t="s">
        <v>4270</v>
      </c>
      <c r="AF768" s="1"/>
      <c r="AG768" s="1"/>
      <c r="AH768" s="1" t="s">
        <v>10769</v>
      </c>
      <c r="AI768" s="1"/>
      <c r="AJ768" s="1" t="s">
        <v>127</v>
      </c>
      <c r="AK768" s="1" t="s">
        <v>1787</v>
      </c>
      <c r="AL768" s="1" t="s">
        <v>10472</v>
      </c>
      <c r="AM768" s="1" t="s">
        <v>127</v>
      </c>
      <c r="AN768" s="1" t="s">
        <v>1787</v>
      </c>
      <c r="AO768" s="1" t="s">
        <v>10472</v>
      </c>
      <c r="AP768" s="2" t="s">
        <v>10770</v>
      </c>
      <c r="AQ768" s="2" t="s">
        <v>1155</v>
      </c>
      <c r="AR768" s="1" t="s">
        <v>286</v>
      </c>
      <c r="AS768" s="1" t="s">
        <v>1861</v>
      </c>
      <c r="AT768" s="1" t="s">
        <v>5</v>
      </c>
    </row>
    <row r="769" spans="1:46" hidden="1" x14ac:dyDescent="0.4">
      <c r="A769" s="1" t="s">
        <v>11668</v>
      </c>
      <c r="B769" s="10"/>
      <c r="C769" s="1" t="s">
        <v>93</v>
      </c>
      <c r="D769" s="1" t="s">
        <v>2157</v>
      </c>
      <c r="E769" s="1" t="s">
        <v>2078</v>
      </c>
      <c r="F769" s="1" t="s">
        <v>14</v>
      </c>
      <c r="G769" s="1" t="s">
        <v>1</v>
      </c>
      <c r="H769" s="1" t="s">
        <v>6</v>
      </c>
      <c r="I769" s="1" t="s">
        <v>2</v>
      </c>
      <c r="J769" s="1" t="s">
        <v>3</v>
      </c>
      <c r="K769" s="1" t="s">
        <v>11669</v>
      </c>
      <c r="L769" s="1" t="s">
        <v>7</v>
      </c>
      <c r="M769" s="1"/>
      <c r="N769" s="1" t="s">
        <v>6731</v>
      </c>
      <c r="O769" s="1" t="s">
        <v>5495</v>
      </c>
      <c r="P769" s="1"/>
      <c r="Q769" s="1" t="s">
        <v>12</v>
      </c>
      <c r="R769" s="1" t="s">
        <v>11</v>
      </c>
      <c r="S769" s="1"/>
      <c r="T769" s="1" t="s">
        <v>12</v>
      </c>
      <c r="U769" s="1" t="s">
        <v>11</v>
      </c>
      <c r="V769" s="1"/>
      <c r="W769" s="1" t="s">
        <v>6928</v>
      </c>
      <c r="X769" s="1"/>
      <c r="Y769" s="1"/>
      <c r="Z769" s="1"/>
      <c r="AA769" s="1"/>
      <c r="AB769" s="1" t="s">
        <v>11670</v>
      </c>
      <c r="AC769" s="1"/>
      <c r="AD769" s="1"/>
      <c r="AE769" s="1" t="s">
        <v>6716</v>
      </c>
      <c r="AF769" s="1"/>
      <c r="AG769" s="1"/>
      <c r="AH769" s="1" t="s">
        <v>11671</v>
      </c>
      <c r="AI769" s="1" t="s">
        <v>11672</v>
      </c>
      <c r="AJ769" s="1" t="s">
        <v>11673</v>
      </c>
      <c r="AK769" s="1" t="s">
        <v>11674</v>
      </c>
      <c r="AL769" s="1" t="s">
        <v>11675</v>
      </c>
      <c r="AM769" s="1" t="s">
        <v>11673</v>
      </c>
      <c r="AN769" s="1" t="s">
        <v>11674</v>
      </c>
      <c r="AO769" s="1" t="s">
        <v>11675</v>
      </c>
      <c r="AP769" s="2" t="s">
        <v>11676</v>
      </c>
      <c r="AQ769" s="2" t="s">
        <v>1156</v>
      </c>
      <c r="AR769" s="1" t="s">
        <v>286</v>
      </c>
      <c r="AS769" s="1" t="s">
        <v>11677</v>
      </c>
      <c r="AT769" s="1" t="s">
        <v>5</v>
      </c>
    </row>
    <row r="770" spans="1:46" hidden="1" x14ac:dyDescent="0.4">
      <c r="A770" s="1" t="s">
        <v>10962</v>
      </c>
      <c r="B770" s="10"/>
      <c r="C770" s="1" t="s">
        <v>93</v>
      </c>
      <c r="D770" s="1" t="s">
        <v>2220</v>
      </c>
      <c r="E770" s="1" t="s">
        <v>2078</v>
      </c>
      <c r="F770" s="1" t="s">
        <v>14</v>
      </c>
      <c r="G770" s="1" t="s">
        <v>1</v>
      </c>
      <c r="H770" s="1" t="s">
        <v>6</v>
      </c>
      <c r="I770" s="1" t="s">
        <v>2</v>
      </c>
      <c r="J770" s="1" t="s">
        <v>3</v>
      </c>
      <c r="K770" s="1" t="s">
        <v>10963</v>
      </c>
      <c r="L770" s="1" t="s">
        <v>7</v>
      </c>
      <c r="M770" s="1"/>
      <c r="N770" s="1" t="s">
        <v>10964</v>
      </c>
      <c r="O770" s="1" t="s">
        <v>10965</v>
      </c>
      <c r="P770" s="1"/>
      <c r="Q770" s="1"/>
      <c r="R770" s="1" t="s">
        <v>11</v>
      </c>
      <c r="S770" s="1"/>
      <c r="T770" s="1"/>
      <c r="U770" s="1"/>
      <c r="V770" s="1"/>
      <c r="W770" s="1"/>
      <c r="X770" s="1" t="s">
        <v>9219</v>
      </c>
      <c r="Y770" s="1"/>
      <c r="Z770" s="1"/>
      <c r="AA770" s="1"/>
      <c r="AB770" s="1" t="s">
        <v>10966</v>
      </c>
      <c r="AC770" s="1"/>
      <c r="AD770" s="1"/>
      <c r="AE770" s="1"/>
      <c r="AF770" s="1"/>
      <c r="AG770" s="1"/>
      <c r="AH770" s="1" t="s">
        <v>10967</v>
      </c>
      <c r="AI770" s="1"/>
      <c r="AJ770" s="1" t="s">
        <v>9087</v>
      </c>
      <c r="AK770" s="1" t="s">
        <v>3947</v>
      </c>
      <c r="AL770" s="1" t="s">
        <v>9088</v>
      </c>
      <c r="AM770" s="1" t="s">
        <v>9087</v>
      </c>
      <c r="AN770" s="1" t="s">
        <v>3947</v>
      </c>
      <c r="AO770" s="1" t="s">
        <v>9088</v>
      </c>
      <c r="AP770" s="2" t="s">
        <v>10968</v>
      </c>
      <c r="AQ770" s="2" t="s">
        <v>1155</v>
      </c>
      <c r="AR770" s="1" t="s">
        <v>286</v>
      </c>
      <c r="AS770" s="1"/>
      <c r="AT770" s="1" t="s">
        <v>5</v>
      </c>
    </row>
    <row r="771" spans="1:46" hidden="1" x14ac:dyDescent="0.4">
      <c r="A771" s="1" t="s">
        <v>11485</v>
      </c>
      <c r="B771" s="10"/>
      <c r="C771" s="1" t="s">
        <v>93</v>
      </c>
      <c r="D771" s="1" t="s">
        <v>2396</v>
      </c>
      <c r="E771" s="1" t="s">
        <v>2078</v>
      </c>
      <c r="F771" s="1" t="s">
        <v>14</v>
      </c>
      <c r="G771" s="1" t="s">
        <v>1</v>
      </c>
      <c r="H771" s="1" t="s">
        <v>6</v>
      </c>
      <c r="I771" s="1" t="s">
        <v>2</v>
      </c>
      <c r="J771" s="1" t="s">
        <v>3</v>
      </c>
      <c r="K771" s="1" t="s">
        <v>11486</v>
      </c>
      <c r="L771" s="1" t="s">
        <v>7</v>
      </c>
      <c r="M771" s="1"/>
      <c r="N771" s="1" t="s">
        <v>11487</v>
      </c>
      <c r="O771" s="1" t="s">
        <v>5061</v>
      </c>
      <c r="P771" s="1"/>
      <c r="Q771" s="1" t="s">
        <v>12</v>
      </c>
      <c r="R771" s="1" t="s">
        <v>11</v>
      </c>
      <c r="S771" s="1"/>
      <c r="T771" s="1" t="s">
        <v>12</v>
      </c>
      <c r="U771" s="1" t="s">
        <v>11</v>
      </c>
      <c r="V771" s="1"/>
      <c r="W771" s="1" t="s">
        <v>11488</v>
      </c>
      <c r="X771" s="1"/>
      <c r="Y771" s="1"/>
      <c r="Z771" s="1"/>
      <c r="AA771" s="1"/>
      <c r="AB771" s="1" t="s">
        <v>11489</v>
      </c>
      <c r="AC771" s="1"/>
      <c r="AD771" s="1"/>
      <c r="AE771" s="1" t="s">
        <v>11490</v>
      </c>
      <c r="AF771" s="1"/>
      <c r="AG771" s="1"/>
      <c r="AH771" s="1" t="s">
        <v>11491</v>
      </c>
      <c r="AI771" s="1"/>
      <c r="AJ771" s="1" t="s">
        <v>11187</v>
      </c>
      <c r="AK771" s="1" t="s">
        <v>11188</v>
      </c>
      <c r="AL771" s="1" t="s">
        <v>11189</v>
      </c>
      <c r="AM771" s="1" t="s">
        <v>11187</v>
      </c>
      <c r="AN771" s="1" t="s">
        <v>11188</v>
      </c>
      <c r="AO771" s="1" t="s">
        <v>11189</v>
      </c>
      <c r="AP771" s="2" t="s">
        <v>11492</v>
      </c>
      <c r="AQ771" s="2" t="s">
        <v>1155</v>
      </c>
      <c r="AR771" s="1" t="s">
        <v>286</v>
      </c>
      <c r="AS771" s="1" t="s">
        <v>1076</v>
      </c>
      <c r="AT771" s="1" t="s">
        <v>5</v>
      </c>
    </row>
    <row r="772" spans="1:46" hidden="1" x14ac:dyDescent="0.4">
      <c r="A772" s="1" t="s">
        <v>5185</v>
      </c>
      <c r="B772" s="10"/>
      <c r="C772" s="1" t="s">
        <v>93</v>
      </c>
      <c r="D772" s="1" t="s">
        <v>2220</v>
      </c>
      <c r="E772" s="1" t="s">
        <v>2078</v>
      </c>
      <c r="F772" s="1" t="s">
        <v>14</v>
      </c>
      <c r="G772" s="1" t="s">
        <v>1</v>
      </c>
      <c r="H772" s="1" t="s">
        <v>6</v>
      </c>
      <c r="I772" s="1" t="s">
        <v>2</v>
      </c>
      <c r="J772" s="1" t="s">
        <v>3</v>
      </c>
      <c r="K772" s="1" t="s">
        <v>5186</v>
      </c>
      <c r="L772" s="1" t="s">
        <v>7</v>
      </c>
      <c r="M772" s="1"/>
      <c r="N772" s="1" t="s">
        <v>5187</v>
      </c>
      <c r="O772" s="1" t="s">
        <v>5188</v>
      </c>
      <c r="P772" s="1"/>
      <c r="Q772" s="1"/>
      <c r="R772" s="1" t="s">
        <v>11</v>
      </c>
      <c r="S772" s="1"/>
      <c r="T772" s="1"/>
      <c r="U772" s="1"/>
      <c r="V772" s="1"/>
      <c r="W772" s="1" t="s">
        <v>5189</v>
      </c>
      <c r="X772" s="1"/>
      <c r="Y772" s="1"/>
      <c r="Z772" s="1"/>
      <c r="AA772" s="1"/>
      <c r="AB772" s="1" t="s">
        <v>5190</v>
      </c>
      <c r="AC772" s="1"/>
      <c r="AD772" s="1"/>
      <c r="AE772" s="1" t="s">
        <v>5191</v>
      </c>
      <c r="AF772" s="1"/>
      <c r="AG772" s="1"/>
      <c r="AH772" s="1" t="s">
        <v>5192</v>
      </c>
      <c r="AI772" s="1"/>
      <c r="AJ772" s="1" t="s">
        <v>5193</v>
      </c>
      <c r="AK772" s="1" t="s">
        <v>3933</v>
      </c>
      <c r="AL772" s="1" t="s">
        <v>5194</v>
      </c>
      <c r="AM772" s="1" t="s">
        <v>5193</v>
      </c>
      <c r="AN772" s="1" t="s">
        <v>3933</v>
      </c>
      <c r="AO772" s="1" t="s">
        <v>5194</v>
      </c>
      <c r="AP772" s="2" t="s">
        <v>5195</v>
      </c>
      <c r="AQ772" s="2" t="s">
        <v>1153</v>
      </c>
      <c r="AR772" s="1" t="s">
        <v>286</v>
      </c>
      <c r="AS772" s="1" t="s">
        <v>5196</v>
      </c>
      <c r="AT772" s="1" t="s">
        <v>5</v>
      </c>
    </row>
    <row r="773" spans="1:46" hidden="1" x14ac:dyDescent="0.4">
      <c r="A773" s="1" t="s">
        <v>10398</v>
      </c>
      <c r="B773" s="10"/>
      <c r="C773" s="1" t="s">
        <v>93</v>
      </c>
      <c r="D773" s="1" t="s">
        <v>2220</v>
      </c>
      <c r="E773" s="1" t="s">
        <v>2078</v>
      </c>
      <c r="F773" s="1" t="s">
        <v>14</v>
      </c>
      <c r="G773" s="1" t="s">
        <v>1</v>
      </c>
      <c r="H773" s="1" t="s">
        <v>6</v>
      </c>
      <c r="I773" s="1" t="s">
        <v>2</v>
      </c>
      <c r="J773" s="1" t="s">
        <v>3</v>
      </c>
      <c r="K773" s="1" t="s">
        <v>10399</v>
      </c>
      <c r="L773" s="1" t="s">
        <v>7</v>
      </c>
      <c r="M773" s="1"/>
      <c r="N773" s="1" t="s">
        <v>10400</v>
      </c>
      <c r="O773" s="1" t="s">
        <v>10401</v>
      </c>
      <c r="P773" s="1"/>
      <c r="Q773" s="1"/>
      <c r="R773" s="1" t="s">
        <v>11</v>
      </c>
      <c r="S773" s="1"/>
      <c r="T773" s="1"/>
      <c r="U773" s="1"/>
      <c r="V773" s="1"/>
      <c r="W773" s="1" t="s">
        <v>10402</v>
      </c>
      <c r="X773" s="1"/>
      <c r="Y773" s="1"/>
      <c r="Z773" s="1"/>
      <c r="AA773" s="1" t="s">
        <v>10403</v>
      </c>
      <c r="AB773" s="1" t="s">
        <v>10404</v>
      </c>
      <c r="AC773" s="1"/>
      <c r="AD773" s="1"/>
      <c r="AE773" s="1" t="s">
        <v>10405</v>
      </c>
      <c r="AF773" s="1"/>
      <c r="AG773" s="1"/>
      <c r="AH773" s="1" t="s">
        <v>10406</v>
      </c>
      <c r="AI773" s="1" t="s">
        <v>10407</v>
      </c>
      <c r="AJ773" s="1" t="s">
        <v>10408</v>
      </c>
      <c r="AK773" s="1" t="s">
        <v>10409</v>
      </c>
      <c r="AL773" s="1" t="s">
        <v>10410</v>
      </c>
      <c r="AM773" s="1" t="s">
        <v>10408</v>
      </c>
      <c r="AN773" s="1" t="s">
        <v>10409</v>
      </c>
      <c r="AO773" s="1" t="s">
        <v>10410</v>
      </c>
      <c r="AP773" s="2" t="s">
        <v>10411</v>
      </c>
      <c r="AQ773" s="2" t="s">
        <v>1155</v>
      </c>
      <c r="AR773" s="1" t="s">
        <v>286</v>
      </c>
      <c r="AS773" s="1" t="s">
        <v>970</v>
      </c>
      <c r="AT773" s="1" t="s">
        <v>5</v>
      </c>
    </row>
    <row r="774" spans="1:46" hidden="1" x14ac:dyDescent="0.4">
      <c r="A774" s="1" t="s">
        <v>10465</v>
      </c>
      <c r="B774" s="10"/>
      <c r="C774" s="1" t="s">
        <v>93</v>
      </c>
      <c r="D774" s="1" t="s">
        <v>2827</v>
      </c>
      <c r="E774" s="1" t="s">
        <v>2078</v>
      </c>
      <c r="F774" s="1" t="s">
        <v>14</v>
      </c>
      <c r="G774" s="1" t="s">
        <v>1</v>
      </c>
      <c r="H774" s="1" t="s">
        <v>6</v>
      </c>
      <c r="I774" s="1" t="s">
        <v>2</v>
      </c>
      <c r="J774" s="1" t="s">
        <v>3</v>
      </c>
      <c r="K774" s="1" t="s">
        <v>10466</v>
      </c>
      <c r="L774" s="1" t="s">
        <v>7</v>
      </c>
      <c r="M774" s="1"/>
      <c r="N774" s="1" t="s">
        <v>10467</v>
      </c>
      <c r="O774" s="1" t="s">
        <v>7969</v>
      </c>
      <c r="P774" s="1"/>
      <c r="Q774" s="1"/>
      <c r="R774" s="1" t="s">
        <v>11</v>
      </c>
      <c r="S774" s="1"/>
      <c r="T774" s="1"/>
      <c r="U774" s="1"/>
      <c r="V774" s="1"/>
      <c r="W774" s="1"/>
      <c r="X774" s="1" t="s">
        <v>10468</v>
      </c>
      <c r="Y774" s="1"/>
      <c r="Z774" s="1"/>
      <c r="AA774" s="1"/>
      <c r="AB774" s="1" t="s">
        <v>10469</v>
      </c>
      <c r="AC774" s="1"/>
      <c r="AD774" s="1"/>
      <c r="AE774" s="1" t="s">
        <v>10470</v>
      </c>
      <c r="AF774" s="1"/>
      <c r="AG774" s="1"/>
      <c r="AH774" s="1" t="s">
        <v>10471</v>
      </c>
      <c r="AI774" s="1"/>
      <c r="AJ774" s="1" t="s">
        <v>127</v>
      </c>
      <c r="AK774" s="1" t="s">
        <v>1787</v>
      </c>
      <c r="AL774" s="1" t="s">
        <v>10472</v>
      </c>
      <c r="AM774" s="1" t="s">
        <v>127</v>
      </c>
      <c r="AN774" s="1" t="s">
        <v>1787</v>
      </c>
      <c r="AO774" s="1" t="s">
        <v>10472</v>
      </c>
      <c r="AP774" s="2" t="s">
        <v>10473</v>
      </c>
      <c r="AQ774" s="2" t="s">
        <v>1155</v>
      </c>
      <c r="AR774" s="1" t="s">
        <v>286</v>
      </c>
      <c r="AS774" s="1" t="s">
        <v>10474</v>
      </c>
      <c r="AT774" s="1" t="s">
        <v>5</v>
      </c>
    </row>
    <row r="775" spans="1:46" hidden="1" x14ac:dyDescent="0.4">
      <c r="A775" s="1" t="s">
        <v>5230</v>
      </c>
      <c r="B775" s="10"/>
      <c r="C775" s="1" t="s">
        <v>2091</v>
      </c>
      <c r="D775" s="1" t="s">
        <v>2211</v>
      </c>
      <c r="E775" s="1" t="s">
        <v>2078</v>
      </c>
      <c r="F775" s="1" t="s">
        <v>14</v>
      </c>
      <c r="G775" s="1" t="s">
        <v>1</v>
      </c>
      <c r="H775" s="1" t="s">
        <v>6</v>
      </c>
      <c r="I775" s="1" t="s">
        <v>2</v>
      </c>
      <c r="J775" s="1" t="s">
        <v>3</v>
      </c>
      <c r="K775" s="1" t="s">
        <v>5231</v>
      </c>
      <c r="L775" s="1" t="s">
        <v>7</v>
      </c>
      <c r="M775" s="1"/>
      <c r="N775" s="1" t="s">
        <v>4594</v>
      </c>
      <c r="O775" s="1" t="s">
        <v>5232</v>
      </c>
      <c r="P775" s="1"/>
      <c r="Q775" s="1"/>
      <c r="R775" s="1" t="s">
        <v>11</v>
      </c>
      <c r="S775" s="1"/>
      <c r="T775" s="1"/>
      <c r="U775" s="1"/>
      <c r="V775" s="1"/>
      <c r="W775" s="1"/>
      <c r="X775" s="1" t="s">
        <v>5233</v>
      </c>
      <c r="Y775" s="1"/>
      <c r="Z775" s="1"/>
      <c r="AA775" s="1"/>
      <c r="AB775" s="1" t="s">
        <v>5234</v>
      </c>
      <c r="AC775" s="1"/>
      <c r="AD775" s="1"/>
      <c r="AE775" s="1" t="s">
        <v>5235</v>
      </c>
      <c r="AF775" s="1"/>
      <c r="AG775" s="1"/>
      <c r="AH775" s="1" t="s">
        <v>5236</v>
      </c>
      <c r="AI775" s="1"/>
      <c r="AJ775" s="1" t="s">
        <v>5237</v>
      </c>
      <c r="AK775" s="1" t="s">
        <v>4889</v>
      </c>
      <c r="AL775" s="1" t="s">
        <v>5238</v>
      </c>
      <c r="AM775" s="1" t="s">
        <v>5239</v>
      </c>
      <c r="AN775" s="1" t="s">
        <v>4889</v>
      </c>
      <c r="AO775" s="1" t="s">
        <v>5240</v>
      </c>
      <c r="AP775" s="2" t="s">
        <v>5241</v>
      </c>
      <c r="AQ775" s="2" t="s">
        <v>1153</v>
      </c>
      <c r="AR775" s="1" t="s">
        <v>286</v>
      </c>
      <c r="AS775" s="1"/>
      <c r="AT775" s="1" t="s">
        <v>5</v>
      </c>
    </row>
    <row r="776" spans="1:46" hidden="1" x14ac:dyDescent="0.4">
      <c r="A776" s="1" t="s">
        <v>6183</v>
      </c>
      <c r="B776" s="10"/>
      <c r="C776" s="1" t="s">
        <v>0</v>
      </c>
      <c r="D776" s="1" t="s">
        <v>2827</v>
      </c>
      <c r="E776" s="1" t="s">
        <v>2078</v>
      </c>
      <c r="F776" s="1" t="s">
        <v>14</v>
      </c>
      <c r="G776" s="1" t="s">
        <v>1</v>
      </c>
      <c r="H776" s="1" t="s">
        <v>6</v>
      </c>
      <c r="I776" s="1" t="s">
        <v>2</v>
      </c>
      <c r="J776" s="1" t="s">
        <v>3</v>
      </c>
      <c r="K776" s="1" t="s">
        <v>6184</v>
      </c>
      <c r="L776" s="1" t="s">
        <v>7</v>
      </c>
      <c r="M776" s="1" t="s">
        <v>9</v>
      </c>
      <c r="N776" s="1" t="s">
        <v>6185</v>
      </c>
      <c r="O776" s="1" t="s">
        <v>6186</v>
      </c>
      <c r="P776" s="1"/>
      <c r="Q776" s="1"/>
      <c r="R776" s="1" t="s">
        <v>11</v>
      </c>
      <c r="S776" s="1"/>
      <c r="T776" s="1"/>
      <c r="U776" s="1"/>
      <c r="V776" s="1"/>
      <c r="W776" s="1"/>
      <c r="X776" s="1"/>
      <c r="Y776" s="1"/>
      <c r="Z776" s="1"/>
      <c r="AA776" s="1"/>
      <c r="AB776" s="1" t="s">
        <v>6187</v>
      </c>
      <c r="AC776" s="1"/>
      <c r="AD776" s="1"/>
      <c r="AE776" s="1" t="s">
        <v>6188</v>
      </c>
      <c r="AF776" s="1"/>
      <c r="AG776" s="1"/>
      <c r="AH776" s="1" t="s">
        <v>6189</v>
      </c>
      <c r="AI776" s="1"/>
      <c r="AJ776" s="1" t="s">
        <v>54</v>
      </c>
      <c r="AK776" s="1" t="s">
        <v>514</v>
      </c>
      <c r="AL776" s="1"/>
      <c r="AM776" s="1" t="s">
        <v>6190</v>
      </c>
      <c r="AN776" s="1" t="s">
        <v>514</v>
      </c>
      <c r="AO776" s="1"/>
      <c r="AP776" s="2" t="s">
        <v>6191</v>
      </c>
      <c r="AQ776" s="2" t="s">
        <v>1077</v>
      </c>
      <c r="AR776" s="1" t="s">
        <v>286</v>
      </c>
      <c r="AS776" s="1"/>
      <c r="AT776" s="1" t="s">
        <v>5</v>
      </c>
    </row>
    <row r="777" spans="1:46" hidden="1" x14ac:dyDescent="0.4">
      <c r="A777" s="1" t="s">
        <v>8495</v>
      </c>
      <c r="B777" s="10"/>
      <c r="C777" s="1" t="s">
        <v>93</v>
      </c>
      <c r="D777" s="1" t="s">
        <v>2076</v>
      </c>
      <c r="E777" s="1" t="s">
        <v>2078</v>
      </c>
      <c r="F777" s="1" t="s">
        <v>14</v>
      </c>
      <c r="G777" s="1" t="s">
        <v>1</v>
      </c>
      <c r="H777" s="1" t="s">
        <v>6</v>
      </c>
      <c r="I777" s="1" t="s">
        <v>2</v>
      </c>
      <c r="J777" s="1" t="s">
        <v>3</v>
      </c>
      <c r="K777" s="1" t="s">
        <v>8496</v>
      </c>
      <c r="L777" s="1" t="s">
        <v>7</v>
      </c>
      <c r="M777" s="1"/>
      <c r="N777" s="1" t="s">
        <v>8497</v>
      </c>
      <c r="O777" s="1" t="s">
        <v>8498</v>
      </c>
      <c r="P777" s="1"/>
      <c r="Q777" s="1"/>
      <c r="R777" s="1" t="s">
        <v>11</v>
      </c>
      <c r="S777" s="1"/>
      <c r="T777" s="1"/>
      <c r="U777" s="1"/>
      <c r="V777" s="1"/>
      <c r="W777" s="1"/>
      <c r="X777" s="1" t="s">
        <v>8499</v>
      </c>
      <c r="Y777" s="1"/>
      <c r="Z777" s="1"/>
      <c r="AA777" s="1"/>
      <c r="AB777" s="1" t="s">
        <v>8500</v>
      </c>
      <c r="AC777" s="1"/>
      <c r="AD777" s="1"/>
      <c r="AE777" s="1" t="s">
        <v>8501</v>
      </c>
      <c r="AF777" s="1"/>
      <c r="AG777" s="1"/>
      <c r="AH777" s="1" t="s">
        <v>8502</v>
      </c>
      <c r="AI777" s="1"/>
      <c r="AJ777" s="1" t="s">
        <v>8503</v>
      </c>
      <c r="AK777" s="1" t="s">
        <v>6931</v>
      </c>
      <c r="AL777" s="1" t="s">
        <v>8504</v>
      </c>
      <c r="AM777" s="1" t="s">
        <v>8503</v>
      </c>
      <c r="AN777" s="1" t="s">
        <v>6931</v>
      </c>
      <c r="AO777" s="1" t="s">
        <v>8504</v>
      </c>
      <c r="AP777" s="2" t="s">
        <v>8505</v>
      </c>
      <c r="AQ777" s="2" t="s">
        <v>1154</v>
      </c>
      <c r="AR777" s="1" t="s">
        <v>286</v>
      </c>
      <c r="AS777" s="1" t="s">
        <v>8506</v>
      </c>
      <c r="AT777" s="1" t="s">
        <v>5</v>
      </c>
    </row>
    <row r="778" spans="1:46" hidden="1" x14ac:dyDescent="0.4">
      <c r="A778" s="1" t="s">
        <v>8574</v>
      </c>
      <c r="B778" s="10"/>
      <c r="C778" s="1" t="s">
        <v>93</v>
      </c>
      <c r="D778" s="1" t="s">
        <v>2211</v>
      </c>
      <c r="E778" s="1" t="s">
        <v>2478</v>
      </c>
      <c r="F778" s="1" t="s">
        <v>14</v>
      </c>
      <c r="G778" s="1" t="s">
        <v>1</v>
      </c>
      <c r="H778" s="1" t="s">
        <v>6</v>
      </c>
      <c r="I778" s="1" t="s">
        <v>2</v>
      </c>
      <c r="J778" s="1" t="s">
        <v>3</v>
      </c>
      <c r="K778" s="1" t="s">
        <v>8575</v>
      </c>
      <c r="L778" s="1" t="s">
        <v>7</v>
      </c>
      <c r="M778" s="1"/>
      <c r="N778" s="1" t="s">
        <v>8576</v>
      </c>
      <c r="O778" s="1" t="s">
        <v>8498</v>
      </c>
      <c r="P778" s="1"/>
      <c r="Q778" s="1"/>
      <c r="R778" s="1" t="s">
        <v>11</v>
      </c>
      <c r="S778" s="1"/>
      <c r="T778" s="1"/>
      <c r="U778" s="1"/>
      <c r="V778" s="1"/>
      <c r="W778" s="1"/>
      <c r="X778" s="1" t="s">
        <v>8499</v>
      </c>
      <c r="Y778" s="1"/>
      <c r="Z778" s="1"/>
      <c r="AA778" s="1"/>
      <c r="AB778" s="1" t="s">
        <v>8577</v>
      </c>
      <c r="AC778" s="1"/>
      <c r="AD778" s="1"/>
      <c r="AE778" s="1" t="s">
        <v>8501</v>
      </c>
      <c r="AF778" s="1"/>
      <c r="AG778" s="1"/>
      <c r="AH778" s="1" t="s">
        <v>8578</v>
      </c>
      <c r="AI778" s="1"/>
      <c r="AJ778" s="1" t="s">
        <v>8503</v>
      </c>
      <c r="AK778" s="1" t="s">
        <v>6931</v>
      </c>
      <c r="AL778" s="1" t="s">
        <v>8504</v>
      </c>
      <c r="AM778" s="1" t="s">
        <v>8503</v>
      </c>
      <c r="AN778" s="1" t="s">
        <v>6931</v>
      </c>
      <c r="AO778" s="1" t="s">
        <v>8504</v>
      </c>
      <c r="AP778" s="2" t="s">
        <v>8579</v>
      </c>
      <c r="AQ778" s="2" t="s">
        <v>1154</v>
      </c>
      <c r="AR778" s="1" t="s">
        <v>286</v>
      </c>
      <c r="AS778" s="1" t="s">
        <v>8580</v>
      </c>
      <c r="AT778" s="1" t="s">
        <v>5</v>
      </c>
    </row>
    <row r="779" spans="1:46" hidden="1" x14ac:dyDescent="0.4">
      <c r="A779" s="1" t="s">
        <v>10665</v>
      </c>
      <c r="B779" s="10"/>
      <c r="C779" s="1" t="s">
        <v>0</v>
      </c>
      <c r="D779" s="1" t="s">
        <v>2211</v>
      </c>
      <c r="E779" s="1" t="s">
        <v>2078</v>
      </c>
      <c r="F779" s="1" t="s">
        <v>14</v>
      </c>
      <c r="G779" s="1" t="s">
        <v>1</v>
      </c>
      <c r="H779" s="1" t="s">
        <v>6</v>
      </c>
      <c r="I779" s="1" t="s">
        <v>2</v>
      </c>
      <c r="J779" s="1" t="s">
        <v>3</v>
      </c>
      <c r="K779" s="1" t="s">
        <v>10666</v>
      </c>
      <c r="L779" s="1" t="s">
        <v>7</v>
      </c>
      <c r="M779" s="1" t="s">
        <v>9</v>
      </c>
      <c r="N779" s="1" t="s">
        <v>10667</v>
      </c>
      <c r="O779" s="1" t="s">
        <v>10450</v>
      </c>
      <c r="P779" s="1"/>
      <c r="Q779" s="1"/>
      <c r="R779" s="1" t="s">
        <v>11</v>
      </c>
      <c r="S779" s="1"/>
      <c r="T779" s="1"/>
      <c r="U779" s="1"/>
      <c r="V779" s="1"/>
      <c r="W779" s="1"/>
      <c r="X779" s="1"/>
      <c r="Y779" s="1"/>
      <c r="Z779" s="1"/>
      <c r="AA779" s="1"/>
      <c r="AB779" s="1" t="s">
        <v>10668</v>
      </c>
      <c r="AC779" s="1"/>
      <c r="AD779" s="1"/>
      <c r="AE779" s="1" t="s">
        <v>9710</v>
      </c>
      <c r="AF779" s="1"/>
      <c r="AG779" s="1"/>
      <c r="AH779" s="1" t="s">
        <v>10669</v>
      </c>
      <c r="AI779" s="1" t="s">
        <v>10670</v>
      </c>
      <c r="AJ779" s="1" t="s">
        <v>10652</v>
      </c>
      <c r="AK779" s="1" t="s">
        <v>10653</v>
      </c>
      <c r="AL779" s="1" t="s">
        <v>10654</v>
      </c>
      <c r="AM779" s="1" t="s">
        <v>10652</v>
      </c>
      <c r="AN779" s="1" t="s">
        <v>10653</v>
      </c>
      <c r="AO779" s="1" t="s">
        <v>10654</v>
      </c>
      <c r="AP779" s="2" t="s">
        <v>10671</v>
      </c>
      <c r="AQ779" s="2" t="s">
        <v>1155</v>
      </c>
      <c r="AR779" s="1" t="s">
        <v>286</v>
      </c>
      <c r="AS779" s="1" t="s">
        <v>970</v>
      </c>
      <c r="AT779" s="1" t="s">
        <v>5</v>
      </c>
    </row>
    <row r="780" spans="1:46" hidden="1" x14ac:dyDescent="0.4">
      <c r="A780" s="1" t="s">
        <v>10646</v>
      </c>
      <c r="B780" s="10"/>
      <c r="C780" s="1" t="s">
        <v>0</v>
      </c>
      <c r="D780" s="1" t="s">
        <v>2211</v>
      </c>
      <c r="E780" s="1" t="s">
        <v>2078</v>
      </c>
      <c r="F780" s="1" t="s">
        <v>14</v>
      </c>
      <c r="G780" s="1" t="s">
        <v>1</v>
      </c>
      <c r="H780" s="1" t="s">
        <v>6</v>
      </c>
      <c r="I780" s="1" t="s">
        <v>2</v>
      </c>
      <c r="J780" s="1" t="s">
        <v>3</v>
      </c>
      <c r="K780" s="1" t="s">
        <v>10647</v>
      </c>
      <c r="L780" s="1" t="s">
        <v>7</v>
      </c>
      <c r="M780" s="1" t="s">
        <v>9</v>
      </c>
      <c r="N780" s="1" t="s">
        <v>10648</v>
      </c>
      <c r="O780" s="1" t="s">
        <v>10450</v>
      </c>
      <c r="P780" s="1"/>
      <c r="Q780" s="1"/>
      <c r="R780" s="1" t="s">
        <v>11</v>
      </c>
      <c r="S780" s="1"/>
      <c r="T780" s="1"/>
      <c r="U780" s="1"/>
      <c r="V780" s="1"/>
      <c r="W780" s="1"/>
      <c r="X780" s="1"/>
      <c r="Y780" s="1"/>
      <c r="Z780" s="1"/>
      <c r="AA780" s="1"/>
      <c r="AB780" s="1" t="s">
        <v>10649</v>
      </c>
      <c r="AC780" s="1"/>
      <c r="AD780" s="1"/>
      <c r="AE780" s="1" t="s">
        <v>9710</v>
      </c>
      <c r="AF780" s="1"/>
      <c r="AG780" s="1"/>
      <c r="AH780" s="1" t="s">
        <v>10650</v>
      </c>
      <c r="AI780" s="1" t="s">
        <v>10651</v>
      </c>
      <c r="AJ780" s="1" t="s">
        <v>10652</v>
      </c>
      <c r="AK780" s="1" t="s">
        <v>10653</v>
      </c>
      <c r="AL780" s="1" t="s">
        <v>10654</v>
      </c>
      <c r="AM780" s="1" t="s">
        <v>10652</v>
      </c>
      <c r="AN780" s="1" t="s">
        <v>10653</v>
      </c>
      <c r="AO780" s="1" t="s">
        <v>10654</v>
      </c>
      <c r="AP780" s="2" t="s">
        <v>10655</v>
      </c>
      <c r="AQ780" s="2" t="s">
        <v>1155</v>
      </c>
      <c r="AR780" s="1" t="s">
        <v>286</v>
      </c>
      <c r="AS780" s="1" t="s">
        <v>10656</v>
      </c>
      <c r="AT780" s="1" t="s">
        <v>5</v>
      </c>
    </row>
    <row r="781" spans="1:46" hidden="1" x14ac:dyDescent="0.4">
      <c r="A781" s="1" t="s">
        <v>10672</v>
      </c>
      <c r="B781" s="10"/>
      <c r="C781" s="1" t="s">
        <v>0</v>
      </c>
      <c r="D781" s="1" t="s">
        <v>2211</v>
      </c>
      <c r="E781" s="1" t="s">
        <v>2078</v>
      </c>
      <c r="F781" s="1" t="s">
        <v>14</v>
      </c>
      <c r="G781" s="1" t="s">
        <v>1</v>
      </c>
      <c r="H781" s="1" t="s">
        <v>6</v>
      </c>
      <c r="I781" s="1" t="s">
        <v>2</v>
      </c>
      <c r="J781" s="1" t="s">
        <v>3</v>
      </c>
      <c r="K781" s="1" t="s">
        <v>10673</v>
      </c>
      <c r="L781" s="1" t="s">
        <v>7</v>
      </c>
      <c r="M781" s="1" t="s">
        <v>9</v>
      </c>
      <c r="N781" s="1" t="s">
        <v>10674</v>
      </c>
      <c r="O781" s="1" t="s">
        <v>10450</v>
      </c>
      <c r="P781" s="1"/>
      <c r="Q781" s="1"/>
      <c r="R781" s="1" t="s">
        <v>11</v>
      </c>
      <c r="S781" s="1"/>
      <c r="T781" s="1"/>
      <c r="U781" s="1"/>
      <c r="V781" s="1"/>
      <c r="W781" s="1"/>
      <c r="X781" s="1"/>
      <c r="Y781" s="1"/>
      <c r="Z781" s="1"/>
      <c r="AA781" s="1"/>
      <c r="AB781" s="1" t="s">
        <v>10675</v>
      </c>
      <c r="AC781" s="1"/>
      <c r="AD781" s="1"/>
      <c r="AE781" s="1" t="s">
        <v>9710</v>
      </c>
      <c r="AF781" s="1"/>
      <c r="AG781" s="1"/>
      <c r="AH781" s="1" t="s">
        <v>10676</v>
      </c>
      <c r="AI781" s="1" t="s">
        <v>10677</v>
      </c>
      <c r="AJ781" s="1" t="s">
        <v>10652</v>
      </c>
      <c r="AK781" s="1" t="s">
        <v>10653</v>
      </c>
      <c r="AL781" s="1" t="s">
        <v>10654</v>
      </c>
      <c r="AM781" s="1" t="s">
        <v>10652</v>
      </c>
      <c r="AN781" s="1" t="s">
        <v>10653</v>
      </c>
      <c r="AO781" s="1" t="s">
        <v>10654</v>
      </c>
      <c r="AP781" s="2" t="s">
        <v>10678</v>
      </c>
      <c r="AQ781" s="2" t="s">
        <v>1155</v>
      </c>
      <c r="AR781" s="1" t="s">
        <v>286</v>
      </c>
      <c r="AS781" s="1" t="s">
        <v>970</v>
      </c>
      <c r="AT781" s="1" t="s">
        <v>5</v>
      </c>
    </row>
    <row r="782" spans="1:46" hidden="1" x14ac:dyDescent="0.4">
      <c r="A782" s="1" t="s">
        <v>5660</v>
      </c>
      <c r="B782" s="10"/>
      <c r="C782" s="1" t="s">
        <v>93</v>
      </c>
      <c r="D782" s="1" t="s">
        <v>2220</v>
      </c>
      <c r="E782" s="1" t="s">
        <v>2078</v>
      </c>
      <c r="F782" s="1" t="s">
        <v>14</v>
      </c>
      <c r="G782" s="1" t="s">
        <v>1</v>
      </c>
      <c r="H782" s="1" t="s">
        <v>6</v>
      </c>
      <c r="I782" s="1" t="s">
        <v>2</v>
      </c>
      <c r="J782" s="1" t="s">
        <v>3</v>
      </c>
      <c r="K782" s="1" t="s">
        <v>5661</v>
      </c>
      <c r="L782" s="1" t="s">
        <v>7</v>
      </c>
      <c r="M782" s="1"/>
      <c r="N782" s="1" t="s">
        <v>5662</v>
      </c>
      <c r="O782" s="1" t="s">
        <v>3928</v>
      </c>
      <c r="P782" s="1"/>
      <c r="Q782" s="1"/>
      <c r="R782" s="1" t="s">
        <v>11</v>
      </c>
      <c r="S782" s="1"/>
      <c r="T782" s="1"/>
      <c r="U782" s="1"/>
      <c r="V782" s="1"/>
      <c r="W782" s="1" t="s">
        <v>5663</v>
      </c>
      <c r="X782" s="1"/>
      <c r="Y782" s="1"/>
      <c r="Z782" s="1"/>
      <c r="AA782" s="1"/>
      <c r="AB782" s="1" t="s">
        <v>5664</v>
      </c>
      <c r="AC782" s="1"/>
      <c r="AD782" s="1"/>
      <c r="AE782" s="1" t="s">
        <v>5665</v>
      </c>
      <c r="AF782" s="1"/>
      <c r="AG782" s="1"/>
      <c r="AH782" s="1" t="s">
        <v>5666</v>
      </c>
      <c r="AI782" s="1"/>
      <c r="AJ782" s="1" t="s">
        <v>5667</v>
      </c>
      <c r="AK782" s="1" t="s">
        <v>5668</v>
      </c>
      <c r="AL782" s="1" t="s">
        <v>5669</v>
      </c>
      <c r="AM782" s="1" t="s">
        <v>5667</v>
      </c>
      <c r="AN782" s="1" t="s">
        <v>5668</v>
      </c>
      <c r="AO782" s="1" t="s">
        <v>5669</v>
      </c>
      <c r="AP782" s="2" t="s">
        <v>5670</v>
      </c>
      <c r="AQ782" s="2" t="s">
        <v>1077</v>
      </c>
      <c r="AR782" s="1" t="s">
        <v>287</v>
      </c>
      <c r="AS782" s="1" t="s">
        <v>5178</v>
      </c>
      <c r="AT782" s="1" t="s">
        <v>5</v>
      </c>
    </row>
    <row r="783" spans="1:46" hidden="1" x14ac:dyDescent="0.4">
      <c r="A783" s="1" t="s">
        <v>5719</v>
      </c>
      <c r="B783" s="10"/>
      <c r="C783" s="1" t="s">
        <v>93</v>
      </c>
      <c r="D783" s="1" t="s">
        <v>2220</v>
      </c>
      <c r="E783" s="1" t="s">
        <v>2078</v>
      </c>
      <c r="F783" s="1" t="s">
        <v>14</v>
      </c>
      <c r="G783" s="1" t="s">
        <v>1</v>
      </c>
      <c r="H783" s="1" t="s">
        <v>6</v>
      </c>
      <c r="I783" s="1" t="s">
        <v>2</v>
      </c>
      <c r="J783" s="1" t="s">
        <v>3</v>
      </c>
      <c r="K783" s="1" t="s">
        <v>5720</v>
      </c>
      <c r="L783" s="1" t="s">
        <v>7</v>
      </c>
      <c r="M783" s="1"/>
      <c r="N783" s="1" t="s">
        <v>5721</v>
      </c>
      <c r="O783" s="1" t="s">
        <v>3928</v>
      </c>
      <c r="P783" s="1"/>
      <c r="Q783" s="1"/>
      <c r="R783" s="1" t="s">
        <v>11</v>
      </c>
      <c r="S783" s="1"/>
      <c r="T783" s="1"/>
      <c r="U783" s="1"/>
      <c r="V783" s="1"/>
      <c r="W783" s="1"/>
      <c r="X783" s="1"/>
      <c r="Y783" s="1"/>
      <c r="Z783" s="1"/>
      <c r="AA783" s="1"/>
      <c r="AB783" s="1" t="s">
        <v>5722</v>
      </c>
      <c r="AC783" s="1"/>
      <c r="AD783" s="1"/>
      <c r="AE783" s="1" t="s">
        <v>5665</v>
      </c>
      <c r="AF783" s="1"/>
      <c r="AG783" s="1"/>
      <c r="AH783" s="1" t="s">
        <v>5723</v>
      </c>
      <c r="AI783" s="1"/>
      <c r="AJ783" s="1" t="s">
        <v>5193</v>
      </c>
      <c r="AK783" s="1" t="s">
        <v>3933</v>
      </c>
      <c r="AL783" s="1" t="s">
        <v>5194</v>
      </c>
      <c r="AM783" s="1" t="s">
        <v>5193</v>
      </c>
      <c r="AN783" s="1" t="s">
        <v>3933</v>
      </c>
      <c r="AO783" s="1" t="s">
        <v>5194</v>
      </c>
      <c r="AP783" s="2" t="s">
        <v>5724</v>
      </c>
      <c r="AQ783" s="2" t="s">
        <v>1077</v>
      </c>
      <c r="AR783" s="1" t="s">
        <v>286</v>
      </c>
      <c r="AS783" s="1" t="s">
        <v>5196</v>
      </c>
      <c r="AT783" s="1" t="s">
        <v>5</v>
      </c>
    </row>
    <row r="784" spans="1:46" hidden="1" x14ac:dyDescent="0.4">
      <c r="A784" s="1" t="s">
        <v>5818</v>
      </c>
      <c r="B784" s="10"/>
      <c r="C784" s="1" t="s">
        <v>93</v>
      </c>
      <c r="D784" s="1" t="s">
        <v>2220</v>
      </c>
      <c r="E784" s="1" t="s">
        <v>2078</v>
      </c>
      <c r="F784" s="1" t="s">
        <v>14</v>
      </c>
      <c r="G784" s="1" t="s">
        <v>1</v>
      </c>
      <c r="H784" s="1" t="s">
        <v>6</v>
      </c>
      <c r="I784" s="1" t="s">
        <v>2</v>
      </c>
      <c r="J784" s="1" t="s">
        <v>3</v>
      </c>
      <c r="K784" s="1" t="s">
        <v>5819</v>
      </c>
      <c r="L784" s="1" t="s">
        <v>7</v>
      </c>
      <c r="M784" s="1"/>
      <c r="N784" s="1" t="s">
        <v>5820</v>
      </c>
      <c r="O784" s="1" t="s">
        <v>3928</v>
      </c>
      <c r="P784" s="1"/>
      <c r="Q784" s="1"/>
      <c r="R784" s="1" t="s">
        <v>11</v>
      </c>
      <c r="S784" s="1"/>
      <c r="T784" s="1"/>
      <c r="U784" s="1"/>
      <c r="V784" s="1"/>
      <c r="W784" s="1"/>
      <c r="X784" s="1"/>
      <c r="Y784" s="1"/>
      <c r="Z784" s="1"/>
      <c r="AA784" s="1"/>
      <c r="AB784" s="1" t="s">
        <v>5821</v>
      </c>
      <c r="AC784" s="1"/>
      <c r="AD784" s="1"/>
      <c r="AE784" s="1" t="s">
        <v>5665</v>
      </c>
      <c r="AF784" s="1"/>
      <c r="AG784" s="1"/>
      <c r="AH784" s="1" t="s">
        <v>5822</v>
      </c>
      <c r="AI784" s="1"/>
      <c r="AJ784" s="1" t="s">
        <v>3932</v>
      </c>
      <c r="AK784" s="1" t="s">
        <v>3933</v>
      </c>
      <c r="AL784" s="1" t="s">
        <v>3934</v>
      </c>
      <c r="AM784" s="1" t="s">
        <v>3932</v>
      </c>
      <c r="AN784" s="1" t="s">
        <v>3933</v>
      </c>
      <c r="AO784" s="1" t="s">
        <v>3934</v>
      </c>
      <c r="AP784" s="2" t="s">
        <v>5823</v>
      </c>
      <c r="AQ784" s="2" t="s">
        <v>1077</v>
      </c>
      <c r="AR784" s="1" t="s">
        <v>287</v>
      </c>
      <c r="AS784" s="1" t="s">
        <v>5824</v>
      </c>
      <c r="AT784" s="1" t="s">
        <v>5</v>
      </c>
    </row>
    <row r="785" spans="1:46" hidden="1" x14ac:dyDescent="0.4">
      <c r="A785" s="1" t="s">
        <v>10701</v>
      </c>
      <c r="B785" s="10"/>
      <c r="C785" s="1" t="s">
        <v>93</v>
      </c>
      <c r="D785" s="1" t="s">
        <v>2220</v>
      </c>
      <c r="E785" s="1" t="s">
        <v>2078</v>
      </c>
      <c r="F785" s="1" t="s">
        <v>14</v>
      </c>
      <c r="G785" s="1" t="s">
        <v>1</v>
      </c>
      <c r="H785" s="1" t="s">
        <v>6</v>
      </c>
      <c r="I785" s="1" t="s">
        <v>2</v>
      </c>
      <c r="J785" s="1" t="s">
        <v>3</v>
      </c>
      <c r="K785" s="1" t="s">
        <v>10702</v>
      </c>
      <c r="L785" s="1" t="s">
        <v>7</v>
      </c>
      <c r="M785" s="1"/>
      <c r="N785" s="1" t="s">
        <v>10703</v>
      </c>
      <c r="O785" s="1" t="s">
        <v>3928</v>
      </c>
      <c r="P785" s="1"/>
      <c r="Q785" s="1"/>
      <c r="R785" s="1" t="s">
        <v>11</v>
      </c>
      <c r="S785" s="1"/>
      <c r="T785" s="1"/>
      <c r="U785" s="1"/>
      <c r="V785" s="1"/>
      <c r="W785" s="1" t="s">
        <v>10704</v>
      </c>
      <c r="X785" s="1"/>
      <c r="Y785" s="1"/>
      <c r="Z785" s="1"/>
      <c r="AA785" s="1"/>
      <c r="AB785" s="1" t="s">
        <v>10705</v>
      </c>
      <c r="AC785" s="1"/>
      <c r="AD785" s="1"/>
      <c r="AE785" s="1" t="s">
        <v>4719</v>
      </c>
      <c r="AF785" s="1"/>
      <c r="AG785" s="1"/>
      <c r="AH785" s="1" t="s">
        <v>10706</v>
      </c>
      <c r="AI785" s="1"/>
      <c r="AJ785" s="1" t="s">
        <v>7874</v>
      </c>
      <c r="AK785" s="1" t="s">
        <v>5668</v>
      </c>
      <c r="AL785" s="1" t="s">
        <v>7875</v>
      </c>
      <c r="AM785" s="1" t="s">
        <v>7874</v>
      </c>
      <c r="AN785" s="1" t="s">
        <v>5668</v>
      </c>
      <c r="AO785" s="1" t="s">
        <v>7875</v>
      </c>
      <c r="AP785" s="2" t="s">
        <v>10707</v>
      </c>
      <c r="AQ785" s="2" t="s">
        <v>1155</v>
      </c>
      <c r="AR785" s="1" t="s">
        <v>286</v>
      </c>
      <c r="AS785" s="1" t="s">
        <v>10307</v>
      </c>
      <c r="AT785" s="1" t="s">
        <v>5</v>
      </c>
    </row>
    <row r="786" spans="1:46" hidden="1" x14ac:dyDescent="0.4">
      <c r="A786" s="1" t="s">
        <v>8437</v>
      </c>
      <c r="B786" s="10"/>
      <c r="C786" s="1" t="s">
        <v>93</v>
      </c>
      <c r="D786" s="1" t="s">
        <v>2157</v>
      </c>
      <c r="E786" s="1" t="s">
        <v>2078</v>
      </c>
      <c r="F786" s="1" t="s">
        <v>14</v>
      </c>
      <c r="G786" s="1" t="s">
        <v>1</v>
      </c>
      <c r="H786" s="1" t="s">
        <v>6</v>
      </c>
      <c r="I786" s="1" t="s">
        <v>2</v>
      </c>
      <c r="J786" s="1" t="s">
        <v>3</v>
      </c>
      <c r="K786" s="1" t="s">
        <v>8438</v>
      </c>
      <c r="L786" s="1" t="s">
        <v>7</v>
      </c>
      <c r="M786" s="1"/>
      <c r="N786" s="1" t="s">
        <v>8439</v>
      </c>
      <c r="O786" s="1" t="s">
        <v>3928</v>
      </c>
      <c r="P786" s="1"/>
      <c r="Q786" s="1"/>
      <c r="R786" s="1" t="s">
        <v>11</v>
      </c>
      <c r="S786" s="1"/>
      <c r="T786" s="1"/>
      <c r="U786" s="1"/>
      <c r="V786" s="1"/>
      <c r="W786" s="1"/>
      <c r="X786" s="1"/>
      <c r="Y786" s="1"/>
      <c r="Z786" s="1"/>
      <c r="AA786" s="1"/>
      <c r="AB786" s="1" t="s">
        <v>8440</v>
      </c>
      <c r="AC786" s="1"/>
      <c r="AD786" s="1"/>
      <c r="AE786" s="1" t="s">
        <v>5665</v>
      </c>
      <c r="AF786" s="1"/>
      <c r="AG786" s="1"/>
      <c r="AH786" s="1" t="s">
        <v>8441</v>
      </c>
      <c r="AI786" s="1"/>
      <c r="AJ786" s="1" t="s">
        <v>8442</v>
      </c>
      <c r="AK786" s="1" t="s">
        <v>8443</v>
      </c>
      <c r="AL786" s="1" t="s">
        <v>8444</v>
      </c>
      <c r="AM786" s="1" t="s">
        <v>8442</v>
      </c>
      <c r="AN786" s="1" t="s">
        <v>8443</v>
      </c>
      <c r="AO786" s="1" t="s">
        <v>8444</v>
      </c>
      <c r="AP786" s="2" t="s">
        <v>8445</v>
      </c>
      <c r="AQ786" s="2" t="s">
        <v>1154</v>
      </c>
      <c r="AR786" s="1" t="s">
        <v>286</v>
      </c>
      <c r="AS786" s="1"/>
      <c r="AT786" s="1" t="s">
        <v>5</v>
      </c>
    </row>
    <row r="787" spans="1:46" hidden="1" x14ac:dyDescent="0.4">
      <c r="A787" s="1" t="s">
        <v>8446</v>
      </c>
      <c r="B787" s="10"/>
      <c r="C787" s="1" t="s">
        <v>93</v>
      </c>
      <c r="D787" s="1" t="s">
        <v>2157</v>
      </c>
      <c r="E787" s="1" t="s">
        <v>2078</v>
      </c>
      <c r="F787" s="1" t="s">
        <v>14</v>
      </c>
      <c r="G787" s="1" t="s">
        <v>1</v>
      </c>
      <c r="H787" s="1" t="s">
        <v>6</v>
      </c>
      <c r="I787" s="1" t="s">
        <v>2</v>
      </c>
      <c r="J787" s="1" t="s">
        <v>3</v>
      </c>
      <c r="K787" s="1" t="s">
        <v>8447</v>
      </c>
      <c r="L787" s="1" t="s">
        <v>7</v>
      </c>
      <c r="M787" s="1"/>
      <c r="N787" s="1" t="s">
        <v>8448</v>
      </c>
      <c r="O787" s="1" t="s">
        <v>3928</v>
      </c>
      <c r="P787" s="1"/>
      <c r="Q787" s="1"/>
      <c r="R787" s="1" t="s">
        <v>11</v>
      </c>
      <c r="S787" s="1"/>
      <c r="T787" s="1"/>
      <c r="U787" s="1"/>
      <c r="V787" s="1"/>
      <c r="W787" s="1"/>
      <c r="X787" s="1"/>
      <c r="Y787" s="1"/>
      <c r="Z787" s="1"/>
      <c r="AA787" s="1"/>
      <c r="AB787" s="1" t="s">
        <v>8449</v>
      </c>
      <c r="AC787" s="1"/>
      <c r="AD787" s="1"/>
      <c r="AE787" s="1" t="s">
        <v>5665</v>
      </c>
      <c r="AF787" s="1"/>
      <c r="AG787" s="1"/>
      <c r="AH787" s="1" t="s">
        <v>8450</v>
      </c>
      <c r="AI787" s="1"/>
      <c r="AJ787" s="1" t="s">
        <v>8442</v>
      </c>
      <c r="AK787" s="1" t="s">
        <v>8443</v>
      </c>
      <c r="AL787" s="1" t="s">
        <v>8444</v>
      </c>
      <c r="AM787" s="1" t="s">
        <v>8442</v>
      </c>
      <c r="AN787" s="1" t="s">
        <v>8443</v>
      </c>
      <c r="AO787" s="1" t="s">
        <v>8444</v>
      </c>
      <c r="AP787" s="2" t="s">
        <v>8451</v>
      </c>
      <c r="AQ787" s="2" t="s">
        <v>1154</v>
      </c>
      <c r="AR787" s="1" t="s">
        <v>286</v>
      </c>
      <c r="AS787" s="1" t="s">
        <v>8452</v>
      </c>
      <c r="AT787" s="1" t="s">
        <v>5</v>
      </c>
    </row>
    <row r="788" spans="1:46" hidden="1" x14ac:dyDescent="0.4">
      <c r="A788" s="1" t="s">
        <v>10298</v>
      </c>
      <c r="B788" s="10"/>
      <c r="C788" s="1" t="s">
        <v>93</v>
      </c>
      <c r="D788" s="1" t="s">
        <v>2396</v>
      </c>
      <c r="E788" s="1" t="s">
        <v>2078</v>
      </c>
      <c r="F788" s="1" t="s">
        <v>14</v>
      </c>
      <c r="G788" s="1" t="s">
        <v>1</v>
      </c>
      <c r="H788" s="1" t="s">
        <v>6</v>
      </c>
      <c r="I788" s="1" t="s">
        <v>2</v>
      </c>
      <c r="J788" s="1" t="s">
        <v>3</v>
      </c>
      <c r="K788" s="1" t="s">
        <v>10299</v>
      </c>
      <c r="L788" s="1" t="s">
        <v>7</v>
      </c>
      <c r="M788" s="1"/>
      <c r="N788" s="1" t="s">
        <v>10300</v>
      </c>
      <c r="O788" s="1" t="s">
        <v>5765</v>
      </c>
      <c r="P788" s="1"/>
      <c r="Q788" s="1" t="s">
        <v>12</v>
      </c>
      <c r="R788" s="1" t="s">
        <v>11</v>
      </c>
      <c r="S788" s="1"/>
      <c r="T788" s="1" t="s">
        <v>12</v>
      </c>
      <c r="U788" s="1" t="s">
        <v>11</v>
      </c>
      <c r="V788" s="1"/>
      <c r="W788" s="1"/>
      <c r="X788" s="1"/>
      <c r="Y788" s="1"/>
      <c r="Z788" s="1"/>
      <c r="AA788" s="1"/>
      <c r="AB788" s="1" t="s">
        <v>10301</v>
      </c>
      <c r="AC788" s="1"/>
      <c r="AD788" s="1"/>
      <c r="AE788" s="1" t="s">
        <v>8849</v>
      </c>
      <c r="AF788" s="1"/>
      <c r="AG788" s="1"/>
      <c r="AH788" s="1" t="s">
        <v>10302</v>
      </c>
      <c r="AI788" s="1"/>
      <c r="AJ788" s="1" t="s">
        <v>10303</v>
      </c>
      <c r="AK788" s="1" t="s">
        <v>1787</v>
      </c>
      <c r="AL788" s="1" t="s">
        <v>10304</v>
      </c>
      <c r="AM788" s="1" t="s">
        <v>9239</v>
      </c>
      <c r="AN788" s="1" t="s">
        <v>1787</v>
      </c>
      <c r="AO788" s="1" t="s">
        <v>10305</v>
      </c>
      <c r="AP788" s="2" t="s">
        <v>10306</v>
      </c>
      <c r="AQ788" s="2" t="s">
        <v>1155</v>
      </c>
      <c r="AR788" s="1" t="s">
        <v>286</v>
      </c>
      <c r="AS788" s="1" t="s">
        <v>10307</v>
      </c>
      <c r="AT788" s="1" t="s">
        <v>5</v>
      </c>
    </row>
    <row r="789" spans="1:46" hidden="1" x14ac:dyDescent="0.4">
      <c r="A789" s="1" t="s">
        <v>11990</v>
      </c>
      <c r="B789" s="10"/>
      <c r="C789" s="1" t="s">
        <v>6443</v>
      </c>
      <c r="D789" s="1" t="s">
        <v>2220</v>
      </c>
      <c r="E789" s="1" t="s">
        <v>2078</v>
      </c>
      <c r="F789" s="1" t="s">
        <v>14</v>
      </c>
      <c r="G789" s="1" t="s">
        <v>1</v>
      </c>
      <c r="H789" s="1" t="s">
        <v>6</v>
      </c>
      <c r="I789" s="1" t="s">
        <v>2</v>
      </c>
      <c r="J789" s="1" t="s">
        <v>3</v>
      </c>
      <c r="K789" s="1" t="s">
        <v>11991</v>
      </c>
      <c r="L789" s="1" t="s">
        <v>7</v>
      </c>
      <c r="M789" s="1"/>
      <c r="N789" s="1" t="s">
        <v>11992</v>
      </c>
      <c r="O789" s="1" t="s">
        <v>3653</v>
      </c>
      <c r="P789" s="1"/>
      <c r="Q789" s="1" t="s">
        <v>12</v>
      </c>
      <c r="R789" s="1" t="s">
        <v>11</v>
      </c>
      <c r="S789" s="1"/>
      <c r="T789" s="1" t="s">
        <v>12</v>
      </c>
      <c r="U789" s="1" t="s">
        <v>11</v>
      </c>
      <c r="V789" s="1"/>
      <c r="W789" s="1" t="s">
        <v>11993</v>
      </c>
      <c r="X789" s="1" t="s">
        <v>11994</v>
      </c>
      <c r="Y789" s="1"/>
      <c r="Z789" s="1"/>
      <c r="AA789" s="1"/>
      <c r="AB789" s="1" t="s">
        <v>11995</v>
      </c>
      <c r="AC789" s="1"/>
      <c r="AD789" s="1"/>
      <c r="AE789" s="1" t="s">
        <v>6996</v>
      </c>
      <c r="AF789" s="1"/>
      <c r="AG789" s="1"/>
      <c r="AH789" s="1" t="s">
        <v>11996</v>
      </c>
      <c r="AI789" s="1"/>
      <c r="AJ789" s="1" t="s">
        <v>11684</v>
      </c>
      <c r="AK789" s="1" t="s">
        <v>11685</v>
      </c>
      <c r="AL789" s="1" t="s">
        <v>11686</v>
      </c>
      <c r="AM789" s="1" t="s">
        <v>11684</v>
      </c>
      <c r="AN789" s="1" t="s">
        <v>11685</v>
      </c>
      <c r="AO789" s="1" t="s">
        <v>11686</v>
      </c>
      <c r="AP789" s="2" t="s">
        <v>11997</v>
      </c>
      <c r="AQ789" s="2" t="s">
        <v>1156</v>
      </c>
      <c r="AR789" s="1" t="s">
        <v>286</v>
      </c>
      <c r="AS789" s="1" t="s">
        <v>11873</v>
      </c>
      <c r="AT789" s="1" t="s">
        <v>5</v>
      </c>
    </row>
    <row r="790" spans="1:46" hidden="1" x14ac:dyDescent="0.4">
      <c r="A790" s="1" t="s">
        <v>9726</v>
      </c>
      <c r="B790" s="10"/>
      <c r="C790" s="1" t="s">
        <v>93</v>
      </c>
      <c r="D790" s="1" t="s">
        <v>2157</v>
      </c>
      <c r="E790" s="1" t="s">
        <v>2078</v>
      </c>
      <c r="F790" s="1" t="s">
        <v>14</v>
      </c>
      <c r="G790" s="1" t="s">
        <v>1</v>
      </c>
      <c r="H790" s="1" t="s">
        <v>6</v>
      </c>
      <c r="I790" s="1" t="s">
        <v>2</v>
      </c>
      <c r="J790" s="1" t="s">
        <v>3</v>
      </c>
      <c r="K790" s="1" t="s">
        <v>9727</v>
      </c>
      <c r="L790" s="1" t="s">
        <v>7</v>
      </c>
      <c r="M790" s="1"/>
      <c r="N790" s="1" t="s">
        <v>9728</v>
      </c>
      <c r="O790" s="1" t="s">
        <v>9719</v>
      </c>
      <c r="P790" s="1"/>
      <c r="Q790" s="1"/>
      <c r="R790" s="1" t="s">
        <v>11</v>
      </c>
      <c r="S790" s="1"/>
      <c r="T790" s="1"/>
      <c r="U790" s="1"/>
      <c r="V790" s="1"/>
      <c r="W790" s="1" t="s">
        <v>9729</v>
      </c>
      <c r="X790" s="1"/>
      <c r="Y790" s="1"/>
      <c r="Z790" s="1"/>
      <c r="AA790" s="1"/>
      <c r="AB790" s="1" t="s">
        <v>9730</v>
      </c>
      <c r="AC790" s="1"/>
      <c r="AD790" s="1"/>
      <c r="AE790" s="1" t="s">
        <v>9722</v>
      </c>
      <c r="AF790" s="1"/>
      <c r="AG790" s="1"/>
      <c r="AH790" s="1" t="s">
        <v>9731</v>
      </c>
      <c r="AI790" s="1"/>
      <c r="AJ790" s="1" t="s">
        <v>8442</v>
      </c>
      <c r="AK790" s="1" t="s">
        <v>8443</v>
      </c>
      <c r="AL790" s="1" t="s">
        <v>8444</v>
      </c>
      <c r="AM790" s="1" t="s">
        <v>8442</v>
      </c>
      <c r="AN790" s="1" t="s">
        <v>8443</v>
      </c>
      <c r="AO790" s="1" t="s">
        <v>8444</v>
      </c>
      <c r="AP790" s="2" t="s">
        <v>9732</v>
      </c>
      <c r="AQ790" s="2" t="s">
        <v>1155</v>
      </c>
      <c r="AR790" s="1" t="s">
        <v>286</v>
      </c>
      <c r="AS790" s="1" t="s">
        <v>9733</v>
      </c>
      <c r="AT790" s="1" t="s">
        <v>5</v>
      </c>
    </row>
    <row r="791" spans="1:46" hidden="1" x14ac:dyDescent="0.4">
      <c r="A791" s="1" t="s">
        <v>9716</v>
      </c>
      <c r="B791" s="10"/>
      <c r="C791" s="1" t="s">
        <v>93</v>
      </c>
      <c r="D791" s="1" t="s">
        <v>2157</v>
      </c>
      <c r="E791" s="1" t="s">
        <v>2078</v>
      </c>
      <c r="F791" s="1" t="s">
        <v>14</v>
      </c>
      <c r="G791" s="1" t="s">
        <v>1</v>
      </c>
      <c r="H791" s="1" t="s">
        <v>6</v>
      </c>
      <c r="I791" s="1" t="s">
        <v>2</v>
      </c>
      <c r="J791" s="1" t="s">
        <v>3</v>
      </c>
      <c r="K791" s="1" t="s">
        <v>9717</v>
      </c>
      <c r="L791" s="1" t="s">
        <v>7</v>
      </c>
      <c r="M791" s="1"/>
      <c r="N791" s="1" t="s">
        <v>9718</v>
      </c>
      <c r="O791" s="1" t="s">
        <v>9719</v>
      </c>
      <c r="P791" s="1"/>
      <c r="Q791" s="1"/>
      <c r="R791" s="1" t="s">
        <v>11</v>
      </c>
      <c r="S791" s="1"/>
      <c r="T791" s="1"/>
      <c r="U791" s="1"/>
      <c r="V791" s="1"/>
      <c r="W791" s="1" t="s">
        <v>9720</v>
      </c>
      <c r="X791" s="1"/>
      <c r="Y791" s="1"/>
      <c r="Z791" s="1"/>
      <c r="AA791" s="1"/>
      <c r="AB791" s="1" t="s">
        <v>9721</v>
      </c>
      <c r="AC791" s="1"/>
      <c r="AD791" s="1"/>
      <c r="AE791" s="1" t="s">
        <v>9722</v>
      </c>
      <c r="AF791" s="1"/>
      <c r="AG791" s="1"/>
      <c r="AH791" s="1" t="s">
        <v>9723</v>
      </c>
      <c r="AI791" s="1"/>
      <c r="AJ791" s="1" t="s">
        <v>8442</v>
      </c>
      <c r="AK791" s="1" t="s">
        <v>8443</v>
      </c>
      <c r="AL791" s="1" t="s">
        <v>8444</v>
      </c>
      <c r="AM791" s="1" t="s">
        <v>8442</v>
      </c>
      <c r="AN791" s="1" t="s">
        <v>8443</v>
      </c>
      <c r="AO791" s="1" t="s">
        <v>8444</v>
      </c>
      <c r="AP791" s="2" t="s">
        <v>9724</v>
      </c>
      <c r="AQ791" s="2" t="s">
        <v>1155</v>
      </c>
      <c r="AR791" s="1" t="s">
        <v>286</v>
      </c>
      <c r="AS791" s="1" t="s">
        <v>9725</v>
      </c>
      <c r="AT791" s="1" t="s">
        <v>5</v>
      </c>
    </row>
    <row r="792" spans="1:46" hidden="1" x14ac:dyDescent="0.4">
      <c r="A792" s="1" t="s">
        <v>8163</v>
      </c>
      <c r="B792" s="10"/>
      <c r="C792" s="1" t="s">
        <v>0</v>
      </c>
      <c r="D792" s="1" t="s">
        <v>2396</v>
      </c>
      <c r="E792" s="1" t="s">
        <v>2078</v>
      </c>
      <c r="F792" s="1" t="s">
        <v>14</v>
      </c>
      <c r="G792" s="1" t="s">
        <v>1</v>
      </c>
      <c r="H792" s="1" t="s">
        <v>6</v>
      </c>
      <c r="I792" s="1" t="s">
        <v>2</v>
      </c>
      <c r="J792" s="1" t="s">
        <v>3</v>
      </c>
      <c r="K792" s="1" t="s">
        <v>8164</v>
      </c>
      <c r="L792" s="1" t="s">
        <v>7</v>
      </c>
      <c r="M792" s="1"/>
      <c r="N792" s="1" t="s">
        <v>8165</v>
      </c>
      <c r="O792" s="1" t="s">
        <v>8087</v>
      </c>
      <c r="P792" s="1"/>
      <c r="Q792" s="1"/>
      <c r="R792" s="1" t="s">
        <v>11</v>
      </c>
      <c r="S792" s="1"/>
      <c r="T792" s="1"/>
      <c r="U792" s="1"/>
      <c r="V792" s="1"/>
      <c r="W792" s="1" t="s">
        <v>8166</v>
      </c>
      <c r="X792" s="1"/>
      <c r="Y792" s="1"/>
      <c r="Z792" s="1"/>
      <c r="AA792" s="1"/>
      <c r="AB792" s="1" t="s">
        <v>8167</v>
      </c>
      <c r="AC792" s="1"/>
      <c r="AD792" s="1"/>
      <c r="AE792" s="1" t="s">
        <v>8090</v>
      </c>
      <c r="AF792" s="1"/>
      <c r="AG792" s="1"/>
      <c r="AH792" s="1" t="s">
        <v>8168</v>
      </c>
      <c r="AI792" s="1"/>
      <c r="AJ792" s="1" t="s">
        <v>1835</v>
      </c>
      <c r="AK792" s="1" t="s">
        <v>1836</v>
      </c>
      <c r="AL792" s="1" t="s">
        <v>1837</v>
      </c>
      <c r="AM792" s="1" t="s">
        <v>1835</v>
      </c>
      <c r="AN792" s="1" t="s">
        <v>1836</v>
      </c>
      <c r="AO792" s="1" t="s">
        <v>1837</v>
      </c>
      <c r="AP792" s="2" t="s">
        <v>8169</v>
      </c>
      <c r="AQ792" s="2" t="s">
        <v>1154</v>
      </c>
      <c r="AR792" s="1" t="s">
        <v>286</v>
      </c>
      <c r="AS792" s="1"/>
      <c r="AT792" s="1" t="s">
        <v>5</v>
      </c>
    </row>
    <row r="793" spans="1:46" hidden="1" x14ac:dyDescent="0.4">
      <c r="A793" s="1" t="s">
        <v>8156</v>
      </c>
      <c r="B793" s="10"/>
      <c r="C793" s="1" t="s">
        <v>0</v>
      </c>
      <c r="D793" s="1" t="s">
        <v>2396</v>
      </c>
      <c r="E793" s="1" t="s">
        <v>2078</v>
      </c>
      <c r="F793" s="1" t="s">
        <v>14</v>
      </c>
      <c r="G793" s="1" t="s">
        <v>1</v>
      </c>
      <c r="H793" s="1" t="s">
        <v>6</v>
      </c>
      <c r="I793" s="1" t="s">
        <v>2</v>
      </c>
      <c r="J793" s="1" t="s">
        <v>3</v>
      </c>
      <c r="K793" s="1" t="s">
        <v>8157</v>
      </c>
      <c r="L793" s="1" t="s">
        <v>7</v>
      </c>
      <c r="M793" s="1"/>
      <c r="N793" s="1" t="s">
        <v>8158</v>
      </c>
      <c r="O793" s="1" t="s">
        <v>8087</v>
      </c>
      <c r="P793" s="1"/>
      <c r="Q793" s="1"/>
      <c r="R793" s="1" t="s">
        <v>11</v>
      </c>
      <c r="S793" s="1"/>
      <c r="T793" s="1"/>
      <c r="U793" s="1"/>
      <c r="V793" s="1"/>
      <c r="W793" s="1" t="s">
        <v>8159</v>
      </c>
      <c r="X793" s="1"/>
      <c r="Y793" s="1"/>
      <c r="Z793" s="1"/>
      <c r="AA793" s="1"/>
      <c r="AB793" s="1" t="s">
        <v>8160</v>
      </c>
      <c r="AC793" s="1"/>
      <c r="AD793" s="1"/>
      <c r="AE793" s="1" t="s">
        <v>8090</v>
      </c>
      <c r="AF793" s="1"/>
      <c r="AG793" s="1"/>
      <c r="AH793" s="1" t="s">
        <v>8161</v>
      </c>
      <c r="AI793" s="1"/>
      <c r="AJ793" s="1" t="s">
        <v>1835</v>
      </c>
      <c r="AK793" s="1" t="s">
        <v>1836</v>
      </c>
      <c r="AL793" s="1" t="s">
        <v>1837</v>
      </c>
      <c r="AM793" s="1" t="s">
        <v>1835</v>
      </c>
      <c r="AN793" s="1" t="s">
        <v>1836</v>
      </c>
      <c r="AO793" s="1" t="s">
        <v>1837</v>
      </c>
      <c r="AP793" s="2" t="s">
        <v>8162</v>
      </c>
      <c r="AQ793" s="2" t="s">
        <v>1154</v>
      </c>
      <c r="AR793" s="1" t="s">
        <v>286</v>
      </c>
      <c r="AS793" s="1"/>
      <c r="AT793" s="1" t="s">
        <v>5</v>
      </c>
    </row>
    <row r="794" spans="1:46" hidden="1" x14ac:dyDescent="0.4">
      <c r="A794" s="1" t="s">
        <v>8149</v>
      </c>
      <c r="B794" s="10"/>
      <c r="C794" s="1" t="s">
        <v>0</v>
      </c>
      <c r="D794" s="1" t="s">
        <v>2396</v>
      </c>
      <c r="E794" s="1" t="s">
        <v>2078</v>
      </c>
      <c r="F794" s="1" t="s">
        <v>14</v>
      </c>
      <c r="G794" s="1" t="s">
        <v>1</v>
      </c>
      <c r="H794" s="1" t="s">
        <v>6</v>
      </c>
      <c r="I794" s="1" t="s">
        <v>2</v>
      </c>
      <c r="J794" s="1" t="s">
        <v>3</v>
      </c>
      <c r="K794" s="1" t="s">
        <v>8150</v>
      </c>
      <c r="L794" s="1" t="s">
        <v>7</v>
      </c>
      <c r="M794" s="1"/>
      <c r="N794" s="1" t="s">
        <v>8151</v>
      </c>
      <c r="O794" s="1" t="s">
        <v>8087</v>
      </c>
      <c r="P794" s="1"/>
      <c r="Q794" s="1"/>
      <c r="R794" s="1" t="s">
        <v>11</v>
      </c>
      <c r="S794" s="1"/>
      <c r="T794" s="1"/>
      <c r="U794" s="1"/>
      <c r="V794" s="1"/>
      <c r="W794" s="1" t="s">
        <v>8152</v>
      </c>
      <c r="X794" s="1"/>
      <c r="Y794" s="1"/>
      <c r="Z794" s="1"/>
      <c r="AA794" s="1"/>
      <c r="AB794" s="1" t="s">
        <v>8153</v>
      </c>
      <c r="AC794" s="1"/>
      <c r="AD794" s="1"/>
      <c r="AE794" s="1" t="s">
        <v>8090</v>
      </c>
      <c r="AF794" s="1"/>
      <c r="AG794" s="1"/>
      <c r="AH794" s="1" t="s">
        <v>8154</v>
      </c>
      <c r="AI794" s="1"/>
      <c r="AJ794" s="1" t="s">
        <v>1835</v>
      </c>
      <c r="AK794" s="1" t="s">
        <v>1836</v>
      </c>
      <c r="AL794" s="1" t="s">
        <v>1837</v>
      </c>
      <c r="AM794" s="1" t="s">
        <v>1835</v>
      </c>
      <c r="AN794" s="1" t="s">
        <v>1836</v>
      </c>
      <c r="AO794" s="1" t="s">
        <v>1837</v>
      </c>
      <c r="AP794" s="2" t="s">
        <v>8155</v>
      </c>
      <c r="AQ794" s="2" t="s">
        <v>1154</v>
      </c>
      <c r="AR794" s="1" t="s">
        <v>286</v>
      </c>
      <c r="AS794" s="1"/>
      <c r="AT794" s="1" t="s">
        <v>5</v>
      </c>
    </row>
    <row r="795" spans="1:46" hidden="1" x14ac:dyDescent="0.4">
      <c r="A795" s="1" t="s">
        <v>8142</v>
      </c>
      <c r="B795" s="10"/>
      <c r="C795" s="1" t="s">
        <v>0</v>
      </c>
      <c r="D795" s="1" t="s">
        <v>2396</v>
      </c>
      <c r="E795" s="1" t="s">
        <v>2078</v>
      </c>
      <c r="F795" s="1" t="s">
        <v>14</v>
      </c>
      <c r="G795" s="1" t="s">
        <v>1</v>
      </c>
      <c r="H795" s="1" t="s">
        <v>6</v>
      </c>
      <c r="I795" s="1" t="s">
        <v>2</v>
      </c>
      <c r="J795" s="1" t="s">
        <v>3</v>
      </c>
      <c r="K795" s="1" t="s">
        <v>8143</v>
      </c>
      <c r="L795" s="1" t="s">
        <v>7</v>
      </c>
      <c r="M795" s="1"/>
      <c r="N795" s="1" t="s">
        <v>8144</v>
      </c>
      <c r="O795" s="1" t="s">
        <v>8087</v>
      </c>
      <c r="P795" s="1"/>
      <c r="Q795" s="1"/>
      <c r="R795" s="1" t="s">
        <v>11</v>
      </c>
      <c r="S795" s="1"/>
      <c r="T795" s="1"/>
      <c r="U795" s="1"/>
      <c r="V795" s="1"/>
      <c r="W795" s="1" t="s">
        <v>8145</v>
      </c>
      <c r="X795" s="1"/>
      <c r="Y795" s="1"/>
      <c r="Z795" s="1"/>
      <c r="AA795" s="1"/>
      <c r="AB795" s="1" t="s">
        <v>8146</v>
      </c>
      <c r="AC795" s="1"/>
      <c r="AD795" s="1"/>
      <c r="AE795" s="1" t="s">
        <v>8090</v>
      </c>
      <c r="AF795" s="1"/>
      <c r="AG795" s="1"/>
      <c r="AH795" s="1" t="s">
        <v>8147</v>
      </c>
      <c r="AI795" s="1"/>
      <c r="AJ795" s="1" t="s">
        <v>1835</v>
      </c>
      <c r="AK795" s="1" t="s">
        <v>1836</v>
      </c>
      <c r="AL795" s="1" t="s">
        <v>1837</v>
      </c>
      <c r="AM795" s="1" t="s">
        <v>1835</v>
      </c>
      <c r="AN795" s="1" t="s">
        <v>1836</v>
      </c>
      <c r="AO795" s="1" t="s">
        <v>1837</v>
      </c>
      <c r="AP795" s="2" t="s">
        <v>8148</v>
      </c>
      <c r="AQ795" s="2" t="s">
        <v>1154</v>
      </c>
      <c r="AR795" s="1" t="s">
        <v>286</v>
      </c>
      <c r="AS795" s="1"/>
      <c r="AT795" s="1" t="s">
        <v>5</v>
      </c>
    </row>
    <row r="796" spans="1:46" hidden="1" x14ac:dyDescent="0.4">
      <c r="A796" s="1" t="s">
        <v>8135</v>
      </c>
      <c r="B796" s="10"/>
      <c r="C796" s="1" t="s">
        <v>0</v>
      </c>
      <c r="D796" s="1" t="s">
        <v>2396</v>
      </c>
      <c r="E796" s="1" t="s">
        <v>2078</v>
      </c>
      <c r="F796" s="1" t="s">
        <v>14</v>
      </c>
      <c r="G796" s="1" t="s">
        <v>1</v>
      </c>
      <c r="H796" s="1" t="s">
        <v>6</v>
      </c>
      <c r="I796" s="1" t="s">
        <v>2</v>
      </c>
      <c r="J796" s="1" t="s">
        <v>3</v>
      </c>
      <c r="K796" s="1" t="s">
        <v>8136</v>
      </c>
      <c r="L796" s="1" t="s">
        <v>7</v>
      </c>
      <c r="M796" s="1"/>
      <c r="N796" s="1" t="s">
        <v>8137</v>
      </c>
      <c r="O796" s="1" t="s">
        <v>8087</v>
      </c>
      <c r="P796" s="1"/>
      <c r="Q796" s="1"/>
      <c r="R796" s="1" t="s">
        <v>11</v>
      </c>
      <c r="S796" s="1"/>
      <c r="T796" s="1"/>
      <c r="U796" s="1"/>
      <c r="V796" s="1"/>
      <c r="W796" s="1" t="s">
        <v>8138</v>
      </c>
      <c r="X796" s="1"/>
      <c r="Y796" s="1"/>
      <c r="Z796" s="1"/>
      <c r="AA796" s="1"/>
      <c r="AB796" s="1" t="s">
        <v>8139</v>
      </c>
      <c r="AC796" s="1"/>
      <c r="AD796" s="1"/>
      <c r="AE796" s="1" t="s">
        <v>8090</v>
      </c>
      <c r="AF796" s="1"/>
      <c r="AG796" s="1"/>
      <c r="AH796" s="1" t="s">
        <v>8140</v>
      </c>
      <c r="AI796" s="1"/>
      <c r="AJ796" s="1" t="s">
        <v>1835</v>
      </c>
      <c r="AK796" s="1" t="s">
        <v>1836</v>
      </c>
      <c r="AL796" s="1" t="s">
        <v>1837</v>
      </c>
      <c r="AM796" s="1" t="s">
        <v>1835</v>
      </c>
      <c r="AN796" s="1" t="s">
        <v>1836</v>
      </c>
      <c r="AO796" s="1" t="s">
        <v>1837</v>
      </c>
      <c r="AP796" s="2" t="s">
        <v>8141</v>
      </c>
      <c r="AQ796" s="2" t="s">
        <v>1154</v>
      </c>
      <c r="AR796" s="1" t="s">
        <v>286</v>
      </c>
      <c r="AS796" s="1"/>
      <c r="AT796" s="1" t="s">
        <v>5</v>
      </c>
    </row>
    <row r="797" spans="1:46" hidden="1" x14ac:dyDescent="0.4">
      <c r="A797" s="1" t="s">
        <v>8121</v>
      </c>
      <c r="B797" s="10"/>
      <c r="C797" s="1" t="s">
        <v>0</v>
      </c>
      <c r="D797" s="1" t="s">
        <v>2396</v>
      </c>
      <c r="E797" s="1" t="s">
        <v>2078</v>
      </c>
      <c r="F797" s="1" t="s">
        <v>14</v>
      </c>
      <c r="G797" s="1" t="s">
        <v>1</v>
      </c>
      <c r="H797" s="1" t="s">
        <v>6</v>
      </c>
      <c r="I797" s="1" t="s">
        <v>2</v>
      </c>
      <c r="J797" s="1" t="s">
        <v>3</v>
      </c>
      <c r="K797" s="1" t="s">
        <v>8122</v>
      </c>
      <c r="L797" s="1" t="s">
        <v>7</v>
      </c>
      <c r="M797" s="1"/>
      <c r="N797" s="1" t="s">
        <v>8123</v>
      </c>
      <c r="O797" s="1" t="s">
        <v>8087</v>
      </c>
      <c r="P797" s="1"/>
      <c r="Q797" s="1"/>
      <c r="R797" s="1" t="s">
        <v>11</v>
      </c>
      <c r="S797" s="1"/>
      <c r="T797" s="1"/>
      <c r="U797" s="1"/>
      <c r="V797" s="1"/>
      <c r="W797" s="1" t="s">
        <v>8124</v>
      </c>
      <c r="X797" s="1"/>
      <c r="Y797" s="1"/>
      <c r="Z797" s="1"/>
      <c r="AA797" s="1"/>
      <c r="AB797" s="1" t="s">
        <v>8125</v>
      </c>
      <c r="AC797" s="1"/>
      <c r="AD797" s="1"/>
      <c r="AE797" s="1" t="s">
        <v>8090</v>
      </c>
      <c r="AF797" s="1"/>
      <c r="AG797" s="1"/>
      <c r="AH797" s="1" t="s">
        <v>8126</v>
      </c>
      <c r="AI797" s="1"/>
      <c r="AJ797" s="1" t="s">
        <v>1835</v>
      </c>
      <c r="AK797" s="1" t="s">
        <v>1836</v>
      </c>
      <c r="AL797" s="1" t="s">
        <v>1837</v>
      </c>
      <c r="AM797" s="1" t="s">
        <v>1835</v>
      </c>
      <c r="AN797" s="1" t="s">
        <v>1836</v>
      </c>
      <c r="AO797" s="1" t="s">
        <v>1837</v>
      </c>
      <c r="AP797" s="2" t="s">
        <v>8127</v>
      </c>
      <c r="AQ797" s="2" t="s">
        <v>1154</v>
      </c>
      <c r="AR797" s="1" t="s">
        <v>286</v>
      </c>
      <c r="AS797" s="1"/>
      <c r="AT797" s="1" t="s">
        <v>5</v>
      </c>
    </row>
    <row r="798" spans="1:46" hidden="1" x14ac:dyDescent="0.4">
      <c r="A798" s="1" t="s">
        <v>8128</v>
      </c>
      <c r="B798" s="10"/>
      <c r="C798" s="1" t="s">
        <v>0</v>
      </c>
      <c r="D798" s="1" t="s">
        <v>2396</v>
      </c>
      <c r="E798" s="1" t="s">
        <v>2078</v>
      </c>
      <c r="F798" s="1" t="s">
        <v>14</v>
      </c>
      <c r="G798" s="1" t="s">
        <v>1</v>
      </c>
      <c r="H798" s="1" t="s">
        <v>6</v>
      </c>
      <c r="I798" s="1" t="s">
        <v>2</v>
      </c>
      <c r="J798" s="1" t="s">
        <v>3</v>
      </c>
      <c r="K798" s="1" t="s">
        <v>8129</v>
      </c>
      <c r="L798" s="1" t="s">
        <v>7</v>
      </c>
      <c r="M798" s="1"/>
      <c r="N798" s="1" t="s">
        <v>8130</v>
      </c>
      <c r="O798" s="1" t="s">
        <v>8087</v>
      </c>
      <c r="P798" s="1"/>
      <c r="Q798" s="1"/>
      <c r="R798" s="1" t="s">
        <v>11</v>
      </c>
      <c r="S798" s="1"/>
      <c r="T798" s="1"/>
      <c r="U798" s="1"/>
      <c r="V798" s="1"/>
      <c r="W798" s="1" t="s">
        <v>8131</v>
      </c>
      <c r="X798" s="1"/>
      <c r="Y798" s="1"/>
      <c r="Z798" s="1"/>
      <c r="AA798" s="1"/>
      <c r="AB798" s="1" t="s">
        <v>8132</v>
      </c>
      <c r="AC798" s="1"/>
      <c r="AD798" s="1"/>
      <c r="AE798" s="1" t="s">
        <v>8090</v>
      </c>
      <c r="AF798" s="1"/>
      <c r="AG798" s="1"/>
      <c r="AH798" s="1" t="s">
        <v>8133</v>
      </c>
      <c r="AI798" s="1"/>
      <c r="AJ798" s="1" t="s">
        <v>1835</v>
      </c>
      <c r="AK798" s="1" t="s">
        <v>1836</v>
      </c>
      <c r="AL798" s="1" t="s">
        <v>1837</v>
      </c>
      <c r="AM798" s="1" t="s">
        <v>1835</v>
      </c>
      <c r="AN798" s="1" t="s">
        <v>1836</v>
      </c>
      <c r="AO798" s="1" t="s">
        <v>1837</v>
      </c>
      <c r="AP798" s="2" t="s">
        <v>8134</v>
      </c>
      <c r="AQ798" s="2" t="s">
        <v>1154</v>
      </c>
      <c r="AR798" s="1" t="s">
        <v>286</v>
      </c>
      <c r="AS798" s="1"/>
      <c r="AT798" s="1" t="s">
        <v>5</v>
      </c>
    </row>
    <row r="799" spans="1:46" hidden="1" x14ac:dyDescent="0.4">
      <c r="A799" s="1" t="s">
        <v>8107</v>
      </c>
      <c r="B799" s="10"/>
      <c r="C799" s="1" t="s">
        <v>0</v>
      </c>
      <c r="D799" s="1" t="s">
        <v>2396</v>
      </c>
      <c r="E799" s="1" t="s">
        <v>2078</v>
      </c>
      <c r="F799" s="1" t="s">
        <v>14</v>
      </c>
      <c r="G799" s="1" t="s">
        <v>1</v>
      </c>
      <c r="H799" s="1" t="s">
        <v>6</v>
      </c>
      <c r="I799" s="1" t="s">
        <v>2</v>
      </c>
      <c r="J799" s="1" t="s">
        <v>3</v>
      </c>
      <c r="K799" s="1" t="s">
        <v>8108</v>
      </c>
      <c r="L799" s="1" t="s">
        <v>7</v>
      </c>
      <c r="M799" s="1"/>
      <c r="N799" s="1" t="s">
        <v>8109</v>
      </c>
      <c r="O799" s="1" t="s">
        <v>8087</v>
      </c>
      <c r="P799" s="1"/>
      <c r="Q799" s="1"/>
      <c r="R799" s="1" t="s">
        <v>11</v>
      </c>
      <c r="S799" s="1"/>
      <c r="T799" s="1"/>
      <c r="U799" s="1"/>
      <c r="V799" s="1"/>
      <c r="W799" s="1" t="s">
        <v>8110</v>
      </c>
      <c r="X799" s="1"/>
      <c r="Y799" s="1"/>
      <c r="Z799" s="1"/>
      <c r="AA799" s="1"/>
      <c r="AB799" s="1" t="s">
        <v>8111</v>
      </c>
      <c r="AC799" s="1"/>
      <c r="AD799" s="1"/>
      <c r="AE799" s="1" t="s">
        <v>8090</v>
      </c>
      <c r="AF799" s="1"/>
      <c r="AG799" s="1"/>
      <c r="AH799" s="1" t="s">
        <v>8112</v>
      </c>
      <c r="AI799" s="1"/>
      <c r="AJ799" s="1" t="s">
        <v>1835</v>
      </c>
      <c r="AK799" s="1" t="s">
        <v>1836</v>
      </c>
      <c r="AL799" s="1" t="s">
        <v>1837</v>
      </c>
      <c r="AM799" s="1" t="s">
        <v>1835</v>
      </c>
      <c r="AN799" s="1" t="s">
        <v>1836</v>
      </c>
      <c r="AO799" s="1" t="s">
        <v>1837</v>
      </c>
      <c r="AP799" s="2" t="s">
        <v>8113</v>
      </c>
      <c r="AQ799" s="2" t="s">
        <v>1154</v>
      </c>
      <c r="AR799" s="1" t="s">
        <v>286</v>
      </c>
      <c r="AS799" s="1"/>
      <c r="AT799" s="1" t="s">
        <v>5</v>
      </c>
    </row>
    <row r="800" spans="1:46" hidden="1" x14ac:dyDescent="0.4">
      <c r="A800" s="1" t="s">
        <v>8100</v>
      </c>
      <c r="B800" s="10"/>
      <c r="C800" s="1" t="s">
        <v>0</v>
      </c>
      <c r="D800" s="1" t="s">
        <v>2396</v>
      </c>
      <c r="E800" s="1" t="s">
        <v>2078</v>
      </c>
      <c r="F800" s="1" t="s">
        <v>14</v>
      </c>
      <c r="G800" s="1" t="s">
        <v>1</v>
      </c>
      <c r="H800" s="1" t="s">
        <v>6</v>
      </c>
      <c r="I800" s="1" t="s">
        <v>2</v>
      </c>
      <c r="J800" s="1" t="s">
        <v>3</v>
      </c>
      <c r="K800" s="1" t="s">
        <v>8101</v>
      </c>
      <c r="L800" s="1" t="s">
        <v>7</v>
      </c>
      <c r="M800" s="1"/>
      <c r="N800" s="1" t="s">
        <v>8102</v>
      </c>
      <c r="O800" s="1" t="s">
        <v>8087</v>
      </c>
      <c r="P800" s="1"/>
      <c r="Q800" s="1"/>
      <c r="R800" s="1" t="s">
        <v>11</v>
      </c>
      <c r="S800" s="1"/>
      <c r="T800" s="1"/>
      <c r="U800" s="1"/>
      <c r="V800" s="1"/>
      <c r="W800" s="1" t="s">
        <v>8103</v>
      </c>
      <c r="X800" s="1"/>
      <c r="Y800" s="1"/>
      <c r="Z800" s="1"/>
      <c r="AA800" s="1"/>
      <c r="AB800" s="1" t="s">
        <v>8104</v>
      </c>
      <c r="AC800" s="1"/>
      <c r="AD800" s="1"/>
      <c r="AE800" s="1" t="s">
        <v>8090</v>
      </c>
      <c r="AF800" s="1"/>
      <c r="AG800" s="1"/>
      <c r="AH800" s="1" t="s">
        <v>8105</v>
      </c>
      <c r="AI800" s="1"/>
      <c r="AJ800" s="1" t="s">
        <v>1835</v>
      </c>
      <c r="AK800" s="1" t="s">
        <v>1836</v>
      </c>
      <c r="AL800" s="1" t="s">
        <v>1837</v>
      </c>
      <c r="AM800" s="1" t="s">
        <v>1835</v>
      </c>
      <c r="AN800" s="1" t="s">
        <v>1836</v>
      </c>
      <c r="AO800" s="1" t="s">
        <v>1837</v>
      </c>
      <c r="AP800" s="2" t="s">
        <v>8106</v>
      </c>
      <c r="AQ800" s="2" t="s">
        <v>1154</v>
      </c>
      <c r="AR800" s="1" t="s">
        <v>286</v>
      </c>
      <c r="AS800" s="1"/>
      <c r="AT800" s="1" t="s">
        <v>5</v>
      </c>
    </row>
    <row r="801" spans="1:46" hidden="1" x14ac:dyDescent="0.4">
      <c r="A801" s="1" t="s">
        <v>8093</v>
      </c>
      <c r="B801" s="10"/>
      <c r="C801" s="1" t="s">
        <v>0</v>
      </c>
      <c r="D801" s="1" t="s">
        <v>2396</v>
      </c>
      <c r="E801" s="1" t="s">
        <v>2078</v>
      </c>
      <c r="F801" s="1" t="s">
        <v>14</v>
      </c>
      <c r="G801" s="1" t="s">
        <v>1</v>
      </c>
      <c r="H801" s="1" t="s">
        <v>6</v>
      </c>
      <c r="I801" s="1" t="s">
        <v>2</v>
      </c>
      <c r="J801" s="1" t="s">
        <v>3</v>
      </c>
      <c r="K801" s="1" t="s">
        <v>8094</v>
      </c>
      <c r="L801" s="1" t="s">
        <v>7</v>
      </c>
      <c r="M801" s="1"/>
      <c r="N801" s="1" t="s">
        <v>8095</v>
      </c>
      <c r="O801" s="1" t="s">
        <v>8087</v>
      </c>
      <c r="P801" s="1"/>
      <c r="Q801" s="1"/>
      <c r="R801" s="1" t="s">
        <v>11</v>
      </c>
      <c r="S801" s="1"/>
      <c r="T801" s="1"/>
      <c r="U801" s="1"/>
      <c r="V801" s="1"/>
      <c r="W801" s="1" t="s">
        <v>8096</v>
      </c>
      <c r="X801" s="1"/>
      <c r="Y801" s="1"/>
      <c r="Z801" s="1"/>
      <c r="AA801" s="1"/>
      <c r="AB801" s="1" t="s">
        <v>8097</v>
      </c>
      <c r="AC801" s="1"/>
      <c r="AD801" s="1"/>
      <c r="AE801" s="1" t="s">
        <v>8090</v>
      </c>
      <c r="AF801" s="1"/>
      <c r="AG801" s="1"/>
      <c r="AH801" s="1" t="s">
        <v>8098</v>
      </c>
      <c r="AI801" s="1"/>
      <c r="AJ801" s="1" t="s">
        <v>1835</v>
      </c>
      <c r="AK801" s="1" t="s">
        <v>1836</v>
      </c>
      <c r="AL801" s="1" t="s">
        <v>1837</v>
      </c>
      <c r="AM801" s="1" t="s">
        <v>1835</v>
      </c>
      <c r="AN801" s="1" t="s">
        <v>1836</v>
      </c>
      <c r="AO801" s="1" t="s">
        <v>1837</v>
      </c>
      <c r="AP801" s="2" t="s">
        <v>8099</v>
      </c>
      <c r="AQ801" s="2" t="s">
        <v>1154</v>
      </c>
      <c r="AR801" s="1" t="s">
        <v>286</v>
      </c>
      <c r="AS801" s="1"/>
      <c r="AT801" s="1" t="s">
        <v>5</v>
      </c>
    </row>
    <row r="802" spans="1:46" hidden="1" x14ac:dyDescent="0.4">
      <c r="A802" s="1" t="s">
        <v>8084</v>
      </c>
      <c r="B802" s="10"/>
      <c r="C802" s="1" t="s">
        <v>0</v>
      </c>
      <c r="D802" s="1" t="s">
        <v>2396</v>
      </c>
      <c r="E802" s="1" t="s">
        <v>2078</v>
      </c>
      <c r="F802" s="1" t="s">
        <v>14</v>
      </c>
      <c r="G802" s="1" t="s">
        <v>1</v>
      </c>
      <c r="H802" s="1" t="s">
        <v>6</v>
      </c>
      <c r="I802" s="1" t="s">
        <v>2</v>
      </c>
      <c r="J802" s="1" t="s">
        <v>3</v>
      </c>
      <c r="K802" s="1" t="s">
        <v>8085</v>
      </c>
      <c r="L802" s="1" t="s">
        <v>7</v>
      </c>
      <c r="M802" s="1"/>
      <c r="N802" s="1" t="s">
        <v>8086</v>
      </c>
      <c r="O802" s="1" t="s">
        <v>8087</v>
      </c>
      <c r="P802" s="1"/>
      <c r="Q802" s="1"/>
      <c r="R802" s="1" t="s">
        <v>11</v>
      </c>
      <c r="S802" s="1"/>
      <c r="T802" s="1"/>
      <c r="U802" s="1"/>
      <c r="V802" s="1"/>
      <c r="W802" s="1" t="s">
        <v>8088</v>
      </c>
      <c r="X802" s="1"/>
      <c r="Y802" s="1"/>
      <c r="Z802" s="1"/>
      <c r="AA802" s="1"/>
      <c r="AB802" s="1" t="s">
        <v>8089</v>
      </c>
      <c r="AC802" s="1"/>
      <c r="AD802" s="1"/>
      <c r="AE802" s="1" t="s">
        <v>8090</v>
      </c>
      <c r="AF802" s="1"/>
      <c r="AG802" s="1"/>
      <c r="AH802" s="1" t="s">
        <v>8091</v>
      </c>
      <c r="AI802" s="1"/>
      <c r="AJ802" s="1" t="s">
        <v>1835</v>
      </c>
      <c r="AK802" s="1" t="s">
        <v>1836</v>
      </c>
      <c r="AL802" s="1" t="s">
        <v>1837</v>
      </c>
      <c r="AM802" s="1" t="s">
        <v>1835</v>
      </c>
      <c r="AN802" s="1" t="s">
        <v>1836</v>
      </c>
      <c r="AO802" s="1" t="s">
        <v>1837</v>
      </c>
      <c r="AP802" s="2" t="s">
        <v>8092</v>
      </c>
      <c r="AQ802" s="2" t="s">
        <v>1154</v>
      </c>
      <c r="AR802" s="1" t="s">
        <v>286</v>
      </c>
      <c r="AS802" s="1"/>
      <c r="AT802" s="1" t="s">
        <v>5</v>
      </c>
    </row>
    <row r="803" spans="1:46" hidden="1" x14ac:dyDescent="0.4">
      <c r="A803" s="1" t="s">
        <v>9799</v>
      </c>
      <c r="B803" s="10"/>
      <c r="C803" s="1" t="s">
        <v>0</v>
      </c>
      <c r="D803" s="1" t="s">
        <v>2157</v>
      </c>
      <c r="E803" s="1" t="s">
        <v>2078</v>
      </c>
      <c r="F803" s="1" t="s">
        <v>14</v>
      </c>
      <c r="G803" s="1" t="s">
        <v>1</v>
      </c>
      <c r="H803" s="1" t="s">
        <v>6</v>
      </c>
      <c r="I803" s="1" t="s">
        <v>2</v>
      </c>
      <c r="J803" s="1" t="s">
        <v>3</v>
      </c>
      <c r="K803" s="1" t="s">
        <v>9800</v>
      </c>
      <c r="L803" s="1" t="s">
        <v>7</v>
      </c>
      <c r="M803" s="1" t="s">
        <v>9</v>
      </c>
      <c r="N803" s="1" t="s">
        <v>9801</v>
      </c>
      <c r="O803" s="1" t="s">
        <v>9802</v>
      </c>
      <c r="P803" s="1"/>
      <c r="Q803" s="1"/>
      <c r="R803" s="1" t="s">
        <v>11</v>
      </c>
      <c r="S803" s="1"/>
      <c r="T803" s="1"/>
      <c r="U803" s="1"/>
      <c r="V803" s="1"/>
      <c r="W803" s="1"/>
      <c r="X803" s="1"/>
      <c r="Y803" s="1"/>
      <c r="Z803" s="1"/>
      <c r="AA803" s="1"/>
      <c r="AB803" s="1" t="s">
        <v>9803</v>
      </c>
      <c r="AC803" s="1"/>
      <c r="AD803" s="1"/>
      <c r="AE803" s="1" t="s">
        <v>9804</v>
      </c>
      <c r="AF803" s="1"/>
      <c r="AG803" s="1"/>
      <c r="AH803" s="1" t="s">
        <v>9805</v>
      </c>
      <c r="AI803" s="1"/>
      <c r="AJ803" s="1" t="s">
        <v>5971</v>
      </c>
      <c r="AK803" s="1" t="s">
        <v>1836</v>
      </c>
      <c r="AL803" s="1" t="s">
        <v>9806</v>
      </c>
      <c r="AM803" s="1" t="s">
        <v>9666</v>
      </c>
      <c r="AN803" s="1" t="s">
        <v>1839</v>
      </c>
      <c r="AO803" s="1"/>
      <c r="AP803" s="2" t="s">
        <v>9807</v>
      </c>
      <c r="AQ803" s="2" t="s">
        <v>1155</v>
      </c>
      <c r="AR803" s="1" t="s">
        <v>286</v>
      </c>
      <c r="AS803" s="1" t="s">
        <v>9808</v>
      </c>
      <c r="AT803" s="1" t="s">
        <v>5</v>
      </c>
    </row>
    <row r="804" spans="1:46" hidden="1" x14ac:dyDescent="0.4">
      <c r="A804" s="1" t="s">
        <v>7419</v>
      </c>
      <c r="B804" s="10"/>
      <c r="C804" s="1" t="s">
        <v>0</v>
      </c>
      <c r="D804" s="1" t="s">
        <v>2076</v>
      </c>
      <c r="E804" s="1" t="s">
        <v>2078</v>
      </c>
      <c r="F804" s="1" t="s">
        <v>14</v>
      </c>
      <c r="G804" s="1" t="s">
        <v>1</v>
      </c>
      <c r="H804" s="1" t="s">
        <v>6</v>
      </c>
      <c r="I804" s="1" t="s">
        <v>2</v>
      </c>
      <c r="J804" s="1" t="s">
        <v>3</v>
      </c>
      <c r="K804" s="1" t="s">
        <v>7420</v>
      </c>
      <c r="L804" s="1" t="s">
        <v>4</v>
      </c>
      <c r="M804" s="1" t="s">
        <v>9</v>
      </c>
      <c r="N804" s="1" t="s">
        <v>7421</v>
      </c>
      <c r="O804" s="1" t="s">
        <v>7422</v>
      </c>
      <c r="P804" s="1"/>
      <c r="Q804" s="1"/>
      <c r="R804" s="1" t="s">
        <v>11</v>
      </c>
      <c r="S804" s="1"/>
      <c r="T804" s="1"/>
      <c r="U804" s="1"/>
      <c r="V804" s="1"/>
      <c r="W804" s="1" t="s">
        <v>7423</v>
      </c>
      <c r="X804" s="1" t="s">
        <v>7424</v>
      </c>
      <c r="Y804" s="1"/>
      <c r="Z804" s="1"/>
      <c r="AA804" s="1"/>
      <c r="AB804" s="1" t="s">
        <v>7425</v>
      </c>
      <c r="AC804" s="1"/>
      <c r="AD804" s="1"/>
      <c r="AE804" s="1" t="s">
        <v>7426</v>
      </c>
      <c r="AF804" s="1"/>
      <c r="AG804" s="1"/>
      <c r="AH804" s="1" t="s">
        <v>7427</v>
      </c>
      <c r="AI804" s="1"/>
      <c r="AJ804" s="1" t="s">
        <v>148</v>
      </c>
      <c r="AK804" s="1" t="s">
        <v>502</v>
      </c>
      <c r="AL804" s="1" t="s">
        <v>149</v>
      </c>
      <c r="AM804" s="1" t="s">
        <v>7428</v>
      </c>
      <c r="AN804" s="1" t="s">
        <v>502</v>
      </c>
      <c r="AO804" s="1" t="s">
        <v>7429</v>
      </c>
      <c r="AP804" s="2" t="s">
        <v>7430</v>
      </c>
      <c r="AQ804" s="2" t="s">
        <v>1154</v>
      </c>
      <c r="AR804" s="1" t="s">
        <v>286</v>
      </c>
      <c r="AS804" s="1" t="s">
        <v>7431</v>
      </c>
      <c r="AT804" s="1" t="s">
        <v>5</v>
      </c>
    </row>
    <row r="805" spans="1:46" hidden="1" x14ac:dyDescent="0.4">
      <c r="A805" s="1" t="s">
        <v>10447</v>
      </c>
      <c r="B805" s="10"/>
      <c r="C805" s="1" t="s">
        <v>0</v>
      </c>
      <c r="D805" s="1" t="s">
        <v>2211</v>
      </c>
      <c r="E805" s="1" t="s">
        <v>2078</v>
      </c>
      <c r="F805" s="1" t="s">
        <v>14</v>
      </c>
      <c r="G805" s="1" t="s">
        <v>1</v>
      </c>
      <c r="H805" s="1" t="s">
        <v>6</v>
      </c>
      <c r="I805" s="1" t="s">
        <v>2</v>
      </c>
      <c r="J805" s="1" t="s">
        <v>3</v>
      </c>
      <c r="K805" s="1" t="s">
        <v>10448</v>
      </c>
      <c r="L805" s="1" t="s">
        <v>7</v>
      </c>
      <c r="M805" s="1" t="s">
        <v>9</v>
      </c>
      <c r="N805" s="1" t="s">
        <v>10449</v>
      </c>
      <c r="O805" s="1" t="s">
        <v>10450</v>
      </c>
      <c r="P805" s="1"/>
      <c r="Q805" s="1"/>
      <c r="R805" s="1" t="s">
        <v>11</v>
      </c>
      <c r="S805" s="1"/>
      <c r="T805" s="1"/>
      <c r="U805" s="1"/>
      <c r="V805" s="1"/>
      <c r="W805" s="1"/>
      <c r="X805" s="1"/>
      <c r="Y805" s="1"/>
      <c r="Z805" s="1"/>
      <c r="AA805" s="1"/>
      <c r="AB805" s="1" t="s">
        <v>10451</v>
      </c>
      <c r="AC805" s="1"/>
      <c r="AD805" s="1"/>
      <c r="AE805" s="1" t="s">
        <v>10452</v>
      </c>
      <c r="AF805" s="1"/>
      <c r="AG805" s="1"/>
      <c r="AH805" s="1" t="s">
        <v>10453</v>
      </c>
      <c r="AI805" s="1"/>
      <c r="AJ805" s="1" t="s">
        <v>10454</v>
      </c>
      <c r="AK805" s="1" t="s">
        <v>10455</v>
      </c>
      <c r="AL805" s="1"/>
      <c r="AM805" s="1" t="s">
        <v>10454</v>
      </c>
      <c r="AN805" s="1" t="s">
        <v>10455</v>
      </c>
      <c r="AO805" s="1"/>
      <c r="AP805" s="2" t="s">
        <v>10456</v>
      </c>
      <c r="AQ805" s="2" t="s">
        <v>1155</v>
      </c>
      <c r="AR805" s="1" t="s">
        <v>286</v>
      </c>
      <c r="AS805" s="1" t="s">
        <v>10457</v>
      </c>
      <c r="AT805" s="1" t="s">
        <v>5</v>
      </c>
    </row>
    <row r="806" spans="1:46" hidden="1" x14ac:dyDescent="0.4">
      <c r="A806" s="1" t="s">
        <v>11013</v>
      </c>
      <c r="B806" s="10"/>
      <c r="C806" s="1" t="s">
        <v>93</v>
      </c>
      <c r="D806" s="1" t="s">
        <v>2220</v>
      </c>
      <c r="E806" s="1" t="s">
        <v>2078</v>
      </c>
      <c r="F806" s="1" t="s">
        <v>14</v>
      </c>
      <c r="G806" s="1" t="s">
        <v>1</v>
      </c>
      <c r="H806" s="1" t="s">
        <v>6</v>
      </c>
      <c r="I806" s="1" t="s">
        <v>2</v>
      </c>
      <c r="J806" s="1" t="s">
        <v>3</v>
      </c>
      <c r="K806" s="1" t="s">
        <v>11014</v>
      </c>
      <c r="L806" s="1" t="s">
        <v>7</v>
      </c>
      <c r="M806" s="1"/>
      <c r="N806" s="1" t="s">
        <v>11015</v>
      </c>
      <c r="O806" s="1" t="s">
        <v>11016</v>
      </c>
      <c r="P806" s="1"/>
      <c r="Q806" s="1"/>
      <c r="R806" s="1" t="s">
        <v>11</v>
      </c>
      <c r="S806" s="1"/>
      <c r="T806" s="1"/>
      <c r="U806" s="1"/>
      <c r="V806" s="1"/>
      <c r="W806" s="1"/>
      <c r="X806" s="1" t="s">
        <v>9219</v>
      </c>
      <c r="Y806" s="1"/>
      <c r="Z806" s="1"/>
      <c r="AA806" s="1"/>
      <c r="AB806" s="1" t="s">
        <v>11017</v>
      </c>
      <c r="AC806" s="1"/>
      <c r="AD806" s="1"/>
      <c r="AE806" s="1"/>
      <c r="AF806" s="1"/>
      <c r="AG806" s="1"/>
      <c r="AH806" s="1" t="s">
        <v>11018</v>
      </c>
      <c r="AI806" s="1"/>
      <c r="AJ806" s="1" t="s">
        <v>9087</v>
      </c>
      <c r="AK806" s="1" t="s">
        <v>3947</v>
      </c>
      <c r="AL806" s="1" t="s">
        <v>9088</v>
      </c>
      <c r="AM806" s="1" t="s">
        <v>9087</v>
      </c>
      <c r="AN806" s="1" t="s">
        <v>3947</v>
      </c>
      <c r="AO806" s="1" t="s">
        <v>9088</v>
      </c>
      <c r="AP806" s="2" t="s">
        <v>11019</v>
      </c>
      <c r="AQ806" s="2" t="s">
        <v>1155</v>
      </c>
      <c r="AR806" s="1" t="s">
        <v>286</v>
      </c>
      <c r="AS806" s="1"/>
      <c r="AT806" s="1" t="s">
        <v>5</v>
      </c>
    </row>
    <row r="807" spans="1:46" hidden="1" x14ac:dyDescent="0.4">
      <c r="A807" s="1" t="s">
        <v>11804</v>
      </c>
      <c r="B807" s="10"/>
      <c r="C807" s="1" t="s">
        <v>93</v>
      </c>
      <c r="D807" s="1" t="s">
        <v>2396</v>
      </c>
      <c r="E807" s="1" t="s">
        <v>2078</v>
      </c>
      <c r="F807" s="1" t="s">
        <v>14</v>
      </c>
      <c r="G807" s="1" t="s">
        <v>1</v>
      </c>
      <c r="H807" s="1" t="s">
        <v>6</v>
      </c>
      <c r="I807" s="1" t="s">
        <v>2</v>
      </c>
      <c r="J807" s="1" t="s">
        <v>3</v>
      </c>
      <c r="K807" s="1" t="s">
        <v>11805</v>
      </c>
      <c r="L807" s="1" t="s">
        <v>7</v>
      </c>
      <c r="M807" s="1"/>
      <c r="N807" s="1" t="s">
        <v>11806</v>
      </c>
      <c r="O807" s="1" t="s">
        <v>7888</v>
      </c>
      <c r="P807" s="1"/>
      <c r="Q807" s="1" t="s">
        <v>12</v>
      </c>
      <c r="R807" s="1" t="s">
        <v>11</v>
      </c>
      <c r="S807" s="1"/>
      <c r="T807" s="1" t="s">
        <v>12</v>
      </c>
      <c r="U807" s="1" t="s">
        <v>11</v>
      </c>
      <c r="V807" s="1"/>
      <c r="W807" s="1" t="s">
        <v>11807</v>
      </c>
      <c r="X807" s="1"/>
      <c r="Y807" s="1"/>
      <c r="Z807" s="1"/>
      <c r="AA807" s="1"/>
      <c r="AB807" s="1" t="s">
        <v>11808</v>
      </c>
      <c r="AC807" s="1"/>
      <c r="AD807" s="1"/>
      <c r="AE807" s="1" t="s">
        <v>11809</v>
      </c>
      <c r="AF807" s="1"/>
      <c r="AG807" s="1"/>
      <c r="AH807" s="1" t="s">
        <v>11810</v>
      </c>
      <c r="AI807" s="1"/>
      <c r="AJ807" s="1" t="s">
        <v>11811</v>
      </c>
      <c r="AK807" s="1" t="s">
        <v>4427</v>
      </c>
      <c r="AL807" s="1" t="s">
        <v>11812</v>
      </c>
      <c r="AM807" s="1" t="s">
        <v>11811</v>
      </c>
      <c r="AN807" s="1" t="s">
        <v>4427</v>
      </c>
      <c r="AO807" s="1" t="s">
        <v>11812</v>
      </c>
      <c r="AP807" s="2" t="s">
        <v>11813</v>
      </c>
      <c r="AQ807" s="2" t="s">
        <v>1156</v>
      </c>
      <c r="AR807" s="1" t="s">
        <v>286</v>
      </c>
      <c r="AS807" s="1" t="s">
        <v>1076</v>
      </c>
      <c r="AT807" s="1" t="s">
        <v>5</v>
      </c>
    </row>
    <row r="808" spans="1:46" hidden="1" x14ac:dyDescent="0.4">
      <c r="A808" s="1" t="s">
        <v>6843</v>
      </c>
      <c r="B808" s="10"/>
      <c r="C808" s="1" t="s">
        <v>93</v>
      </c>
      <c r="D808" s="1" t="s">
        <v>2157</v>
      </c>
      <c r="E808" s="1" t="s">
        <v>2078</v>
      </c>
      <c r="F808" s="1" t="s">
        <v>14</v>
      </c>
      <c r="G808" s="1" t="s">
        <v>1</v>
      </c>
      <c r="H808" s="1" t="s">
        <v>6</v>
      </c>
      <c r="I808" s="1" t="s">
        <v>2</v>
      </c>
      <c r="J808" s="1" t="s">
        <v>3</v>
      </c>
      <c r="K808" s="1" t="s">
        <v>6844</v>
      </c>
      <c r="L808" s="1" t="s">
        <v>7</v>
      </c>
      <c r="M808" s="1"/>
      <c r="N808" s="1" t="s">
        <v>6845</v>
      </c>
      <c r="O808" s="1" t="s">
        <v>6846</v>
      </c>
      <c r="P808" s="1"/>
      <c r="Q808" s="1"/>
      <c r="R808" s="1" t="s">
        <v>11</v>
      </c>
      <c r="S808" s="1"/>
      <c r="T808" s="1"/>
      <c r="U808" s="1"/>
      <c r="V808" s="1"/>
      <c r="W808" s="1"/>
      <c r="X808" s="1"/>
      <c r="Y808" s="1"/>
      <c r="Z808" s="1"/>
      <c r="AA808" s="1"/>
      <c r="AB808" s="1" t="s">
        <v>6847</v>
      </c>
      <c r="AC808" s="1"/>
      <c r="AD808" s="1"/>
      <c r="AE808" s="1"/>
      <c r="AF808" s="1"/>
      <c r="AG808" s="1"/>
      <c r="AH808" s="1" t="s">
        <v>6848</v>
      </c>
      <c r="AI808" s="1"/>
      <c r="AJ808" s="1" t="s">
        <v>6849</v>
      </c>
      <c r="AK808" s="1" t="s">
        <v>329</v>
      </c>
      <c r="AL808" s="1" t="s">
        <v>6850</v>
      </c>
      <c r="AM808" s="1" t="s">
        <v>6851</v>
      </c>
      <c r="AN808" s="1" t="s">
        <v>6852</v>
      </c>
      <c r="AO808" s="1" t="s">
        <v>6853</v>
      </c>
      <c r="AP808" s="2" t="s">
        <v>6854</v>
      </c>
      <c r="AQ808" s="2" t="s">
        <v>1077</v>
      </c>
      <c r="AR808" s="1" t="s">
        <v>286</v>
      </c>
      <c r="AS808" s="1" t="s">
        <v>6825</v>
      </c>
      <c r="AT808" s="1" t="s">
        <v>5</v>
      </c>
    </row>
    <row r="809" spans="1:46" hidden="1" x14ac:dyDescent="0.4">
      <c r="A809" s="1" t="s">
        <v>10458</v>
      </c>
      <c r="B809" s="10"/>
      <c r="C809" s="1" t="s">
        <v>0</v>
      </c>
      <c r="D809" s="1" t="s">
        <v>2211</v>
      </c>
      <c r="E809" s="1" t="s">
        <v>2078</v>
      </c>
      <c r="F809" s="1" t="s">
        <v>14</v>
      </c>
      <c r="G809" s="1" t="s">
        <v>1</v>
      </c>
      <c r="H809" s="1" t="s">
        <v>6</v>
      </c>
      <c r="I809" s="1" t="s">
        <v>2</v>
      </c>
      <c r="J809" s="1" t="s">
        <v>3</v>
      </c>
      <c r="K809" s="1" t="s">
        <v>10459</v>
      </c>
      <c r="L809" s="1" t="s">
        <v>7</v>
      </c>
      <c r="M809" s="1" t="s">
        <v>9</v>
      </c>
      <c r="N809" s="1" t="s">
        <v>10460</v>
      </c>
      <c r="O809" s="1" t="s">
        <v>10450</v>
      </c>
      <c r="P809" s="1"/>
      <c r="Q809" s="1"/>
      <c r="R809" s="1" t="s">
        <v>11</v>
      </c>
      <c r="S809" s="1"/>
      <c r="T809" s="1"/>
      <c r="U809" s="1"/>
      <c r="V809" s="1"/>
      <c r="W809" s="1"/>
      <c r="X809" s="1"/>
      <c r="Y809" s="1"/>
      <c r="Z809" s="1"/>
      <c r="AA809" s="1"/>
      <c r="AB809" s="1" t="s">
        <v>10461</v>
      </c>
      <c r="AC809" s="1"/>
      <c r="AD809" s="1"/>
      <c r="AE809" s="1" t="s">
        <v>10452</v>
      </c>
      <c r="AF809" s="1"/>
      <c r="AG809" s="1"/>
      <c r="AH809" s="1" t="s">
        <v>10462</v>
      </c>
      <c r="AI809" s="1"/>
      <c r="AJ809" s="1" t="s">
        <v>10454</v>
      </c>
      <c r="AK809" s="1" t="s">
        <v>10455</v>
      </c>
      <c r="AL809" s="1"/>
      <c r="AM809" s="1" t="s">
        <v>10454</v>
      </c>
      <c r="AN809" s="1" t="s">
        <v>10455</v>
      </c>
      <c r="AO809" s="1"/>
      <c r="AP809" s="2" t="s">
        <v>10463</v>
      </c>
      <c r="AQ809" s="2" t="s">
        <v>1155</v>
      </c>
      <c r="AR809" s="1" t="s">
        <v>286</v>
      </c>
      <c r="AS809" s="1" t="s">
        <v>10464</v>
      </c>
      <c r="AT809" s="1" t="s">
        <v>5</v>
      </c>
    </row>
    <row r="810" spans="1:46" hidden="1" x14ac:dyDescent="0.4">
      <c r="A810" s="1" t="s">
        <v>9705</v>
      </c>
      <c r="B810" s="10"/>
      <c r="C810" s="1" t="s">
        <v>0</v>
      </c>
      <c r="D810" s="1" t="s">
        <v>2211</v>
      </c>
      <c r="E810" s="1" t="s">
        <v>2078</v>
      </c>
      <c r="F810" s="1" t="s">
        <v>14</v>
      </c>
      <c r="G810" s="1" t="s">
        <v>1</v>
      </c>
      <c r="H810" s="1" t="s">
        <v>6</v>
      </c>
      <c r="I810" s="1" t="s">
        <v>2</v>
      </c>
      <c r="J810" s="1" t="s">
        <v>3</v>
      </c>
      <c r="K810" s="1" t="s">
        <v>9706</v>
      </c>
      <c r="L810" s="1" t="s">
        <v>7</v>
      </c>
      <c r="M810" s="1" t="s">
        <v>9</v>
      </c>
      <c r="N810" s="1" t="s">
        <v>9707</v>
      </c>
      <c r="O810" s="1" t="s">
        <v>9708</v>
      </c>
      <c r="P810" s="1"/>
      <c r="Q810" s="1"/>
      <c r="R810" s="1" t="s">
        <v>11</v>
      </c>
      <c r="S810" s="1"/>
      <c r="T810" s="1"/>
      <c r="U810" s="1"/>
      <c r="V810" s="1"/>
      <c r="W810" s="1"/>
      <c r="X810" s="1"/>
      <c r="Y810" s="1"/>
      <c r="Z810" s="1"/>
      <c r="AA810" s="1"/>
      <c r="AB810" s="1" t="s">
        <v>9709</v>
      </c>
      <c r="AC810" s="1"/>
      <c r="AD810" s="1"/>
      <c r="AE810" s="1" t="s">
        <v>9710</v>
      </c>
      <c r="AF810" s="1"/>
      <c r="AG810" s="1"/>
      <c r="AH810" s="1" t="s">
        <v>9711</v>
      </c>
      <c r="AI810" s="1"/>
      <c r="AJ810" s="1" t="s">
        <v>55</v>
      </c>
      <c r="AK810" s="1" t="s">
        <v>476</v>
      </c>
      <c r="AL810" s="1"/>
      <c r="AM810" s="1" t="s">
        <v>9712</v>
      </c>
      <c r="AN810" s="1" t="s">
        <v>476</v>
      </c>
      <c r="AO810" s="1" t="s">
        <v>9713</v>
      </c>
      <c r="AP810" s="2" t="s">
        <v>9714</v>
      </c>
      <c r="AQ810" s="2" t="s">
        <v>1155</v>
      </c>
      <c r="AR810" s="1" t="s">
        <v>286</v>
      </c>
      <c r="AS810" s="1" t="s">
        <v>9715</v>
      </c>
      <c r="AT810" s="1" t="s">
        <v>5</v>
      </c>
    </row>
    <row r="811" spans="1:46" hidden="1" x14ac:dyDescent="0.4">
      <c r="A811" s="1" t="s">
        <v>10657</v>
      </c>
      <c r="B811" s="10"/>
      <c r="C811" s="1" t="s">
        <v>0</v>
      </c>
      <c r="D811" s="1" t="s">
        <v>2211</v>
      </c>
      <c r="E811" s="1" t="s">
        <v>2078</v>
      </c>
      <c r="F811" s="1" t="s">
        <v>14</v>
      </c>
      <c r="G811" s="1" t="s">
        <v>1</v>
      </c>
      <c r="H811" s="1" t="s">
        <v>6</v>
      </c>
      <c r="I811" s="1" t="s">
        <v>2</v>
      </c>
      <c r="J811" s="1" t="s">
        <v>3</v>
      </c>
      <c r="K811" s="1" t="s">
        <v>10658</v>
      </c>
      <c r="L811" s="1" t="s">
        <v>7</v>
      </c>
      <c r="M811" s="1" t="s">
        <v>9</v>
      </c>
      <c r="N811" s="1" t="s">
        <v>10659</v>
      </c>
      <c r="O811" s="1" t="s">
        <v>10450</v>
      </c>
      <c r="P811" s="1"/>
      <c r="Q811" s="1"/>
      <c r="R811" s="1" t="s">
        <v>11</v>
      </c>
      <c r="S811" s="1"/>
      <c r="T811" s="1"/>
      <c r="U811" s="1"/>
      <c r="V811" s="1"/>
      <c r="W811" s="1"/>
      <c r="X811" s="1"/>
      <c r="Y811" s="1"/>
      <c r="Z811" s="1"/>
      <c r="AA811" s="1"/>
      <c r="AB811" s="1" t="s">
        <v>10660</v>
      </c>
      <c r="AC811" s="1"/>
      <c r="AD811" s="1"/>
      <c r="AE811" s="1" t="s">
        <v>10661</v>
      </c>
      <c r="AF811" s="1"/>
      <c r="AG811" s="1"/>
      <c r="AH811" s="1" t="s">
        <v>10662</v>
      </c>
      <c r="AI811" s="1" t="s">
        <v>10663</v>
      </c>
      <c r="AJ811" s="1" t="s">
        <v>10652</v>
      </c>
      <c r="AK811" s="1" t="s">
        <v>10653</v>
      </c>
      <c r="AL811" s="1" t="s">
        <v>10654</v>
      </c>
      <c r="AM811" s="1" t="s">
        <v>10652</v>
      </c>
      <c r="AN811" s="1" t="s">
        <v>10653</v>
      </c>
      <c r="AO811" s="1" t="s">
        <v>10654</v>
      </c>
      <c r="AP811" s="2" t="s">
        <v>10664</v>
      </c>
      <c r="AQ811" s="2" t="s">
        <v>1155</v>
      </c>
      <c r="AR811" s="1" t="s">
        <v>286</v>
      </c>
      <c r="AS811" s="1" t="s">
        <v>970</v>
      </c>
      <c r="AT811" s="1" t="s">
        <v>5</v>
      </c>
    </row>
    <row r="812" spans="1:46" hidden="1" x14ac:dyDescent="0.4">
      <c r="A812" s="1" t="s">
        <v>9781</v>
      </c>
      <c r="B812" s="10"/>
      <c r="C812" s="1" t="s">
        <v>93</v>
      </c>
      <c r="D812" s="1" t="s">
        <v>2220</v>
      </c>
      <c r="E812" s="1" t="s">
        <v>2078</v>
      </c>
      <c r="F812" s="1" t="s">
        <v>14</v>
      </c>
      <c r="G812" s="1" t="s">
        <v>1</v>
      </c>
      <c r="H812" s="1" t="s">
        <v>6</v>
      </c>
      <c r="I812" s="1" t="s">
        <v>2</v>
      </c>
      <c r="J812" s="1" t="s">
        <v>3</v>
      </c>
      <c r="K812" s="1" t="s">
        <v>9782</v>
      </c>
      <c r="L812" s="1" t="s">
        <v>7</v>
      </c>
      <c r="M812" s="1"/>
      <c r="N812" s="1" t="s">
        <v>9783</v>
      </c>
      <c r="O812" s="1" t="s">
        <v>9784</v>
      </c>
      <c r="P812" s="1"/>
      <c r="Q812" s="1"/>
      <c r="R812" s="1" t="s">
        <v>11</v>
      </c>
      <c r="S812" s="1"/>
      <c r="T812" s="1"/>
      <c r="U812" s="1"/>
      <c r="V812" s="1"/>
      <c r="W812" s="1"/>
      <c r="X812" s="1" t="s">
        <v>9219</v>
      </c>
      <c r="Y812" s="1"/>
      <c r="Z812" s="1"/>
      <c r="AA812" s="1"/>
      <c r="AB812" s="1" t="s">
        <v>9785</v>
      </c>
      <c r="AC812" s="1"/>
      <c r="AD812" s="1"/>
      <c r="AE812" s="1" t="s">
        <v>9786</v>
      </c>
      <c r="AF812" s="1"/>
      <c r="AG812" s="1"/>
      <c r="AH812" s="1" t="s">
        <v>9787</v>
      </c>
      <c r="AI812" s="1"/>
      <c r="AJ812" s="1" t="s">
        <v>9087</v>
      </c>
      <c r="AK812" s="1" t="s">
        <v>3947</v>
      </c>
      <c r="AL812" s="1" t="s">
        <v>9088</v>
      </c>
      <c r="AM812" s="1" t="s">
        <v>9087</v>
      </c>
      <c r="AN812" s="1" t="s">
        <v>3947</v>
      </c>
      <c r="AO812" s="1" t="s">
        <v>9088</v>
      </c>
      <c r="AP812" s="2" t="s">
        <v>9788</v>
      </c>
      <c r="AQ812" s="2" t="s">
        <v>1155</v>
      </c>
      <c r="AR812" s="1" t="s">
        <v>286</v>
      </c>
      <c r="AS812" s="1"/>
      <c r="AT812" s="1" t="s">
        <v>5</v>
      </c>
    </row>
    <row r="813" spans="1:46" hidden="1" x14ac:dyDescent="0.4">
      <c r="A813" s="1" t="s">
        <v>10370</v>
      </c>
      <c r="B813" s="10"/>
      <c r="C813" s="1" t="s">
        <v>93</v>
      </c>
      <c r="D813" s="1" t="s">
        <v>2220</v>
      </c>
      <c r="E813" s="1" t="s">
        <v>2078</v>
      </c>
      <c r="F813" s="1" t="s">
        <v>14</v>
      </c>
      <c r="G813" s="1" t="s">
        <v>1</v>
      </c>
      <c r="H813" s="1" t="s">
        <v>6</v>
      </c>
      <c r="I813" s="1" t="s">
        <v>2</v>
      </c>
      <c r="J813" s="1" t="s">
        <v>3</v>
      </c>
      <c r="K813" s="1" t="s">
        <v>10371</v>
      </c>
      <c r="L813" s="1" t="s">
        <v>7</v>
      </c>
      <c r="M813" s="1"/>
      <c r="N813" s="1" t="s">
        <v>10372</v>
      </c>
      <c r="O813" s="1" t="s">
        <v>9905</v>
      </c>
      <c r="P813" s="1"/>
      <c r="Q813" s="1"/>
      <c r="R813" s="1" t="s">
        <v>11</v>
      </c>
      <c r="S813" s="1"/>
      <c r="T813" s="1"/>
      <c r="U813" s="1"/>
      <c r="V813" s="1"/>
      <c r="W813" s="1" t="s">
        <v>10373</v>
      </c>
      <c r="X813" s="1" t="s">
        <v>9219</v>
      </c>
      <c r="Y813" s="1"/>
      <c r="Z813" s="1"/>
      <c r="AA813" s="1"/>
      <c r="AB813" s="1" t="s">
        <v>10374</v>
      </c>
      <c r="AC813" s="1"/>
      <c r="AD813" s="1"/>
      <c r="AE813" s="1"/>
      <c r="AF813" s="1"/>
      <c r="AG813" s="1"/>
      <c r="AH813" s="1" t="s">
        <v>10375</v>
      </c>
      <c r="AI813" s="1"/>
      <c r="AJ813" s="1" t="s">
        <v>9087</v>
      </c>
      <c r="AK813" s="1" t="s">
        <v>3947</v>
      </c>
      <c r="AL813" s="1" t="s">
        <v>9088</v>
      </c>
      <c r="AM813" s="1" t="s">
        <v>9087</v>
      </c>
      <c r="AN813" s="1" t="s">
        <v>3947</v>
      </c>
      <c r="AO813" s="1" t="s">
        <v>9088</v>
      </c>
      <c r="AP813" s="2" t="s">
        <v>10376</v>
      </c>
      <c r="AQ813" s="2" t="s">
        <v>1155</v>
      </c>
      <c r="AR813" s="1" t="s">
        <v>286</v>
      </c>
      <c r="AS813" s="1" t="s">
        <v>970</v>
      </c>
      <c r="AT813" s="1" t="s">
        <v>5</v>
      </c>
    </row>
    <row r="814" spans="1:46" hidden="1" x14ac:dyDescent="0.4">
      <c r="A814" s="1" t="s">
        <v>11402</v>
      </c>
      <c r="B814" s="10"/>
      <c r="C814" s="1" t="s">
        <v>93</v>
      </c>
      <c r="D814" s="1" t="s">
        <v>2396</v>
      </c>
      <c r="E814" s="1" t="s">
        <v>2078</v>
      </c>
      <c r="F814" s="1" t="s">
        <v>14</v>
      </c>
      <c r="G814" s="1" t="s">
        <v>1</v>
      </c>
      <c r="H814" s="1" t="s">
        <v>6</v>
      </c>
      <c r="I814" s="1" t="s">
        <v>2</v>
      </c>
      <c r="J814" s="1" t="s">
        <v>3</v>
      </c>
      <c r="K814" s="1" t="s">
        <v>11403</v>
      </c>
      <c r="L814" s="1" t="s">
        <v>7</v>
      </c>
      <c r="M814" s="1"/>
      <c r="N814" s="1" t="s">
        <v>11404</v>
      </c>
      <c r="O814" s="1" t="s">
        <v>10195</v>
      </c>
      <c r="P814" s="1"/>
      <c r="Q814" s="1"/>
      <c r="R814" s="1" t="s">
        <v>11</v>
      </c>
      <c r="S814" s="1"/>
      <c r="T814" s="1"/>
      <c r="U814" s="1"/>
      <c r="V814" s="1"/>
      <c r="W814" s="1" t="s">
        <v>11405</v>
      </c>
      <c r="X814" s="1"/>
      <c r="Y814" s="1"/>
      <c r="Z814" s="1"/>
      <c r="AA814" s="1"/>
      <c r="AB814" s="1" t="s">
        <v>11406</v>
      </c>
      <c r="AC814" s="1"/>
      <c r="AD814" s="1"/>
      <c r="AE814" s="1" t="s">
        <v>10197</v>
      </c>
      <c r="AF814" s="1"/>
      <c r="AG814" s="1"/>
      <c r="AH814" s="1" t="s">
        <v>11407</v>
      </c>
      <c r="AI814" s="1"/>
      <c r="AJ814" s="1" t="s">
        <v>11408</v>
      </c>
      <c r="AK814" s="1" t="s">
        <v>8396</v>
      </c>
      <c r="AL814" s="1" t="s">
        <v>11409</v>
      </c>
      <c r="AM814" s="1" t="s">
        <v>11408</v>
      </c>
      <c r="AN814" s="1" t="s">
        <v>8396</v>
      </c>
      <c r="AO814" s="1" t="s">
        <v>11409</v>
      </c>
      <c r="AP814" s="2" t="s">
        <v>11410</v>
      </c>
      <c r="AQ814" s="2" t="s">
        <v>1155</v>
      </c>
      <c r="AR814" s="1" t="s">
        <v>286</v>
      </c>
      <c r="AS814" s="1" t="s">
        <v>11411</v>
      </c>
      <c r="AT814" s="1" t="s">
        <v>5</v>
      </c>
    </row>
    <row r="815" spans="1:46" hidden="1" x14ac:dyDescent="0.4">
      <c r="A815" s="1" t="s">
        <v>6571</v>
      </c>
      <c r="B815" s="10"/>
      <c r="C815" s="1" t="s">
        <v>6443</v>
      </c>
      <c r="D815" s="1" t="s">
        <v>2211</v>
      </c>
      <c r="E815" s="1" t="s">
        <v>2078</v>
      </c>
      <c r="F815" s="1" t="s">
        <v>14</v>
      </c>
      <c r="G815" s="1" t="s">
        <v>1</v>
      </c>
      <c r="H815" s="1" t="s">
        <v>6</v>
      </c>
      <c r="I815" s="1" t="s">
        <v>2</v>
      </c>
      <c r="J815" s="1" t="s">
        <v>3</v>
      </c>
      <c r="K815" s="1" t="s">
        <v>6572</v>
      </c>
      <c r="L815" s="1" t="s">
        <v>7</v>
      </c>
      <c r="M815" s="1"/>
      <c r="N815" s="1" t="s">
        <v>6573</v>
      </c>
      <c r="O815" s="1" t="s">
        <v>6463</v>
      </c>
      <c r="P815" s="1"/>
      <c r="Q815" s="1"/>
      <c r="R815" s="1" t="s">
        <v>11</v>
      </c>
      <c r="S815" s="1"/>
      <c r="T815" s="1"/>
      <c r="U815" s="1"/>
      <c r="V815" s="1"/>
      <c r="W815" s="1"/>
      <c r="X815" s="1"/>
      <c r="Y815" s="1"/>
      <c r="Z815" s="1"/>
      <c r="AA815" s="1"/>
      <c r="AB815" s="1" t="s">
        <v>6574</v>
      </c>
      <c r="AC815" s="1"/>
      <c r="AD815" s="1"/>
      <c r="AE815" s="1" t="s">
        <v>6466</v>
      </c>
      <c r="AF815" s="1"/>
      <c r="AG815" s="1"/>
      <c r="AH815" s="1" t="s">
        <v>6575</v>
      </c>
      <c r="AI815" s="1"/>
      <c r="AJ815" s="1" t="s">
        <v>6451</v>
      </c>
      <c r="AK815" s="1" t="s">
        <v>6452</v>
      </c>
      <c r="AL815" s="1" t="s">
        <v>6453</v>
      </c>
      <c r="AM815" s="1" t="s">
        <v>6451</v>
      </c>
      <c r="AN815" s="1" t="s">
        <v>6452</v>
      </c>
      <c r="AO815" s="1" t="s">
        <v>6453</v>
      </c>
      <c r="AP815" s="2" t="s">
        <v>6576</v>
      </c>
      <c r="AQ815" s="2" t="s">
        <v>1077</v>
      </c>
      <c r="AR815" s="1" t="s">
        <v>287</v>
      </c>
      <c r="AS815" s="1"/>
      <c r="AT815" s="1" t="s">
        <v>5</v>
      </c>
    </row>
    <row r="816" spans="1:46" hidden="1" x14ac:dyDescent="0.4">
      <c r="A816" s="1" t="s">
        <v>10679</v>
      </c>
      <c r="B816" s="10"/>
      <c r="C816" s="1" t="s">
        <v>6443</v>
      </c>
      <c r="D816" s="1" t="s">
        <v>2211</v>
      </c>
      <c r="E816" s="1" t="s">
        <v>2078</v>
      </c>
      <c r="F816" s="1" t="s">
        <v>14</v>
      </c>
      <c r="G816" s="1" t="s">
        <v>1</v>
      </c>
      <c r="H816" s="1" t="s">
        <v>6</v>
      </c>
      <c r="I816" s="1" t="s">
        <v>2</v>
      </c>
      <c r="J816" s="1" t="s">
        <v>3</v>
      </c>
      <c r="K816" s="1" t="s">
        <v>10680</v>
      </c>
      <c r="L816" s="1" t="s">
        <v>4</v>
      </c>
      <c r="M816" s="1"/>
      <c r="N816" s="1" t="s">
        <v>10681</v>
      </c>
      <c r="O816" s="1" t="s">
        <v>10682</v>
      </c>
      <c r="P816" s="1" t="s">
        <v>10683</v>
      </c>
      <c r="Q816" s="1"/>
      <c r="R816" s="1" t="s">
        <v>11</v>
      </c>
      <c r="S816" s="1"/>
      <c r="T816" s="1"/>
      <c r="U816" s="1"/>
      <c r="V816" s="1"/>
      <c r="W816" s="1" t="s">
        <v>10681</v>
      </c>
      <c r="X816" s="1"/>
      <c r="Y816" s="1"/>
      <c r="Z816" s="1"/>
      <c r="AA816" s="1"/>
      <c r="AB816" s="1" t="s">
        <v>10684</v>
      </c>
      <c r="AC816" s="1"/>
      <c r="AD816" s="1"/>
      <c r="AE816" s="1" t="s">
        <v>10685</v>
      </c>
      <c r="AF816" s="1"/>
      <c r="AG816" s="1"/>
      <c r="AH816" s="1" t="s">
        <v>10686</v>
      </c>
      <c r="AI816" s="1"/>
      <c r="AJ816" s="1" t="s">
        <v>8631</v>
      </c>
      <c r="AK816" s="1" t="s">
        <v>4889</v>
      </c>
      <c r="AL816" s="1" t="s">
        <v>8632</v>
      </c>
      <c r="AM816" s="1" t="s">
        <v>8631</v>
      </c>
      <c r="AN816" s="1" t="s">
        <v>4889</v>
      </c>
      <c r="AO816" s="1" t="s">
        <v>8632</v>
      </c>
      <c r="AP816" s="2" t="s">
        <v>10687</v>
      </c>
      <c r="AQ816" s="2" t="s">
        <v>1155</v>
      </c>
      <c r="AR816" s="1" t="s">
        <v>286</v>
      </c>
      <c r="AS816" s="1" t="s">
        <v>10688</v>
      </c>
      <c r="AT816" s="1" t="s">
        <v>5</v>
      </c>
    </row>
    <row r="817" spans="1:46" hidden="1" x14ac:dyDescent="0.4">
      <c r="A817" s="1" t="s">
        <v>6200</v>
      </c>
      <c r="B817" s="10"/>
      <c r="C817" s="1" t="s">
        <v>93</v>
      </c>
      <c r="D817" s="1" t="s">
        <v>2211</v>
      </c>
      <c r="E817" s="1" t="s">
        <v>2078</v>
      </c>
      <c r="F817" s="1" t="s">
        <v>14</v>
      </c>
      <c r="G817" s="1" t="s">
        <v>1</v>
      </c>
      <c r="H817" s="1" t="s">
        <v>6</v>
      </c>
      <c r="I817" s="1" t="s">
        <v>2</v>
      </c>
      <c r="J817" s="1" t="s">
        <v>3</v>
      </c>
      <c r="K817" s="1" t="s">
        <v>6201</v>
      </c>
      <c r="L817" s="1" t="s">
        <v>4</v>
      </c>
      <c r="M817" s="1"/>
      <c r="N817" s="1" t="s">
        <v>6202</v>
      </c>
      <c r="O817" s="1" t="s">
        <v>4185</v>
      </c>
      <c r="P817" s="1"/>
      <c r="Q817" s="1"/>
      <c r="R817" s="1" t="s">
        <v>11</v>
      </c>
      <c r="S817" s="1"/>
      <c r="T817" s="1"/>
      <c r="U817" s="1"/>
      <c r="V817" s="1"/>
      <c r="W817" s="1" t="s">
        <v>6203</v>
      </c>
      <c r="X817" s="1" t="s">
        <v>6204</v>
      </c>
      <c r="Y817" s="1"/>
      <c r="Z817" s="1"/>
      <c r="AA817" s="1"/>
      <c r="AB817" s="1" t="s">
        <v>6205</v>
      </c>
      <c r="AC817" s="1"/>
      <c r="AD817" s="1"/>
      <c r="AE817" s="1" t="s">
        <v>6206</v>
      </c>
      <c r="AF817" s="1"/>
      <c r="AG817" s="1"/>
      <c r="AH817" s="1" t="s">
        <v>6207</v>
      </c>
      <c r="AI817" s="1"/>
      <c r="AJ817" s="1" t="s">
        <v>3791</v>
      </c>
      <c r="AK817" s="1" t="s">
        <v>3792</v>
      </c>
      <c r="AL817" s="1" t="s">
        <v>3793</v>
      </c>
      <c r="AM817" s="1" t="s">
        <v>3791</v>
      </c>
      <c r="AN817" s="1" t="s">
        <v>3792</v>
      </c>
      <c r="AO817" s="1" t="s">
        <v>3793</v>
      </c>
      <c r="AP817" s="2" t="s">
        <v>6208</v>
      </c>
      <c r="AQ817" s="2" t="s">
        <v>1077</v>
      </c>
      <c r="AR817" s="1" t="s">
        <v>286</v>
      </c>
      <c r="AS817" s="1"/>
      <c r="AT817" s="1" t="s">
        <v>5</v>
      </c>
    </row>
    <row r="818" spans="1:46" hidden="1" x14ac:dyDescent="0.4">
      <c r="A818" s="1" t="s">
        <v>6793</v>
      </c>
      <c r="B818" s="10"/>
      <c r="C818" s="1" t="s">
        <v>93</v>
      </c>
      <c r="D818" s="1" t="s">
        <v>2827</v>
      </c>
      <c r="E818" s="1" t="s">
        <v>2078</v>
      </c>
      <c r="F818" s="1" t="s">
        <v>14</v>
      </c>
      <c r="G818" s="1" t="s">
        <v>1</v>
      </c>
      <c r="H818" s="1" t="s">
        <v>6</v>
      </c>
      <c r="I818" s="1" t="s">
        <v>2</v>
      </c>
      <c r="J818" s="1" t="s">
        <v>3</v>
      </c>
      <c r="K818" s="1" t="s">
        <v>6794</v>
      </c>
      <c r="L818" s="1" t="s">
        <v>7</v>
      </c>
      <c r="M818" s="1"/>
      <c r="N818" s="1" t="s">
        <v>6795</v>
      </c>
      <c r="O818" s="1" t="s">
        <v>6796</v>
      </c>
      <c r="P818" s="1"/>
      <c r="Q818" s="1"/>
      <c r="R818" s="1" t="s">
        <v>11</v>
      </c>
      <c r="S818" s="1"/>
      <c r="T818" s="1"/>
      <c r="U818" s="1"/>
      <c r="V818" s="1"/>
      <c r="W818" s="1" t="s">
        <v>6797</v>
      </c>
      <c r="X818" s="1"/>
      <c r="Y818" s="1"/>
      <c r="Z818" s="1"/>
      <c r="AA818" s="1"/>
      <c r="AB818" s="1" t="s">
        <v>6798</v>
      </c>
      <c r="AC818" s="1"/>
      <c r="AD818" s="1"/>
      <c r="AE818" s="1" t="s">
        <v>6799</v>
      </c>
      <c r="AF818" s="1"/>
      <c r="AG818" s="1"/>
      <c r="AH818" s="1" t="s">
        <v>6800</v>
      </c>
      <c r="AI818" s="1"/>
      <c r="AJ818" s="1" t="s">
        <v>4386</v>
      </c>
      <c r="AK818" s="1" t="s">
        <v>3792</v>
      </c>
      <c r="AL818" s="1" t="s">
        <v>4387</v>
      </c>
      <c r="AM818" s="1" t="s">
        <v>4386</v>
      </c>
      <c r="AN818" s="1" t="s">
        <v>3792</v>
      </c>
      <c r="AO818" s="1" t="s">
        <v>4387</v>
      </c>
      <c r="AP818" s="2" t="s">
        <v>6801</v>
      </c>
      <c r="AQ818" s="2" t="s">
        <v>1077</v>
      </c>
      <c r="AR818" s="1" t="s">
        <v>286</v>
      </c>
      <c r="AS818" s="1" t="s">
        <v>6792</v>
      </c>
      <c r="AT818" s="1" t="s">
        <v>5</v>
      </c>
    </row>
    <row r="819" spans="1:46" hidden="1" x14ac:dyDescent="0.4">
      <c r="A819" s="1" t="s">
        <v>11181</v>
      </c>
      <c r="B819" s="10"/>
      <c r="C819" s="1" t="s">
        <v>93</v>
      </c>
      <c r="D819" s="1" t="s">
        <v>2220</v>
      </c>
      <c r="E819" s="1" t="s">
        <v>2078</v>
      </c>
      <c r="F819" s="1" t="s">
        <v>14</v>
      </c>
      <c r="G819" s="1" t="s">
        <v>1</v>
      </c>
      <c r="H819" s="1" t="s">
        <v>6</v>
      </c>
      <c r="I819" s="1" t="s">
        <v>2</v>
      </c>
      <c r="J819" s="1" t="s">
        <v>3</v>
      </c>
      <c r="K819" s="1" t="s">
        <v>11182</v>
      </c>
      <c r="L819" s="1" t="s">
        <v>7</v>
      </c>
      <c r="M819" s="1"/>
      <c r="N819" s="1" t="s">
        <v>11183</v>
      </c>
      <c r="O819" s="1" t="s">
        <v>11184</v>
      </c>
      <c r="P819" s="1"/>
      <c r="Q819" s="1"/>
      <c r="R819" s="1" t="s">
        <v>11</v>
      </c>
      <c r="S819" s="1"/>
      <c r="T819" s="1"/>
      <c r="U819" s="1"/>
      <c r="V819" s="1"/>
      <c r="W819" s="1" t="s">
        <v>9906</v>
      </c>
      <c r="X819" s="1" t="s">
        <v>9219</v>
      </c>
      <c r="Y819" s="1"/>
      <c r="Z819" s="1"/>
      <c r="AA819" s="1"/>
      <c r="AB819" s="1" t="s">
        <v>11185</v>
      </c>
      <c r="AC819" s="1"/>
      <c r="AD819" s="1"/>
      <c r="AE819" s="1"/>
      <c r="AF819" s="1"/>
      <c r="AG819" s="1"/>
      <c r="AH819" s="1" t="s">
        <v>11186</v>
      </c>
      <c r="AI819" s="1"/>
      <c r="AJ819" s="1" t="s">
        <v>11187</v>
      </c>
      <c r="AK819" s="1" t="s">
        <v>11188</v>
      </c>
      <c r="AL819" s="1" t="s">
        <v>11189</v>
      </c>
      <c r="AM819" s="1" t="s">
        <v>11187</v>
      </c>
      <c r="AN819" s="1" t="s">
        <v>11188</v>
      </c>
      <c r="AO819" s="1" t="s">
        <v>11189</v>
      </c>
      <c r="AP819" s="2" t="s">
        <v>11190</v>
      </c>
      <c r="AQ819" s="2" t="s">
        <v>1155</v>
      </c>
      <c r="AR819" s="1" t="s">
        <v>286</v>
      </c>
      <c r="AS819" s="1" t="s">
        <v>1882</v>
      </c>
      <c r="AT819" s="1" t="s">
        <v>5</v>
      </c>
    </row>
    <row r="820" spans="1:46" hidden="1" x14ac:dyDescent="0.4">
      <c r="A820" s="1" t="s">
        <v>11250</v>
      </c>
      <c r="B820" s="10"/>
      <c r="C820" s="1" t="s">
        <v>0</v>
      </c>
      <c r="D820" s="1" t="s">
        <v>2211</v>
      </c>
      <c r="E820" s="1" t="s">
        <v>2078</v>
      </c>
      <c r="F820" s="1" t="s">
        <v>14</v>
      </c>
      <c r="G820" s="1" t="s">
        <v>1</v>
      </c>
      <c r="H820" s="1" t="s">
        <v>6</v>
      </c>
      <c r="I820" s="1" t="s">
        <v>2</v>
      </c>
      <c r="J820" s="1" t="s">
        <v>3</v>
      </c>
      <c r="K820" s="1" t="s">
        <v>11251</v>
      </c>
      <c r="L820" s="1" t="s">
        <v>7</v>
      </c>
      <c r="M820" s="1"/>
      <c r="N820" s="1" t="s">
        <v>11252</v>
      </c>
      <c r="O820" s="1" t="s">
        <v>10450</v>
      </c>
      <c r="P820" s="1"/>
      <c r="Q820" s="1"/>
      <c r="R820" s="1" t="s">
        <v>11</v>
      </c>
      <c r="S820" s="1"/>
      <c r="T820" s="1"/>
      <c r="U820" s="1"/>
      <c r="V820" s="1"/>
      <c r="W820" s="1"/>
      <c r="X820" s="1"/>
      <c r="Y820" s="1"/>
      <c r="Z820" s="1"/>
      <c r="AA820" s="1"/>
      <c r="AB820" s="1" t="s">
        <v>11253</v>
      </c>
      <c r="AC820" s="1"/>
      <c r="AD820" s="1"/>
      <c r="AE820" s="1" t="s">
        <v>11247</v>
      </c>
      <c r="AF820" s="1"/>
      <c r="AG820" s="1"/>
      <c r="AH820" s="1" t="s">
        <v>11254</v>
      </c>
      <c r="AI820" s="1"/>
      <c r="AJ820" s="1" t="s">
        <v>10652</v>
      </c>
      <c r="AK820" s="1" t="s">
        <v>10653</v>
      </c>
      <c r="AL820" s="1" t="s">
        <v>10654</v>
      </c>
      <c r="AM820" s="1" t="s">
        <v>10652</v>
      </c>
      <c r="AN820" s="1" t="s">
        <v>10653</v>
      </c>
      <c r="AO820" s="1" t="s">
        <v>10654</v>
      </c>
      <c r="AP820" s="2" t="s">
        <v>11255</v>
      </c>
      <c r="AQ820" s="2" t="s">
        <v>1155</v>
      </c>
      <c r="AR820" s="1" t="s">
        <v>286</v>
      </c>
      <c r="AS820" s="1" t="s">
        <v>1068</v>
      </c>
      <c r="AT820" s="1" t="s">
        <v>5</v>
      </c>
    </row>
    <row r="821" spans="1:46" hidden="1" x14ac:dyDescent="0.4">
      <c r="A821" s="1" t="s">
        <v>11243</v>
      </c>
      <c r="B821" s="10"/>
      <c r="C821" s="1" t="s">
        <v>0</v>
      </c>
      <c r="D821" s="1" t="s">
        <v>2211</v>
      </c>
      <c r="E821" s="1" t="s">
        <v>2078</v>
      </c>
      <c r="F821" s="1" t="s">
        <v>14</v>
      </c>
      <c r="G821" s="1" t="s">
        <v>1</v>
      </c>
      <c r="H821" s="1" t="s">
        <v>6</v>
      </c>
      <c r="I821" s="1" t="s">
        <v>2</v>
      </c>
      <c r="J821" s="1" t="s">
        <v>3</v>
      </c>
      <c r="K821" s="1" t="s">
        <v>11244</v>
      </c>
      <c r="L821" s="1" t="s">
        <v>7</v>
      </c>
      <c r="M821" s="1"/>
      <c r="N821" s="1" t="s">
        <v>11245</v>
      </c>
      <c r="O821" s="1" t="s">
        <v>10450</v>
      </c>
      <c r="P821" s="1"/>
      <c r="Q821" s="1"/>
      <c r="R821" s="1" t="s">
        <v>11</v>
      </c>
      <c r="S821" s="1"/>
      <c r="T821" s="1"/>
      <c r="U821" s="1"/>
      <c r="V821" s="1"/>
      <c r="W821" s="1"/>
      <c r="X821" s="1"/>
      <c r="Y821" s="1"/>
      <c r="Z821" s="1"/>
      <c r="AA821" s="1"/>
      <c r="AB821" s="1" t="s">
        <v>11246</v>
      </c>
      <c r="AC821" s="1"/>
      <c r="AD821" s="1"/>
      <c r="AE821" s="1" t="s">
        <v>11247</v>
      </c>
      <c r="AF821" s="1"/>
      <c r="AG821" s="1"/>
      <c r="AH821" s="1" t="s">
        <v>11248</v>
      </c>
      <c r="AI821" s="1"/>
      <c r="AJ821" s="1" t="s">
        <v>10652</v>
      </c>
      <c r="AK821" s="1" t="s">
        <v>10653</v>
      </c>
      <c r="AL821" s="1" t="s">
        <v>10654</v>
      </c>
      <c r="AM821" s="1" t="s">
        <v>10652</v>
      </c>
      <c r="AN821" s="1" t="s">
        <v>10653</v>
      </c>
      <c r="AO821" s="1" t="s">
        <v>10654</v>
      </c>
      <c r="AP821" s="2" t="s">
        <v>11249</v>
      </c>
      <c r="AQ821" s="2" t="s">
        <v>1155</v>
      </c>
      <c r="AR821" s="1" t="s">
        <v>286</v>
      </c>
      <c r="AS821" s="1" t="s">
        <v>1068</v>
      </c>
      <c r="AT821" s="1" t="s">
        <v>5</v>
      </c>
    </row>
    <row r="822" spans="1:46" hidden="1" x14ac:dyDescent="0.4">
      <c r="A822" s="1" t="s">
        <v>10998</v>
      </c>
      <c r="B822" s="10"/>
      <c r="C822" s="1" t="s">
        <v>0</v>
      </c>
      <c r="D822" s="1" t="s">
        <v>2211</v>
      </c>
      <c r="E822" s="1" t="s">
        <v>2078</v>
      </c>
      <c r="F822" s="1" t="s">
        <v>14</v>
      </c>
      <c r="G822" s="1" t="s">
        <v>1</v>
      </c>
      <c r="H822" s="1" t="s">
        <v>6</v>
      </c>
      <c r="I822" s="1" t="s">
        <v>2</v>
      </c>
      <c r="J822" s="1" t="s">
        <v>3</v>
      </c>
      <c r="K822" s="1" t="s">
        <v>10999</v>
      </c>
      <c r="L822" s="1" t="s">
        <v>7</v>
      </c>
      <c r="M822" s="1" t="s">
        <v>9</v>
      </c>
      <c r="N822" s="1" t="s">
        <v>11000</v>
      </c>
      <c r="O822" s="1" t="s">
        <v>10450</v>
      </c>
      <c r="P822" s="1"/>
      <c r="Q822" s="1"/>
      <c r="R822" s="1" t="s">
        <v>11</v>
      </c>
      <c r="S822" s="1"/>
      <c r="T822" s="1"/>
      <c r="U822" s="1"/>
      <c r="V822" s="1"/>
      <c r="W822" s="1"/>
      <c r="X822" s="1"/>
      <c r="Y822" s="1"/>
      <c r="Z822" s="1"/>
      <c r="AA822" s="1"/>
      <c r="AB822" s="1" t="s">
        <v>11001</v>
      </c>
      <c r="AC822" s="1"/>
      <c r="AD822" s="1"/>
      <c r="AE822" s="1" t="s">
        <v>10995</v>
      </c>
      <c r="AF822" s="1"/>
      <c r="AG822" s="1"/>
      <c r="AH822" s="1" t="s">
        <v>11002</v>
      </c>
      <c r="AI822" s="1"/>
      <c r="AJ822" s="1" t="s">
        <v>10652</v>
      </c>
      <c r="AK822" s="1" t="s">
        <v>10653</v>
      </c>
      <c r="AL822" s="1" t="s">
        <v>10654</v>
      </c>
      <c r="AM822" s="1" t="s">
        <v>10652</v>
      </c>
      <c r="AN822" s="1" t="s">
        <v>10653</v>
      </c>
      <c r="AO822" s="1" t="s">
        <v>10654</v>
      </c>
      <c r="AP822" s="2" t="s">
        <v>11003</v>
      </c>
      <c r="AQ822" s="2" t="s">
        <v>1155</v>
      </c>
      <c r="AR822" s="1" t="s">
        <v>286</v>
      </c>
      <c r="AS822" s="1"/>
      <c r="AT822" s="1" t="s">
        <v>5</v>
      </c>
    </row>
    <row r="823" spans="1:46" hidden="1" x14ac:dyDescent="0.4">
      <c r="A823" s="1" t="s">
        <v>10991</v>
      </c>
      <c r="B823" s="10"/>
      <c r="C823" s="1" t="s">
        <v>0</v>
      </c>
      <c r="D823" s="1" t="s">
        <v>2211</v>
      </c>
      <c r="E823" s="1" t="s">
        <v>2078</v>
      </c>
      <c r="F823" s="1" t="s">
        <v>14</v>
      </c>
      <c r="G823" s="1" t="s">
        <v>1</v>
      </c>
      <c r="H823" s="1" t="s">
        <v>6</v>
      </c>
      <c r="I823" s="1" t="s">
        <v>2</v>
      </c>
      <c r="J823" s="1" t="s">
        <v>3</v>
      </c>
      <c r="K823" s="1" t="s">
        <v>10992</v>
      </c>
      <c r="L823" s="1" t="s">
        <v>7</v>
      </c>
      <c r="M823" s="1" t="s">
        <v>9</v>
      </c>
      <c r="N823" s="1" t="s">
        <v>10993</v>
      </c>
      <c r="O823" s="1" t="s">
        <v>10450</v>
      </c>
      <c r="P823" s="1"/>
      <c r="Q823" s="1"/>
      <c r="R823" s="1" t="s">
        <v>11</v>
      </c>
      <c r="S823" s="1"/>
      <c r="T823" s="1"/>
      <c r="U823" s="1"/>
      <c r="V823" s="1"/>
      <c r="W823" s="1"/>
      <c r="X823" s="1"/>
      <c r="Y823" s="1"/>
      <c r="Z823" s="1"/>
      <c r="AA823" s="1"/>
      <c r="AB823" s="1" t="s">
        <v>10994</v>
      </c>
      <c r="AC823" s="1"/>
      <c r="AD823" s="1"/>
      <c r="AE823" s="1" t="s">
        <v>10995</v>
      </c>
      <c r="AF823" s="1"/>
      <c r="AG823" s="1"/>
      <c r="AH823" s="1" t="s">
        <v>10996</v>
      </c>
      <c r="AI823" s="1"/>
      <c r="AJ823" s="1" t="s">
        <v>10652</v>
      </c>
      <c r="AK823" s="1" t="s">
        <v>10653</v>
      </c>
      <c r="AL823" s="1" t="s">
        <v>10654</v>
      </c>
      <c r="AM823" s="1" t="s">
        <v>10652</v>
      </c>
      <c r="AN823" s="1" t="s">
        <v>10653</v>
      </c>
      <c r="AO823" s="1" t="s">
        <v>10654</v>
      </c>
      <c r="AP823" s="2" t="s">
        <v>10997</v>
      </c>
      <c r="AQ823" s="2" t="s">
        <v>1155</v>
      </c>
      <c r="AR823" s="1" t="s">
        <v>286</v>
      </c>
      <c r="AS823" s="1"/>
      <c r="AT823" s="1" t="s">
        <v>5</v>
      </c>
    </row>
    <row r="824" spans="1:46" hidden="1" x14ac:dyDescent="0.4">
      <c r="A824" s="7" t="s">
        <v>2156</v>
      </c>
      <c r="B824" s="11"/>
      <c r="C824" s="1" t="s">
        <v>0</v>
      </c>
      <c r="D824" s="1" t="s">
        <v>2157</v>
      </c>
      <c r="E824" s="1" t="s">
        <v>13</v>
      </c>
      <c r="F824" s="1" t="s">
        <v>14</v>
      </c>
      <c r="G824" s="1" t="s">
        <v>1</v>
      </c>
      <c r="H824" s="1" t="s">
        <v>6</v>
      </c>
      <c r="I824" s="1" t="s">
        <v>2</v>
      </c>
      <c r="J824" s="1" t="s">
        <v>3</v>
      </c>
      <c r="K824" s="1" t="s">
        <v>2158</v>
      </c>
      <c r="L824" s="1" t="s">
        <v>7</v>
      </c>
      <c r="M824" s="1" t="s">
        <v>9</v>
      </c>
      <c r="N824" s="1" t="s">
        <v>2159</v>
      </c>
      <c r="O824" s="1" t="s">
        <v>2160</v>
      </c>
      <c r="P824" s="1"/>
      <c r="Q824" s="1"/>
      <c r="R824" s="1" t="s">
        <v>11</v>
      </c>
      <c r="S824" s="1"/>
      <c r="T824" s="1"/>
      <c r="U824" s="1"/>
      <c r="V824" s="1"/>
      <c r="W824" s="1"/>
      <c r="X824" s="1" t="s">
        <v>2161</v>
      </c>
      <c r="Y824" s="1"/>
      <c r="Z824" s="1"/>
      <c r="AA824" s="1"/>
      <c r="AB824" s="1"/>
      <c r="AC824" s="1"/>
      <c r="AD824" s="1"/>
      <c r="AE824" s="6" t="s">
        <v>2162</v>
      </c>
      <c r="AF824" s="1"/>
      <c r="AG824" s="1"/>
      <c r="AH824" s="1" t="s">
        <v>2163</v>
      </c>
      <c r="AI824" s="1"/>
      <c r="AJ824" s="1"/>
      <c r="AK824" s="1"/>
      <c r="AL824" s="1"/>
      <c r="AM824" s="1"/>
      <c r="AN824" s="1"/>
      <c r="AO824" s="1"/>
      <c r="AP824" s="2" t="s">
        <v>2164</v>
      </c>
      <c r="AQ824" s="2" t="s">
        <v>1155</v>
      </c>
      <c r="AR824" s="1"/>
      <c r="AS824" s="1"/>
      <c r="AT824" s="1" t="s">
        <v>5</v>
      </c>
    </row>
    <row r="825" spans="1:46" hidden="1" x14ac:dyDescent="0.4">
      <c r="A825" s="7" t="s">
        <v>2165</v>
      </c>
      <c r="B825" s="11"/>
      <c r="C825" s="1" t="s">
        <v>0</v>
      </c>
      <c r="D825" s="1" t="s">
        <v>2157</v>
      </c>
      <c r="E825" s="1" t="s">
        <v>2078</v>
      </c>
      <c r="F825" s="1" t="s">
        <v>14</v>
      </c>
      <c r="G825" s="1" t="s">
        <v>1</v>
      </c>
      <c r="H825" s="1" t="s">
        <v>6</v>
      </c>
      <c r="I825" s="1" t="s">
        <v>2</v>
      </c>
      <c r="J825" s="1" t="s">
        <v>3</v>
      </c>
      <c r="K825" s="1" t="s">
        <v>2166</v>
      </c>
      <c r="L825" s="1" t="s">
        <v>7</v>
      </c>
      <c r="M825" s="1" t="s">
        <v>9</v>
      </c>
      <c r="N825" s="1" t="s">
        <v>2167</v>
      </c>
      <c r="O825" s="1" t="s">
        <v>2160</v>
      </c>
      <c r="P825" s="1"/>
      <c r="Q825" s="1"/>
      <c r="R825" s="1" t="s">
        <v>11</v>
      </c>
      <c r="S825" s="1"/>
      <c r="T825" s="1"/>
      <c r="U825" s="1"/>
      <c r="V825" s="1"/>
      <c r="W825" s="1"/>
      <c r="X825" s="1"/>
      <c r="Y825" s="1"/>
      <c r="Z825" s="1"/>
      <c r="AA825" s="1"/>
      <c r="AB825" s="1"/>
      <c r="AC825" s="1"/>
      <c r="AD825" s="1"/>
      <c r="AE825" s="6" t="s">
        <v>2168</v>
      </c>
      <c r="AF825" s="1"/>
      <c r="AG825" s="1"/>
      <c r="AH825" s="1" t="s">
        <v>2169</v>
      </c>
      <c r="AI825" s="1"/>
      <c r="AJ825" s="1"/>
      <c r="AK825" s="1"/>
      <c r="AL825" s="1"/>
      <c r="AM825" s="1"/>
      <c r="AN825" s="1"/>
      <c r="AO825" s="1"/>
      <c r="AP825" s="2" t="s">
        <v>2170</v>
      </c>
      <c r="AQ825" s="2" t="s">
        <v>1153</v>
      </c>
      <c r="AR825" s="1"/>
      <c r="AS825" s="1"/>
      <c r="AT825" s="1" t="s">
        <v>10</v>
      </c>
    </row>
    <row r="826" spans="1:46" hidden="1" x14ac:dyDescent="0.4">
      <c r="A826" s="7" t="s">
        <v>2171</v>
      </c>
      <c r="B826" s="11"/>
      <c r="C826" s="1" t="s">
        <v>0</v>
      </c>
      <c r="D826" s="1" t="s">
        <v>2157</v>
      </c>
      <c r="E826" s="1" t="s">
        <v>2078</v>
      </c>
      <c r="F826" s="1" t="s">
        <v>14</v>
      </c>
      <c r="G826" s="1" t="s">
        <v>1</v>
      </c>
      <c r="H826" s="1" t="s">
        <v>6</v>
      </c>
      <c r="I826" s="1" t="s">
        <v>2</v>
      </c>
      <c r="J826" s="1" t="s">
        <v>3</v>
      </c>
      <c r="K826" s="1" t="s">
        <v>2172</v>
      </c>
      <c r="L826" s="1" t="s">
        <v>7</v>
      </c>
      <c r="M826" s="1" t="s">
        <v>9</v>
      </c>
      <c r="N826" s="1" t="s">
        <v>2173</v>
      </c>
      <c r="O826" s="1" t="s">
        <v>2160</v>
      </c>
      <c r="P826" s="1"/>
      <c r="Q826" s="1"/>
      <c r="R826" s="1" t="s">
        <v>11</v>
      </c>
      <c r="S826" s="1"/>
      <c r="T826" s="1"/>
      <c r="U826" s="1"/>
      <c r="V826" s="1"/>
      <c r="W826" s="1"/>
      <c r="X826" s="1"/>
      <c r="Y826" s="1"/>
      <c r="Z826" s="1"/>
      <c r="AA826" s="1"/>
      <c r="AB826" s="1"/>
      <c r="AC826" s="1"/>
      <c r="AD826" s="1"/>
      <c r="AE826" s="6" t="s">
        <v>2174</v>
      </c>
      <c r="AF826" s="1"/>
      <c r="AG826" s="1"/>
      <c r="AH826" s="1" t="s">
        <v>2175</v>
      </c>
      <c r="AI826" s="1"/>
      <c r="AJ826" s="1"/>
      <c r="AK826" s="1"/>
      <c r="AL826" s="1"/>
      <c r="AM826" s="1"/>
      <c r="AN826" s="1"/>
      <c r="AO826" s="1"/>
      <c r="AP826" s="2" t="s">
        <v>2176</v>
      </c>
      <c r="AQ826" s="2" t="s">
        <v>1154</v>
      </c>
      <c r="AR826" s="1"/>
      <c r="AS826" s="1"/>
      <c r="AT826" s="1" t="s">
        <v>10</v>
      </c>
    </row>
    <row r="827" spans="1:46" hidden="1" x14ac:dyDescent="0.4">
      <c r="A827" s="7" t="s">
        <v>2177</v>
      </c>
      <c r="B827" s="11"/>
      <c r="C827" s="1" t="s">
        <v>0</v>
      </c>
      <c r="D827" s="1" t="s">
        <v>2157</v>
      </c>
      <c r="E827" s="1" t="s">
        <v>2078</v>
      </c>
      <c r="F827" s="1" t="s">
        <v>14</v>
      </c>
      <c r="G827" s="1" t="s">
        <v>1</v>
      </c>
      <c r="H827" s="1" t="s">
        <v>6</v>
      </c>
      <c r="I827" s="1" t="s">
        <v>2</v>
      </c>
      <c r="J827" s="1" t="s">
        <v>3</v>
      </c>
      <c r="K827" s="1" t="s">
        <v>2178</v>
      </c>
      <c r="L827" s="1" t="s">
        <v>7</v>
      </c>
      <c r="M827" s="1" t="s">
        <v>9</v>
      </c>
      <c r="N827" s="1" t="s">
        <v>2179</v>
      </c>
      <c r="O827" s="1" t="s">
        <v>2160</v>
      </c>
      <c r="P827" s="1"/>
      <c r="Q827" s="1"/>
      <c r="R827" s="1" t="s">
        <v>11</v>
      </c>
      <c r="S827" s="1"/>
      <c r="T827" s="1"/>
      <c r="U827" s="1"/>
      <c r="V827" s="1"/>
      <c r="W827" s="1"/>
      <c r="X827" s="1" t="s">
        <v>2180</v>
      </c>
      <c r="Y827" s="1"/>
      <c r="Z827" s="1"/>
      <c r="AA827" s="1"/>
      <c r="AB827" s="1"/>
      <c r="AC827" s="1"/>
      <c r="AD827" s="1"/>
      <c r="AE827" s="6" t="s">
        <v>2181</v>
      </c>
      <c r="AF827" s="1"/>
      <c r="AG827" s="1"/>
      <c r="AH827" s="1" t="s">
        <v>2182</v>
      </c>
      <c r="AI827" s="1"/>
      <c r="AJ827" s="1"/>
      <c r="AK827" s="1"/>
      <c r="AL827" s="1"/>
      <c r="AM827" s="1"/>
      <c r="AN827" s="1"/>
      <c r="AO827" s="1"/>
      <c r="AP827" s="2" t="s">
        <v>2183</v>
      </c>
      <c r="AQ827" s="2" t="s">
        <v>1153</v>
      </c>
      <c r="AR827" s="1"/>
      <c r="AS827" s="1"/>
      <c r="AT827" s="1" t="s">
        <v>10</v>
      </c>
    </row>
    <row r="828" spans="1:46" hidden="1" x14ac:dyDescent="0.4">
      <c r="A828" s="7" t="s">
        <v>2184</v>
      </c>
      <c r="B828" s="11"/>
      <c r="C828" s="1" t="s">
        <v>0</v>
      </c>
      <c r="D828" s="1" t="s">
        <v>2157</v>
      </c>
      <c r="E828" s="1" t="s">
        <v>2078</v>
      </c>
      <c r="F828" s="1" t="s">
        <v>14</v>
      </c>
      <c r="G828" s="1" t="s">
        <v>1</v>
      </c>
      <c r="H828" s="1" t="s">
        <v>6</v>
      </c>
      <c r="I828" s="1" t="s">
        <v>2</v>
      </c>
      <c r="J828" s="1" t="s">
        <v>3</v>
      </c>
      <c r="K828" s="1" t="s">
        <v>2185</v>
      </c>
      <c r="L828" s="1" t="s">
        <v>7</v>
      </c>
      <c r="M828" s="1" t="s">
        <v>9</v>
      </c>
      <c r="N828" s="1" t="s">
        <v>2186</v>
      </c>
      <c r="O828" s="1" t="s">
        <v>2160</v>
      </c>
      <c r="P828" s="1"/>
      <c r="Q828" s="1"/>
      <c r="R828" s="1" t="s">
        <v>11</v>
      </c>
      <c r="S828" s="1"/>
      <c r="T828" s="1"/>
      <c r="U828" s="1"/>
      <c r="V828" s="1"/>
      <c r="W828" s="1"/>
      <c r="X828" s="1"/>
      <c r="Y828" s="1"/>
      <c r="Z828" s="1"/>
      <c r="AA828" s="1"/>
      <c r="AB828" s="1"/>
      <c r="AC828" s="1"/>
      <c r="AD828" s="1"/>
      <c r="AE828" s="6" t="s">
        <v>2187</v>
      </c>
      <c r="AF828" s="1"/>
      <c r="AG828" s="1"/>
      <c r="AH828" s="1" t="s">
        <v>2188</v>
      </c>
      <c r="AI828" s="1"/>
      <c r="AJ828" s="1"/>
      <c r="AK828" s="1"/>
      <c r="AL828" s="1"/>
      <c r="AM828" s="1"/>
      <c r="AN828" s="1"/>
      <c r="AO828" s="1"/>
      <c r="AP828" s="2" t="s">
        <v>2189</v>
      </c>
      <c r="AQ828" s="2" t="s">
        <v>1154</v>
      </c>
      <c r="AR828" s="1"/>
      <c r="AS828" s="1"/>
      <c r="AT828" s="1" t="s">
        <v>10</v>
      </c>
    </row>
    <row r="829" spans="1:46" hidden="1" x14ac:dyDescent="0.4">
      <c r="A829" s="7" t="s">
        <v>2190</v>
      </c>
      <c r="B829" s="11"/>
      <c r="C829" s="1" t="s">
        <v>0</v>
      </c>
      <c r="D829" s="1" t="s">
        <v>2157</v>
      </c>
      <c r="E829" s="1" t="s">
        <v>2078</v>
      </c>
      <c r="F829" s="1" t="s">
        <v>14</v>
      </c>
      <c r="G829" s="1" t="s">
        <v>1</v>
      </c>
      <c r="H829" s="1" t="s">
        <v>6</v>
      </c>
      <c r="I829" s="1" t="s">
        <v>2</v>
      </c>
      <c r="J829" s="1" t="s">
        <v>3</v>
      </c>
      <c r="K829" s="1" t="s">
        <v>2191</v>
      </c>
      <c r="L829" s="1" t="s">
        <v>7</v>
      </c>
      <c r="M829" s="1" t="s">
        <v>9</v>
      </c>
      <c r="N829" s="1" t="s">
        <v>2192</v>
      </c>
      <c r="O829" s="1" t="s">
        <v>2160</v>
      </c>
      <c r="P829" s="1"/>
      <c r="Q829" s="1"/>
      <c r="R829" s="1" t="s">
        <v>11</v>
      </c>
      <c r="S829" s="1"/>
      <c r="T829" s="1"/>
      <c r="U829" s="1"/>
      <c r="V829" s="1"/>
      <c r="W829" s="1"/>
      <c r="X829" s="1" t="s">
        <v>2193</v>
      </c>
      <c r="Y829" s="1"/>
      <c r="Z829" s="1"/>
      <c r="AA829" s="1"/>
      <c r="AB829" s="1"/>
      <c r="AC829" s="1"/>
      <c r="AD829" s="1"/>
      <c r="AE829" s="6" t="s">
        <v>2194</v>
      </c>
      <c r="AF829" s="1"/>
      <c r="AG829" s="1"/>
      <c r="AH829" s="1" t="s">
        <v>2195</v>
      </c>
      <c r="AI829" s="1"/>
      <c r="AJ829" s="1"/>
      <c r="AK829" s="1"/>
      <c r="AL829" s="1"/>
      <c r="AM829" s="1"/>
      <c r="AN829" s="1"/>
      <c r="AO829" s="1"/>
      <c r="AP829" s="2" t="s">
        <v>2196</v>
      </c>
      <c r="AQ829" s="2" t="s">
        <v>1153</v>
      </c>
      <c r="AR829" s="1"/>
      <c r="AS829" s="1"/>
      <c r="AT829" s="1" t="s">
        <v>10</v>
      </c>
    </row>
    <row r="830" spans="1:46" hidden="1" x14ac:dyDescent="0.4">
      <c r="A830" s="7" t="s">
        <v>2197</v>
      </c>
      <c r="B830" s="11"/>
      <c r="C830" s="1" t="s">
        <v>0</v>
      </c>
      <c r="D830" s="1" t="s">
        <v>2157</v>
      </c>
      <c r="E830" s="1" t="s">
        <v>2078</v>
      </c>
      <c r="F830" s="1" t="s">
        <v>14</v>
      </c>
      <c r="G830" s="1" t="s">
        <v>1</v>
      </c>
      <c r="H830" s="1" t="s">
        <v>6</v>
      </c>
      <c r="I830" s="1" t="s">
        <v>2</v>
      </c>
      <c r="J830" s="1" t="s">
        <v>3</v>
      </c>
      <c r="K830" s="1" t="s">
        <v>2198</v>
      </c>
      <c r="L830" s="1" t="s">
        <v>7</v>
      </c>
      <c r="M830" s="1" t="s">
        <v>9</v>
      </c>
      <c r="N830" s="1" t="s">
        <v>2199</v>
      </c>
      <c r="O830" s="1" t="s">
        <v>2160</v>
      </c>
      <c r="P830" s="1"/>
      <c r="Q830" s="1"/>
      <c r="R830" s="1" t="s">
        <v>11</v>
      </c>
      <c r="S830" s="1"/>
      <c r="T830" s="1"/>
      <c r="U830" s="1"/>
      <c r="V830" s="1"/>
      <c r="W830" s="1"/>
      <c r="X830" s="1"/>
      <c r="Y830" s="1"/>
      <c r="Z830" s="1"/>
      <c r="AA830" s="1"/>
      <c r="AB830" s="1"/>
      <c r="AC830" s="1"/>
      <c r="AD830" s="1"/>
      <c r="AE830" s="6" t="s">
        <v>2200</v>
      </c>
      <c r="AF830" s="1"/>
      <c r="AG830" s="1"/>
      <c r="AH830" s="1" t="s">
        <v>2201</v>
      </c>
      <c r="AI830" s="1"/>
      <c r="AJ830" s="1"/>
      <c r="AK830" s="1"/>
      <c r="AL830" s="1"/>
      <c r="AM830" s="1"/>
      <c r="AN830" s="1"/>
      <c r="AO830" s="1"/>
      <c r="AP830" s="2" t="s">
        <v>2202</v>
      </c>
      <c r="AQ830" s="2" t="s">
        <v>1155</v>
      </c>
      <c r="AR830" s="1"/>
      <c r="AS830" s="1"/>
      <c r="AT830" s="1" t="s">
        <v>5</v>
      </c>
    </row>
    <row r="831" spans="1:46" hidden="1" x14ac:dyDescent="0.4">
      <c r="A831" s="7" t="s">
        <v>2203</v>
      </c>
      <c r="B831" s="11"/>
      <c r="C831" s="1" t="s">
        <v>0</v>
      </c>
      <c r="D831" s="1" t="s">
        <v>2157</v>
      </c>
      <c r="E831" s="1" t="s">
        <v>2078</v>
      </c>
      <c r="F831" s="1" t="s">
        <v>14</v>
      </c>
      <c r="G831" s="1" t="s">
        <v>1</v>
      </c>
      <c r="H831" s="1" t="s">
        <v>6</v>
      </c>
      <c r="I831" s="1" t="s">
        <v>2</v>
      </c>
      <c r="J831" s="1" t="s">
        <v>3</v>
      </c>
      <c r="K831" s="1" t="s">
        <v>2204</v>
      </c>
      <c r="L831" s="1" t="s">
        <v>7</v>
      </c>
      <c r="M831" s="1" t="s">
        <v>9</v>
      </c>
      <c r="N831" s="1" t="s">
        <v>2205</v>
      </c>
      <c r="O831" s="1" t="s">
        <v>2160</v>
      </c>
      <c r="P831" s="1"/>
      <c r="Q831" s="1"/>
      <c r="R831" s="1" t="s">
        <v>11</v>
      </c>
      <c r="S831" s="1"/>
      <c r="T831" s="1"/>
      <c r="U831" s="1"/>
      <c r="V831" s="1"/>
      <c r="W831" s="1"/>
      <c r="X831" s="1" t="s">
        <v>2206</v>
      </c>
      <c r="Y831" s="1"/>
      <c r="Z831" s="1"/>
      <c r="AA831" s="1"/>
      <c r="AB831" s="1"/>
      <c r="AC831" s="1"/>
      <c r="AD831" s="1"/>
      <c r="AE831" s="6" t="s">
        <v>2207</v>
      </c>
      <c r="AF831" s="1"/>
      <c r="AG831" s="1"/>
      <c r="AH831" s="1" t="s">
        <v>2208</v>
      </c>
      <c r="AI831" s="1"/>
      <c r="AJ831" s="1"/>
      <c r="AK831" s="1"/>
      <c r="AL831" s="1"/>
      <c r="AM831" s="1"/>
      <c r="AN831" s="1"/>
      <c r="AO831" s="1"/>
      <c r="AP831" s="2" t="s">
        <v>2209</v>
      </c>
      <c r="AQ831" s="2" t="s">
        <v>1153</v>
      </c>
      <c r="AR831" s="1"/>
      <c r="AS831" s="1"/>
      <c r="AT831" s="1" t="s">
        <v>5</v>
      </c>
    </row>
    <row r="832" spans="1:46" hidden="1" x14ac:dyDescent="0.4">
      <c r="A832" s="7" t="s">
        <v>2210</v>
      </c>
      <c r="B832" s="11"/>
      <c r="C832" s="1" t="s">
        <v>0</v>
      </c>
      <c r="D832" s="1" t="s">
        <v>2211</v>
      </c>
      <c r="E832" s="1" t="s">
        <v>2078</v>
      </c>
      <c r="F832" s="1" t="s">
        <v>14</v>
      </c>
      <c r="G832" s="1" t="s">
        <v>1</v>
      </c>
      <c r="H832" s="1" t="s">
        <v>6</v>
      </c>
      <c r="I832" s="1" t="s">
        <v>2</v>
      </c>
      <c r="J832" s="1" t="s">
        <v>3</v>
      </c>
      <c r="K832" s="1" t="s">
        <v>2212</v>
      </c>
      <c r="L832" s="1" t="s">
        <v>7</v>
      </c>
      <c r="M832" s="1"/>
      <c r="N832" s="1" t="s">
        <v>2213</v>
      </c>
      <c r="O832" s="1" t="s">
        <v>2214</v>
      </c>
      <c r="P832" s="1"/>
      <c r="Q832" s="1"/>
      <c r="R832" s="1"/>
      <c r="S832" s="1"/>
      <c r="T832" s="1"/>
      <c r="U832" s="1"/>
      <c r="V832" s="1"/>
      <c r="W832" s="1"/>
      <c r="X832" s="1" t="s">
        <v>2215</v>
      </c>
      <c r="Y832" s="1"/>
      <c r="Z832" s="1"/>
      <c r="AA832" s="1"/>
      <c r="AB832" s="1"/>
      <c r="AC832" s="1"/>
      <c r="AD832" s="1"/>
      <c r="AE832" s="6" t="s">
        <v>2216</v>
      </c>
      <c r="AF832" s="1"/>
      <c r="AG832" s="1"/>
      <c r="AH832" s="1" t="s">
        <v>2217</v>
      </c>
      <c r="AI832" s="1"/>
      <c r="AJ832" s="1"/>
      <c r="AK832" s="1"/>
      <c r="AL832" s="1"/>
      <c r="AM832" s="1"/>
      <c r="AN832" s="1"/>
      <c r="AO832" s="1"/>
      <c r="AP832" s="2" t="s">
        <v>2218</v>
      </c>
      <c r="AQ832" s="2" t="s">
        <v>1077</v>
      </c>
      <c r="AR832" s="1"/>
      <c r="AS832" s="1"/>
      <c r="AT832" s="1" t="s">
        <v>5</v>
      </c>
    </row>
    <row r="833" spans="1:46" hidden="1" x14ac:dyDescent="0.4">
      <c r="A833" s="7" t="s">
        <v>2219</v>
      </c>
      <c r="B833" s="11"/>
      <c r="C833" s="1" t="s">
        <v>0</v>
      </c>
      <c r="D833" s="1" t="s">
        <v>2220</v>
      </c>
      <c r="E833" s="1" t="s">
        <v>2078</v>
      </c>
      <c r="F833" s="1" t="s">
        <v>14</v>
      </c>
      <c r="G833" s="1" t="s">
        <v>1</v>
      </c>
      <c r="H833" s="1" t="s">
        <v>6</v>
      </c>
      <c r="I833" s="1" t="s">
        <v>2</v>
      </c>
      <c r="J833" s="1" t="s">
        <v>3</v>
      </c>
      <c r="K833" s="1" t="s">
        <v>2221</v>
      </c>
      <c r="L833" s="1" t="s">
        <v>7</v>
      </c>
      <c r="M833" s="1" t="s">
        <v>9</v>
      </c>
      <c r="N833" s="1" t="s">
        <v>2222</v>
      </c>
      <c r="O833" s="1" t="s">
        <v>2223</v>
      </c>
      <c r="P833" s="1"/>
      <c r="Q833" s="1"/>
      <c r="R833" s="1" t="s">
        <v>11</v>
      </c>
      <c r="S833" s="1"/>
      <c r="T833" s="1"/>
      <c r="U833" s="1"/>
      <c r="V833" s="1"/>
      <c r="W833" s="1" t="s">
        <v>2224</v>
      </c>
      <c r="X833" s="1" t="s">
        <v>2225</v>
      </c>
      <c r="Y833" s="1"/>
      <c r="Z833" s="1"/>
      <c r="AA833" s="1"/>
      <c r="AB833" s="1"/>
      <c r="AC833" s="1"/>
      <c r="AD833" s="1"/>
      <c r="AE833" s="6" t="s">
        <v>2226</v>
      </c>
      <c r="AF833" s="1"/>
      <c r="AG833" s="1"/>
      <c r="AH833" s="1" t="s">
        <v>2227</v>
      </c>
      <c r="AI833" s="1"/>
      <c r="AJ833" s="1"/>
      <c r="AK833" s="1"/>
      <c r="AL833" s="1"/>
      <c r="AM833" s="1"/>
      <c r="AN833" s="1"/>
      <c r="AO833" s="1"/>
      <c r="AP833" s="2" t="s">
        <v>2228</v>
      </c>
      <c r="AQ833" s="2" t="s">
        <v>1153</v>
      </c>
      <c r="AR833" s="1"/>
      <c r="AS833" s="1"/>
      <c r="AT833" s="1" t="s">
        <v>10</v>
      </c>
    </row>
    <row r="834" spans="1:46" hidden="1" x14ac:dyDescent="0.4">
      <c r="A834" s="7" t="s">
        <v>2229</v>
      </c>
      <c r="B834" s="11"/>
      <c r="C834" s="1" t="s">
        <v>0</v>
      </c>
      <c r="D834" s="1" t="s">
        <v>2220</v>
      </c>
      <c r="E834" s="1" t="s">
        <v>2078</v>
      </c>
      <c r="F834" s="1" t="s">
        <v>14</v>
      </c>
      <c r="G834" s="1" t="s">
        <v>1</v>
      </c>
      <c r="H834" s="1" t="s">
        <v>6</v>
      </c>
      <c r="I834" s="1" t="s">
        <v>2</v>
      </c>
      <c r="J834" s="1" t="s">
        <v>3</v>
      </c>
      <c r="K834" s="1" t="s">
        <v>2230</v>
      </c>
      <c r="L834" s="1" t="s">
        <v>2231</v>
      </c>
      <c r="M834" s="1" t="s">
        <v>9</v>
      </c>
      <c r="N834" s="1" t="s">
        <v>2232</v>
      </c>
      <c r="O834" s="1" t="s">
        <v>2233</v>
      </c>
      <c r="P834" s="1"/>
      <c r="Q834" s="1"/>
      <c r="R834" s="1" t="s">
        <v>11</v>
      </c>
      <c r="S834" s="1"/>
      <c r="T834" s="1"/>
      <c r="U834" s="1"/>
      <c r="V834" s="1"/>
      <c r="W834" s="1"/>
      <c r="X834" s="1"/>
      <c r="Y834" s="1"/>
      <c r="Z834" s="1"/>
      <c r="AA834" s="1"/>
      <c r="AB834" s="1"/>
      <c r="AC834" s="1"/>
      <c r="AD834" s="1"/>
      <c r="AE834" s="6" t="s">
        <v>2234</v>
      </c>
      <c r="AF834" s="1"/>
      <c r="AG834" s="1"/>
      <c r="AH834" s="1" t="s">
        <v>2235</v>
      </c>
      <c r="AI834" s="1"/>
      <c r="AJ834" s="1"/>
      <c r="AK834" s="1"/>
      <c r="AL834" s="1"/>
      <c r="AM834" s="1"/>
      <c r="AN834" s="1"/>
      <c r="AO834" s="1"/>
      <c r="AP834" s="2" t="s">
        <v>2236</v>
      </c>
      <c r="AQ834" s="2" t="s">
        <v>1154</v>
      </c>
      <c r="AR834" s="1"/>
      <c r="AS834" s="1"/>
      <c r="AT834" s="1" t="s">
        <v>10</v>
      </c>
    </row>
    <row r="835" spans="1:46" hidden="1" x14ac:dyDescent="0.4">
      <c r="A835" s="7" t="s">
        <v>2099</v>
      </c>
      <c r="B835" s="11"/>
      <c r="C835" s="1" t="s">
        <v>0</v>
      </c>
      <c r="D835" s="1" t="s">
        <v>2076</v>
      </c>
      <c r="E835" s="1" t="s">
        <v>13</v>
      </c>
      <c r="F835" s="1" t="s">
        <v>14</v>
      </c>
      <c r="G835" s="1" t="s">
        <v>1</v>
      </c>
      <c r="H835" s="1" t="s">
        <v>6</v>
      </c>
      <c r="I835" s="1" t="s">
        <v>2</v>
      </c>
      <c r="J835" s="1" t="s">
        <v>3</v>
      </c>
      <c r="K835" s="1" t="s">
        <v>2100</v>
      </c>
      <c r="L835" s="1" t="s">
        <v>4</v>
      </c>
      <c r="M835" s="1" t="s">
        <v>9</v>
      </c>
      <c r="N835" s="1" t="s">
        <v>2237</v>
      </c>
      <c r="O835" s="1" t="s">
        <v>2238</v>
      </c>
      <c r="P835" s="1"/>
      <c r="Q835" s="1"/>
      <c r="R835" s="1" t="s">
        <v>11</v>
      </c>
      <c r="S835" s="1"/>
      <c r="T835" s="1"/>
      <c r="U835" s="1"/>
      <c r="V835" s="1"/>
      <c r="W835" s="1" t="s">
        <v>2239</v>
      </c>
      <c r="X835" s="1"/>
      <c r="Y835" s="1"/>
      <c r="Z835" s="1"/>
      <c r="AA835" s="1"/>
      <c r="AB835" s="1"/>
      <c r="AC835" s="1"/>
      <c r="AD835" s="1"/>
      <c r="AE835" s="6" t="s">
        <v>2101</v>
      </c>
      <c r="AF835" s="1"/>
      <c r="AG835" s="1"/>
      <c r="AH835" s="1" t="s">
        <v>2240</v>
      </c>
      <c r="AI835" s="1"/>
      <c r="AJ835" s="1"/>
      <c r="AK835" s="1"/>
      <c r="AL835" s="1"/>
      <c r="AM835" s="1"/>
      <c r="AN835" s="1"/>
      <c r="AO835" s="1"/>
      <c r="AP835" s="2" t="s">
        <v>2241</v>
      </c>
      <c r="AQ835" s="2" t="s">
        <v>1155</v>
      </c>
      <c r="AR835" s="1"/>
      <c r="AS835" s="1"/>
      <c r="AT835" s="1" t="s">
        <v>5</v>
      </c>
    </row>
    <row r="836" spans="1:46" hidden="1" x14ac:dyDescent="0.4">
      <c r="A836" s="7" t="s">
        <v>2242</v>
      </c>
      <c r="B836" s="11"/>
      <c r="C836" s="1" t="s">
        <v>0</v>
      </c>
      <c r="D836" s="1" t="s">
        <v>2076</v>
      </c>
      <c r="E836" s="1" t="s">
        <v>2078</v>
      </c>
      <c r="F836" s="1" t="s">
        <v>14</v>
      </c>
      <c r="G836" s="1" t="s">
        <v>1</v>
      </c>
      <c r="H836" s="1" t="s">
        <v>6</v>
      </c>
      <c r="I836" s="1" t="s">
        <v>2</v>
      </c>
      <c r="J836" s="1" t="s">
        <v>3</v>
      </c>
      <c r="K836" s="1" t="s">
        <v>2243</v>
      </c>
      <c r="L836" s="1" t="s">
        <v>4</v>
      </c>
      <c r="M836" s="1" t="s">
        <v>9</v>
      </c>
      <c r="N836" s="1" t="s">
        <v>2244</v>
      </c>
      <c r="O836" s="1" t="s">
        <v>2160</v>
      </c>
      <c r="P836" s="1"/>
      <c r="Q836" s="1"/>
      <c r="R836" s="1" t="s">
        <v>11</v>
      </c>
      <c r="S836" s="1"/>
      <c r="T836" s="1"/>
      <c r="U836" s="1"/>
      <c r="V836" s="1"/>
      <c r="W836" s="1" t="s">
        <v>2245</v>
      </c>
      <c r="X836" s="1"/>
      <c r="Y836" s="1"/>
      <c r="Z836" s="1"/>
      <c r="AA836" s="1"/>
      <c r="AB836" s="1"/>
      <c r="AC836" s="1"/>
      <c r="AD836" s="1"/>
      <c r="AE836" s="6" t="s">
        <v>2246</v>
      </c>
      <c r="AF836" s="1"/>
      <c r="AG836" s="1"/>
      <c r="AH836" s="1" t="s">
        <v>2247</v>
      </c>
      <c r="AI836" s="1"/>
      <c r="AJ836" s="1"/>
      <c r="AK836" s="1"/>
      <c r="AL836" s="1"/>
      <c r="AM836" s="1"/>
      <c r="AN836" s="1"/>
      <c r="AO836" s="1"/>
      <c r="AP836" s="2" t="s">
        <v>2248</v>
      </c>
      <c r="AQ836" s="2" t="s">
        <v>1153</v>
      </c>
      <c r="AR836" s="1"/>
      <c r="AS836" s="1"/>
      <c r="AT836" s="1" t="s">
        <v>10</v>
      </c>
    </row>
    <row r="837" spans="1:46" hidden="1" x14ac:dyDescent="0.4">
      <c r="A837" s="7" t="s">
        <v>2249</v>
      </c>
      <c r="B837" s="11"/>
      <c r="C837" s="1" t="s">
        <v>0</v>
      </c>
      <c r="D837" s="1" t="s">
        <v>2076</v>
      </c>
      <c r="E837" s="1" t="s">
        <v>2078</v>
      </c>
      <c r="F837" s="1" t="s">
        <v>14</v>
      </c>
      <c r="G837" s="1" t="s">
        <v>1</v>
      </c>
      <c r="H837" s="1" t="s">
        <v>6</v>
      </c>
      <c r="I837" s="1" t="s">
        <v>2</v>
      </c>
      <c r="J837" s="1" t="s">
        <v>3</v>
      </c>
      <c r="K837" s="1" t="s">
        <v>2250</v>
      </c>
      <c r="L837" s="1" t="s">
        <v>4</v>
      </c>
      <c r="M837" s="1" t="s">
        <v>9</v>
      </c>
      <c r="N837" s="1" t="s">
        <v>2251</v>
      </c>
      <c r="O837" s="1" t="s">
        <v>2160</v>
      </c>
      <c r="P837" s="1"/>
      <c r="Q837" s="1"/>
      <c r="R837" s="1" t="s">
        <v>11</v>
      </c>
      <c r="S837" s="1"/>
      <c r="T837" s="1"/>
      <c r="U837" s="1"/>
      <c r="V837" s="1"/>
      <c r="W837" s="1"/>
      <c r="X837" s="1"/>
      <c r="Y837" s="1"/>
      <c r="Z837" s="1"/>
      <c r="AA837" s="1"/>
      <c r="AB837" s="1"/>
      <c r="AC837" s="1"/>
      <c r="AD837" s="1"/>
      <c r="AE837" s="6" t="s">
        <v>2252</v>
      </c>
      <c r="AF837" s="1"/>
      <c r="AG837" s="1"/>
      <c r="AH837" s="1" t="s">
        <v>2253</v>
      </c>
      <c r="AI837" s="1"/>
      <c r="AJ837" s="1"/>
      <c r="AK837" s="1"/>
      <c r="AL837" s="1"/>
      <c r="AM837" s="1"/>
      <c r="AN837" s="1"/>
      <c r="AO837" s="1"/>
      <c r="AP837" s="2" t="s">
        <v>2254</v>
      </c>
      <c r="AQ837" s="2" t="s">
        <v>1077</v>
      </c>
      <c r="AR837" s="1"/>
      <c r="AS837" s="1"/>
      <c r="AT837" s="1" t="s">
        <v>10</v>
      </c>
    </row>
    <row r="838" spans="1:46" hidden="1" x14ac:dyDescent="0.4">
      <c r="A838" s="7" t="s">
        <v>2255</v>
      </c>
      <c r="B838" s="11"/>
      <c r="C838" s="1" t="s">
        <v>0</v>
      </c>
      <c r="D838" s="1" t="s">
        <v>2076</v>
      </c>
      <c r="E838" s="1" t="s">
        <v>13</v>
      </c>
      <c r="F838" s="1" t="s">
        <v>14</v>
      </c>
      <c r="G838" s="1" t="s">
        <v>1</v>
      </c>
      <c r="H838" s="1" t="s">
        <v>6</v>
      </c>
      <c r="I838" s="1" t="s">
        <v>2</v>
      </c>
      <c r="J838" s="1" t="s">
        <v>3</v>
      </c>
      <c r="K838" s="1" t="s">
        <v>2256</v>
      </c>
      <c r="L838" s="1" t="s">
        <v>7</v>
      </c>
      <c r="M838" s="1" t="s">
        <v>9</v>
      </c>
      <c r="N838" s="1" t="s">
        <v>2257</v>
      </c>
      <c r="O838" s="1" t="s">
        <v>2258</v>
      </c>
      <c r="P838" s="1"/>
      <c r="Q838" s="1"/>
      <c r="R838" s="1" t="s">
        <v>11</v>
      </c>
      <c r="S838" s="1"/>
      <c r="T838" s="1"/>
      <c r="U838" s="1"/>
      <c r="V838" s="1"/>
      <c r="W838" s="1" t="s">
        <v>2259</v>
      </c>
      <c r="X838" s="1" t="s">
        <v>2260</v>
      </c>
      <c r="Y838" s="1"/>
      <c r="Z838" s="1"/>
      <c r="AA838" s="1"/>
      <c r="AB838" s="1"/>
      <c r="AC838" s="1"/>
      <c r="AD838" s="1"/>
      <c r="AE838" s="6" t="s">
        <v>2261</v>
      </c>
      <c r="AF838" s="1"/>
      <c r="AG838" s="1"/>
      <c r="AH838" s="1" t="s">
        <v>2262</v>
      </c>
      <c r="AI838" s="1"/>
      <c r="AJ838" s="1"/>
      <c r="AK838" s="1"/>
      <c r="AL838" s="1"/>
      <c r="AM838" s="1"/>
      <c r="AN838" s="1"/>
      <c r="AO838" s="1"/>
      <c r="AP838" s="2" t="s">
        <v>2263</v>
      </c>
      <c r="AQ838" s="2" t="s">
        <v>1153</v>
      </c>
      <c r="AR838" s="1"/>
      <c r="AS838" s="1"/>
      <c r="AT838" s="1" t="s">
        <v>10</v>
      </c>
    </row>
    <row r="839" spans="1:46" hidden="1" x14ac:dyDescent="0.4">
      <c r="A839" s="7" t="s">
        <v>2264</v>
      </c>
      <c r="B839" s="11"/>
      <c r="C839" s="1" t="s">
        <v>0</v>
      </c>
      <c r="D839" s="1" t="s">
        <v>2076</v>
      </c>
      <c r="E839" s="1" t="s">
        <v>13</v>
      </c>
      <c r="F839" s="1" t="s">
        <v>14</v>
      </c>
      <c r="G839" s="1" t="s">
        <v>1</v>
      </c>
      <c r="H839" s="1" t="s">
        <v>6</v>
      </c>
      <c r="I839" s="1" t="s">
        <v>2</v>
      </c>
      <c r="J839" s="1" t="s">
        <v>3</v>
      </c>
      <c r="K839" s="1" t="s">
        <v>2265</v>
      </c>
      <c r="L839" s="1" t="s">
        <v>7</v>
      </c>
      <c r="M839" s="1" t="s">
        <v>9</v>
      </c>
      <c r="N839" s="1" t="s">
        <v>2266</v>
      </c>
      <c r="O839" s="1" t="s">
        <v>2160</v>
      </c>
      <c r="P839" s="1"/>
      <c r="Q839" s="1"/>
      <c r="R839" s="1" t="s">
        <v>11</v>
      </c>
      <c r="S839" s="1"/>
      <c r="T839" s="1"/>
      <c r="U839" s="1"/>
      <c r="V839" s="1"/>
      <c r="W839" s="1"/>
      <c r="X839" s="1" t="s">
        <v>2267</v>
      </c>
      <c r="Y839" s="1"/>
      <c r="Z839" s="1"/>
      <c r="AA839" s="1"/>
      <c r="AB839" s="1"/>
      <c r="AC839" s="1"/>
      <c r="AD839" s="1"/>
      <c r="AE839" s="6" t="s">
        <v>2268</v>
      </c>
      <c r="AF839" s="1"/>
      <c r="AG839" s="1"/>
      <c r="AH839" s="1" t="s">
        <v>2269</v>
      </c>
      <c r="AI839" s="1"/>
      <c r="AJ839" s="1" t="s">
        <v>2270</v>
      </c>
      <c r="AK839" s="1" t="s">
        <v>2271</v>
      </c>
      <c r="AL839" s="1"/>
      <c r="AM839" s="1"/>
      <c r="AN839" s="1"/>
      <c r="AO839" s="1"/>
      <c r="AP839" s="2" t="s">
        <v>2272</v>
      </c>
      <c r="AQ839" s="2" t="s">
        <v>1154</v>
      </c>
      <c r="AR839" s="1"/>
      <c r="AS839" s="1"/>
      <c r="AT839" s="1" t="s">
        <v>5</v>
      </c>
    </row>
    <row r="840" spans="1:46" hidden="1" x14ac:dyDescent="0.4">
      <c r="A840" s="7" t="s">
        <v>2273</v>
      </c>
      <c r="B840" s="11"/>
      <c r="C840" s="1" t="s">
        <v>0</v>
      </c>
      <c r="D840" s="1" t="s">
        <v>2157</v>
      </c>
      <c r="E840" s="1" t="s">
        <v>2078</v>
      </c>
      <c r="F840" s="1" t="s">
        <v>14</v>
      </c>
      <c r="G840" s="1" t="s">
        <v>1</v>
      </c>
      <c r="H840" s="1" t="s">
        <v>6</v>
      </c>
      <c r="I840" s="1" t="s">
        <v>2</v>
      </c>
      <c r="J840" s="1" t="s">
        <v>3</v>
      </c>
      <c r="K840" s="1" t="s">
        <v>2274</v>
      </c>
      <c r="L840" s="1" t="s">
        <v>7</v>
      </c>
      <c r="M840" s="1" t="s">
        <v>9</v>
      </c>
      <c r="N840" s="1" t="s">
        <v>2275</v>
      </c>
      <c r="O840" s="1" t="s">
        <v>2160</v>
      </c>
      <c r="P840" s="1"/>
      <c r="Q840" s="1"/>
      <c r="R840" s="1" t="s">
        <v>11</v>
      </c>
      <c r="S840" s="1"/>
      <c r="T840" s="1"/>
      <c r="U840" s="1"/>
      <c r="V840" s="1"/>
      <c r="W840" s="1"/>
      <c r="X840" s="1" t="s">
        <v>2276</v>
      </c>
      <c r="Y840" s="1"/>
      <c r="Z840" s="1"/>
      <c r="AA840" s="1"/>
      <c r="AB840" s="1"/>
      <c r="AC840" s="1"/>
      <c r="AD840" s="1"/>
      <c r="AE840" s="6" t="s">
        <v>2277</v>
      </c>
      <c r="AF840" s="1"/>
      <c r="AG840" s="1"/>
      <c r="AH840" s="1" t="s">
        <v>2278</v>
      </c>
      <c r="AI840" s="1"/>
      <c r="AJ840" s="1" t="s">
        <v>2279</v>
      </c>
      <c r="AK840" s="1" t="s">
        <v>2280</v>
      </c>
      <c r="AL840" s="1"/>
      <c r="AM840" s="1"/>
      <c r="AN840" s="1"/>
      <c r="AO840" s="1"/>
      <c r="AP840" s="2" t="s">
        <v>2281</v>
      </c>
      <c r="AQ840" s="2" t="s">
        <v>1077</v>
      </c>
      <c r="AR840" s="1"/>
      <c r="AS840" s="1"/>
      <c r="AT840" s="1" t="s">
        <v>10</v>
      </c>
    </row>
    <row r="841" spans="1:46" hidden="1" x14ac:dyDescent="0.4">
      <c r="A841" s="7" t="s">
        <v>2282</v>
      </c>
      <c r="B841" s="11"/>
      <c r="C841" s="1" t="s">
        <v>0</v>
      </c>
      <c r="D841" s="1" t="s">
        <v>2076</v>
      </c>
      <c r="E841" s="1" t="s">
        <v>13</v>
      </c>
      <c r="F841" s="1" t="s">
        <v>14</v>
      </c>
      <c r="G841" s="1" t="s">
        <v>1</v>
      </c>
      <c r="H841" s="1" t="s">
        <v>6</v>
      </c>
      <c r="I841" s="1" t="s">
        <v>2</v>
      </c>
      <c r="J841" s="1" t="s">
        <v>3</v>
      </c>
      <c r="K841" s="1" t="s">
        <v>2283</v>
      </c>
      <c r="L841" s="1" t="s">
        <v>7</v>
      </c>
      <c r="M841" s="1" t="s">
        <v>9</v>
      </c>
      <c r="N841" s="1" t="s">
        <v>2167</v>
      </c>
      <c r="O841" s="1" t="s">
        <v>2160</v>
      </c>
      <c r="P841" s="1"/>
      <c r="Q841" s="1"/>
      <c r="R841" s="1" t="s">
        <v>11</v>
      </c>
      <c r="S841" s="1"/>
      <c r="T841" s="1"/>
      <c r="U841" s="1"/>
      <c r="V841" s="1"/>
      <c r="W841" s="1" t="s">
        <v>2160</v>
      </c>
      <c r="X841" s="1" t="s">
        <v>2284</v>
      </c>
      <c r="Y841" s="1"/>
      <c r="Z841" s="1"/>
      <c r="AA841" s="1"/>
      <c r="AB841" s="1"/>
      <c r="AC841" s="1"/>
      <c r="AD841" s="1"/>
      <c r="AE841" s="6" t="s">
        <v>2285</v>
      </c>
      <c r="AF841" s="1"/>
      <c r="AG841" s="1"/>
      <c r="AH841" s="1" t="s">
        <v>2286</v>
      </c>
      <c r="AI841" s="1"/>
      <c r="AJ841" s="1" t="s">
        <v>2287</v>
      </c>
      <c r="AK841" s="1" t="s">
        <v>2288</v>
      </c>
      <c r="AL841" s="1"/>
      <c r="AM841" s="1"/>
      <c r="AN841" s="1"/>
      <c r="AO841" s="1"/>
      <c r="AP841" s="2" t="s">
        <v>2289</v>
      </c>
      <c r="AQ841" s="2" t="s">
        <v>1154</v>
      </c>
      <c r="AR841" s="1"/>
      <c r="AS841" s="1"/>
      <c r="AT841" s="1" t="s">
        <v>10</v>
      </c>
    </row>
    <row r="842" spans="1:46" hidden="1" x14ac:dyDescent="0.4">
      <c r="A842" s="7" t="s">
        <v>2292</v>
      </c>
      <c r="B842" s="11"/>
      <c r="C842" s="1" t="s">
        <v>0</v>
      </c>
      <c r="D842" s="1" t="s">
        <v>2211</v>
      </c>
      <c r="E842" s="1" t="s">
        <v>13</v>
      </c>
      <c r="F842" s="1" t="s">
        <v>14</v>
      </c>
      <c r="G842" s="1" t="s">
        <v>1</v>
      </c>
      <c r="H842" s="1" t="s">
        <v>6</v>
      </c>
      <c r="I842" s="1" t="s">
        <v>2</v>
      </c>
      <c r="J842" s="1" t="s">
        <v>3</v>
      </c>
      <c r="K842" s="1" t="s">
        <v>2293</v>
      </c>
      <c r="L842" s="1" t="s">
        <v>7</v>
      </c>
      <c r="M842" s="1" t="s">
        <v>9</v>
      </c>
      <c r="N842" s="1" t="s">
        <v>2294</v>
      </c>
      <c r="O842" s="1" t="s">
        <v>2295</v>
      </c>
      <c r="P842" s="1"/>
      <c r="Q842" s="1"/>
      <c r="R842" s="1" t="s">
        <v>11</v>
      </c>
      <c r="S842" s="1"/>
      <c r="T842" s="1"/>
      <c r="U842" s="1"/>
      <c r="V842" s="1"/>
      <c r="W842" s="1" t="s">
        <v>2296</v>
      </c>
      <c r="X842" s="1" t="s">
        <v>2297</v>
      </c>
      <c r="Y842" s="1"/>
      <c r="Z842" s="1"/>
      <c r="AA842" s="1"/>
      <c r="AB842" s="1"/>
      <c r="AC842" s="1"/>
      <c r="AD842" s="1"/>
      <c r="AE842" s="6" t="s">
        <v>2298</v>
      </c>
      <c r="AF842" s="1"/>
      <c r="AG842" s="1"/>
      <c r="AH842" s="1" t="s">
        <v>2299</v>
      </c>
      <c r="AI842" s="1"/>
      <c r="AJ842" s="1" t="s">
        <v>2300</v>
      </c>
      <c r="AK842" s="1" t="s">
        <v>2301</v>
      </c>
      <c r="AL842" s="1"/>
      <c r="AM842" s="1"/>
      <c r="AN842" s="1"/>
      <c r="AO842" s="1"/>
      <c r="AP842" s="2" t="s">
        <v>2302</v>
      </c>
      <c r="AQ842" s="2" t="s">
        <v>1153</v>
      </c>
      <c r="AR842" s="1"/>
      <c r="AS842" s="1"/>
      <c r="AT842" s="1" t="s">
        <v>10</v>
      </c>
    </row>
    <row r="843" spans="1:46" hidden="1" x14ac:dyDescent="0.4">
      <c r="A843" s="7" t="s">
        <v>2303</v>
      </c>
      <c r="B843" s="11"/>
      <c r="C843" s="1" t="s">
        <v>0</v>
      </c>
      <c r="D843" s="1" t="s">
        <v>2157</v>
      </c>
      <c r="E843" s="1" t="s">
        <v>2078</v>
      </c>
      <c r="F843" s="1" t="s">
        <v>14</v>
      </c>
      <c r="G843" s="1" t="s">
        <v>1</v>
      </c>
      <c r="H843" s="1" t="s">
        <v>6</v>
      </c>
      <c r="I843" s="1" t="s">
        <v>2</v>
      </c>
      <c r="J843" s="1" t="s">
        <v>3</v>
      </c>
      <c r="K843" s="1" t="s">
        <v>2304</v>
      </c>
      <c r="L843" s="1" t="s">
        <v>7</v>
      </c>
      <c r="M843" s="1" t="s">
        <v>9</v>
      </c>
      <c r="N843" s="1" t="s">
        <v>2305</v>
      </c>
      <c r="O843" s="1" t="s">
        <v>2160</v>
      </c>
      <c r="P843" s="1"/>
      <c r="Q843" s="1"/>
      <c r="R843" s="1" t="s">
        <v>11</v>
      </c>
      <c r="S843" s="1"/>
      <c r="T843" s="1"/>
      <c r="U843" s="1"/>
      <c r="V843" s="1"/>
      <c r="W843" s="1"/>
      <c r="X843" s="1" t="s">
        <v>2306</v>
      </c>
      <c r="Y843" s="1"/>
      <c r="Z843" s="1"/>
      <c r="AA843" s="1"/>
      <c r="AB843" s="1"/>
      <c r="AC843" s="1"/>
      <c r="AD843" s="1"/>
      <c r="AE843" s="6" t="s">
        <v>2307</v>
      </c>
      <c r="AF843" s="1"/>
      <c r="AG843" s="1"/>
      <c r="AH843" s="1" t="s">
        <v>2308</v>
      </c>
      <c r="AI843" s="1"/>
      <c r="AJ843" s="1" t="s">
        <v>2309</v>
      </c>
      <c r="AK843" s="1" t="s">
        <v>2310</v>
      </c>
      <c r="AL843" s="1" t="s">
        <v>2311</v>
      </c>
      <c r="AM843" s="1"/>
      <c r="AN843" s="1"/>
      <c r="AO843" s="1"/>
      <c r="AP843" s="2" t="s">
        <v>2312</v>
      </c>
      <c r="AQ843" s="2" t="s">
        <v>1153</v>
      </c>
      <c r="AR843" s="1"/>
      <c r="AS843" s="1"/>
      <c r="AT843" s="1" t="s">
        <v>5</v>
      </c>
    </row>
    <row r="844" spans="1:46" hidden="1" x14ac:dyDescent="0.4">
      <c r="A844" s="7" t="s">
        <v>2313</v>
      </c>
      <c r="B844" s="11"/>
      <c r="C844" s="1" t="s">
        <v>0</v>
      </c>
      <c r="D844" s="1" t="s">
        <v>2157</v>
      </c>
      <c r="E844" s="1" t="s">
        <v>2078</v>
      </c>
      <c r="F844" s="1" t="s">
        <v>14</v>
      </c>
      <c r="G844" s="1" t="s">
        <v>1</v>
      </c>
      <c r="H844" s="1" t="s">
        <v>6</v>
      </c>
      <c r="I844" s="1" t="s">
        <v>2</v>
      </c>
      <c r="J844" s="1" t="s">
        <v>3</v>
      </c>
      <c r="K844" s="1" t="s">
        <v>2314</v>
      </c>
      <c r="L844" s="1" t="s">
        <v>7</v>
      </c>
      <c r="M844" s="1" t="s">
        <v>9</v>
      </c>
      <c r="N844" s="1" t="s">
        <v>2315</v>
      </c>
      <c r="O844" s="1" t="s">
        <v>2160</v>
      </c>
      <c r="P844" s="1"/>
      <c r="Q844" s="1"/>
      <c r="R844" s="1" t="s">
        <v>11</v>
      </c>
      <c r="S844" s="1"/>
      <c r="T844" s="1"/>
      <c r="U844" s="1"/>
      <c r="V844" s="1"/>
      <c r="W844" s="1"/>
      <c r="X844" s="1" t="s">
        <v>2316</v>
      </c>
      <c r="Y844" s="1"/>
      <c r="Z844" s="1"/>
      <c r="AA844" s="1"/>
      <c r="AB844" s="1"/>
      <c r="AC844" s="1"/>
      <c r="AD844" s="1"/>
      <c r="AE844" s="6" t="s">
        <v>2317</v>
      </c>
      <c r="AF844" s="1"/>
      <c r="AG844" s="1"/>
      <c r="AH844" s="1" t="s">
        <v>2318</v>
      </c>
      <c r="AI844" s="1"/>
      <c r="AJ844" s="1" t="s">
        <v>2319</v>
      </c>
      <c r="AK844" s="1" t="s">
        <v>2320</v>
      </c>
      <c r="AL844" s="1"/>
      <c r="AM844" s="1"/>
      <c r="AN844" s="1"/>
      <c r="AO844" s="1"/>
      <c r="AP844" s="2" t="s">
        <v>2321</v>
      </c>
      <c r="AQ844" s="2" t="s">
        <v>1153</v>
      </c>
      <c r="AR844" s="1"/>
      <c r="AS844" s="1"/>
      <c r="AT844" s="1" t="s">
        <v>10</v>
      </c>
    </row>
    <row r="845" spans="1:46" hidden="1" x14ac:dyDescent="0.4">
      <c r="A845" s="7" t="s">
        <v>2322</v>
      </c>
      <c r="B845" s="11"/>
      <c r="C845" s="1" t="s">
        <v>0</v>
      </c>
      <c r="D845" s="1" t="s">
        <v>2157</v>
      </c>
      <c r="E845" s="1" t="s">
        <v>2078</v>
      </c>
      <c r="F845" s="1" t="s">
        <v>14</v>
      </c>
      <c r="G845" s="1" t="s">
        <v>1</v>
      </c>
      <c r="H845" s="1" t="s">
        <v>6</v>
      </c>
      <c r="I845" s="1" t="s">
        <v>2</v>
      </c>
      <c r="J845" s="1" t="s">
        <v>3</v>
      </c>
      <c r="K845" s="1" t="s">
        <v>2323</v>
      </c>
      <c r="L845" s="1" t="s">
        <v>7</v>
      </c>
      <c r="M845" s="1" t="s">
        <v>9</v>
      </c>
      <c r="N845" s="1" t="s">
        <v>2324</v>
      </c>
      <c r="O845" s="1" t="s">
        <v>2160</v>
      </c>
      <c r="P845" s="1"/>
      <c r="Q845" s="1"/>
      <c r="R845" s="1" t="s">
        <v>11</v>
      </c>
      <c r="S845" s="1"/>
      <c r="T845" s="1"/>
      <c r="U845" s="1"/>
      <c r="V845" s="1"/>
      <c r="W845" s="1"/>
      <c r="X845" s="1" t="s">
        <v>2325</v>
      </c>
      <c r="Y845" s="1"/>
      <c r="Z845" s="1"/>
      <c r="AA845" s="1"/>
      <c r="AB845" s="1"/>
      <c r="AC845" s="1"/>
      <c r="AD845" s="1"/>
      <c r="AE845" s="6" t="s">
        <v>2268</v>
      </c>
      <c r="AF845" s="1"/>
      <c r="AG845" s="1"/>
      <c r="AH845" s="1" t="s">
        <v>2326</v>
      </c>
      <c r="AI845" s="1"/>
      <c r="AJ845" s="1" t="s">
        <v>2319</v>
      </c>
      <c r="AK845" s="1" t="s">
        <v>2320</v>
      </c>
      <c r="AL845" s="1"/>
      <c r="AM845" s="1"/>
      <c r="AN845" s="1"/>
      <c r="AO845" s="1"/>
      <c r="AP845" s="2" t="s">
        <v>2327</v>
      </c>
      <c r="AQ845" s="2" t="s">
        <v>1154</v>
      </c>
      <c r="AR845" s="1"/>
      <c r="AS845" s="1"/>
      <c r="AT845" s="1" t="s">
        <v>10</v>
      </c>
    </row>
    <row r="846" spans="1:46" hidden="1" x14ac:dyDescent="0.4">
      <c r="A846" s="7" t="s">
        <v>2328</v>
      </c>
      <c r="B846" s="11"/>
      <c r="C846" s="1" t="s">
        <v>0</v>
      </c>
      <c r="D846" s="1" t="s">
        <v>2157</v>
      </c>
      <c r="E846" s="1" t="s">
        <v>2078</v>
      </c>
      <c r="F846" s="1" t="s">
        <v>14</v>
      </c>
      <c r="G846" s="1" t="s">
        <v>1</v>
      </c>
      <c r="H846" s="1" t="s">
        <v>6</v>
      </c>
      <c r="I846" s="1" t="s">
        <v>2</v>
      </c>
      <c r="J846" s="1" t="s">
        <v>3</v>
      </c>
      <c r="K846" s="1" t="s">
        <v>2329</v>
      </c>
      <c r="L846" s="1" t="s">
        <v>7</v>
      </c>
      <c r="M846" s="1" t="s">
        <v>9</v>
      </c>
      <c r="N846" s="1" t="s">
        <v>2330</v>
      </c>
      <c r="O846" s="1" t="s">
        <v>2238</v>
      </c>
      <c r="P846" s="1"/>
      <c r="Q846" s="1"/>
      <c r="R846" s="1" t="s">
        <v>11</v>
      </c>
      <c r="S846" s="1"/>
      <c r="T846" s="1"/>
      <c r="U846" s="1"/>
      <c r="V846" s="1"/>
      <c r="W846" s="1"/>
      <c r="X846" s="1" t="s">
        <v>2331</v>
      </c>
      <c r="Y846" s="1"/>
      <c r="Z846" s="1"/>
      <c r="AA846" s="1"/>
      <c r="AB846" s="1"/>
      <c r="AC846" s="1"/>
      <c r="AD846" s="1"/>
      <c r="AE846" s="6" t="s">
        <v>2332</v>
      </c>
      <c r="AF846" s="1"/>
      <c r="AG846" s="1"/>
      <c r="AH846" s="1" t="s">
        <v>2333</v>
      </c>
      <c r="AI846" s="1"/>
      <c r="AJ846" s="1" t="s">
        <v>35</v>
      </c>
      <c r="AK846" s="1" t="s">
        <v>2334</v>
      </c>
      <c r="AL846" s="1"/>
      <c r="AM846" s="1"/>
      <c r="AN846" s="1"/>
      <c r="AO846" s="1"/>
      <c r="AP846" s="2" t="s">
        <v>2335</v>
      </c>
      <c r="AQ846" s="2" t="s">
        <v>1155</v>
      </c>
      <c r="AR846" s="1"/>
      <c r="AS846" s="1"/>
      <c r="AT846" s="1" t="s">
        <v>5</v>
      </c>
    </row>
    <row r="847" spans="1:46" hidden="1" x14ac:dyDescent="0.4">
      <c r="A847" s="7" t="s">
        <v>2336</v>
      </c>
      <c r="B847" s="11"/>
      <c r="C847" s="1" t="s">
        <v>0</v>
      </c>
      <c r="D847" s="1" t="s">
        <v>2157</v>
      </c>
      <c r="E847" s="1" t="s">
        <v>2078</v>
      </c>
      <c r="F847" s="1" t="s">
        <v>14</v>
      </c>
      <c r="G847" s="1" t="s">
        <v>1</v>
      </c>
      <c r="H847" s="1" t="s">
        <v>6</v>
      </c>
      <c r="I847" s="1" t="s">
        <v>2</v>
      </c>
      <c r="J847" s="1" t="s">
        <v>3</v>
      </c>
      <c r="K847" s="1" t="s">
        <v>2337</v>
      </c>
      <c r="L847" s="1" t="s">
        <v>7</v>
      </c>
      <c r="M847" s="1" t="s">
        <v>9</v>
      </c>
      <c r="N847" s="1" t="s">
        <v>2338</v>
      </c>
      <c r="O847" s="1" t="s">
        <v>2160</v>
      </c>
      <c r="P847" s="1"/>
      <c r="Q847" s="1"/>
      <c r="R847" s="1" t="s">
        <v>11</v>
      </c>
      <c r="S847" s="1"/>
      <c r="T847" s="1"/>
      <c r="U847" s="1"/>
      <c r="V847" s="1"/>
      <c r="W847" s="1" t="s">
        <v>2339</v>
      </c>
      <c r="X847" s="1" t="s">
        <v>2340</v>
      </c>
      <c r="Y847" s="1"/>
      <c r="Z847" s="1"/>
      <c r="AA847" s="1"/>
      <c r="AB847" s="1"/>
      <c r="AC847" s="1"/>
      <c r="AD847" s="1"/>
      <c r="AE847" s="6" t="s">
        <v>2341</v>
      </c>
      <c r="AF847" s="1"/>
      <c r="AG847" s="1"/>
      <c r="AH847" s="1" t="s">
        <v>2342</v>
      </c>
      <c r="AI847" s="1"/>
      <c r="AJ847" s="1" t="s">
        <v>2343</v>
      </c>
      <c r="AK847" s="1" t="s">
        <v>2320</v>
      </c>
      <c r="AL847" s="1"/>
      <c r="AM847" s="1"/>
      <c r="AN847" s="1"/>
      <c r="AO847" s="1"/>
      <c r="AP847" s="2" t="s">
        <v>2344</v>
      </c>
      <c r="AQ847" s="2" t="s">
        <v>1153</v>
      </c>
      <c r="AR847" s="1"/>
      <c r="AS847" s="1"/>
      <c r="AT847" s="1" t="s">
        <v>5</v>
      </c>
    </row>
    <row r="848" spans="1:46" hidden="1" x14ac:dyDescent="0.4">
      <c r="A848" s="7" t="s">
        <v>2345</v>
      </c>
      <c r="B848" s="11"/>
      <c r="C848" s="1" t="s">
        <v>0</v>
      </c>
      <c r="D848" s="1" t="s">
        <v>2157</v>
      </c>
      <c r="E848" s="1" t="s">
        <v>2078</v>
      </c>
      <c r="F848" s="1" t="s">
        <v>14</v>
      </c>
      <c r="G848" s="1" t="s">
        <v>1</v>
      </c>
      <c r="H848" s="1" t="s">
        <v>6</v>
      </c>
      <c r="I848" s="1" t="s">
        <v>2</v>
      </c>
      <c r="J848" s="1" t="s">
        <v>3</v>
      </c>
      <c r="K848" s="1" t="s">
        <v>2346</v>
      </c>
      <c r="L848" s="1" t="s">
        <v>7</v>
      </c>
      <c r="M848" s="1" t="s">
        <v>9</v>
      </c>
      <c r="N848" s="1" t="s">
        <v>2347</v>
      </c>
      <c r="O848" s="1" t="s">
        <v>2348</v>
      </c>
      <c r="P848" s="1"/>
      <c r="Q848" s="1"/>
      <c r="R848" s="1" t="s">
        <v>11</v>
      </c>
      <c r="S848" s="1"/>
      <c r="T848" s="1"/>
      <c r="U848" s="1"/>
      <c r="V848" s="1"/>
      <c r="W848" s="1" t="s">
        <v>2349</v>
      </c>
      <c r="X848" s="1" t="s">
        <v>2350</v>
      </c>
      <c r="Y848" s="1"/>
      <c r="Z848" s="1"/>
      <c r="AA848" s="1"/>
      <c r="AB848" s="1"/>
      <c r="AC848" s="1"/>
      <c r="AD848" s="1"/>
      <c r="AE848" s="6" t="s">
        <v>2351</v>
      </c>
      <c r="AF848" s="1"/>
      <c r="AG848" s="1"/>
      <c r="AH848" s="1" t="s">
        <v>2352</v>
      </c>
      <c r="AI848" s="1"/>
      <c r="AJ848" s="1" t="s">
        <v>2353</v>
      </c>
      <c r="AK848" s="1" t="s">
        <v>2354</v>
      </c>
      <c r="AL848" s="1"/>
      <c r="AM848" s="1"/>
      <c r="AN848" s="1"/>
      <c r="AO848" s="1"/>
      <c r="AP848" s="2" t="s">
        <v>2355</v>
      </c>
      <c r="AQ848" s="2" t="s">
        <v>1077</v>
      </c>
      <c r="AR848" s="1"/>
      <c r="AS848" s="1"/>
      <c r="AT848" s="1" t="s">
        <v>5</v>
      </c>
    </row>
    <row r="849" spans="1:46" hidden="1" x14ac:dyDescent="0.4">
      <c r="A849" s="7" t="s">
        <v>2356</v>
      </c>
      <c r="B849" s="11"/>
      <c r="C849" s="1" t="s">
        <v>0</v>
      </c>
      <c r="D849" s="1" t="s">
        <v>2157</v>
      </c>
      <c r="E849" s="1" t="s">
        <v>2078</v>
      </c>
      <c r="F849" s="1" t="s">
        <v>14</v>
      </c>
      <c r="G849" s="1" t="s">
        <v>1</v>
      </c>
      <c r="H849" s="1" t="s">
        <v>6</v>
      </c>
      <c r="I849" s="1" t="s">
        <v>2</v>
      </c>
      <c r="J849" s="1" t="s">
        <v>3</v>
      </c>
      <c r="K849" s="1" t="s">
        <v>2357</v>
      </c>
      <c r="L849" s="1" t="s">
        <v>7</v>
      </c>
      <c r="M849" s="1" t="s">
        <v>9</v>
      </c>
      <c r="N849" s="1" t="s">
        <v>2358</v>
      </c>
      <c r="O849" s="1" t="s">
        <v>2359</v>
      </c>
      <c r="P849" s="1"/>
      <c r="Q849" s="1"/>
      <c r="R849" s="1" t="s">
        <v>11</v>
      </c>
      <c r="S849" s="1"/>
      <c r="T849" s="1"/>
      <c r="U849" s="1"/>
      <c r="V849" s="1"/>
      <c r="W849" s="1"/>
      <c r="X849" s="1" t="s">
        <v>2360</v>
      </c>
      <c r="Y849" s="1"/>
      <c r="Z849" s="1"/>
      <c r="AA849" s="1"/>
      <c r="AB849" s="1"/>
      <c r="AC849" s="1"/>
      <c r="AD849" s="1"/>
      <c r="AE849" s="6" t="s">
        <v>2361</v>
      </c>
      <c r="AF849" s="1"/>
      <c r="AG849" s="1"/>
      <c r="AH849" s="1" t="s">
        <v>2362</v>
      </c>
      <c r="AI849" s="1" t="s">
        <v>2363</v>
      </c>
      <c r="AJ849" s="1" t="s">
        <v>2364</v>
      </c>
      <c r="AK849" s="1" t="s">
        <v>2365</v>
      </c>
      <c r="AL849" s="1"/>
      <c r="AM849" s="1" t="s">
        <v>2364</v>
      </c>
      <c r="AN849" s="1" t="s">
        <v>2365</v>
      </c>
      <c r="AO849" s="1"/>
      <c r="AP849" s="2" t="s">
        <v>2366</v>
      </c>
      <c r="AQ849" s="2" t="s">
        <v>1154</v>
      </c>
      <c r="AR849" s="1"/>
      <c r="AS849" s="1"/>
      <c r="AT849" s="1" t="s">
        <v>10</v>
      </c>
    </row>
    <row r="850" spans="1:46" hidden="1" x14ac:dyDescent="0.4">
      <c r="A850" s="7" t="s">
        <v>2367</v>
      </c>
      <c r="B850" s="11"/>
      <c r="C850" s="1" t="s">
        <v>0</v>
      </c>
      <c r="D850" s="1" t="s">
        <v>2157</v>
      </c>
      <c r="E850" s="1" t="s">
        <v>2078</v>
      </c>
      <c r="F850" s="1" t="s">
        <v>14</v>
      </c>
      <c r="G850" s="1" t="s">
        <v>1</v>
      </c>
      <c r="H850" s="1" t="s">
        <v>6</v>
      </c>
      <c r="I850" s="1" t="s">
        <v>2</v>
      </c>
      <c r="J850" s="1" t="s">
        <v>3</v>
      </c>
      <c r="K850" s="1" t="s">
        <v>2368</v>
      </c>
      <c r="L850" s="1" t="s">
        <v>7</v>
      </c>
      <c r="M850" s="1" t="s">
        <v>9</v>
      </c>
      <c r="N850" s="1" t="s">
        <v>2369</v>
      </c>
      <c r="O850" s="1" t="s">
        <v>2359</v>
      </c>
      <c r="P850" s="1"/>
      <c r="Q850" s="1"/>
      <c r="R850" s="1" t="s">
        <v>11</v>
      </c>
      <c r="S850" s="1"/>
      <c r="T850" s="1"/>
      <c r="U850" s="1"/>
      <c r="V850" s="1"/>
      <c r="W850" s="1"/>
      <c r="X850" s="1" t="s">
        <v>2360</v>
      </c>
      <c r="Y850" s="1"/>
      <c r="Z850" s="1"/>
      <c r="AA850" s="1"/>
      <c r="AB850" s="1"/>
      <c r="AC850" s="1"/>
      <c r="AD850" s="1"/>
      <c r="AE850" s="6" t="s">
        <v>2361</v>
      </c>
      <c r="AF850" s="1"/>
      <c r="AG850" s="1"/>
      <c r="AH850" s="1" t="s">
        <v>2370</v>
      </c>
      <c r="AI850" s="1" t="s">
        <v>2371</v>
      </c>
      <c r="AJ850" s="1" t="s">
        <v>2364</v>
      </c>
      <c r="AK850" s="1" t="s">
        <v>2365</v>
      </c>
      <c r="AL850" s="1"/>
      <c r="AM850" s="1" t="s">
        <v>2364</v>
      </c>
      <c r="AN850" s="1" t="s">
        <v>2365</v>
      </c>
      <c r="AO850" s="1"/>
      <c r="AP850" s="2" t="s">
        <v>2372</v>
      </c>
      <c r="AQ850" s="2" t="s">
        <v>1154</v>
      </c>
      <c r="AR850" s="1"/>
      <c r="AS850" s="1"/>
      <c r="AT850" s="1" t="s">
        <v>10</v>
      </c>
    </row>
    <row r="851" spans="1:46" hidden="1" x14ac:dyDescent="0.4">
      <c r="A851" s="7" t="s">
        <v>2373</v>
      </c>
      <c r="B851" s="11"/>
      <c r="C851" s="1" t="s">
        <v>0</v>
      </c>
      <c r="D851" s="1" t="s">
        <v>2157</v>
      </c>
      <c r="E851" s="1" t="s">
        <v>2078</v>
      </c>
      <c r="F851" s="1" t="s">
        <v>14</v>
      </c>
      <c r="G851" s="1" t="s">
        <v>1</v>
      </c>
      <c r="H851" s="1" t="s">
        <v>6</v>
      </c>
      <c r="I851" s="1" t="s">
        <v>2</v>
      </c>
      <c r="J851" s="1" t="s">
        <v>3</v>
      </c>
      <c r="K851" s="1" t="s">
        <v>2374</v>
      </c>
      <c r="L851" s="1" t="s">
        <v>7</v>
      </c>
      <c r="M851" s="1" t="s">
        <v>9</v>
      </c>
      <c r="N851" s="1" t="s">
        <v>2375</v>
      </c>
      <c r="O851" s="1" t="s">
        <v>2376</v>
      </c>
      <c r="P851" s="1"/>
      <c r="Q851" s="1"/>
      <c r="R851" s="1" t="s">
        <v>11</v>
      </c>
      <c r="S851" s="1"/>
      <c r="T851" s="1"/>
      <c r="U851" s="1"/>
      <c r="V851" s="1"/>
      <c r="W851" s="1"/>
      <c r="X851" s="1" t="s">
        <v>2377</v>
      </c>
      <c r="Y851" s="1"/>
      <c r="Z851" s="1"/>
      <c r="AA851" s="1"/>
      <c r="AB851" s="1"/>
      <c r="AC851" s="1"/>
      <c r="AD851" s="1"/>
      <c r="AE851" s="6" t="s">
        <v>2378</v>
      </c>
      <c r="AF851" s="1"/>
      <c r="AG851" s="1"/>
      <c r="AH851" s="1" t="s">
        <v>2379</v>
      </c>
      <c r="AI851" s="1"/>
      <c r="AJ851" s="1" t="s">
        <v>2380</v>
      </c>
      <c r="AK851" s="1" t="s">
        <v>2381</v>
      </c>
      <c r="AL851" s="1"/>
      <c r="AM851" s="1" t="s">
        <v>2382</v>
      </c>
      <c r="AN851" s="1" t="s">
        <v>2381</v>
      </c>
      <c r="AO851" s="1"/>
      <c r="AP851" s="2" t="s">
        <v>2383</v>
      </c>
      <c r="AQ851" s="2" t="s">
        <v>1077</v>
      </c>
      <c r="AR851" s="1"/>
      <c r="AS851" s="1"/>
      <c r="AT851" s="1" t="s">
        <v>5</v>
      </c>
    </row>
    <row r="852" spans="1:46" hidden="1" x14ac:dyDescent="0.4">
      <c r="A852" s="7" t="s">
        <v>2384</v>
      </c>
      <c r="B852" s="11"/>
      <c r="C852" s="1" t="s">
        <v>0</v>
      </c>
      <c r="D852" s="1" t="s">
        <v>2157</v>
      </c>
      <c r="E852" s="1" t="s">
        <v>2078</v>
      </c>
      <c r="F852" s="1" t="s">
        <v>14</v>
      </c>
      <c r="G852" s="1" t="s">
        <v>1</v>
      </c>
      <c r="H852" s="1" t="s">
        <v>6</v>
      </c>
      <c r="I852" s="1" t="s">
        <v>2</v>
      </c>
      <c r="J852" s="1" t="s">
        <v>3</v>
      </c>
      <c r="K852" s="1" t="s">
        <v>2385</v>
      </c>
      <c r="L852" s="1" t="s">
        <v>7</v>
      </c>
      <c r="M852" s="1" t="s">
        <v>9</v>
      </c>
      <c r="N852" s="1" t="s">
        <v>2386</v>
      </c>
      <c r="O852" s="1" t="s">
        <v>2387</v>
      </c>
      <c r="P852" s="1"/>
      <c r="Q852" s="1"/>
      <c r="R852" s="1" t="s">
        <v>11</v>
      </c>
      <c r="S852" s="1"/>
      <c r="T852" s="1"/>
      <c r="U852" s="1"/>
      <c r="V852" s="1"/>
      <c r="W852" s="1"/>
      <c r="X852" s="1" t="s">
        <v>2388</v>
      </c>
      <c r="Y852" s="1"/>
      <c r="Z852" s="1"/>
      <c r="AA852" s="1"/>
      <c r="AB852" s="1"/>
      <c r="AC852" s="1"/>
      <c r="AD852" s="1"/>
      <c r="AE852" s="6" t="s">
        <v>2389</v>
      </c>
      <c r="AF852" s="1"/>
      <c r="AG852" s="1"/>
      <c r="AH852" s="1" t="s">
        <v>2390</v>
      </c>
      <c r="AI852" s="1"/>
      <c r="AJ852" s="1" t="s">
        <v>2391</v>
      </c>
      <c r="AK852" s="1" t="s">
        <v>2392</v>
      </c>
      <c r="AL852" s="1"/>
      <c r="AM852" s="1" t="s">
        <v>2393</v>
      </c>
      <c r="AN852" s="1" t="s">
        <v>2392</v>
      </c>
      <c r="AO852" s="1"/>
      <c r="AP852" s="2" t="s">
        <v>2394</v>
      </c>
      <c r="AQ852" s="2" t="s">
        <v>1077</v>
      </c>
      <c r="AR852" s="1"/>
      <c r="AS852" s="1"/>
      <c r="AT852" s="1" t="s">
        <v>10</v>
      </c>
    </row>
    <row r="853" spans="1:46" hidden="1" x14ac:dyDescent="0.4">
      <c r="A853" s="7" t="s">
        <v>2438</v>
      </c>
      <c r="B853" s="11"/>
      <c r="C853" s="1" t="s">
        <v>0</v>
      </c>
      <c r="D853" s="1" t="s">
        <v>2157</v>
      </c>
      <c r="E853" s="1" t="s">
        <v>2078</v>
      </c>
      <c r="F853" s="1" t="s">
        <v>14</v>
      </c>
      <c r="G853" s="1" t="s">
        <v>1</v>
      </c>
      <c r="H853" s="1" t="s">
        <v>6</v>
      </c>
      <c r="I853" s="1" t="s">
        <v>2</v>
      </c>
      <c r="J853" s="1" t="s">
        <v>3</v>
      </c>
      <c r="K853" s="1" t="s">
        <v>2439</v>
      </c>
      <c r="L853" s="1" t="s">
        <v>4</v>
      </c>
      <c r="M853" s="1" t="s">
        <v>9</v>
      </c>
      <c r="N853" s="1" t="s">
        <v>2440</v>
      </c>
      <c r="O853" s="1" t="s">
        <v>2441</v>
      </c>
      <c r="P853" s="1"/>
      <c r="Q853" s="1"/>
      <c r="R853" s="1" t="s">
        <v>11</v>
      </c>
      <c r="S853" s="1"/>
      <c r="T853" s="1"/>
      <c r="U853" s="1"/>
      <c r="V853" s="1"/>
      <c r="W853" s="1"/>
      <c r="X853" s="1" t="s">
        <v>2442</v>
      </c>
      <c r="Y853" s="1"/>
      <c r="Z853" s="1"/>
      <c r="AA853" s="1"/>
      <c r="AB853" s="1"/>
      <c r="AC853" s="1"/>
      <c r="AD853" s="1"/>
      <c r="AE853" s="6" t="s">
        <v>2443</v>
      </c>
      <c r="AF853" s="1"/>
      <c r="AG853" s="1"/>
      <c r="AH853" s="1" t="s">
        <v>2444</v>
      </c>
      <c r="AI853" s="1"/>
      <c r="AJ853" s="1" t="s">
        <v>2445</v>
      </c>
      <c r="AK853" s="1" t="s">
        <v>2446</v>
      </c>
      <c r="AL853" s="1"/>
      <c r="AM853" s="1" t="s">
        <v>2447</v>
      </c>
      <c r="AN853" s="1" t="s">
        <v>2446</v>
      </c>
      <c r="AO853" s="1"/>
      <c r="AP853" s="2" t="s">
        <v>2448</v>
      </c>
      <c r="AQ853" s="2" t="s">
        <v>1155</v>
      </c>
      <c r="AR853" s="1"/>
      <c r="AS853" s="1"/>
      <c r="AT853" s="1" t="s">
        <v>10</v>
      </c>
    </row>
    <row r="854" spans="1:46" hidden="1" x14ac:dyDescent="0.4">
      <c r="A854" s="7" t="s">
        <v>2453</v>
      </c>
      <c r="B854" s="11"/>
      <c r="C854" s="1" t="s">
        <v>2454</v>
      </c>
      <c r="D854" s="1" t="s">
        <v>2290</v>
      </c>
      <c r="E854" s="1" t="s">
        <v>2291</v>
      </c>
      <c r="F854" s="1" t="s">
        <v>14</v>
      </c>
      <c r="G854" s="1" t="s">
        <v>1</v>
      </c>
      <c r="H854" s="1" t="s">
        <v>6</v>
      </c>
      <c r="I854" s="1" t="s">
        <v>2</v>
      </c>
      <c r="J854" s="1" t="s">
        <v>3</v>
      </c>
      <c r="K854" s="1" t="s">
        <v>2455</v>
      </c>
      <c r="L854" s="1" t="s">
        <v>7</v>
      </c>
      <c r="M854" s="1" t="s">
        <v>9</v>
      </c>
      <c r="N854" s="1" t="s">
        <v>2456</v>
      </c>
      <c r="O854" s="1" t="s">
        <v>2457</v>
      </c>
      <c r="P854" s="1"/>
      <c r="Q854" s="1"/>
      <c r="R854" s="1"/>
      <c r="S854" s="1"/>
      <c r="T854" s="1"/>
      <c r="U854" s="1"/>
      <c r="V854" s="1"/>
      <c r="W854" s="1" t="s">
        <v>2458</v>
      </c>
      <c r="X854" s="1"/>
      <c r="Y854" s="1"/>
      <c r="Z854" s="1"/>
      <c r="AA854" s="1"/>
      <c r="AB854" s="1"/>
      <c r="AC854" s="1"/>
      <c r="AD854" s="1"/>
      <c r="AE854" s="6" t="s">
        <v>2459</v>
      </c>
      <c r="AF854" s="1"/>
      <c r="AG854" s="1"/>
      <c r="AH854" s="1" t="s">
        <v>2460</v>
      </c>
      <c r="AI854" s="1"/>
      <c r="AJ854" s="1"/>
      <c r="AK854" s="1"/>
      <c r="AL854" s="1"/>
      <c r="AM854" s="1"/>
      <c r="AN854" s="1"/>
      <c r="AO854" s="1"/>
      <c r="AP854" s="2" t="s">
        <v>2461</v>
      </c>
      <c r="AQ854" s="2" t="s">
        <v>1153</v>
      </c>
      <c r="AR854" s="1"/>
      <c r="AS854" s="1"/>
      <c r="AT854" s="1" t="s">
        <v>5</v>
      </c>
    </row>
    <row r="855" spans="1:46" hidden="1" x14ac:dyDescent="0.4">
      <c r="A855" s="7" t="s">
        <v>2462</v>
      </c>
      <c r="B855" s="11"/>
      <c r="C855" s="1" t="s">
        <v>0</v>
      </c>
      <c r="D855" s="1" t="s">
        <v>2290</v>
      </c>
      <c r="E855" s="1" t="s">
        <v>2291</v>
      </c>
      <c r="F855" s="1" t="s">
        <v>14</v>
      </c>
      <c r="G855" s="1" t="s">
        <v>1</v>
      </c>
      <c r="H855" s="1" t="s">
        <v>6</v>
      </c>
      <c r="I855" s="1" t="s">
        <v>2</v>
      </c>
      <c r="J855" s="1" t="s">
        <v>3</v>
      </c>
      <c r="K855" s="1" t="s">
        <v>2463</v>
      </c>
      <c r="L855" s="1" t="s">
        <v>7</v>
      </c>
      <c r="M855" s="1" t="s">
        <v>9</v>
      </c>
      <c r="N855" s="1" t="s">
        <v>2464</v>
      </c>
      <c r="O855" s="1" t="s">
        <v>2465</v>
      </c>
      <c r="P855" s="1"/>
      <c r="Q855" s="1"/>
      <c r="R855" s="1" t="s">
        <v>11</v>
      </c>
      <c r="S855" s="1"/>
      <c r="T855" s="1"/>
      <c r="U855" s="1"/>
      <c r="V855" s="1"/>
      <c r="W855" s="1"/>
      <c r="X855" s="1"/>
      <c r="Y855" s="1"/>
      <c r="Z855" s="1"/>
      <c r="AA855" s="1"/>
      <c r="AB855" s="1"/>
      <c r="AC855" s="1"/>
      <c r="AD855" s="1"/>
      <c r="AE855" s="6" t="s">
        <v>2466</v>
      </c>
      <c r="AF855" s="1"/>
      <c r="AG855" s="1"/>
      <c r="AH855" s="1" t="s">
        <v>2467</v>
      </c>
      <c r="AI855" s="1"/>
      <c r="AJ855" s="1"/>
      <c r="AK855" s="1"/>
      <c r="AL855" s="1"/>
      <c r="AM855" s="1"/>
      <c r="AN855" s="1"/>
      <c r="AO855" s="1"/>
      <c r="AP855" s="2" t="s">
        <v>2468</v>
      </c>
      <c r="AQ855" s="2" t="s">
        <v>1077</v>
      </c>
      <c r="AR855" s="1"/>
      <c r="AS855" s="1"/>
      <c r="AT855" s="1" t="s">
        <v>5</v>
      </c>
    </row>
    <row r="856" spans="1:46" hidden="1" x14ac:dyDescent="0.4">
      <c r="A856" s="7" t="s">
        <v>2469</v>
      </c>
      <c r="B856" s="11"/>
      <c r="C856" s="1" t="s">
        <v>0</v>
      </c>
      <c r="D856" s="1" t="s">
        <v>2157</v>
      </c>
      <c r="E856" s="1" t="s">
        <v>2078</v>
      </c>
      <c r="F856" s="1" t="s">
        <v>14</v>
      </c>
      <c r="G856" s="1" t="s">
        <v>1</v>
      </c>
      <c r="H856" s="1" t="s">
        <v>6</v>
      </c>
      <c r="I856" s="1" t="s">
        <v>2</v>
      </c>
      <c r="J856" s="1" t="s">
        <v>3</v>
      </c>
      <c r="K856" s="1" t="s">
        <v>2470</v>
      </c>
      <c r="L856" s="1" t="s">
        <v>7</v>
      </c>
      <c r="M856" s="1" t="s">
        <v>9</v>
      </c>
      <c r="N856" s="1" t="s">
        <v>2471</v>
      </c>
      <c r="O856" s="1" t="s">
        <v>2472</v>
      </c>
      <c r="P856" s="1"/>
      <c r="Q856" s="1"/>
      <c r="R856" s="1" t="s">
        <v>11</v>
      </c>
      <c r="S856" s="1"/>
      <c r="T856" s="1"/>
      <c r="U856" s="1"/>
      <c r="V856" s="1"/>
      <c r="W856" s="1" t="s">
        <v>2473</v>
      </c>
      <c r="X856" s="1" t="s">
        <v>2474</v>
      </c>
      <c r="Y856" s="1"/>
      <c r="Z856" s="1"/>
      <c r="AA856" s="1"/>
      <c r="AB856" s="1"/>
      <c r="AC856" s="1"/>
      <c r="AD856" s="1"/>
      <c r="AE856" s="6" t="s">
        <v>2475</v>
      </c>
      <c r="AF856" s="1"/>
      <c r="AG856" s="1"/>
      <c r="AH856" s="1" t="s">
        <v>2476</v>
      </c>
      <c r="AI856" s="1"/>
      <c r="AJ856" s="1"/>
      <c r="AK856" s="1"/>
      <c r="AL856" s="1"/>
      <c r="AM856" s="1"/>
      <c r="AN856" s="1"/>
      <c r="AO856" s="1"/>
      <c r="AP856" s="2" t="s">
        <v>2477</v>
      </c>
      <c r="AQ856" s="2" t="s">
        <v>1155</v>
      </c>
      <c r="AR856" s="1"/>
      <c r="AS856" s="1"/>
      <c r="AT856" s="1" t="s">
        <v>5</v>
      </c>
    </row>
    <row r="857" spans="1:46" hidden="1" x14ac:dyDescent="0.4">
      <c r="A857" s="7" t="s">
        <v>2482</v>
      </c>
      <c r="B857" s="11"/>
      <c r="C857" s="1" t="s">
        <v>0</v>
      </c>
      <c r="D857" s="1" t="s">
        <v>2396</v>
      </c>
      <c r="E857" s="1" t="s">
        <v>2483</v>
      </c>
      <c r="F857" s="1" t="s">
        <v>14</v>
      </c>
      <c r="G857" s="1" t="s">
        <v>1</v>
      </c>
      <c r="H857" s="1" t="s">
        <v>6</v>
      </c>
      <c r="I857" s="1" t="s">
        <v>2</v>
      </c>
      <c r="J857" s="1" t="s">
        <v>3</v>
      </c>
      <c r="K857" s="1" t="s">
        <v>2484</v>
      </c>
      <c r="L857" s="1" t="s">
        <v>7</v>
      </c>
      <c r="M857" s="1" t="s">
        <v>9</v>
      </c>
      <c r="N857" s="1" t="s">
        <v>2485</v>
      </c>
      <c r="O857" s="1" t="s">
        <v>2486</v>
      </c>
      <c r="P857" s="1"/>
      <c r="Q857" s="1"/>
      <c r="R857" s="1" t="s">
        <v>11</v>
      </c>
      <c r="S857" s="1"/>
      <c r="T857" s="1"/>
      <c r="U857" s="1"/>
      <c r="V857" s="1"/>
      <c r="W857" s="1" t="s">
        <v>2487</v>
      </c>
      <c r="X857" s="1"/>
      <c r="Y857" s="1"/>
      <c r="Z857" s="1"/>
      <c r="AA857" s="1"/>
      <c r="AB857" s="1"/>
      <c r="AC857" s="1"/>
      <c r="AD857" s="1"/>
      <c r="AE857" s="6" t="s">
        <v>2488</v>
      </c>
      <c r="AF857" s="1"/>
      <c r="AG857" s="1"/>
      <c r="AH857" s="1" t="s">
        <v>2489</v>
      </c>
      <c r="AI857" s="1"/>
      <c r="AJ857" s="1"/>
      <c r="AK857" s="1"/>
      <c r="AL857" s="1"/>
      <c r="AM857" s="1"/>
      <c r="AN857" s="1"/>
      <c r="AO857" s="1"/>
      <c r="AP857" s="2" t="s">
        <v>2490</v>
      </c>
      <c r="AQ857" s="2" t="s">
        <v>1153</v>
      </c>
      <c r="AR857" s="1"/>
      <c r="AS857" s="1"/>
      <c r="AT857" s="1" t="s">
        <v>5</v>
      </c>
    </row>
    <row r="858" spans="1:46" hidden="1" x14ac:dyDescent="0.4">
      <c r="A858" s="7" t="s">
        <v>2493</v>
      </c>
      <c r="B858" s="11"/>
      <c r="C858" s="1" t="s">
        <v>2494</v>
      </c>
      <c r="D858" s="1" t="s">
        <v>2076</v>
      </c>
      <c r="E858" s="1" t="s">
        <v>2078</v>
      </c>
      <c r="F858" s="1" t="s">
        <v>14</v>
      </c>
      <c r="G858" s="1" t="s">
        <v>1</v>
      </c>
      <c r="H858" s="1" t="s">
        <v>6</v>
      </c>
      <c r="I858" s="1" t="s">
        <v>2</v>
      </c>
      <c r="J858" s="1" t="s">
        <v>3</v>
      </c>
      <c r="K858" s="1" t="s">
        <v>2495</v>
      </c>
      <c r="L858" s="1" t="s">
        <v>7</v>
      </c>
      <c r="M858" s="1" t="s">
        <v>9</v>
      </c>
      <c r="N858" s="1" t="s">
        <v>2496</v>
      </c>
      <c r="O858" s="1" t="s">
        <v>2497</v>
      </c>
      <c r="P858" s="1"/>
      <c r="Q858" s="1"/>
      <c r="R858" s="1" t="s">
        <v>11</v>
      </c>
      <c r="S858" s="1"/>
      <c r="T858" s="1"/>
      <c r="U858" s="1"/>
      <c r="V858" s="1"/>
      <c r="W858" s="1"/>
      <c r="X858" s="1" t="s">
        <v>2498</v>
      </c>
      <c r="Y858" s="1"/>
      <c r="Z858" s="1"/>
      <c r="AA858" s="1" t="s">
        <v>2499</v>
      </c>
      <c r="AB858" s="1"/>
      <c r="AC858" s="1"/>
      <c r="AD858" s="1"/>
      <c r="AE858" s="6" t="s">
        <v>2500</v>
      </c>
      <c r="AF858" s="1"/>
      <c r="AG858" s="1"/>
      <c r="AH858" s="1" t="s">
        <v>2501</v>
      </c>
      <c r="AI858" s="1"/>
      <c r="AJ858" s="1" t="s">
        <v>2502</v>
      </c>
      <c r="AK858" s="1"/>
      <c r="AL858" s="1" t="s">
        <v>2503</v>
      </c>
      <c r="AM858" s="1" t="s">
        <v>2504</v>
      </c>
      <c r="AN858" s="1" t="s">
        <v>2505</v>
      </c>
      <c r="AO858" s="1" t="s">
        <v>2506</v>
      </c>
      <c r="AP858" s="2" t="s">
        <v>2507</v>
      </c>
      <c r="AQ858" s="2" t="s">
        <v>1153</v>
      </c>
      <c r="AR858" s="1"/>
      <c r="AS858" s="1"/>
      <c r="AT858" s="1" t="s">
        <v>5</v>
      </c>
    </row>
    <row r="859" spans="1:46" hidden="1" x14ac:dyDescent="0.4">
      <c r="A859" s="7" t="s">
        <v>2508</v>
      </c>
      <c r="B859" s="11"/>
      <c r="C859" s="1" t="s">
        <v>0</v>
      </c>
      <c r="D859" s="1" t="s">
        <v>2076</v>
      </c>
      <c r="E859" s="1" t="s">
        <v>13</v>
      </c>
      <c r="F859" s="1" t="s">
        <v>14</v>
      </c>
      <c r="G859" s="1" t="s">
        <v>1</v>
      </c>
      <c r="H859" s="1" t="s">
        <v>6</v>
      </c>
      <c r="I859" s="1" t="s">
        <v>2</v>
      </c>
      <c r="J859" s="1" t="s">
        <v>3</v>
      </c>
      <c r="K859" s="1" t="s">
        <v>2509</v>
      </c>
      <c r="L859" s="1" t="s">
        <v>7</v>
      </c>
      <c r="M859" s="1" t="s">
        <v>9</v>
      </c>
      <c r="N859" s="1" t="s">
        <v>2510</v>
      </c>
      <c r="O859" s="1" t="s">
        <v>2160</v>
      </c>
      <c r="P859" s="1"/>
      <c r="Q859" s="1"/>
      <c r="R859" s="1" t="s">
        <v>11</v>
      </c>
      <c r="S859" s="1"/>
      <c r="T859" s="1"/>
      <c r="U859" s="1"/>
      <c r="V859" s="1"/>
      <c r="W859" s="1" t="s">
        <v>2511</v>
      </c>
      <c r="X859" s="1" t="s">
        <v>2512</v>
      </c>
      <c r="Y859" s="1"/>
      <c r="Z859" s="1"/>
      <c r="AA859" s="1"/>
      <c r="AB859" s="1"/>
      <c r="AC859" s="1"/>
      <c r="AD859" s="1"/>
      <c r="AE859" s="6" t="s">
        <v>2513</v>
      </c>
      <c r="AF859" s="1"/>
      <c r="AG859" s="1"/>
      <c r="AH859" s="1" t="s">
        <v>2514</v>
      </c>
      <c r="AI859" s="1"/>
      <c r="AJ859" s="1" t="s">
        <v>2515</v>
      </c>
      <c r="AK859" s="1" t="s">
        <v>2516</v>
      </c>
      <c r="AL859" s="1"/>
      <c r="AM859" s="1" t="s">
        <v>2270</v>
      </c>
      <c r="AN859" s="1" t="s">
        <v>2516</v>
      </c>
      <c r="AO859" s="1"/>
      <c r="AP859" s="2" t="s">
        <v>2517</v>
      </c>
      <c r="AQ859" s="2" t="s">
        <v>1153</v>
      </c>
      <c r="AR859" s="1"/>
      <c r="AS859" s="1"/>
      <c r="AT859" s="1" t="s">
        <v>10</v>
      </c>
    </row>
    <row r="860" spans="1:46" hidden="1" x14ac:dyDescent="0.4">
      <c r="A860" s="7" t="s">
        <v>2518</v>
      </c>
      <c r="B860" s="11"/>
      <c r="C860" s="1" t="s">
        <v>0</v>
      </c>
      <c r="D860" s="1" t="s">
        <v>2076</v>
      </c>
      <c r="E860" s="1" t="s">
        <v>13</v>
      </c>
      <c r="F860" s="1" t="s">
        <v>14</v>
      </c>
      <c r="G860" s="1" t="s">
        <v>1</v>
      </c>
      <c r="H860" s="1" t="s">
        <v>6</v>
      </c>
      <c r="I860" s="1" t="s">
        <v>2</v>
      </c>
      <c r="J860" s="1" t="s">
        <v>3</v>
      </c>
      <c r="K860" s="1" t="s">
        <v>2519</v>
      </c>
      <c r="L860" s="1" t="s">
        <v>7</v>
      </c>
      <c r="M860" s="1" t="s">
        <v>9</v>
      </c>
      <c r="N860" s="1" t="s">
        <v>2520</v>
      </c>
      <c r="O860" s="1" t="s">
        <v>2160</v>
      </c>
      <c r="P860" s="1"/>
      <c r="Q860" s="1"/>
      <c r="R860" s="1" t="s">
        <v>11</v>
      </c>
      <c r="S860" s="1"/>
      <c r="T860" s="1"/>
      <c r="U860" s="1"/>
      <c r="V860" s="1"/>
      <c r="W860" s="1" t="s">
        <v>2511</v>
      </c>
      <c r="X860" s="1" t="s">
        <v>2521</v>
      </c>
      <c r="Y860" s="1"/>
      <c r="Z860" s="1"/>
      <c r="AA860" s="1"/>
      <c r="AB860" s="1"/>
      <c r="AC860" s="1"/>
      <c r="AD860" s="1"/>
      <c r="AE860" s="6" t="s">
        <v>2522</v>
      </c>
      <c r="AF860" s="1"/>
      <c r="AG860" s="1"/>
      <c r="AH860" s="1" t="s">
        <v>2523</v>
      </c>
      <c r="AI860" s="1"/>
      <c r="AJ860" s="1" t="s">
        <v>2515</v>
      </c>
      <c r="AK860" s="1" t="s">
        <v>2516</v>
      </c>
      <c r="AL860" s="1"/>
      <c r="AM860" s="1" t="s">
        <v>2270</v>
      </c>
      <c r="AN860" s="1" t="s">
        <v>2516</v>
      </c>
      <c r="AO860" s="1"/>
      <c r="AP860" s="2" t="s">
        <v>2524</v>
      </c>
      <c r="AQ860" s="2" t="s">
        <v>1153</v>
      </c>
      <c r="AR860" s="1"/>
      <c r="AS860" s="1"/>
      <c r="AT860" s="1" t="s">
        <v>10</v>
      </c>
    </row>
    <row r="861" spans="1:46" hidden="1" x14ac:dyDescent="0.4">
      <c r="A861" s="7" t="s">
        <v>2525</v>
      </c>
      <c r="B861" s="11"/>
      <c r="C861" s="1" t="s">
        <v>0</v>
      </c>
      <c r="D861" s="1" t="s">
        <v>2076</v>
      </c>
      <c r="E861" s="1" t="s">
        <v>2078</v>
      </c>
      <c r="F861" s="1" t="s">
        <v>14</v>
      </c>
      <c r="G861" s="1" t="s">
        <v>1</v>
      </c>
      <c r="H861" s="1" t="s">
        <v>6</v>
      </c>
      <c r="I861" s="1" t="s">
        <v>2</v>
      </c>
      <c r="J861" s="1" t="s">
        <v>3</v>
      </c>
      <c r="K861" s="1" t="s">
        <v>2526</v>
      </c>
      <c r="L861" s="1" t="s">
        <v>7</v>
      </c>
      <c r="M861" s="1" t="s">
        <v>9</v>
      </c>
      <c r="N861" s="1" t="s">
        <v>2527</v>
      </c>
      <c r="O861" s="1" t="s">
        <v>2160</v>
      </c>
      <c r="P861" s="1"/>
      <c r="Q861" s="1"/>
      <c r="R861" s="1" t="s">
        <v>11</v>
      </c>
      <c r="S861" s="1"/>
      <c r="T861" s="1"/>
      <c r="U861" s="1"/>
      <c r="V861" s="1"/>
      <c r="W861" s="1" t="s">
        <v>2511</v>
      </c>
      <c r="X861" s="1" t="s">
        <v>2528</v>
      </c>
      <c r="Y861" s="1"/>
      <c r="Z861" s="1"/>
      <c r="AA861" s="1"/>
      <c r="AB861" s="1"/>
      <c r="AC861" s="1"/>
      <c r="AD861" s="1"/>
      <c r="AE861" s="6" t="s">
        <v>2341</v>
      </c>
      <c r="AF861" s="1"/>
      <c r="AG861" s="1"/>
      <c r="AH861" s="1" t="s">
        <v>2529</v>
      </c>
      <c r="AI861" s="1"/>
      <c r="AJ861" s="1" t="s">
        <v>2515</v>
      </c>
      <c r="AK861" s="1" t="s">
        <v>2516</v>
      </c>
      <c r="AL861" s="1"/>
      <c r="AM861" s="1" t="s">
        <v>2270</v>
      </c>
      <c r="AN861" s="1" t="s">
        <v>2516</v>
      </c>
      <c r="AO861" s="1"/>
      <c r="AP861" s="2" t="s">
        <v>2530</v>
      </c>
      <c r="AQ861" s="2" t="s">
        <v>1077</v>
      </c>
      <c r="AR861" s="1"/>
      <c r="AS861" s="1"/>
      <c r="AT861" s="1" t="s">
        <v>10</v>
      </c>
    </row>
    <row r="862" spans="1:46" hidden="1" x14ac:dyDescent="0.4">
      <c r="A862" s="7" t="s">
        <v>2531</v>
      </c>
      <c r="B862" s="11"/>
      <c r="C862" s="1" t="s">
        <v>0</v>
      </c>
      <c r="D862" s="1" t="s">
        <v>2211</v>
      </c>
      <c r="E862" s="1" t="s">
        <v>13</v>
      </c>
      <c r="F862" s="1" t="s">
        <v>14</v>
      </c>
      <c r="G862" s="1" t="s">
        <v>1</v>
      </c>
      <c r="H862" s="1" t="s">
        <v>6</v>
      </c>
      <c r="I862" s="1" t="s">
        <v>2</v>
      </c>
      <c r="J862" s="1" t="s">
        <v>3</v>
      </c>
      <c r="K862" s="1" t="s">
        <v>2532</v>
      </c>
      <c r="L862" s="1" t="s">
        <v>4</v>
      </c>
      <c r="M862" s="1" t="s">
        <v>9</v>
      </c>
      <c r="N862" s="1" t="s">
        <v>2533</v>
      </c>
      <c r="O862" s="1" t="s">
        <v>15</v>
      </c>
      <c r="P862" s="1"/>
      <c r="Q862" s="1"/>
      <c r="R862" s="1" t="s">
        <v>11</v>
      </c>
      <c r="S862" s="1"/>
      <c r="T862" s="1"/>
      <c r="U862" s="1"/>
      <c r="V862" s="1"/>
      <c r="W862" s="1"/>
      <c r="X862" s="1" t="s">
        <v>2534</v>
      </c>
      <c r="Y862" s="1"/>
      <c r="Z862" s="1"/>
      <c r="AA862" s="1"/>
      <c r="AB862" s="1"/>
      <c r="AC862" s="1"/>
      <c r="AD862" s="1"/>
      <c r="AE862" s="6" t="s">
        <v>2535</v>
      </c>
      <c r="AF862" s="1"/>
      <c r="AG862" s="1"/>
      <c r="AH862" s="1" t="s">
        <v>2536</v>
      </c>
      <c r="AI862" s="1"/>
      <c r="AJ862" s="1" t="s">
        <v>2537</v>
      </c>
      <c r="AK862" s="1" t="s">
        <v>2538</v>
      </c>
      <c r="AL862" s="1" t="s">
        <v>2539</v>
      </c>
      <c r="AM862" s="1" t="s">
        <v>2540</v>
      </c>
      <c r="AN862" s="1" t="s">
        <v>2538</v>
      </c>
      <c r="AO862" s="1" t="s">
        <v>2541</v>
      </c>
      <c r="AP862" s="2" t="s">
        <v>2542</v>
      </c>
      <c r="AQ862" s="2" t="s">
        <v>1155</v>
      </c>
      <c r="AR862" s="1"/>
      <c r="AS862" s="1"/>
      <c r="AT862" s="1" t="s">
        <v>5</v>
      </c>
    </row>
    <row r="863" spans="1:46" hidden="1" x14ac:dyDescent="0.4">
      <c r="A863" s="7" t="s">
        <v>2543</v>
      </c>
      <c r="B863" s="11"/>
      <c r="C863" s="1" t="s">
        <v>2544</v>
      </c>
      <c r="D863" s="1" t="s">
        <v>2157</v>
      </c>
      <c r="E863" s="1" t="s">
        <v>2078</v>
      </c>
      <c r="F863" s="1" t="s">
        <v>14</v>
      </c>
      <c r="G863" s="1" t="s">
        <v>1</v>
      </c>
      <c r="H863" s="1" t="s">
        <v>6</v>
      </c>
      <c r="I863" s="1" t="s">
        <v>2</v>
      </c>
      <c r="J863" s="1" t="s">
        <v>2451</v>
      </c>
      <c r="K863" s="1" t="s">
        <v>2545</v>
      </c>
      <c r="L863" s="1" t="s">
        <v>7</v>
      </c>
      <c r="M863" s="1" t="s">
        <v>9</v>
      </c>
      <c r="N863" s="1" t="s">
        <v>2546</v>
      </c>
      <c r="O863" s="1" t="s">
        <v>2427</v>
      </c>
      <c r="P863" s="1"/>
      <c r="Q863" s="1"/>
      <c r="R863" s="1" t="s">
        <v>11</v>
      </c>
      <c r="S863" s="1"/>
      <c r="T863" s="1"/>
      <c r="U863" s="1"/>
      <c r="V863" s="1"/>
      <c r="W863" s="1" t="s">
        <v>2547</v>
      </c>
      <c r="X863" s="1" t="s">
        <v>2548</v>
      </c>
      <c r="Y863" s="1"/>
      <c r="Z863" s="1"/>
      <c r="AA863" s="1"/>
      <c r="AB863" s="1"/>
      <c r="AC863" s="1"/>
      <c r="AD863" s="1"/>
      <c r="AE863" s="6" t="s">
        <v>2416</v>
      </c>
      <c r="AF863" s="1"/>
      <c r="AG863" s="1"/>
      <c r="AH863" s="1" t="s">
        <v>2549</v>
      </c>
      <c r="AI863" s="1"/>
      <c r="AJ863" s="1" t="s">
        <v>2550</v>
      </c>
      <c r="AK863" s="1" t="s">
        <v>2551</v>
      </c>
      <c r="AL863" s="1" t="s">
        <v>2552</v>
      </c>
      <c r="AM863" s="1" t="s">
        <v>2550</v>
      </c>
      <c r="AN863" s="1" t="s">
        <v>2551</v>
      </c>
      <c r="AO863" s="1" t="s">
        <v>2552</v>
      </c>
      <c r="AP863" s="2" t="s">
        <v>2553</v>
      </c>
      <c r="AQ863" s="2" t="s">
        <v>1153</v>
      </c>
      <c r="AR863" s="1"/>
      <c r="AS863" s="1"/>
      <c r="AT863" s="1" t="s">
        <v>5</v>
      </c>
    </row>
    <row r="864" spans="1:46" hidden="1" x14ac:dyDescent="0.4">
      <c r="A864" s="7" t="s">
        <v>2565</v>
      </c>
      <c r="B864" s="11"/>
      <c r="C864" s="1" t="s">
        <v>0</v>
      </c>
      <c r="D864" s="1" t="s">
        <v>2211</v>
      </c>
      <c r="E864" s="1" t="s">
        <v>13</v>
      </c>
      <c r="F864" s="1" t="s">
        <v>14</v>
      </c>
      <c r="G864" s="1" t="s">
        <v>1</v>
      </c>
      <c r="H864" s="1" t="s">
        <v>6</v>
      </c>
      <c r="I864" s="1" t="s">
        <v>2</v>
      </c>
      <c r="J864" s="1" t="s">
        <v>3</v>
      </c>
      <c r="K864" s="1" t="s">
        <v>2566</v>
      </c>
      <c r="L864" s="1" t="s">
        <v>4</v>
      </c>
      <c r="M864" s="1" t="s">
        <v>9</v>
      </c>
      <c r="N864" s="1" t="s">
        <v>2567</v>
      </c>
      <c r="O864" s="1" t="s">
        <v>2295</v>
      </c>
      <c r="P864" s="1"/>
      <c r="Q864" s="1"/>
      <c r="R864" s="1"/>
      <c r="S864" s="1"/>
      <c r="T864" s="1"/>
      <c r="U864" s="1"/>
      <c r="V864" s="1"/>
      <c r="W864" s="1" t="s">
        <v>2568</v>
      </c>
      <c r="X864" s="1" t="s">
        <v>2569</v>
      </c>
      <c r="Y864" s="1"/>
      <c r="Z864" s="1"/>
      <c r="AA864" s="1"/>
      <c r="AB864" s="1"/>
      <c r="AC864" s="1"/>
      <c r="AD864" s="1"/>
      <c r="AE864" s="6" t="s">
        <v>2570</v>
      </c>
      <c r="AF864" s="1"/>
      <c r="AG864" s="1"/>
      <c r="AH864" s="1" t="s">
        <v>2571</v>
      </c>
      <c r="AI864" s="1"/>
      <c r="AJ864" s="1" t="s">
        <v>23</v>
      </c>
      <c r="AK864" s="1" t="s">
        <v>2572</v>
      </c>
      <c r="AL864" s="1"/>
      <c r="AM864" s="1" t="s">
        <v>2573</v>
      </c>
      <c r="AN864" s="1" t="s">
        <v>2572</v>
      </c>
      <c r="AO864" s="1" t="s">
        <v>2574</v>
      </c>
      <c r="AP864" s="2" t="s">
        <v>2575</v>
      </c>
      <c r="AQ864" s="2" t="s">
        <v>1077</v>
      </c>
      <c r="AR864" s="1"/>
      <c r="AS864" s="1"/>
      <c r="AT864" s="1" t="s">
        <v>5</v>
      </c>
    </row>
    <row r="865" spans="1:46" hidden="1" x14ac:dyDescent="0.4">
      <c r="A865" s="7" t="s">
        <v>2613</v>
      </c>
      <c r="B865" s="11"/>
      <c r="C865" s="1" t="s">
        <v>0</v>
      </c>
      <c r="D865" s="1" t="s">
        <v>2211</v>
      </c>
      <c r="E865" s="1" t="s">
        <v>13</v>
      </c>
      <c r="F865" s="1" t="s">
        <v>14</v>
      </c>
      <c r="G865" s="1" t="s">
        <v>1</v>
      </c>
      <c r="H865" s="1" t="s">
        <v>6</v>
      </c>
      <c r="I865" s="1" t="s">
        <v>2</v>
      </c>
      <c r="J865" s="1" t="s">
        <v>3</v>
      </c>
      <c r="K865" s="1" t="s">
        <v>2614</v>
      </c>
      <c r="L865" s="1" t="s">
        <v>7</v>
      </c>
      <c r="M865" s="1" t="s">
        <v>9</v>
      </c>
      <c r="N865" s="1" t="s">
        <v>2615</v>
      </c>
      <c r="O865" s="1" t="s">
        <v>15</v>
      </c>
      <c r="P865" s="1"/>
      <c r="Q865" s="1"/>
      <c r="R865" s="1" t="s">
        <v>11</v>
      </c>
      <c r="S865" s="1"/>
      <c r="T865" s="1"/>
      <c r="U865" s="1"/>
      <c r="V865" s="1"/>
      <c r="W865" s="1" t="s">
        <v>2616</v>
      </c>
      <c r="X865" s="1"/>
      <c r="Y865" s="1"/>
      <c r="Z865" s="1"/>
      <c r="AA865" s="1"/>
      <c r="AB865" s="1"/>
      <c r="AC865" s="1"/>
      <c r="AD865" s="1"/>
      <c r="AE865" s="6" t="s">
        <v>2617</v>
      </c>
      <c r="AF865" s="1"/>
      <c r="AG865" s="1"/>
      <c r="AH865" s="1" t="s">
        <v>2618</v>
      </c>
      <c r="AI865" s="1"/>
      <c r="AJ865" s="1" t="s">
        <v>2502</v>
      </c>
      <c r="AK865" s="1"/>
      <c r="AL865" s="1" t="s">
        <v>2503</v>
      </c>
      <c r="AM865" s="1" t="s">
        <v>2619</v>
      </c>
      <c r="AN865" s="1" t="s">
        <v>2620</v>
      </c>
      <c r="AO865" s="1" t="s">
        <v>2506</v>
      </c>
      <c r="AP865" s="2" t="s">
        <v>2621</v>
      </c>
      <c r="AQ865" s="2" t="s">
        <v>1155</v>
      </c>
      <c r="AR865" s="1"/>
      <c r="AS865" s="1"/>
      <c r="AT865" s="1" t="s">
        <v>5</v>
      </c>
    </row>
    <row r="866" spans="1:46" hidden="1" x14ac:dyDescent="0.4">
      <c r="A866" s="7" t="s">
        <v>2645</v>
      </c>
      <c r="B866" s="11"/>
      <c r="C866" s="1" t="s">
        <v>0</v>
      </c>
      <c r="D866" s="1" t="s">
        <v>2157</v>
      </c>
      <c r="E866" s="1" t="s">
        <v>2078</v>
      </c>
      <c r="F866" s="1" t="s">
        <v>14</v>
      </c>
      <c r="G866" s="1" t="s">
        <v>1</v>
      </c>
      <c r="H866" s="1" t="s">
        <v>6</v>
      </c>
      <c r="I866" s="1" t="s">
        <v>2</v>
      </c>
      <c r="J866" s="1" t="s">
        <v>3</v>
      </c>
      <c r="K866" s="1" t="s">
        <v>2646</v>
      </c>
      <c r="L866" s="1" t="s">
        <v>7</v>
      </c>
      <c r="M866" s="1" t="s">
        <v>9</v>
      </c>
      <c r="N866" s="1" t="s">
        <v>2647</v>
      </c>
      <c r="O866" s="1" t="s">
        <v>2648</v>
      </c>
      <c r="P866" s="1"/>
      <c r="Q866" s="1"/>
      <c r="R866" s="1" t="s">
        <v>11</v>
      </c>
      <c r="S866" s="1"/>
      <c r="T866" s="1"/>
      <c r="U866" s="1"/>
      <c r="V866" s="1"/>
      <c r="W866" s="1"/>
      <c r="X866" s="1" t="s">
        <v>2649</v>
      </c>
      <c r="Y866" s="1"/>
      <c r="Z866" s="1"/>
      <c r="AA866" s="1"/>
      <c r="AB866" s="1"/>
      <c r="AC866" s="1"/>
      <c r="AD866" s="1"/>
      <c r="AE866" s="6" t="s">
        <v>2650</v>
      </c>
      <c r="AF866" s="1"/>
      <c r="AG866" s="1"/>
      <c r="AH866" s="1" t="s">
        <v>2651</v>
      </c>
      <c r="AI866" s="1"/>
      <c r="AJ866" s="1" t="s">
        <v>1214</v>
      </c>
      <c r="AK866" s="1" t="s">
        <v>1246</v>
      </c>
      <c r="AL866" s="1"/>
      <c r="AM866" s="1" t="s">
        <v>2652</v>
      </c>
      <c r="AN866" s="1" t="s">
        <v>1246</v>
      </c>
      <c r="AO866" s="1" t="s">
        <v>2653</v>
      </c>
      <c r="AP866" s="2" t="s">
        <v>2654</v>
      </c>
      <c r="AQ866" s="2" t="s">
        <v>1154</v>
      </c>
      <c r="AR866" s="1"/>
      <c r="AS866" s="1"/>
      <c r="AT866" s="1" t="s">
        <v>10</v>
      </c>
    </row>
    <row r="867" spans="1:46" hidden="1" x14ac:dyDescent="0.4">
      <c r="A867" s="7" t="s">
        <v>2687</v>
      </c>
      <c r="B867" s="11"/>
      <c r="C867" s="1" t="s">
        <v>0</v>
      </c>
      <c r="D867" s="1" t="s">
        <v>2688</v>
      </c>
      <c r="E867" s="1" t="s">
        <v>2689</v>
      </c>
      <c r="F867" s="1" t="s">
        <v>2690</v>
      </c>
      <c r="G867" s="1" t="s">
        <v>1</v>
      </c>
      <c r="H867" s="1" t="s">
        <v>6</v>
      </c>
      <c r="I867" s="1" t="s">
        <v>2</v>
      </c>
      <c r="J867" s="1" t="s">
        <v>3</v>
      </c>
      <c r="K867" s="1" t="s">
        <v>2691</v>
      </c>
      <c r="L867" s="1" t="s">
        <v>7</v>
      </c>
      <c r="M867" s="1" t="s">
        <v>9</v>
      </c>
      <c r="N867" s="1" t="s">
        <v>2692</v>
      </c>
      <c r="O867" s="1" t="s">
        <v>2693</v>
      </c>
      <c r="P867" s="1"/>
      <c r="Q867" s="1"/>
      <c r="R867" s="1" t="s">
        <v>11</v>
      </c>
      <c r="S867" s="1"/>
      <c r="T867" s="1"/>
      <c r="U867" s="1"/>
      <c r="V867" s="1"/>
      <c r="W867" s="1" t="s">
        <v>2694</v>
      </c>
      <c r="X867" s="1" t="s">
        <v>2695</v>
      </c>
      <c r="Y867" s="1"/>
      <c r="Z867" s="1"/>
      <c r="AA867" s="1"/>
      <c r="AB867" s="1"/>
      <c r="AC867" s="1"/>
      <c r="AD867" s="1"/>
      <c r="AE867" s="6" t="s">
        <v>2696</v>
      </c>
      <c r="AF867" s="1"/>
      <c r="AG867" s="1"/>
      <c r="AH867" s="1" t="s">
        <v>2697</v>
      </c>
      <c r="AI867" s="1"/>
      <c r="AJ867" s="1" t="s">
        <v>2698</v>
      </c>
      <c r="AK867" s="1" t="s">
        <v>2699</v>
      </c>
      <c r="AL867" s="1" t="s">
        <v>2700</v>
      </c>
      <c r="AM867" s="1" t="s">
        <v>2701</v>
      </c>
      <c r="AN867" s="1" t="s">
        <v>2699</v>
      </c>
      <c r="AO867" s="1" t="s">
        <v>2702</v>
      </c>
      <c r="AP867" s="2" t="s">
        <v>2703</v>
      </c>
      <c r="AQ867" s="2" t="s">
        <v>1155</v>
      </c>
      <c r="AR867" s="1"/>
      <c r="AS867" s="1"/>
      <c r="AT867" s="1" t="s">
        <v>10</v>
      </c>
    </row>
    <row r="868" spans="1:46" hidden="1" x14ac:dyDescent="0.4">
      <c r="A868" s="7" t="s">
        <v>2723</v>
      </c>
      <c r="B868" s="11"/>
      <c r="C868" s="1" t="s">
        <v>93</v>
      </c>
      <c r="D868" s="1" t="s">
        <v>2157</v>
      </c>
      <c r="E868" s="1" t="s">
        <v>2078</v>
      </c>
      <c r="F868" s="1" t="s">
        <v>14</v>
      </c>
      <c r="G868" s="1" t="s">
        <v>1</v>
      </c>
      <c r="H868" s="1" t="s">
        <v>6</v>
      </c>
      <c r="I868" s="1" t="s">
        <v>2</v>
      </c>
      <c r="J868" s="1" t="s">
        <v>3</v>
      </c>
      <c r="K868" s="1" t="s">
        <v>2724</v>
      </c>
      <c r="L868" s="1" t="s">
        <v>7</v>
      </c>
      <c r="M868" s="1"/>
      <c r="N868" s="1" t="s">
        <v>2725</v>
      </c>
      <c r="O868" s="1" t="s">
        <v>2726</v>
      </c>
      <c r="P868" s="1"/>
      <c r="Q868" s="1"/>
      <c r="R868" s="1" t="s">
        <v>11</v>
      </c>
      <c r="S868" s="1"/>
      <c r="T868" s="1"/>
      <c r="U868" s="1"/>
      <c r="V868" s="1"/>
      <c r="W868" s="1"/>
      <c r="X868" s="1"/>
      <c r="Y868" s="1"/>
      <c r="Z868" s="1"/>
      <c r="AA868" s="1"/>
      <c r="AB868" s="1"/>
      <c r="AC868" s="1"/>
      <c r="AD868" s="1"/>
      <c r="AE868" s="6" t="s">
        <v>2727</v>
      </c>
      <c r="AF868" s="1"/>
      <c r="AG868" s="1"/>
      <c r="AH868" s="1" t="s">
        <v>2728</v>
      </c>
      <c r="AI868" s="1"/>
      <c r="AJ868" s="1" t="s">
        <v>2729</v>
      </c>
      <c r="AK868" s="1" t="s">
        <v>2730</v>
      </c>
      <c r="AL868" s="1" t="s">
        <v>2731</v>
      </c>
      <c r="AM868" s="1" t="s">
        <v>2732</v>
      </c>
      <c r="AN868" s="1" t="s">
        <v>2730</v>
      </c>
      <c r="AO868" s="1" t="s">
        <v>2733</v>
      </c>
      <c r="AP868" s="2" t="s">
        <v>2734</v>
      </c>
      <c r="AQ868" s="2" t="s">
        <v>1077</v>
      </c>
      <c r="AR868" s="1"/>
      <c r="AS868" s="1"/>
      <c r="AT868" s="1" t="s">
        <v>5</v>
      </c>
    </row>
    <row r="869" spans="1:46" hidden="1" x14ac:dyDescent="0.4">
      <c r="A869" s="7" t="s">
        <v>2781</v>
      </c>
      <c r="B869" s="11"/>
      <c r="C869" s="1" t="s">
        <v>93</v>
      </c>
      <c r="D869" s="1" t="s">
        <v>2157</v>
      </c>
      <c r="E869" s="1" t="s">
        <v>2078</v>
      </c>
      <c r="F869" s="1" t="s">
        <v>14</v>
      </c>
      <c r="G869" s="1" t="s">
        <v>1</v>
      </c>
      <c r="H869" s="1" t="s">
        <v>6</v>
      </c>
      <c r="I869" s="1" t="s">
        <v>2</v>
      </c>
      <c r="J869" s="1" t="s">
        <v>3</v>
      </c>
      <c r="K869" s="1" t="s">
        <v>2782</v>
      </c>
      <c r="L869" s="1" t="s">
        <v>7</v>
      </c>
      <c r="M869" s="1"/>
      <c r="N869" s="1" t="s">
        <v>2783</v>
      </c>
      <c r="O869" s="1" t="s">
        <v>2784</v>
      </c>
      <c r="P869" s="1"/>
      <c r="Q869" s="1"/>
      <c r="R869" s="1" t="s">
        <v>11</v>
      </c>
      <c r="S869" s="1"/>
      <c r="T869" s="1"/>
      <c r="U869" s="1"/>
      <c r="V869" s="1"/>
      <c r="W869" s="1" t="s">
        <v>2785</v>
      </c>
      <c r="X869" s="1"/>
      <c r="Y869" s="1"/>
      <c r="Z869" s="1"/>
      <c r="AA869" s="1"/>
      <c r="AB869" s="1"/>
      <c r="AC869" s="1"/>
      <c r="AD869" s="1"/>
      <c r="AE869" s="6" t="s">
        <v>2786</v>
      </c>
      <c r="AF869" s="1"/>
      <c r="AG869" s="1"/>
      <c r="AH869" s="1" t="s">
        <v>2787</v>
      </c>
      <c r="AI869" s="1"/>
      <c r="AJ869" s="1" t="s">
        <v>2788</v>
      </c>
      <c r="AK869" s="1" t="s">
        <v>2789</v>
      </c>
      <c r="AL869" s="1"/>
      <c r="AM869" s="1" t="s">
        <v>2790</v>
      </c>
      <c r="AN869" s="1" t="s">
        <v>2791</v>
      </c>
      <c r="AO869" s="1" t="s">
        <v>2792</v>
      </c>
      <c r="AP869" s="2" t="s">
        <v>2793</v>
      </c>
      <c r="AQ869" s="2" t="s">
        <v>1154</v>
      </c>
      <c r="AR869" s="1"/>
      <c r="AS869" s="1"/>
      <c r="AT869" s="1" t="s">
        <v>5</v>
      </c>
    </row>
    <row r="870" spans="1:46" hidden="1" x14ac:dyDescent="0.4">
      <c r="A870" s="7" t="s">
        <v>2794</v>
      </c>
      <c r="B870" s="11"/>
      <c r="C870" s="1" t="s">
        <v>2091</v>
      </c>
      <c r="D870" s="1" t="s">
        <v>2157</v>
      </c>
      <c r="E870" s="1" t="s">
        <v>2478</v>
      </c>
      <c r="F870" s="1" t="s">
        <v>14</v>
      </c>
      <c r="G870" s="1" t="s">
        <v>1</v>
      </c>
      <c r="H870" s="1" t="s">
        <v>6</v>
      </c>
      <c r="I870" s="1" t="s">
        <v>2</v>
      </c>
      <c r="J870" s="1" t="s">
        <v>3</v>
      </c>
      <c r="K870" s="1" t="s">
        <v>2795</v>
      </c>
      <c r="L870" s="1" t="s">
        <v>7</v>
      </c>
      <c r="M870" s="1"/>
      <c r="N870" s="1" t="s">
        <v>2796</v>
      </c>
      <c r="O870" s="1" t="s">
        <v>2797</v>
      </c>
      <c r="P870" s="1"/>
      <c r="Q870" s="1"/>
      <c r="R870" s="1" t="s">
        <v>11</v>
      </c>
      <c r="S870" s="1"/>
      <c r="T870" s="1"/>
      <c r="U870" s="1"/>
      <c r="V870" s="1"/>
      <c r="W870" s="1" t="s">
        <v>2798</v>
      </c>
      <c r="X870" s="1"/>
      <c r="Y870" s="1"/>
      <c r="Z870" s="1"/>
      <c r="AA870" s="1"/>
      <c r="AB870" s="1"/>
      <c r="AC870" s="1"/>
      <c r="AD870" s="1"/>
      <c r="AE870" s="6" t="s">
        <v>2799</v>
      </c>
      <c r="AF870" s="1"/>
      <c r="AG870" s="1"/>
      <c r="AH870" s="1" t="s">
        <v>2800</v>
      </c>
      <c r="AI870" s="1"/>
      <c r="AJ870" s="1" t="s">
        <v>2801</v>
      </c>
      <c r="AK870" s="1" t="s">
        <v>2802</v>
      </c>
      <c r="AL870" s="1" t="s">
        <v>2803</v>
      </c>
      <c r="AM870" s="1" t="s">
        <v>2801</v>
      </c>
      <c r="AN870" s="1" t="s">
        <v>2802</v>
      </c>
      <c r="AO870" s="1" t="s">
        <v>2803</v>
      </c>
      <c r="AP870" s="2" t="s">
        <v>2804</v>
      </c>
      <c r="AQ870" s="2" t="s">
        <v>1155</v>
      </c>
      <c r="AR870" s="1"/>
      <c r="AS870" s="1"/>
      <c r="AT870" s="1" t="s">
        <v>5</v>
      </c>
    </row>
    <row r="871" spans="1:46" hidden="1" x14ac:dyDescent="0.4">
      <c r="A871" s="7" t="s">
        <v>2805</v>
      </c>
      <c r="B871" s="11"/>
      <c r="C871" s="1" t="s">
        <v>2091</v>
      </c>
      <c r="D871" s="1" t="s">
        <v>2157</v>
      </c>
      <c r="E871" s="1" t="s">
        <v>2478</v>
      </c>
      <c r="F871" s="1" t="s">
        <v>14</v>
      </c>
      <c r="G871" s="1" t="s">
        <v>1</v>
      </c>
      <c r="H871" s="1" t="s">
        <v>6</v>
      </c>
      <c r="I871" s="1" t="s">
        <v>2</v>
      </c>
      <c r="J871" s="1" t="s">
        <v>3</v>
      </c>
      <c r="K871" s="1" t="s">
        <v>2806</v>
      </c>
      <c r="L871" s="1" t="s">
        <v>7</v>
      </c>
      <c r="M871" s="1"/>
      <c r="N871" s="1" t="s">
        <v>2807</v>
      </c>
      <c r="O871" s="1" t="s">
        <v>2808</v>
      </c>
      <c r="P871" s="1"/>
      <c r="Q871" s="1"/>
      <c r="R871" s="1" t="s">
        <v>11</v>
      </c>
      <c r="S871" s="1"/>
      <c r="T871" s="1"/>
      <c r="U871" s="1"/>
      <c r="V871" s="1"/>
      <c r="W871" s="1" t="s">
        <v>2809</v>
      </c>
      <c r="X871" s="1"/>
      <c r="Y871" s="1"/>
      <c r="Z871" s="1"/>
      <c r="AA871" s="1"/>
      <c r="AB871" s="1"/>
      <c r="AC871" s="1"/>
      <c r="AD871" s="1"/>
      <c r="AE871" s="6" t="s">
        <v>2799</v>
      </c>
      <c r="AF871" s="1"/>
      <c r="AG871" s="1"/>
      <c r="AH871" s="1" t="s">
        <v>2810</v>
      </c>
      <c r="AI871" s="1"/>
      <c r="AJ871" s="1" t="s">
        <v>2801</v>
      </c>
      <c r="AK871" s="1" t="s">
        <v>2802</v>
      </c>
      <c r="AL871" s="1" t="s">
        <v>2803</v>
      </c>
      <c r="AM871" s="1" t="s">
        <v>2801</v>
      </c>
      <c r="AN871" s="1" t="s">
        <v>2802</v>
      </c>
      <c r="AO871" s="1" t="s">
        <v>2803</v>
      </c>
      <c r="AP871" s="2" t="s">
        <v>2811</v>
      </c>
      <c r="AQ871" s="2" t="s">
        <v>1155</v>
      </c>
      <c r="AR871" s="1"/>
      <c r="AS871" s="1"/>
      <c r="AT871" s="1" t="s">
        <v>5</v>
      </c>
    </row>
    <row r="872" spans="1:46" hidden="1" x14ac:dyDescent="0.4">
      <c r="A872" s="7" t="s">
        <v>2877</v>
      </c>
      <c r="B872" s="11"/>
      <c r="C872" s="1" t="s">
        <v>1664</v>
      </c>
      <c r="D872" s="1" t="s">
        <v>2157</v>
      </c>
      <c r="E872" s="1" t="s">
        <v>2078</v>
      </c>
      <c r="F872" s="1" t="s">
        <v>14</v>
      </c>
      <c r="G872" s="1" t="s">
        <v>1</v>
      </c>
      <c r="H872" s="1" t="s">
        <v>6</v>
      </c>
      <c r="I872" s="1" t="s">
        <v>2</v>
      </c>
      <c r="J872" s="1" t="s">
        <v>3</v>
      </c>
      <c r="K872" s="1" t="s">
        <v>2878</v>
      </c>
      <c r="L872" s="1" t="s">
        <v>7</v>
      </c>
      <c r="M872" s="1" t="s">
        <v>9</v>
      </c>
      <c r="N872" s="1" t="s">
        <v>2879</v>
      </c>
      <c r="O872" s="1" t="s">
        <v>2160</v>
      </c>
      <c r="P872" s="1"/>
      <c r="Q872" s="1"/>
      <c r="R872" s="1" t="s">
        <v>11</v>
      </c>
      <c r="S872" s="1"/>
      <c r="T872" s="1"/>
      <c r="U872" s="1"/>
      <c r="V872" s="1"/>
      <c r="W872" s="1"/>
      <c r="X872" s="1" t="s">
        <v>2880</v>
      </c>
      <c r="Y872" s="1"/>
      <c r="Z872" s="1"/>
      <c r="AA872" s="1"/>
      <c r="AB872" s="1"/>
      <c r="AC872" s="1"/>
      <c r="AD872" s="1"/>
      <c r="AE872" s="6" t="s">
        <v>2881</v>
      </c>
      <c r="AF872" s="1"/>
      <c r="AG872" s="1"/>
      <c r="AH872" s="1" t="s">
        <v>2882</v>
      </c>
      <c r="AI872" s="1"/>
      <c r="AJ872" s="1" t="s">
        <v>2883</v>
      </c>
      <c r="AK872" s="1" t="s">
        <v>2587</v>
      </c>
      <c r="AL872" s="1" t="s">
        <v>2884</v>
      </c>
      <c r="AM872" s="1" t="s">
        <v>2883</v>
      </c>
      <c r="AN872" s="1" t="s">
        <v>2587</v>
      </c>
      <c r="AO872" s="1" t="s">
        <v>2884</v>
      </c>
      <c r="AP872" s="2" t="s">
        <v>2885</v>
      </c>
      <c r="AQ872" s="2" t="s">
        <v>1077</v>
      </c>
      <c r="AR872" s="1"/>
      <c r="AS872" s="1"/>
      <c r="AT872" s="1" t="s">
        <v>5</v>
      </c>
    </row>
    <row r="873" spans="1:46" hidden="1" x14ac:dyDescent="0.4">
      <c r="A873" s="7" t="s">
        <v>2886</v>
      </c>
      <c r="B873" s="11"/>
      <c r="C873" s="1" t="s">
        <v>0</v>
      </c>
      <c r="D873" s="1" t="s">
        <v>2157</v>
      </c>
      <c r="E873" s="1" t="s">
        <v>2078</v>
      </c>
      <c r="F873" s="1" t="s">
        <v>14</v>
      </c>
      <c r="G873" s="1" t="s">
        <v>1</v>
      </c>
      <c r="H873" s="1" t="s">
        <v>6</v>
      </c>
      <c r="I873" s="1" t="s">
        <v>2</v>
      </c>
      <c r="J873" s="1" t="s">
        <v>3</v>
      </c>
      <c r="K873" s="1" t="s">
        <v>2887</v>
      </c>
      <c r="L873" s="1" t="s">
        <v>7</v>
      </c>
      <c r="M873" s="1" t="s">
        <v>9</v>
      </c>
      <c r="N873" s="1" t="s">
        <v>2888</v>
      </c>
      <c r="O873" s="1" t="s">
        <v>2648</v>
      </c>
      <c r="P873" s="1"/>
      <c r="Q873" s="1"/>
      <c r="R873" s="1" t="s">
        <v>11</v>
      </c>
      <c r="S873" s="1"/>
      <c r="T873" s="1"/>
      <c r="U873" s="1"/>
      <c r="V873" s="1"/>
      <c r="W873" s="1"/>
      <c r="X873" s="1" t="s">
        <v>2889</v>
      </c>
      <c r="Y873" s="1"/>
      <c r="Z873" s="1"/>
      <c r="AA873" s="1"/>
      <c r="AB873" s="1"/>
      <c r="AC873" s="1"/>
      <c r="AD873" s="1"/>
      <c r="AE873" s="6" t="s">
        <v>2890</v>
      </c>
      <c r="AF873" s="1"/>
      <c r="AG873" s="1"/>
      <c r="AH873" s="1" t="s">
        <v>2891</v>
      </c>
      <c r="AI873" s="1"/>
      <c r="AJ873" s="1" t="s">
        <v>2892</v>
      </c>
      <c r="AK873" s="1" t="s">
        <v>2893</v>
      </c>
      <c r="AL873" s="1" t="s">
        <v>2894</v>
      </c>
      <c r="AM873" s="1" t="s">
        <v>2892</v>
      </c>
      <c r="AN873" s="1" t="s">
        <v>2893</v>
      </c>
      <c r="AO873" s="1" t="s">
        <v>2894</v>
      </c>
      <c r="AP873" s="2" t="s">
        <v>2895</v>
      </c>
      <c r="AQ873" s="2" t="s">
        <v>1155</v>
      </c>
      <c r="AR873" s="1"/>
      <c r="AS873" s="1"/>
      <c r="AT873" s="1" t="s">
        <v>10</v>
      </c>
    </row>
    <row r="874" spans="1:46" hidden="1" x14ac:dyDescent="0.4">
      <c r="A874" s="7" t="s">
        <v>2896</v>
      </c>
      <c r="B874" s="11"/>
      <c r="C874" s="1" t="s">
        <v>0</v>
      </c>
      <c r="D874" s="1" t="s">
        <v>2157</v>
      </c>
      <c r="E874" s="1" t="s">
        <v>2078</v>
      </c>
      <c r="F874" s="1" t="s">
        <v>14</v>
      </c>
      <c r="G874" s="1" t="s">
        <v>1</v>
      </c>
      <c r="H874" s="1" t="s">
        <v>6</v>
      </c>
      <c r="I874" s="1" t="s">
        <v>2</v>
      </c>
      <c r="J874" s="1" t="s">
        <v>3</v>
      </c>
      <c r="K874" s="1" t="s">
        <v>2897</v>
      </c>
      <c r="L874" s="1" t="s">
        <v>7</v>
      </c>
      <c r="M874" s="1" t="s">
        <v>9</v>
      </c>
      <c r="N874" s="1" t="s">
        <v>2898</v>
      </c>
      <c r="O874" s="1" t="s">
        <v>2648</v>
      </c>
      <c r="P874" s="1"/>
      <c r="Q874" s="1"/>
      <c r="R874" s="1" t="s">
        <v>11</v>
      </c>
      <c r="S874" s="1"/>
      <c r="T874" s="1"/>
      <c r="U874" s="1"/>
      <c r="V874" s="1"/>
      <c r="W874" s="1"/>
      <c r="X874" s="1" t="s">
        <v>2899</v>
      </c>
      <c r="Y874" s="1"/>
      <c r="Z874" s="1"/>
      <c r="AA874" s="1"/>
      <c r="AB874" s="1"/>
      <c r="AC874" s="1"/>
      <c r="AD874" s="1"/>
      <c r="AE874" s="6" t="s">
        <v>2900</v>
      </c>
      <c r="AF874" s="1"/>
      <c r="AG874" s="1"/>
      <c r="AH874" s="1" t="s">
        <v>2901</v>
      </c>
      <c r="AI874" s="1"/>
      <c r="AJ874" s="1" t="s">
        <v>2892</v>
      </c>
      <c r="AK874" s="1" t="s">
        <v>2893</v>
      </c>
      <c r="AL874" s="1" t="s">
        <v>2894</v>
      </c>
      <c r="AM874" s="1" t="s">
        <v>2892</v>
      </c>
      <c r="AN874" s="1" t="s">
        <v>2893</v>
      </c>
      <c r="AO874" s="1" t="s">
        <v>2894</v>
      </c>
      <c r="AP874" s="2" t="s">
        <v>2902</v>
      </c>
      <c r="AQ874" s="2" t="s">
        <v>1155</v>
      </c>
      <c r="AR874" s="1"/>
      <c r="AS874" s="1"/>
      <c r="AT874" s="1" t="s">
        <v>5</v>
      </c>
    </row>
    <row r="875" spans="1:46" hidden="1" x14ac:dyDescent="0.4">
      <c r="A875" s="7" t="s">
        <v>2903</v>
      </c>
      <c r="B875" s="11"/>
      <c r="C875" s="1" t="s">
        <v>0</v>
      </c>
      <c r="D875" s="1" t="s">
        <v>2157</v>
      </c>
      <c r="E875" s="1" t="s">
        <v>2078</v>
      </c>
      <c r="F875" s="1" t="s">
        <v>14</v>
      </c>
      <c r="G875" s="1" t="s">
        <v>1</v>
      </c>
      <c r="H875" s="1" t="s">
        <v>6</v>
      </c>
      <c r="I875" s="1" t="s">
        <v>2</v>
      </c>
      <c r="J875" s="1" t="s">
        <v>3</v>
      </c>
      <c r="K875" s="1" t="s">
        <v>2904</v>
      </c>
      <c r="L875" s="1" t="s">
        <v>7</v>
      </c>
      <c r="M875" s="1" t="s">
        <v>9</v>
      </c>
      <c r="N875" s="1" t="s">
        <v>2905</v>
      </c>
      <c r="O875" s="1" t="s">
        <v>2648</v>
      </c>
      <c r="P875" s="1"/>
      <c r="Q875" s="1"/>
      <c r="R875" s="1" t="s">
        <v>11</v>
      </c>
      <c r="S875" s="1"/>
      <c r="T875" s="1"/>
      <c r="U875" s="1"/>
      <c r="V875" s="1"/>
      <c r="W875" s="1"/>
      <c r="X875" s="1" t="s">
        <v>2889</v>
      </c>
      <c r="Y875" s="1"/>
      <c r="Z875" s="1"/>
      <c r="AA875" s="1"/>
      <c r="AB875" s="1"/>
      <c r="AC875" s="1"/>
      <c r="AD875" s="1"/>
      <c r="AE875" s="6" t="s">
        <v>2900</v>
      </c>
      <c r="AF875" s="1"/>
      <c r="AG875" s="1"/>
      <c r="AH875" s="1" t="s">
        <v>2906</v>
      </c>
      <c r="AI875" s="1"/>
      <c r="AJ875" s="1" t="s">
        <v>2892</v>
      </c>
      <c r="AK875" s="1" t="s">
        <v>2893</v>
      </c>
      <c r="AL875" s="1" t="s">
        <v>2894</v>
      </c>
      <c r="AM875" s="1" t="s">
        <v>2892</v>
      </c>
      <c r="AN875" s="1" t="s">
        <v>2893</v>
      </c>
      <c r="AO875" s="1" t="s">
        <v>2894</v>
      </c>
      <c r="AP875" s="2" t="s">
        <v>2907</v>
      </c>
      <c r="AQ875" s="2" t="s">
        <v>1155</v>
      </c>
      <c r="AR875" s="1"/>
      <c r="AS875" s="1"/>
      <c r="AT875" s="1" t="s">
        <v>10</v>
      </c>
    </row>
    <row r="876" spans="1:46" hidden="1" x14ac:dyDescent="0.4">
      <c r="A876" s="7" t="s">
        <v>2908</v>
      </c>
      <c r="B876" s="11"/>
      <c r="C876" s="1" t="s">
        <v>0</v>
      </c>
      <c r="D876" s="1" t="s">
        <v>2076</v>
      </c>
      <c r="E876" s="1" t="s">
        <v>2078</v>
      </c>
      <c r="F876" s="1" t="s">
        <v>14</v>
      </c>
      <c r="G876" s="1" t="s">
        <v>1</v>
      </c>
      <c r="H876" s="1" t="s">
        <v>6</v>
      </c>
      <c r="I876" s="1" t="s">
        <v>2</v>
      </c>
      <c r="J876" s="1" t="s">
        <v>3</v>
      </c>
      <c r="K876" s="1" t="s">
        <v>2909</v>
      </c>
      <c r="L876" s="1" t="s">
        <v>4</v>
      </c>
      <c r="M876" s="1" t="s">
        <v>9</v>
      </c>
      <c r="N876" s="1" t="s">
        <v>2910</v>
      </c>
      <c r="O876" s="1" t="s">
        <v>2911</v>
      </c>
      <c r="P876" s="1"/>
      <c r="Q876" s="1"/>
      <c r="R876" s="1" t="s">
        <v>11</v>
      </c>
      <c r="S876" s="1"/>
      <c r="T876" s="1"/>
      <c r="U876" s="1"/>
      <c r="V876" s="1"/>
      <c r="W876" s="1"/>
      <c r="X876" s="1" t="s">
        <v>2912</v>
      </c>
      <c r="Y876" s="1"/>
      <c r="Z876" s="1"/>
      <c r="AA876" s="1"/>
      <c r="AB876" s="1"/>
      <c r="AC876" s="1"/>
      <c r="AD876" s="1"/>
      <c r="AE876" s="6" t="s">
        <v>2913</v>
      </c>
      <c r="AF876" s="1"/>
      <c r="AG876" s="1"/>
      <c r="AH876" s="1" t="s">
        <v>2914</v>
      </c>
      <c r="AI876" s="1"/>
      <c r="AJ876" s="1" t="s">
        <v>2915</v>
      </c>
      <c r="AK876" s="1" t="s">
        <v>2916</v>
      </c>
      <c r="AL876" s="1"/>
      <c r="AM876" s="1" t="s">
        <v>2917</v>
      </c>
      <c r="AN876" s="1" t="s">
        <v>2916</v>
      </c>
      <c r="AO876" s="1" t="s">
        <v>2918</v>
      </c>
      <c r="AP876" s="2" t="s">
        <v>2919</v>
      </c>
      <c r="AQ876" s="2" t="s">
        <v>1077</v>
      </c>
      <c r="AR876" s="1"/>
      <c r="AS876" s="1"/>
      <c r="AT876" s="1" t="s">
        <v>5</v>
      </c>
    </row>
    <row r="877" spans="1:46" hidden="1" x14ac:dyDescent="0.4">
      <c r="A877" s="7" t="s">
        <v>2927</v>
      </c>
      <c r="B877" s="11"/>
      <c r="C877" s="1" t="s">
        <v>0</v>
      </c>
      <c r="D877" s="1" t="s">
        <v>2157</v>
      </c>
      <c r="E877" s="1" t="s">
        <v>2078</v>
      </c>
      <c r="F877" s="1" t="s">
        <v>14</v>
      </c>
      <c r="G877" s="1" t="s">
        <v>1</v>
      </c>
      <c r="H877" s="1" t="s">
        <v>6</v>
      </c>
      <c r="I877" s="1" t="s">
        <v>2</v>
      </c>
      <c r="J877" s="1" t="s">
        <v>3</v>
      </c>
      <c r="K877" s="1" t="s">
        <v>2928</v>
      </c>
      <c r="L877" s="1" t="s">
        <v>7</v>
      </c>
      <c r="M877" s="1" t="s">
        <v>9</v>
      </c>
      <c r="N877" s="1" t="s">
        <v>2929</v>
      </c>
      <c r="O877" s="1" t="s">
        <v>2160</v>
      </c>
      <c r="P877" s="1"/>
      <c r="Q877" s="1"/>
      <c r="R877" s="1" t="s">
        <v>11</v>
      </c>
      <c r="S877" s="1"/>
      <c r="T877" s="1"/>
      <c r="U877" s="1"/>
      <c r="V877" s="1"/>
      <c r="W877" s="1"/>
      <c r="X877" s="1" t="s">
        <v>2930</v>
      </c>
      <c r="Y877" s="1"/>
      <c r="Z877" s="1"/>
      <c r="AA877" s="1"/>
      <c r="AB877" s="1"/>
      <c r="AC877" s="1"/>
      <c r="AD877" s="1"/>
      <c r="AE877" s="6" t="s">
        <v>2931</v>
      </c>
      <c r="AF877" s="1"/>
      <c r="AG877" s="1"/>
      <c r="AH877" s="1" t="s">
        <v>2932</v>
      </c>
      <c r="AI877" s="1"/>
      <c r="AJ877" s="1" t="s">
        <v>2117</v>
      </c>
      <c r="AK877" s="1" t="s">
        <v>2933</v>
      </c>
      <c r="AL877" s="1" t="s">
        <v>2934</v>
      </c>
      <c r="AM877" s="1" t="s">
        <v>2935</v>
      </c>
      <c r="AN877" s="1" t="s">
        <v>2933</v>
      </c>
      <c r="AO877" s="1" t="s">
        <v>2936</v>
      </c>
      <c r="AP877" s="2" t="s">
        <v>2937</v>
      </c>
      <c r="AQ877" s="2" t="s">
        <v>1155</v>
      </c>
      <c r="AR877" s="1"/>
      <c r="AS877" s="1"/>
      <c r="AT877" s="1" t="s">
        <v>10</v>
      </c>
    </row>
    <row r="878" spans="1:46" hidden="1" x14ac:dyDescent="0.4">
      <c r="A878" s="7" t="s">
        <v>2958</v>
      </c>
      <c r="B878" s="11"/>
      <c r="C878" s="1" t="s">
        <v>0</v>
      </c>
      <c r="D878" s="1" t="s">
        <v>2157</v>
      </c>
      <c r="E878" s="1" t="s">
        <v>2078</v>
      </c>
      <c r="F878" s="1" t="s">
        <v>14</v>
      </c>
      <c r="G878" s="1" t="s">
        <v>1</v>
      </c>
      <c r="H878" s="1" t="s">
        <v>6</v>
      </c>
      <c r="I878" s="1" t="s">
        <v>2</v>
      </c>
      <c r="J878" s="1" t="s">
        <v>3</v>
      </c>
      <c r="K878" s="1" t="s">
        <v>2959</v>
      </c>
      <c r="L878" s="1" t="s">
        <v>7</v>
      </c>
      <c r="M878" s="1" t="s">
        <v>9</v>
      </c>
      <c r="N878" s="1" t="s">
        <v>2960</v>
      </c>
      <c r="O878" s="1" t="s">
        <v>2911</v>
      </c>
      <c r="P878" s="1"/>
      <c r="Q878" s="1"/>
      <c r="R878" s="1" t="s">
        <v>11</v>
      </c>
      <c r="S878" s="1"/>
      <c r="T878" s="1"/>
      <c r="U878" s="1"/>
      <c r="V878" s="1"/>
      <c r="W878" s="1"/>
      <c r="X878" s="1" t="s">
        <v>2961</v>
      </c>
      <c r="Y878" s="1"/>
      <c r="Z878" s="1"/>
      <c r="AA878" s="1"/>
      <c r="AB878" s="1"/>
      <c r="AC878" s="1"/>
      <c r="AD878" s="1"/>
      <c r="AE878" s="6" t="s">
        <v>2962</v>
      </c>
      <c r="AF878" s="1"/>
      <c r="AG878" s="1"/>
      <c r="AH878" s="1" t="s">
        <v>2963</v>
      </c>
      <c r="AI878" s="1"/>
      <c r="AJ878" s="1" t="s">
        <v>2117</v>
      </c>
      <c r="AK878" s="1" t="s">
        <v>2933</v>
      </c>
      <c r="AL878" s="1" t="s">
        <v>2934</v>
      </c>
      <c r="AM878" s="1" t="s">
        <v>2964</v>
      </c>
      <c r="AN878" s="1" t="s">
        <v>2933</v>
      </c>
      <c r="AO878" s="1" t="s">
        <v>2965</v>
      </c>
      <c r="AP878" s="2" t="s">
        <v>2966</v>
      </c>
      <c r="AQ878" s="2" t="s">
        <v>1155</v>
      </c>
      <c r="AR878" s="1"/>
      <c r="AS878" s="1" t="s">
        <v>2967</v>
      </c>
      <c r="AT878" s="1" t="s">
        <v>5</v>
      </c>
    </row>
    <row r="879" spans="1:46" hidden="1" x14ac:dyDescent="0.4">
      <c r="A879" s="7" t="s">
        <v>2968</v>
      </c>
      <c r="B879" s="11"/>
      <c r="C879" s="1" t="s">
        <v>0</v>
      </c>
      <c r="D879" s="1" t="s">
        <v>2157</v>
      </c>
      <c r="E879" s="1" t="s">
        <v>2078</v>
      </c>
      <c r="F879" s="1" t="s">
        <v>14</v>
      </c>
      <c r="G879" s="1" t="s">
        <v>1</v>
      </c>
      <c r="H879" s="1" t="s">
        <v>6</v>
      </c>
      <c r="I879" s="1" t="s">
        <v>2</v>
      </c>
      <c r="J879" s="1" t="s">
        <v>3</v>
      </c>
      <c r="K879" s="1" t="s">
        <v>2969</v>
      </c>
      <c r="L879" s="1" t="s">
        <v>7</v>
      </c>
      <c r="M879" s="1" t="s">
        <v>9</v>
      </c>
      <c r="N879" s="1" t="s">
        <v>2970</v>
      </c>
      <c r="O879" s="1" t="s">
        <v>2911</v>
      </c>
      <c r="P879" s="1"/>
      <c r="Q879" s="1"/>
      <c r="R879" s="1" t="s">
        <v>11</v>
      </c>
      <c r="S879" s="1"/>
      <c r="T879" s="1"/>
      <c r="U879" s="1"/>
      <c r="V879" s="1"/>
      <c r="W879" s="1"/>
      <c r="X879" s="1" t="s">
        <v>2971</v>
      </c>
      <c r="Y879" s="1"/>
      <c r="Z879" s="1"/>
      <c r="AA879" s="1"/>
      <c r="AB879" s="1"/>
      <c r="AC879" s="1"/>
      <c r="AD879" s="1"/>
      <c r="AE879" s="6" t="s">
        <v>2962</v>
      </c>
      <c r="AF879" s="1"/>
      <c r="AG879" s="1"/>
      <c r="AH879" s="1" t="s">
        <v>2972</v>
      </c>
      <c r="AI879" s="1"/>
      <c r="AJ879" s="1" t="s">
        <v>2117</v>
      </c>
      <c r="AK879" s="1" t="s">
        <v>2933</v>
      </c>
      <c r="AL879" s="1" t="s">
        <v>2934</v>
      </c>
      <c r="AM879" s="1" t="s">
        <v>2964</v>
      </c>
      <c r="AN879" s="1" t="s">
        <v>2933</v>
      </c>
      <c r="AO879" s="1" t="s">
        <v>2965</v>
      </c>
      <c r="AP879" s="2" t="s">
        <v>2973</v>
      </c>
      <c r="AQ879" s="2" t="s">
        <v>1155</v>
      </c>
      <c r="AR879" s="1"/>
      <c r="AS879" s="1"/>
      <c r="AT879" s="1" t="s">
        <v>5</v>
      </c>
    </row>
    <row r="880" spans="1:46" hidden="1" x14ac:dyDescent="0.4">
      <c r="A880" s="7" t="s">
        <v>2974</v>
      </c>
      <c r="B880" s="11"/>
      <c r="C880" s="1" t="s">
        <v>0</v>
      </c>
      <c r="D880" s="1" t="s">
        <v>2157</v>
      </c>
      <c r="E880" s="1" t="s">
        <v>2078</v>
      </c>
      <c r="F880" s="1" t="s">
        <v>14</v>
      </c>
      <c r="G880" s="1" t="s">
        <v>1</v>
      </c>
      <c r="H880" s="1" t="s">
        <v>6</v>
      </c>
      <c r="I880" s="1" t="s">
        <v>2</v>
      </c>
      <c r="J880" s="1" t="s">
        <v>3</v>
      </c>
      <c r="K880" s="1" t="s">
        <v>2975</v>
      </c>
      <c r="L880" s="1" t="s">
        <v>7</v>
      </c>
      <c r="M880" s="1" t="s">
        <v>9</v>
      </c>
      <c r="N880" s="1" t="s">
        <v>2976</v>
      </c>
      <c r="O880" s="1" t="s">
        <v>2238</v>
      </c>
      <c r="P880" s="1"/>
      <c r="Q880" s="1"/>
      <c r="R880" s="1" t="s">
        <v>11</v>
      </c>
      <c r="S880" s="1"/>
      <c r="T880" s="1"/>
      <c r="U880" s="1"/>
      <c r="V880" s="1"/>
      <c r="W880" s="1"/>
      <c r="X880" s="1"/>
      <c r="Y880" s="1"/>
      <c r="Z880" s="1"/>
      <c r="AA880" s="1"/>
      <c r="AB880" s="1"/>
      <c r="AC880" s="1"/>
      <c r="AD880" s="1"/>
      <c r="AE880" s="6" t="s">
        <v>2977</v>
      </c>
      <c r="AF880" s="1"/>
      <c r="AG880" s="1"/>
      <c r="AH880" s="1" t="s">
        <v>2978</v>
      </c>
      <c r="AI880" s="1"/>
      <c r="AJ880" s="1" t="s">
        <v>2979</v>
      </c>
      <c r="AK880" s="1" t="s">
        <v>96</v>
      </c>
      <c r="AL880" s="1"/>
      <c r="AM880" s="1" t="s">
        <v>2980</v>
      </c>
      <c r="AN880" s="1" t="s">
        <v>96</v>
      </c>
      <c r="AO880" s="1" t="s">
        <v>2981</v>
      </c>
      <c r="AP880" s="2" t="s">
        <v>2982</v>
      </c>
      <c r="AQ880" s="2" t="s">
        <v>1077</v>
      </c>
      <c r="AR880" s="1"/>
      <c r="AS880" s="1" t="s">
        <v>2983</v>
      </c>
      <c r="AT880" s="1" t="s">
        <v>10</v>
      </c>
    </row>
    <row r="881" spans="1:46" hidden="1" x14ac:dyDescent="0.4">
      <c r="A881" s="7" t="s">
        <v>2996</v>
      </c>
      <c r="B881" s="11"/>
      <c r="C881" s="1" t="s">
        <v>0</v>
      </c>
      <c r="D881" s="1" t="s">
        <v>2396</v>
      </c>
      <c r="E881" s="1" t="s">
        <v>2078</v>
      </c>
      <c r="F881" s="1" t="s">
        <v>14</v>
      </c>
      <c r="G881" s="1" t="s">
        <v>1</v>
      </c>
      <c r="H881" s="1" t="s">
        <v>6</v>
      </c>
      <c r="I881" s="1" t="s">
        <v>2</v>
      </c>
      <c r="J881" s="1" t="s">
        <v>3</v>
      </c>
      <c r="K881" s="1" t="s">
        <v>2997</v>
      </c>
      <c r="L881" s="1" t="s">
        <v>7</v>
      </c>
      <c r="M881" s="1" t="s">
        <v>9</v>
      </c>
      <c r="N881" s="1" t="s">
        <v>2998</v>
      </c>
      <c r="O881" s="1" t="s">
        <v>2999</v>
      </c>
      <c r="P881" s="1"/>
      <c r="Q881" s="1"/>
      <c r="R881" s="1" t="s">
        <v>11</v>
      </c>
      <c r="S881" s="1"/>
      <c r="T881" s="1"/>
      <c r="U881" s="1"/>
      <c r="V881" s="1"/>
      <c r="W881" s="1"/>
      <c r="X881" s="1"/>
      <c r="Y881" s="1"/>
      <c r="Z881" s="1"/>
      <c r="AA881" s="1"/>
      <c r="AB881" s="1"/>
      <c r="AC881" s="1"/>
      <c r="AD881" s="1"/>
      <c r="AE881" s="6" t="s">
        <v>3000</v>
      </c>
      <c r="AF881" s="1"/>
      <c r="AG881" s="1"/>
      <c r="AH881" s="1" t="s">
        <v>3001</v>
      </c>
      <c r="AI881" s="1"/>
      <c r="AJ881" s="1" t="s">
        <v>3002</v>
      </c>
      <c r="AK881" s="1" t="s">
        <v>3003</v>
      </c>
      <c r="AL881" s="1"/>
      <c r="AM881" s="1" t="s">
        <v>3004</v>
      </c>
      <c r="AN881" s="1" t="s">
        <v>3005</v>
      </c>
      <c r="AO881" s="1" t="s">
        <v>3006</v>
      </c>
      <c r="AP881" s="2" t="s">
        <v>3007</v>
      </c>
      <c r="AQ881" s="2" t="s">
        <v>1153</v>
      </c>
      <c r="AR881" s="1"/>
      <c r="AS881" s="1"/>
      <c r="AT881" s="1" t="s">
        <v>5</v>
      </c>
    </row>
    <row r="882" spans="1:46" hidden="1" x14ac:dyDescent="0.4">
      <c r="A882" s="7" t="s">
        <v>3031</v>
      </c>
      <c r="B882" s="11"/>
      <c r="C882" s="1" t="s">
        <v>0</v>
      </c>
      <c r="D882" s="1" t="s">
        <v>2076</v>
      </c>
      <c r="E882" s="1" t="s">
        <v>13</v>
      </c>
      <c r="F882" s="1" t="s">
        <v>14</v>
      </c>
      <c r="G882" s="1" t="s">
        <v>1</v>
      </c>
      <c r="H882" s="1" t="s">
        <v>6</v>
      </c>
      <c r="I882" s="1" t="s">
        <v>2</v>
      </c>
      <c r="J882" s="1" t="s">
        <v>3</v>
      </c>
      <c r="K882" s="1" t="s">
        <v>3032</v>
      </c>
      <c r="L882" s="1" t="s">
        <v>4</v>
      </c>
      <c r="M882" s="1" t="s">
        <v>9</v>
      </c>
      <c r="N882" s="1" t="s">
        <v>3033</v>
      </c>
      <c r="O882" s="1" t="s">
        <v>3034</v>
      </c>
      <c r="P882" s="1"/>
      <c r="Q882" s="1"/>
      <c r="R882" s="1" t="s">
        <v>11</v>
      </c>
      <c r="S882" s="1"/>
      <c r="T882" s="1"/>
      <c r="U882" s="1"/>
      <c r="V882" s="1"/>
      <c r="W882" s="1"/>
      <c r="X882" s="1" t="s">
        <v>3035</v>
      </c>
      <c r="Y882" s="1"/>
      <c r="Z882" s="1"/>
      <c r="AA882" s="1"/>
      <c r="AB882" s="1"/>
      <c r="AC882" s="1"/>
      <c r="AD882" s="1"/>
      <c r="AE882" s="6" t="s">
        <v>3036</v>
      </c>
      <c r="AF882" s="1"/>
      <c r="AG882" s="1"/>
      <c r="AH882" s="1" t="s">
        <v>3037</v>
      </c>
      <c r="AI882" s="1"/>
      <c r="AJ882" s="1" t="s">
        <v>3038</v>
      </c>
      <c r="AK882" s="1" t="s">
        <v>1246</v>
      </c>
      <c r="AL882" s="1"/>
      <c r="AM882" s="1" t="s">
        <v>3039</v>
      </c>
      <c r="AN882" s="1" t="s">
        <v>1246</v>
      </c>
      <c r="AO882" s="1" t="s">
        <v>3040</v>
      </c>
      <c r="AP882" s="2" t="s">
        <v>3041</v>
      </c>
      <c r="AQ882" s="2" t="s">
        <v>1155</v>
      </c>
      <c r="AR882" s="1"/>
      <c r="AS882" s="1"/>
      <c r="AT882" s="1" t="s">
        <v>5</v>
      </c>
    </row>
    <row r="883" spans="1:46" hidden="1" x14ac:dyDescent="0.4">
      <c r="A883" s="7" t="s">
        <v>3052</v>
      </c>
      <c r="B883" s="11"/>
      <c r="C883" s="1" t="s">
        <v>0</v>
      </c>
      <c r="D883" s="1" t="s">
        <v>2157</v>
      </c>
      <c r="E883" s="1" t="s">
        <v>2078</v>
      </c>
      <c r="F883" s="1" t="s">
        <v>14</v>
      </c>
      <c r="G883" s="1" t="s">
        <v>1</v>
      </c>
      <c r="H883" s="1" t="s">
        <v>6</v>
      </c>
      <c r="I883" s="1" t="s">
        <v>2</v>
      </c>
      <c r="J883" s="1" t="s">
        <v>3</v>
      </c>
      <c r="K883" s="1" t="s">
        <v>3053</v>
      </c>
      <c r="L883" s="1" t="s">
        <v>4</v>
      </c>
      <c r="M883" s="1" t="s">
        <v>9</v>
      </c>
      <c r="N883" s="1" t="s">
        <v>3054</v>
      </c>
      <c r="O883" s="1" t="s">
        <v>3055</v>
      </c>
      <c r="P883" s="1"/>
      <c r="Q883" s="1"/>
      <c r="R883" s="1" t="s">
        <v>11</v>
      </c>
      <c r="S883" s="1"/>
      <c r="T883" s="1"/>
      <c r="U883" s="1"/>
      <c r="V883" s="1"/>
      <c r="W883" s="1" t="s">
        <v>3056</v>
      </c>
      <c r="X883" s="1" t="s">
        <v>3057</v>
      </c>
      <c r="Y883" s="1"/>
      <c r="Z883" s="1"/>
      <c r="AA883" s="1"/>
      <c r="AB883" s="1"/>
      <c r="AC883" s="1"/>
      <c r="AD883" s="1"/>
      <c r="AE883" s="6" t="s">
        <v>3058</v>
      </c>
      <c r="AF883" s="1"/>
      <c r="AG883" s="1"/>
      <c r="AH883" s="1" t="s">
        <v>3059</v>
      </c>
      <c r="AI883" s="1"/>
      <c r="AJ883" s="1" t="s">
        <v>3060</v>
      </c>
      <c r="AK883" s="1" t="s">
        <v>3061</v>
      </c>
      <c r="AL883" s="1"/>
      <c r="AM883" s="1" t="s">
        <v>3062</v>
      </c>
      <c r="AN883" s="1" t="s">
        <v>3063</v>
      </c>
      <c r="AO883" s="1"/>
      <c r="AP883" s="2" t="s">
        <v>3064</v>
      </c>
      <c r="AQ883" s="2" t="s">
        <v>1155</v>
      </c>
      <c r="AR883" s="1"/>
      <c r="AS883" s="1"/>
      <c r="AT883" s="1" t="s">
        <v>5</v>
      </c>
    </row>
    <row r="884" spans="1:46" hidden="1" x14ac:dyDescent="0.4">
      <c r="A884" s="7" t="s">
        <v>3086</v>
      </c>
      <c r="B884" s="11"/>
      <c r="C884" s="1" t="s">
        <v>0</v>
      </c>
      <c r="D884" s="1" t="s">
        <v>2220</v>
      </c>
      <c r="E884" s="1" t="s">
        <v>2078</v>
      </c>
      <c r="F884" s="1" t="s">
        <v>14</v>
      </c>
      <c r="G884" s="1" t="s">
        <v>1</v>
      </c>
      <c r="H884" s="1" t="s">
        <v>6</v>
      </c>
      <c r="I884" s="1" t="s">
        <v>2</v>
      </c>
      <c r="J884" s="1" t="s">
        <v>3</v>
      </c>
      <c r="K884" s="1" t="s">
        <v>3087</v>
      </c>
      <c r="L884" s="1" t="s">
        <v>7</v>
      </c>
      <c r="M884" s="1" t="s">
        <v>9</v>
      </c>
      <c r="N884" s="1" t="s">
        <v>3088</v>
      </c>
      <c r="O884" s="1" t="s">
        <v>3089</v>
      </c>
      <c r="P884" s="1"/>
      <c r="Q884" s="1"/>
      <c r="R884" s="1" t="s">
        <v>11</v>
      </c>
      <c r="S884" s="1"/>
      <c r="T884" s="1"/>
      <c r="U884" s="1"/>
      <c r="V884" s="1"/>
      <c r="W884" s="1" t="s">
        <v>3090</v>
      </c>
      <c r="X884" s="1"/>
      <c r="Y884" s="1"/>
      <c r="Z884" s="1"/>
      <c r="AA884" s="1"/>
      <c r="AB884" s="1"/>
      <c r="AC884" s="1"/>
      <c r="AD884" s="1"/>
      <c r="AE884" s="6" t="s">
        <v>3091</v>
      </c>
      <c r="AF884" s="1"/>
      <c r="AG884" s="1"/>
      <c r="AH884" s="1" t="s">
        <v>3092</v>
      </c>
      <c r="AI884" s="1"/>
      <c r="AJ884" s="1" t="s">
        <v>3093</v>
      </c>
      <c r="AK884" s="1" t="s">
        <v>3094</v>
      </c>
      <c r="AL884" s="1" t="s">
        <v>3095</v>
      </c>
      <c r="AM884" s="1" t="s">
        <v>3096</v>
      </c>
      <c r="AN884" s="1" t="s">
        <v>3094</v>
      </c>
      <c r="AO884" s="1"/>
      <c r="AP884" s="2" t="s">
        <v>3097</v>
      </c>
      <c r="AQ884" s="2" t="s">
        <v>1153</v>
      </c>
      <c r="AR884" s="1"/>
      <c r="AS884" s="1"/>
      <c r="AT884" s="1" t="s">
        <v>5</v>
      </c>
    </row>
    <row r="885" spans="1:46" hidden="1" x14ac:dyDescent="0.4">
      <c r="A885" s="7" t="s">
        <v>3141</v>
      </c>
      <c r="B885" s="11"/>
      <c r="C885" s="1" t="s">
        <v>0</v>
      </c>
      <c r="D885" s="1" t="s">
        <v>2157</v>
      </c>
      <c r="E885" s="1" t="s">
        <v>2078</v>
      </c>
      <c r="F885" s="1" t="s">
        <v>14</v>
      </c>
      <c r="G885" s="1" t="s">
        <v>1</v>
      </c>
      <c r="H885" s="1" t="s">
        <v>6</v>
      </c>
      <c r="I885" s="1" t="s">
        <v>2</v>
      </c>
      <c r="J885" s="1" t="s">
        <v>3</v>
      </c>
      <c r="K885" s="1" t="s">
        <v>3142</v>
      </c>
      <c r="L885" s="1" t="s">
        <v>7</v>
      </c>
      <c r="M885" s="1" t="s">
        <v>9</v>
      </c>
      <c r="N885" s="1" t="s">
        <v>3143</v>
      </c>
      <c r="O885" s="1" t="s">
        <v>3144</v>
      </c>
      <c r="P885" s="1"/>
      <c r="Q885" s="1"/>
      <c r="R885" s="1" t="s">
        <v>11</v>
      </c>
      <c r="S885" s="1"/>
      <c r="T885" s="1"/>
      <c r="U885" s="1"/>
      <c r="V885" s="1"/>
      <c r="W885" s="1" t="s">
        <v>3145</v>
      </c>
      <c r="X885" s="1" t="s">
        <v>2947</v>
      </c>
      <c r="Y885" s="1"/>
      <c r="Z885" s="1"/>
      <c r="AA885" s="1"/>
      <c r="AB885" s="1"/>
      <c r="AC885" s="1"/>
      <c r="AD885" s="1"/>
      <c r="AE885" s="6" t="s">
        <v>3146</v>
      </c>
      <c r="AF885" s="1"/>
      <c r="AG885" s="1"/>
      <c r="AH885" s="1" t="s">
        <v>3147</v>
      </c>
      <c r="AI885" s="1"/>
      <c r="AJ885" s="1" t="s">
        <v>3148</v>
      </c>
      <c r="AK885" s="1" t="s">
        <v>3149</v>
      </c>
      <c r="AL885" s="1"/>
      <c r="AM885" s="1" t="s">
        <v>3150</v>
      </c>
      <c r="AN885" s="1" t="s">
        <v>3094</v>
      </c>
      <c r="AO885" s="1"/>
      <c r="AP885" s="2" t="s">
        <v>3151</v>
      </c>
      <c r="AQ885" s="2" t="s">
        <v>1077</v>
      </c>
      <c r="AR885" s="1"/>
      <c r="AS885" s="1"/>
      <c r="AT885" s="1" t="s">
        <v>5</v>
      </c>
    </row>
    <row r="886" spans="1:46" hidden="1" x14ac:dyDescent="0.4">
      <c r="A886" s="7" t="s">
        <v>3152</v>
      </c>
      <c r="B886" s="11"/>
      <c r="C886" s="1" t="s">
        <v>93</v>
      </c>
      <c r="D886" s="1" t="s">
        <v>2157</v>
      </c>
      <c r="E886" s="1" t="s">
        <v>2078</v>
      </c>
      <c r="F886" s="1" t="s">
        <v>14</v>
      </c>
      <c r="G886" s="1" t="s">
        <v>1</v>
      </c>
      <c r="H886" s="1" t="s">
        <v>6</v>
      </c>
      <c r="I886" s="1" t="s">
        <v>2</v>
      </c>
      <c r="J886" s="1" t="s">
        <v>3</v>
      </c>
      <c r="K886" s="1" t="s">
        <v>3153</v>
      </c>
      <c r="L886" s="1" t="s">
        <v>7</v>
      </c>
      <c r="M886" s="1"/>
      <c r="N886" s="1" t="s">
        <v>3154</v>
      </c>
      <c r="O886" s="1" t="s">
        <v>3155</v>
      </c>
      <c r="P886" s="1" t="s">
        <v>3156</v>
      </c>
      <c r="Q886" s="1"/>
      <c r="R886" s="1" t="s">
        <v>11</v>
      </c>
      <c r="S886" s="1"/>
      <c r="T886" s="1"/>
      <c r="U886" s="1"/>
      <c r="V886" s="1"/>
      <c r="W886" s="1"/>
      <c r="X886" s="1" t="s">
        <v>3157</v>
      </c>
      <c r="Y886" s="1"/>
      <c r="Z886" s="1"/>
      <c r="AA886" s="1"/>
      <c r="AB886" s="1"/>
      <c r="AC886" s="1"/>
      <c r="AD886" s="1"/>
      <c r="AE886" s="6" t="s">
        <v>3158</v>
      </c>
      <c r="AF886" s="1"/>
      <c r="AG886" s="1"/>
      <c r="AH886" s="1" t="s">
        <v>3159</v>
      </c>
      <c r="AI886" s="1"/>
      <c r="AJ886" s="1" t="s">
        <v>3160</v>
      </c>
      <c r="AK886" s="1" t="s">
        <v>3161</v>
      </c>
      <c r="AL886" s="1" t="s">
        <v>3162</v>
      </c>
      <c r="AM886" s="1" t="s">
        <v>3163</v>
      </c>
      <c r="AN886" s="1" t="s">
        <v>3161</v>
      </c>
      <c r="AO886" s="1" t="s">
        <v>3164</v>
      </c>
      <c r="AP886" s="2" t="s">
        <v>3165</v>
      </c>
      <c r="AQ886" s="2" t="s">
        <v>1154</v>
      </c>
      <c r="AR886" s="1"/>
      <c r="AS886" s="1"/>
      <c r="AT886" s="1" t="s">
        <v>5</v>
      </c>
    </row>
    <row r="887" spans="1:46" hidden="1" x14ac:dyDescent="0.4">
      <c r="A887" s="7" t="s">
        <v>3166</v>
      </c>
      <c r="B887" s="11"/>
      <c r="C887" s="1" t="s">
        <v>0</v>
      </c>
      <c r="D887" s="1" t="s">
        <v>2211</v>
      </c>
      <c r="E887" s="1" t="s">
        <v>2078</v>
      </c>
      <c r="F887" s="1" t="s">
        <v>14</v>
      </c>
      <c r="G887" s="1" t="s">
        <v>1</v>
      </c>
      <c r="H887" s="1" t="s">
        <v>6</v>
      </c>
      <c r="I887" s="1" t="s">
        <v>2</v>
      </c>
      <c r="J887" s="1" t="s">
        <v>3</v>
      </c>
      <c r="K887" s="1" t="s">
        <v>3167</v>
      </c>
      <c r="L887" s="1" t="s">
        <v>7</v>
      </c>
      <c r="M887" s="1" t="s">
        <v>9</v>
      </c>
      <c r="N887" s="1" t="s">
        <v>3168</v>
      </c>
      <c r="O887" s="1" t="s">
        <v>3055</v>
      </c>
      <c r="P887" s="1"/>
      <c r="Q887" s="1"/>
      <c r="R887" s="1" t="s">
        <v>11</v>
      </c>
      <c r="S887" s="1"/>
      <c r="T887" s="1"/>
      <c r="U887" s="1"/>
      <c r="V887" s="1"/>
      <c r="W887" s="1" t="s">
        <v>3169</v>
      </c>
      <c r="X887" s="1" t="s">
        <v>3170</v>
      </c>
      <c r="Y887" s="1"/>
      <c r="Z887" s="1"/>
      <c r="AA887" s="1"/>
      <c r="AB887" s="1"/>
      <c r="AC887" s="1"/>
      <c r="AD887" s="1"/>
      <c r="AE887" s="6" t="s">
        <v>3171</v>
      </c>
      <c r="AF887" s="1"/>
      <c r="AG887" s="1"/>
      <c r="AH887" s="1" t="s">
        <v>3172</v>
      </c>
      <c r="AI887" s="1"/>
      <c r="AJ887" s="1" t="s">
        <v>3173</v>
      </c>
      <c r="AK887" s="1" t="s">
        <v>3174</v>
      </c>
      <c r="AL887" s="1"/>
      <c r="AM887" s="1" t="s">
        <v>3175</v>
      </c>
      <c r="AN887" s="1" t="s">
        <v>3176</v>
      </c>
      <c r="AO887" s="1" t="s">
        <v>3177</v>
      </c>
      <c r="AP887" s="2" t="s">
        <v>3178</v>
      </c>
      <c r="AQ887" s="2" t="s">
        <v>1154</v>
      </c>
      <c r="AR887" s="1"/>
      <c r="AS887" s="1"/>
      <c r="AT887" s="1" t="s">
        <v>10</v>
      </c>
    </row>
    <row r="888" spans="1:46" hidden="1" x14ac:dyDescent="0.4">
      <c r="A888" s="7" t="s">
        <v>3188</v>
      </c>
      <c r="B888" s="11"/>
      <c r="C888" s="1" t="s">
        <v>0</v>
      </c>
      <c r="D888" s="1" t="s">
        <v>2157</v>
      </c>
      <c r="E888" s="1" t="s">
        <v>2078</v>
      </c>
      <c r="F888" s="1" t="s">
        <v>14</v>
      </c>
      <c r="G888" s="1" t="s">
        <v>1</v>
      </c>
      <c r="H888" s="1" t="s">
        <v>6</v>
      </c>
      <c r="I888" s="1" t="s">
        <v>2</v>
      </c>
      <c r="J888" s="1" t="s">
        <v>3</v>
      </c>
      <c r="K888" s="1" t="s">
        <v>3189</v>
      </c>
      <c r="L888" s="1" t="s">
        <v>7</v>
      </c>
      <c r="M888" s="1" t="s">
        <v>9</v>
      </c>
      <c r="N888" s="1" t="s">
        <v>3190</v>
      </c>
      <c r="O888" s="1" t="s">
        <v>2160</v>
      </c>
      <c r="P888" s="1"/>
      <c r="Q888" s="1"/>
      <c r="R888" s="1" t="s">
        <v>11</v>
      </c>
      <c r="S888" s="1"/>
      <c r="T888" s="1"/>
      <c r="U888" s="1"/>
      <c r="V888" s="1"/>
      <c r="W888" s="1" t="s">
        <v>3191</v>
      </c>
      <c r="X888" s="1" t="s">
        <v>3192</v>
      </c>
      <c r="Y888" s="1"/>
      <c r="Z888" s="1"/>
      <c r="AA888" s="1"/>
      <c r="AB888" s="1"/>
      <c r="AC888" s="1"/>
      <c r="AD888" s="1"/>
      <c r="AE888" s="6" t="s">
        <v>3193</v>
      </c>
      <c r="AF888" s="1"/>
      <c r="AG888" s="1"/>
      <c r="AH888" s="1" t="s">
        <v>3194</v>
      </c>
      <c r="AI888" s="1"/>
      <c r="AJ888" s="1" t="s">
        <v>3126</v>
      </c>
      <c r="AK888" s="1" t="s">
        <v>3195</v>
      </c>
      <c r="AL888" s="1"/>
      <c r="AM888" s="1" t="s">
        <v>3196</v>
      </c>
      <c r="AN888" s="1" t="s">
        <v>3195</v>
      </c>
      <c r="AO888" s="1" t="s">
        <v>3197</v>
      </c>
      <c r="AP888" s="2" t="s">
        <v>3198</v>
      </c>
      <c r="AQ888" s="2" t="s">
        <v>1155</v>
      </c>
      <c r="AR888" s="1"/>
      <c r="AS888" s="1"/>
      <c r="AT888" s="1" t="s">
        <v>10</v>
      </c>
    </row>
    <row r="889" spans="1:46" hidden="1" x14ac:dyDescent="0.4">
      <c r="A889" s="7" t="s">
        <v>3199</v>
      </c>
      <c r="B889" s="11"/>
      <c r="C889" s="1" t="s">
        <v>0</v>
      </c>
      <c r="D889" s="1" t="s">
        <v>2157</v>
      </c>
      <c r="E889" s="1" t="s">
        <v>2078</v>
      </c>
      <c r="F889" s="1" t="s">
        <v>14</v>
      </c>
      <c r="G889" s="1" t="s">
        <v>1</v>
      </c>
      <c r="H889" s="1" t="s">
        <v>6</v>
      </c>
      <c r="I889" s="1" t="s">
        <v>2</v>
      </c>
      <c r="J889" s="1" t="s">
        <v>3</v>
      </c>
      <c r="K889" s="1" t="s">
        <v>3200</v>
      </c>
      <c r="L889" s="1" t="s">
        <v>7</v>
      </c>
      <c r="M889" s="1" t="s">
        <v>9</v>
      </c>
      <c r="N889" s="1" t="s">
        <v>3201</v>
      </c>
      <c r="O889" s="1" t="s">
        <v>2911</v>
      </c>
      <c r="P889" s="1"/>
      <c r="Q889" s="1"/>
      <c r="R889" s="1" t="s">
        <v>11</v>
      </c>
      <c r="S889" s="1"/>
      <c r="T889" s="1"/>
      <c r="U889" s="1"/>
      <c r="V889" s="1"/>
      <c r="W889" s="1"/>
      <c r="X889" s="1" t="s">
        <v>3202</v>
      </c>
      <c r="Y889" s="1"/>
      <c r="Z889" s="1"/>
      <c r="AA889" s="1"/>
      <c r="AB889" s="1"/>
      <c r="AC889" s="1"/>
      <c r="AD889" s="1"/>
      <c r="AE889" s="6" t="s">
        <v>2962</v>
      </c>
      <c r="AF889" s="1"/>
      <c r="AG889" s="1"/>
      <c r="AH889" s="1" t="s">
        <v>3203</v>
      </c>
      <c r="AI889" s="1"/>
      <c r="AJ889" s="1" t="s">
        <v>2117</v>
      </c>
      <c r="AK889" s="1" t="s">
        <v>3204</v>
      </c>
      <c r="AL889" s="1" t="s">
        <v>2934</v>
      </c>
      <c r="AM889" s="1" t="s">
        <v>3205</v>
      </c>
      <c r="AN889" s="1" t="s">
        <v>3204</v>
      </c>
      <c r="AO889" s="1" t="s">
        <v>3206</v>
      </c>
      <c r="AP889" s="2" t="s">
        <v>3207</v>
      </c>
      <c r="AQ889" s="2" t="s">
        <v>1155</v>
      </c>
      <c r="AR889" s="1"/>
      <c r="AS889" s="1"/>
      <c r="AT889" s="1" t="s">
        <v>5</v>
      </c>
    </row>
    <row r="890" spans="1:46" hidden="1" x14ac:dyDescent="0.4">
      <c r="A890" s="7" t="s">
        <v>3208</v>
      </c>
      <c r="B890" s="11"/>
      <c r="C890" s="1" t="s">
        <v>0</v>
      </c>
      <c r="D890" s="1" t="s">
        <v>2157</v>
      </c>
      <c r="E890" s="1" t="s">
        <v>2078</v>
      </c>
      <c r="F890" s="1" t="s">
        <v>14</v>
      </c>
      <c r="G890" s="1" t="s">
        <v>1</v>
      </c>
      <c r="H890" s="1" t="s">
        <v>6</v>
      </c>
      <c r="I890" s="1" t="s">
        <v>2</v>
      </c>
      <c r="J890" s="1" t="s">
        <v>3</v>
      </c>
      <c r="K890" s="1" t="s">
        <v>3209</v>
      </c>
      <c r="L890" s="1" t="s">
        <v>7</v>
      </c>
      <c r="M890" s="1" t="s">
        <v>9</v>
      </c>
      <c r="N890" s="1" t="s">
        <v>3210</v>
      </c>
      <c r="O890" s="1" t="s">
        <v>2911</v>
      </c>
      <c r="P890" s="1"/>
      <c r="Q890" s="1"/>
      <c r="R890" s="1" t="s">
        <v>11</v>
      </c>
      <c r="S890" s="1"/>
      <c r="T890" s="1"/>
      <c r="U890" s="1"/>
      <c r="V890" s="1"/>
      <c r="W890" s="1"/>
      <c r="X890" s="1" t="s">
        <v>3211</v>
      </c>
      <c r="Y890" s="1"/>
      <c r="Z890" s="1"/>
      <c r="AA890" s="1"/>
      <c r="AB890" s="1"/>
      <c r="AC890" s="1"/>
      <c r="AD890" s="1"/>
      <c r="AE890" s="6" t="s">
        <v>2962</v>
      </c>
      <c r="AF890" s="1"/>
      <c r="AG890" s="1"/>
      <c r="AH890" s="1" t="s">
        <v>3212</v>
      </c>
      <c r="AI890" s="1"/>
      <c r="AJ890" s="1" t="s">
        <v>2117</v>
      </c>
      <c r="AK890" s="1" t="s">
        <v>3204</v>
      </c>
      <c r="AL890" s="1" t="s">
        <v>2934</v>
      </c>
      <c r="AM890" s="1" t="s">
        <v>3205</v>
      </c>
      <c r="AN890" s="1" t="s">
        <v>3204</v>
      </c>
      <c r="AO890" s="1" t="s">
        <v>3206</v>
      </c>
      <c r="AP890" s="2" t="s">
        <v>3213</v>
      </c>
      <c r="AQ890" s="2" t="s">
        <v>1155</v>
      </c>
      <c r="AR890" s="1"/>
      <c r="AS890" s="1"/>
      <c r="AT890" s="1" t="s">
        <v>5</v>
      </c>
    </row>
    <row r="891" spans="1:46" hidden="1" x14ac:dyDescent="0.4">
      <c r="A891" s="7" t="s">
        <v>3241</v>
      </c>
      <c r="B891" s="11"/>
      <c r="C891" s="1" t="s">
        <v>0</v>
      </c>
      <c r="D891" s="1" t="s">
        <v>2211</v>
      </c>
      <c r="E891" s="1" t="s">
        <v>2078</v>
      </c>
      <c r="F891" s="1" t="s">
        <v>14</v>
      </c>
      <c r="G891" s="1" t="s">
        <v>1</v>
      </c>
      <c r="H891" s="1" t="s">
        <v>6</v>
      </c>
      <c r="I891" s="1" t="s">
        <v>2</v>
      </c>
      <c r="J891" s="1" t="s">
        <v>3</v>
      </c>
      <c r="K891" s="1" t="s">
        <v>3242</v>
      </c>
      <c r="L891" s="1" t="s">
        <v>4</v>
      </c>
      <c r="M891" s="1" t="s">
        <v>9</v>
      </c>
      <c r="N891" s="1" t="s">
        <v>3243</v>
      </c>
      <c r="O891" s="1" t="s">
        <v>3244</v>
      </c>
      <c r="P891" s="1"/>
      <c r="Q891" s="1"/>
      <c r="R891" s="1" t="s">
        <v>11</v>
      </c>
      <c r="S891" s="1"/>
      <c r="T891" s="1"/>
      <c r="U891" s="1"/>
      <c r="V891" s="1"/>
      <c r="W891" s="1"/>
      <c r="X891" s="1" t="s">
        <v>3245</v>
      </c>
      <c r="Y891" s="1"/>
      <c r="Z891" s="1"/>
      <c r="AA891" s="1"/>
      <c r="AB891" s="1"/>
      <c r="AC891" s="1"/>
      <c r="AD891" s="1"/>
      <c r="AE891" s="6" t="s">
        <v>3246</v>
      </c>
      <c r="AF891" s="1"/>
      <c r="AG891" s="1"/>
      <c r="AH891" s="1" t="s">
        <v>3247</v>
      </c>
      <c r="AI891" s="1"/>
      <c r="AJ891" s="1" t="s">
        <v>3248</v>
      </c>
      <c r="AK891" s="1" t="s">
        <v>3249</v>
      </c>
      <c r="AL891" s="1"/>
      <c r="AM891" s="1" t="s">
        <v>3250</v>
      </c>
      <c r="AN891" s="1" t="s">
        <v>3251</v>
      </c>
      <c r="AO891" s="1" t="s">
        <v>3252</v>
      </c>
      <c r="AP891" s="2" t="s">
        <v>3253</v>
      </c>
      <c r="AQ891" s="2" t="s">
        <v>1155</v>
      </c>
      <c r="AR891" s="1"/>
      <c r="AS891" s="1"/>
      <c r="AT891" s="1" t="s">
        <v>5</v>
      </c>
    </row>
    <row r="892" spans="1:46" hidden="1" x14ac:dyDescent="0.4">
      <c r="A892" s="7" t="s">
        <v>3254</v>
      </c>
      <c r="B892" s="11"/>
      <c r="C892" s="1" t="s">
        <v>0</v>
      </c>
      <c r="D892" s="1" t="s">
        <v>2211</v>
      </c>
      <c r="E892" s="1" t="s">
        <v>2078</v>
      </c>
      <c r="F892" s="1" t="s">
        <v>14</v>
      </c>
      <c r="G892" s="1" t="s">
        <v>1</v>
      </c>
      <c r="H892" s="1" t="s">
        <v>6</v>
      </c>
      <c r="I892" s="1" t="s">
        <v>2</v>
      </c>
      <c r="J892" s="1" t="s">
        <v>3</v>
      </c>
      <c r="K892" s="1" t="s">
        <v>3255</v>
      </c>
      <c r="L892" s="1" t="s">
        <v>4</v>
      </c>
      <c r="M892" s="1" t="s">
        <v>9</v>
      </c>
      <c r="N892" s="1" t="s">
        <v>3256</v>
      </c>
      <c r="O892" s="1" t="s">
        <v>3244</v>
      </c>
      <c r="P892" s="1"/>
      <c r="Q892" s="1"/>
      <c r="R892" s="1" t="s">
        <v>11</v>
      </c>
      <c r="S892" s="1"/>
      <c r="T892" s="1"/>
      <c r="U892" s="1"/>
      <c r="V892" s="1"/>
      <c r="W892" s="1"/>
      <c r="X892" s="1" t="s">
        <v>3245</v>
      </c>
      <c r="Y892" s="1"/>
      <c r="Z892" s="1"/>
      <c r="AA892" s="1"/>
      <c r="AB892" s="1"/>
      <c r="AC892" s="1"/>
      <c r="AD892" s="1"/>
      <c r="AE892" s="6" t="s">
        <v>3246</v>
      </c>
      <c r="AF892" s="1"/>
      <c r="AG892" s="1"/>
      <c r="AH892" s="1" t="s">
        <v>3257</v>
      </c>
      <c r="AI892" s="1"/>
      <c r="AJ892" s="1" t="s">
        <v>3248</v>
      </c>
      <c r="AK892" s="1" t="s">
        <v>3249</v>
      </c>
      <c r="AL892" s="1"/>
      <c r="AM892" s="1" t="s">
        <v>3250</v>
      </c>
      <c r="AN892" s="1" t="s">
        <v>3251</v>
      </c>
      <c r="AO892" s="1" t="s">
        <v>3252</v>
      </c>
      <c r="AP892" s="2" t="s">
        <v>3258</v>
      </c>
      <c r="AQ892" s="2" t="s">
        <v>1155</v>
      </c>
      <c r="AR892" s="1"/>
      <c r="AS892" s="1"/>
      <c r="AT892" s="1" t="s">
        <v>5</v>
      </c>
    </row>
    <row r="893" spans="1:46" hidden="1" x14ac:dyDescent="0.4">
      <c r="A893" s="7" t="s">
        <v>3274</v>
      </c>
      <c r="B893" s="11"/>
      <c r="C893" s="1" t="s">
        <v>0</v>
      </c>
      <c r="D893" s="1" t="s">
        <v>2157</v>
      </c>
      <c r="E893" s="1" t="s">
        <v>2078</v>
      </c>
      <c r="F893" s="1" t="s">
        <v>14</v>
      </c>
      <c r="G893" s="1" t="s">
        <v>1</v>
      </c>
      <c r="H893" s="1" t="s">
        <v>6</v>
      </c>
      <c r="I893" s="1" t="s">
        <v>2</v>
      </c>
      <c r="J893" s="1" t="s">
        <v>3</v>
      </c>
      <c r="K893" s="1" t="s">
        <v>3275</v>
      </c>
      <c r="L893" s="1" t="s">
        <v>7</v>
      </c>
      <c r="M893" s="1" t="s">
        <v>9</v>
      </c>
      <c r="N893" s="1" t="s">
        <v>3276</v>
      </c>
      <c r="O893" s="1" t="s">
        <v>3277</v>
      </c>
      <c r="P893" s="1"/>
      <c r="Q893" s="1"/>
      <c r="R893" s="1" t="s">
        <v>11</v>
      </c>
      <c r="S893" s="1"/>
      <c r="T893" s="1"/>
      <c r="U893" s="1"/>
      <c r="V893" s="1"/>
      <c r="W893" s="1" t="s">
        <v>3278</v>
      </c>
      <c r="X893" s="1"/>
      <c r="Y893" s="1"/>
      <c r="Z893" s="1"/>
      <c r="AA893" s="1"/>
      <c r="AB893" s="1"/>
      <c r="AC893" s="1"/>
      <c r="AD893" s="1"/>
      <c r="AE893" s="6" t="s">
        <v>3279</v>
      </c>
      <c r="AF893" s="1"/>
      <c r="AG893" s="1"/>
      <c r="AH893" s="1" t="s">
        <v>3280</v>
      </c>
      <c r="AI893" s="1"/>
      <c r="AJ893" s="1" t="s">
        <v>117</v>
      </c>
      <c r="AK893" s="1" t="s">
        <v>3281</v>
      </c>
      <c r="AL893" s="1" t="s">
        <v>118</v>
      </c>
      <c r="AM893" s="1" t="s">
        <v>138</v>
      </c>
      <c r="AN893" s="1" t="s">
        <v>3281</v>
      </c>
      <c r="AO893" s="1" t="s">
        <v>139</v>
      </c>
      <c r="AP893" s="2" t="s">
        <v>3282</v>
      </c>
      <c r="AQ893" s="2" t="s">
        <v>1155</v>
      </c>
      <c r="AR893" s="1"/>
      <c r="AS893" s="1"/>
      <c r="AT893" s="1" t="s">
        <v>5</v>
      </c>
    </row>
    <row r="894" spans="1:46" hidden="1" x14ac:dyDescent="0.4">
      <c r="A894" s="7" t="s">
        <v>3283</v>
      </c>
      <c r="B894" s="11"/>
      <c r="C894" s="1" t="s">
        <v>92</v>
      </c>
      <c r="D894" s="1" t="s">
        <v>2157</v>
      </c>
      <c r="E894" s="1" t="s">
        <v>2478</v>
      </c>
      <c r="F894" s="1" t="s">
        <v>14</v>
      </c>
      <c r="G894" s="1" t="s">
        <v>1</v>
      </c>
      <c r="H894" s="1" t="s">
        <v>6</v>
      </c>
      <c r="I894" s="1" t="s">
        <v>2</v>
      </c>
      <c r="J894" s="1" t="s">
        <v>3</v>
      </c>
      <c r="K894" s="1" t="s">
        <v>3284</v>
      </c>
      <c r="L894" s="1" t="s">
        <v>7</v>
      </c>
      <c r="M894" s="1" t="s">
        <v>9</v>
      </c>
      <c r="N894" s="1" t="s">
        <v>3285</v>
      </c>
      <c r="O894" s="1" t="s">
        <v>3277</v>
      </c>
      <c r="P894" s="1"/>
      <c r="Q894" s="1" t="s">
        <v>12</v>
      </c>
      <c r="R894" s="1" t="s">
        <v>11</v>
      </c>
      <c r="S894" s="1"/>
      <c r="T894" s="1" t="s">
        <v>12</v>
      </c>
      <c r="U894" s="1" t="s">
        <v>11</v>
      </c>
      <c r="V894" s="1"/>
      <c r="W894" s="1" t="s">
        <v>3278</v>
      </c>
      <c r="X894" s="1"/>
      <c r="Y894" s="1"/>
      <c r="Z894" s="1"/>
      <c r="AA894" s="1"/>
      <c r="AB894" s="1"/>
      <c r="AC894" s="1"/>
      <c r="AD894" s="1"/>
      <c r="AE894" s="6" t="s">
        <v>3279</v>
      </c>
      <c r="AF894" s="1"/>
      <c r="AG894" s="1"/>
      <c r="AH894" s="1" t="s">
        <v>3286</v>
      </c>
      <c r="AI894" s="1"/>
      <c r="AJ894" s="1" t="s">
        <v>117</v>
      </c>
      <c r="AK894" s="1" t="s">
        <v>3281</v>
      </c>
      <c r="AL894" s="1" t="s">
        <v>118</v>
      </c>
      <c r="AM894" s="1" t="s">
        <v>138</v>
      </c>
      <c r="AN894" s="1" t="s">
        <v>3281</v>
      </c>
      <c r="AO894" s="1" t="s">
        <v>139</v>
      </c>
      <c r="AP894" s="2" t="s">
        <v>3287</v>
      </c>
      <c r="AQ894" s="2" t="s">
        <v>1155</v>
      </c>
      <c r="AR894" s="1"/>
      <c r="AS894" s="1"/>
      <c r="AT894" s="1" t="s">
        <v>5</v>
      </c>
    </row>
    <row r="895" spans="1:46" hidden="1" x14ac:dyDescent="0.4">
      <c r="A895" s="7" t="s">
        <v>3288</v>
      </c>
      <c r="B895" s="11"/>
      <c r="C895" s="1" t="s">
        <v>0</v>
      </c>
      <c r="D895" s="1" t="s">
        <v>2688</v>
      </c>
      <c r="E895" s="1" t="s">
        <v>3289</v>
      </c>
      <c r="F895" s="1" t="s">
        <v>2690</v>
      </c>
      <c r="G895" s="1" t="s">
        <v>1</v>
      </c>
      <c r="H895" s="1" t="s">
        <v>6</v>
      </c>
      <c r="I895" s="1" t="s">
        <v>2</v>
      </c>
      <c r="J895" s="1" t="s">
        <v>3</v>
      </c>
      <c r="K895" s="1" t="s">
        <v>3290</v>
      </c>
      <c r="L895" s="1" t="s">
        <v>7</v>
      </c>
      <c r="M895" s="1" t="s">
        <v>9</v>
      </c>
      <c r="N895" s="1" t="s">
        <v>3291</v>
      </c>
      <c r="O895" s="1" t="s">
        <v>3292</v>
      </c>
      <c r="P895" s="1"/>
      <c r="Q895" s="1"/>
      <c r="R895" s="1" t="s">
        <v>11</v>
      </c>
      <c r="S895" s="1"/>
      <c r="T895" s="1"/>
      <c r="U895" s="1"/>
      <c r="V895" s="1"/>
      <c r="W895" s="1"/>
      <c r="X895" s="1"/>
      <c r="Y895" s="1"/>
      <c r="Z895" s="1"/>
      <c r="AA895" s="1"/>
      <c r="AB895" s="1"/>
      <c r="AC895" s="1"/>
      <c r="AD895" s="1"/>
      <c r="AE895" s="6" t="s">
        <v>3293</v>
      </c>
      <c r="AF895" s="1"/>
      <c r="AG895" s="1"/>
      <c r="AH895" s="1" t="s">
        <v>3294</v>
      </c>
      <c r="AI895" s="1"/>
      <c r="AJ895" s="1" t="s">
        <v>3295</v>
      </c>
      <c r="AK895" s="1" t="s">
        <v>3296</v>
      </c>
      <c r="AL895" s="1" t="s">
        <v>3297</v>
      </c>
      <c r="AM895" s="1" t="s">
        <v>3295</v>
      </c>
      <c r="AN895" s="1" t="s">
        <v>3296</v>
      </c>
      <c r="AO895" s="1" t="s">
        <v>3297</v>
      </c>
      <c r="AP895" s="2" t="s">
        <v>3298</v>
      </c>
      <c r="AQ895" s="2" t="s">
        <v>1154</v>
      </c>
      <c r="AR895" s="1"/>
      <c r="AS895" s="1"/>
      <c r="AT895" s="1" t="s">
        <v>5</v>
      </c>
    </row>
    <row r="896" spans="1:46" hidden="1" x14ac:dyDescent="0.4">
      <c r="A896" s="7" t="s">
        <v>3299</v>
      </c>
      <c r="B896" s="11"/>
      <c r="C896" s="1" t="s">
        <v>2544</v>
      </c>
      <c r="D896" s="1" t="s">
        <v>2157</v>
      </c>
      <c r="E896" s="1" t="s">
        <v>3300</v>
      </c>
      <c r="F896" s="1" t="s">
        <v>14</v>
      </c>
      <c r="G896" s="1" t="s">
        <v>1</v>
      </c>
      <c r="H896" s="1" t="s">
        <v>6</v>
      </c>
      <c r="I896" s="1" t="s">
        <v>2</v>
      </c>
      <c r="J896" s="1" t="s">
        <v>2451</v>
      </c>
      <c r="K896" s="1" t="s">
        <v>3301</v>
      </c>
      <c r="L896" s="1" t="s">
        <v>7</v>
      </c>
      <c r="M896" s="1" t="s">
        <v>9</v>
      </c>
      <c r="N896" s="1" t="s">
        <v>3302</v>
      </c>
      <c r="O896" s="1" t="s">
        <v>3303</v>
      </c>
      <c r="P896" s="1"/>
      <c r="Q896" s="1"/>
      <c r="R896" s="1" t="s">
        <v>11</v>
      </c>
      <c r="S896" s="1"/>
      <c r="T896" s="1"/>
      <c r="U896" s="1"/>
      <c r="V896" s="1"/>
      <c r="W896" s="1"/>
      <c r="X896" s="1" t="s">
        <v>3304</v>
      </c>
      <c r="Y896" s="1"/>
      <c r="Z896" s="1"/>
      <c r="AA896" s="1"/>
      <c r="AB896" s="1"/>
      <c r="AC896" s="1"/>
      <c r="AD896" s="1"/>
      <c r="AE896" s="6" t="s">
        <v>3305</v>
      </c>
      <c r="AF896" s="1"/>
      <c r="AG896" s="1"/>
      <c r="AH896" s="1" t="s">
        <v>3306</v>
      </c>
      <c r="AI896" s="1"/>
      <c r="AJ896" s="1" t="s">
        <v>3307</v>
      </c>
      <c r="AK896" s="1" t="s">
        <v>3084</v>
      </c>
      <c r="AL896" s="1" t="s">
        <v>3308</v>
      </c>
      <c r="AM896" s="1" t="s">
        <v>3309</v>
      </c>
      <c r="AN896" s="1" t="s">
        <v>3084</v>
      </c>
      <c r="AO896" s="1"/>
      <c r="AP896" s="2" t="s">
        <v>3310</v>
      </c>
      <c r="AQ896" s="2" t="s">
        <v>1154</v>
      </c>
      <c r="AR896" s="1"/>
      <c r="AS896" s="1" t="s">
        <v>3311</v>
      </c>
      <c r="AT896" s="1" t="s">
        <v>5</v>
      </c>
    </row>
    <row r="897" spans="1:46" hidden="1" x14ac:dyDescent="0.4">
      <c r="A897" s="7" t="s">
        <v>3312</v>
      </c>
      <c r="B897" s="11"/>
      <c r="C897" s="1" t="s">
        <v>2544</v>
      </c>
      <c r="D897" s="1" t="s">
        <v>2157</v>
      </c>
      <c r="E897" s="1" t="s">
        <v>3300</v>
      </c>
      <c r="F897" s="1" t="s">
        <v>14</v>
      </c>
      <c r="G897" s="1" t="s">
        <v>1</v>
      </c>
      <c r="H897" s="1" t="s">
        <v>6</v>
      </c>
      <c r="I897" s="1" t="s">
        <v>2</v>
      </c>
      <c r="J897" s="1" t="s">
        <v>2450</v>
      </c>
      <c r="K897" s="1" t="s">
        <v>3313</v>
      </c>
      <c r="L897" s="1" t="s">
        <v>7</v>
      </c>
      <c r="M897" s="1" t="s">
        <v>9</v>
      </c>
      <c r="N897" s="1" t="s">
        <v>3314</v>
      </c>
      <c r="O897" s="1" t="s">
        <v>3303</v>
      </c>
      <c r="P897" s="1"/>
      <c r="Q897" s="1"/>
      <c r="R897" s="1" t="s">
        <v>11</v>
      </c>
      <c r="S897" s="1"/>
      <c r="T897" s="1"/>
      <c r="U897" s="1"/>
      <c r="V897" s="1"/>
      <c r="W897" s="1"/>
      <c r="X897" s="1" t="s">
        <v>3315</v>
      </c>
      <c r="Y897" s="1"/>
      <c r="Z897" s="1"/>
      <c r="AA897" s="1"/>
      <c r="AB897" s="1"/>
      <c r="AC897" s="1"/>
      <c r="AD897" s="1"/>
      <c r="AE897" s="6" t="s">
        <v>3305</v>
      </c>
      <c r="AF897" s="1"/>
      <c r="AG897" s="1"/>
      <c r="AH897" s="1" t="s">
        <v>3316</v>
      </c>
      <c r="AI897" s="1"/>
      <c r="AJ897" s="1" t="s">
        <v>3307</v>
      </c>
      <c r="AK897" s="1" t="s">
        <v>3084</v>
      </c>
      <c r="AL897" s="1" t="s">
        <v>3308</v>
      </c>
      <c r="AM897" s="1" t="s">
        <v>3309</v>
      </c>
      <c r="AN897" s="1" t="s">
        <v>3084</v>
      </c>
      <c r="AO897" s="1"/>
      <c r="AP897" s="2" t="s">
        <v>3317</v>
      </c>
      <c r="AQ897" s="2" t="s">
        <v>1154</v>
      </c>
      <c r="AR897" s="1"/>
      <c r="AS897" s="1" t="s">
        <v>3311</v>
      </c>
      <c r="AT897" s="1" t="s">
        <v>5</v>
      </c>
    </row>
    <row r="898" spans="1:46" hidden="1" x14ac:dyDescent="0.4">
      <c r="A898" s="7" t="s">
        <v>3318</v>
      </c>
      <c r="B898" s="11"/>
      <c r="C898" s="1" t="s">
        <v>93</v>
      </c>
      <c r="D898" s="1" t="s">
        <v>2157</v>
      </c>
      <c r="E898" s="1" t="s">
        <v>2078</v>
      </c>
      <c r="F898" s="1" t="s">
        <v>14</v>
      </c>
      <c r="G898" s="1" t="s">
        <v>1</v>
      </c>
      <c r="H898" s="1" t="s">
        <v>6</v>
      </c>
      <c r="I898" s="1" t="s">
        <v>2</v>
      </c>
      <c r="J898" s="1" t="s">
        <v>3</v>
      </c>
      <c r="K898" s="1" t="s">
        <v>3319</v>
      </c>
      <c r="L898" s="1" t="s">
        <v>7</v>
      </c>
      <c r="M898" s="1"/>
      <c r="N898" s="1" t="s">
        <v>3320</v>
      </c>
      <c r="O898" s="1" t="s">
        <v>3321</v>
      </c>
      <c r="P898" s="1"/>
      <c r="Q898" s="1"/>
      <c r="R898" s="1" t="s">
        <v>11</v>
      </c>
      <c r="S898" s="1"/>
      <c r="T898" s="1"/>
      <c r="U898" s="1"/>
      <c r="V898" s="1"/>
      <c r="W898" s="1"/>
      <c r="X898" s="1" t="s">
        <v>3322</v>
      </c>
      <c r="Y898" s="1"/>
      <c r="Z898" s="1"/>
      <c r="AA898" s="1"/>
      <c r="AB898" s="1"/>
      <c r="AC898" s="1"/>
      <c r="AD898" s="1"/>
      <c r="AE898" s="6" t="s">
        <v>3323</v>
      </c>
      <c r="AF898" s="1"/>
      <c r="AG898" s="1"/>
      <c r="AH898" s="1" t="s">
        <v>3324</v>
      </c>
      <c r="AI898" s="1"/>
      <c r="AJ898" s="1" t="s">
        <v>3235</v>
      </c>
      <c r="AK898" s="1" t="s">
        <v>3236</v>
      </c>
      <c r="AL898" s="1"/>
      <c r="AM898" s="1" t="s">
        <v>3325</v>
      </c>
      <c r="AN898" s="1" t="s">
        <v>3238</v>
      </c>
      <c r="AO898" s="1" t="s">
        <v>3326</v>
      </c>
      <c r="AP898" s="2" t="s">
        <v>3327</v>
      </c>
      <c r="AQ898" s="2" t="s">
        <v>1154</v>
      </c>
      <c r="AR898" s="1"/>
      <c r="AS898" s="1"/>
      <c r="AT898" s="1" t="s">
        <v>5</v>
      </c>
    </row>
    <row r="899" spans="1:46" hidden="1" x14ac:dyDescent="0.4">
      <c r="A899" s="7" t="s">
        <v>3348</v>
      </c>
      <c r="B899" s="11"/>
      <c r="C899" s="1" t="s">
        <v>0</v>
      </c>
      <c r="D899" s="1" t="s">
        <v>2157</v>
      </c>
      <c r="E899" s="1" t="s">
        <v>2078</v>
      </c>
      <c r="F899" s="1" t="s">
        <v>14</v>
      </c>
      <c r="G899" s="1" t="s">
        <v>1</v>
      </c>
      <c r="H899" s="1" t="s">
        <v>6</v>
      </c>
      <c r="I899" s="1" t="s">
        <v>2</v>
      </c>
      <c r="J899" s="1" t="s">
        <v>3</v>
      </c>
      <c r="K899" s="1" t="s">
        <v>3349</v>
      </c>
      <c r="L899" s="1" t="s">
        <v>7</v>
      </c>
      <c r="M899" s="1" t="s">
        <v>9</v>
      </c>
      <c r="N899" s="1" t="s">
        <v>3350</v>
      </c>
      <c r="O899" s="1" t="s">
        <v>3351</v>
      </c>
      <c r="P899" s="1"/>
      <c r="Q899" s="1"/>
      <c r="R899" s="1" t="s">
        <v>11</v>
      </c>
      <c r="S899" s="1"/>
      <c r="T899" s="1"/>
      <c r="U899" s="1"/>
      <c r="V899" s="1"/>
      <c r="W899" s="1"/>
      <c r="X899" s="1" t="s">
        <v>3352</v>
      </c>
      <c r="Y899" s="1"/>
      <c r="Z899" s="1"/>
      <c r="AA899" s="1"/>
      <c r="AB899" s="1"/>
      <c r="AC899" s="1"/>
      <c r="AD899" s="1"/>
      <c r="AE899" s="6" t="s">
        <v>3353</v>
      </c>
      <c r="AF899" s="1"/>
      <c r="AG899" s="1"/>
      <c r="AH899" s="1" t="s">
        <v>3354</v>
      </c>
      <c r="AI899" s="1"/>
      <c r="AJ899" s="1" t="s">
        <v>3355</v>
      </c>
      <c r="AK899" s="1" t="s">
        <v>3356</v>
      </c>
      <c r="AL899" s="1" t="s">
        <v>3357</v>
      </c>
      <c r="AM899" s="1" t="s">
        <v>3358</v>
      </c>
      <c r="AN899" s="1" t="s">
        <v>3356</v>
      </c>
      <c r="AO899" s="1"/>
      <c r="AP899" s="2" t="s">
        <v>3359</v>
      </c>
      <c r="AQ899" s="2" t="s">
        <v>1155</v>
      </c>
      <c r="AR899" s="1"/>
      <c r="AS899" s="1"/>
      <c r="AT899" s="1" t="s">
        <v>5</v>
      </c>
    </row>
    <row r="900" spans="1:46" hidden="1" x14ac:dyDescent="0.4">
      <c r="A900" s="7" t="s">
        <v>3380</v>
      </c>
      <c r="B900" s="11"/>
      <c r="C900" s="1" t="s">
        <v>0</v>
      </c>
      <c r="D900" s="1" t="s">
        <v>3381</v>
      </c>
      <c r="E900" s="1" t="s">
        <v>2291</v>
      </c>
      <c r="F900" s="1" t="s">
        <v>3382</v>
      </c>
      <c r="G900" s="1" t="s">
        <v>1</v>
      </c>
      <c r="H900" s="1" t="s">
        <v>6</v>
      </c>
      <c r="I900" s="1" t="s">
        <v>2</v>
      </c>
      <c r="J900" s="1" t="s">
        <v>3</v>
      </c>
      <c r="K900" s="1" t="s">
        <v>3383</v>
      </c>
      <c r="L900" s="1" t="s">
        <v>4</v>
      </c>
      <c r="M900" s="1" t="s">
        <v>9</v>
      </c>
      <c r="N900" s="1" t="s">
        <v>3384</v>
      </c>
      <c r="O900" s="1" t="s">
        <v>3385</v>
      </c>
      <c r="P900" s="1"/>
      <c r="Q900" s="1"/>
      <c r="R900" s="1" t="s">
        <v>11</v>
      </c>
      <c r="S900" s="1"/>
      <c r="T900" s="1"/>
      <c r="U900" s="1"/>
      <c r="V900" s="1"/>
      <c r="W900" s="1" t="s">
        <v>3386</v>
      </c>
      <c r="X900" s="1" t="s">
        <v>3387</v>
      </c>
      <c r="Y900" s="1"/>
      <c r="Z900" s="1"/>
      <c r="AA900" s="1"/>
      <c r="AB900" s="1"/>
      <c r="AC900" s="1"/>
      <c r="AD900" s="1"/>
      <c r="AE900" s="6" t="s">
        <v>3388</v>
      </c>
      <c r="AF900" s="1"/>
      <c r="AG900" s="1"/>
      <c r="AH900" s="1" t="s">
        <v>3389</v>
      </c>
      <c r="AI900" s="1"/>
      <c r="AJ900" s="1" t="s">
        <v>3390</v>
      </c>
      <c r="AK900" s="1" t="s">
        <v>3391</v>
      </c>
      <c r="AL900" s="1" t="s">
        <v>3392</v>
      </c>
      <c r="AM900" s="1" t="s">
        <v>3393</v>
      </c>
      <c r="AN900" s="1" t="s">
        <v>3391</v>
      </c>
      <c r="AO900" s="1" t="s">
        <v>3394</v>
      </c>
      <c r="AP900" s="2" t="s">
        <v>3395</v>
      </c>
      <c r="AQ900" s="2" t="s">
        <v>1154</v>
      </c>
      <c r="AR900" s="1"/>
      <c r="AS900" s="1"/>
      <c r="AT900" s="1" t="s">
        <v>10</v>
      </c>
    </row>
    <row r="901" spans="1:46" hidden="1" x14ac:dyDescent="0.4">
      <c r="A901" s="7" t="s">
        <v>3396</v>
      </c>
      <c r="B901" s="11"/>
      <c r="C901" s="1" t="s">
        <v>2480</v>
      </c>
      <c r="D901" s="1" t="s">
        <v>2157</v>
      </c>
      <c r="E901" s="1" t="s">
        <v>2078</v>
      </c>
      <c r="F901" s="1" t="s">
        <v>14</v>
      </c>
      <c r="G901" s="1" t="s">
        <v>1</v>
      </c>
      <c r="H901" s="1" t="s">
        <v>6</v>
      </c>
      <c r="I901" s="1" t="s">
        <v>2</v>
      </c>
      <c r="J901" s="1" t="s">
        <v>3</v>
      </c>
      <c r="K901" s="1" t="s">
        <v>3397</v>
      </c>
      <c r="L901" s="1" t="s">
        <v>7</v>
      </c>
      <c r="M901" s="1"/>
      <c r="N901" s="1" t="s">
        <v>3398</v>
      </c>
      <c r="O901" s="1" t="s">
        <v>3399</v>
      </c>
      <c r="P901" s="1"/>
      <c r="Q901" s="1"/>
      <c r="R901" s="1" t="s">
        <v>11</v>
      </c>
      <c r="S901" s="1"/>
      <c r="T901" s="1"/>
      <c r="U901" s="1"/>
      <c r="V901" s="1"/>
      <c r="W901" s="1"/>
      <c r="X901" s="1" t="s">
        <v>3400</v>
      </c>
      <c r="Y901" s="1"/>
      <c r="Z901" s="1"/>
      <c r="AA901" s="1"/>
      <c r="AB901" s="1"/>
      <c r="AC901" s="1"/>
      <c r="AD901" s="1"/>
      <c r="AE901" s="6" t="s">
        <v>3401</v>
      </c>
      <c r="AF901" s="1"/>
      <c r="AG901" s="1"/>
      <c r="AH901" s="1" t="s">
        <v>3402</v>
      </c>
      <c r="AI901" s="1"/>
      <c r="AJ901" s="1" t="s">
        <v>3403</v>
      </c>
      <c r="AK901" s="1" t="s">
        <v>3404</v>
      </c>
      <c r="AL901" s="1" t="s">
        <v>3405</v>
      </c>
      <c r="AM901" s="1" t="s">
        <v>3406</v>
      </c>
      <c r="AN901" s="1" t="s">
        <v>3404</v>
      </c>
      <c r="AO901" s="1" t="s">
        <v>3407</v>
      </c>
      <c r="AP901" s="2" t="s">
        <v>3408</v>
      </c>
      <c r="AQ901" s="2" t="s">
        <v>1155</v>
      </c>
      <c r="AR901" s="1"/>
      <c r="AS901" s="1" t="s">
        <v>3409</v>
      </c>
      <c r="AT901" s="1" t="s">
        <v>5</v>
      </c>
    </row>
    <row r="902" spans="1:46" hidden="1" x14ac:dyDescent="0.4">
      <c r="A902" s="7" t="s">
        <v>3423</v>
      </c>
      <c r="B902" s="11"/>
      <c r="C902" s="1" t="s">
        <v>0</v>
      </c>
      <c r="D902" s="1" t="s">
        <v>2290</v>
      </c>
      <c r="E902" s="1" t="s">
        <v>2291</v>
      </c>
      <c r="F902" s="1" t="s">
        <v>14</v>
      </c>
      <c r="G902" s="1" t="s">
        <v>1</v>
      </c>
      <c r="H902" s="1" t="s">
        <v>6</v>
      </c>
      <c r="I902" s="1" t="s">
        <v>2</v>
      </c>
      <c r="J902" s="1" t="s">
        <v>3</v>
      </c>
      <c r="K902" s="1" t="s">
        <v>3424</v>
      </c>
      <c r="L902" s="1" t="s">
        <v>7</v>
      </c>
      <c r="M902" s="1" t="s">
        <v>9</v>
      </c>
      <c r="N902" s="1" t="s">
        <v>3425</v>
      </c>
      <c r="O902" s="1" t="s">
        <v>3426</v>
      </c>
      <c r="P902" s="1" t="s">
        <v>3427</v>
      </c>
      <c r="Q902" s="1"/>
      <c r="R902" s="1" t="s">
        <v>11</v>
      </c>
      <c r="S902" s="1"/>
      <c r="T902" s="1"/>
      <c r="U902" s="1"/>
      <c r="V902" s="1"/>
      <c r="W902" s="1" t="s">
        <v>3428</v>
      </c>
      <c r="X902" s="1"/>
      <c r="Y902" s="1"/>
      <c r="Z902" s="1"/>
      <c r="AA902" s="1"/>
      <c r="AB902" s="1"/>
      <c r="AC902" s="1"/>
      <c r="AD902" s="1"/>
      <c r="AE902" s="6" t="s">
        <v>3429</v>
      </c>
      <c r="AF902" s="1"/>
      <c r="AG902" s="1"/>
      <c r="AH902" s="1" t="s">
        <v>3430</v>
      </c>
      <c r="AI902" s="1"/>
      <c r="AJ902" s="1" t="s">
        <v>3431</v>
      </c>
      <c r="AK902" s="1" t="s">
        <v>3432</v>
      </c>
      <c r="AL902" s="1"/>
      <c r="AM902" s="1" t="s">
        <v>3433</v>
      </c>
      <c r="AN902" s="1" t="s">
        <v>3432</v>
      </c>
      <c r="AO902" s="1" t="s">
        <v>3434</v>
      </c>
      <c r="AP902" s="2" t="s">
        <v>3435</v>
      </c>
      <c r="AQ902" s="2" t="s">
        <v>1153</v>
      </c>
      <c r="AR902" s="1"/>
      <c r="AS902" s="1"/>
      <c r="AT902" s="1" t="s">
        <v>5</v>
      </c>
    </row>
    <row r="903" spans="1:46" hidden="1" x14ac:dyDescent="0.4">
      <c r="A903" s="7" t="s">
        <v>3560</v>
      </c>
      <c r="B903" s="11"/>
      <c r="C903" s="1" t="s">
        <v>0</v>
      </c>
      <c r="D903" s="1" t="s">
        <v>2211</v>
      </c>
      <c r="E903" s="1" t="s">
        <v>2078</v>
      </c>
      <c r="F903" s="1" t="s">
        <v>14</v>
      </c>
      <c r="G903" s="1" t="s">
        <v>1</v>
      </c>
      <c r="H903" s="1" t="s">
        <v>6</v>
      </c>
      <c r="I903" s="1" t="s">
        <v>2</v>
      </c>
      <c r="J903" s="1" t="s">
        <v>3</v>
      </c>
      <c r="K903" s="1" t="s">
        <v>3561</v>
      </c>
      <c r="L903" s="1" t="s">
        <v>7</v>
      </c>
      <c r="M903" s="1" t="s">
        <v>9</v>
      </c>
      <c r="N903" s="1" t="s">
        <v>3562</v>
      </c>
      <c r="O903" s="1" t="s">
        <v>15</v>
      </c>
      <c r="P903" s="1"/>
      <c r="Q903" s="1" t="s">
        <v>12</v>
      </c>
      <c r="R903" s="1" t="s">
        <v>11</v>
      </c>
      <c r="S903" s="1"/>
      <c r="T903" s="1" t="s">
        <v>12</v>
      </c>
      <c r="U903" s="1" t="s">
        <v>11</v>
      </c>
      <c r="V903" s="1"/>
      <c r="W903" s="1"/>
      <c r="X903" s="1"/>
      <c r="Y903" s="1"/>
      <c r="Z903" s="1"/>
      <c r="AA903" s="1"/>
      <c r="AB903" s="1"/>
      <c r="AC903" s="1"/>
      <c r="AD903" s="1"/>
      <c r="AE903" s="6" t="s">
        <v>3563</v>
      </c>
      <c r="AF903" s="1"/>
      <c r="AG903" s="1"/>
      <c r="AH903" s="1" t="s">
        <v>3564</v>
      </c>
      <c r="AI903" s="1"/>
      <c r="AJ903" s="1" t="s">
        <v>134</v>
      </c>
      <c r="AK903" s="1" t="s">
        <v>252</v>
      </c>
      <c r="AL903" s="1"/>
      <c r="AM903" s="1" t="s">
        <v>204</v>
      </c>
      <c r="AN903" s="1" t="s">
        <v>252</v>
      </c>
      <c r="AO903" s="1" t="s">
        <v>205</v>
      </c>
      <c r="AP903" s="2" t="s">
        <v>3565</v>
      </c>
      <c r="AQ903" s="2" t="s">
        <v>1156</v>
      </c>
      <c r="AR903" s="1" t="s">
        <v>286</v>
      </c>
      <c r="AS903" s="1"/>
      <c r="AT903" s="1" t="s">
        <v>5</v>
      </c>
    </row>
    <row r="904" spans="1:46" hidden="1" x14ac:dyDescent="0.4">
      <c r="A904" s="7" t="s">
        <v>3566</v>
      </c>
      <c r="B904" s="11"/>
      <c r="C904" s="1" t="s">
        <v>2494</v>
      </c>
      <c r="D904" s="1" t="s">
        <v>2076</v>
      </c>
      <c r="E904" s="1" t="s">
        <v>2078</v>
      </c>
      <c r="F904" s="1" t="s">
        <v>14</v>
      </c>
      <c r="G904" s="1" t="s">
        <v>1</v>
      </c>
      <c r="H904" s="1" t="s">
        <v>6</v>
      </c>
      <c r="I904" s="1" t="s">
        <v>2</v>
      </c>
      <c r="J904" s="1" t="s">
        <v>2450</v>
      </c>
      <c r="K904" s="1" t="s">
        <v>3567</v>
      </c>
      <c r="L904" s="1" t="s">
        <v>7</v>
      </c>
      <c r="M904" s="1" t="s">
        <v>9</v>
      </c>
      <c r="N904" s="1" t="s">
        <v>3568</v>
      </c>
      <c r="O904" s="1" t="s">
        <v>2238</v>
      </c>
      <c r="P904" s="1"/>
      <c r="Q904" s="1"/>
      <c r="R904" s="1" t="s">
        <v>11</v>
      </c>
      <c r="S904" s="1"/>
      <c r="T904" s="1"/>
      <c r="U904" s="1"/>
      <c r="V904" s="1"/>
      <c r="W904" s="1" t="s">
        <v>3569</v>
      </c>
      <c r="X904" s="1" t="s">
        <v>3570</v>
      </c>
      <c r="Y904" s="1"/>
      <c r="Z904" s="1"/>
      <c r="AA904" s="1" t="s">
        <v>3571</v>
      </c>
      <c r="AB904" s="1"/>
      <c r="AC904" s="1"/>
      <c r="AD904" s="1"/>
      <c r="AE904" s="6" t="s">
        <v>3572</v>
      </c>
      <c r="AF904" s="1"/>
      <c r="AG904" s="1"/>
      <c r="AH904" s="1" t="s">
        <v>3573</v>
      </c>
      <c r="AI904" s="1"/>
      <c r="AJ904" s="1" t="s">
        <v>3574</v>
      </c>
      <c r="AK904" s="1" t="s">
        <v>3575</v>
      </c>
      <c r="AL904" s="1" t="s">
        <v>3576</v>
      </c>
      <c r="AM904" s="1" t="s">
        <v>3577</v>
      </c>
      <c r="AN904" s="1" t="s">
        <v>3575</v>
      </c>
      <c r="AO904" s="1" t="s">
        <v>3578</v>
      </c>
      <c r="AP904" s="2" t="s">
        <v>3579</v>
      </c>
      <c r="AQ904" s="2" t="s">
        <v>1155</v>
      </c>
      <c r="AR904" s="1" t="s">
        <v>286</v>
      </c>
      <c r="AS904" s="1"/>
      <c r="AT904" s="1" t="s">
        <v>5</v>
      </c>
    </row>
    <row r="905" spans="1:46" hidden="1" x14ac:dyDescent="0.4">
      <c r="A905" s="7" t="s">
        <v>3607</v>
      </c>
      <c r="B905" s="11"/>
      <c r="C905" s="1" t="s">
        <v>93</v>
      </c>
      <c r="D905" s="1" t="s">
        <v>2157</v>
      </c>
      <c r="E905" s="1" t="s">
        <v>2078</v>
      </c>
      <c r="F905" s="1" t="s">
        <v>14</v>
      </c>
      <c r="G905" s="1" t="s">
        <v>1</v>
      </c>
      <c r="H905" s="1" t="s">
        <v>6</v>
      </c>
      <c r="I905" s="1" t="s">
        <v>2</v>
      </c>
      <c r="J905" s="1" t="s">
        <v>3</v>
      </c>
      <c r="K905" s="1" t="s">
        <v>3608</v>
      </c>
      <c r="L905" s="1" t="s">
        <v>7</v>
      </c>
      <c r="M905" s="1"/>
      <c r="N905" s="1" t="s">
        <v>3609</v>
      </c>
      <c r="O905" s="1" t="s">
        <v>3595</v>
      </c>
      <c r="P905" s="1"/>
      <c r="Q905" s="1"/>
      <c r="R905" s="1" t="s">
        <v>11</v>
      </c>
      <c r="S905" s="1"/>
      <c r="T905" s="1"/>
      <c r="U905" s="1"/>
      <c r="V905" s="1"/>
      <c r="W905" s="1"/>
      <c r="X905" s="1"/>
      <c r="Y905" s="1"/>
      <c r="Z905" s="1"/>
      <c r="AA905" s="1"/>
      <c r="AB905" s="1"/>
      <c r="AC905" s="1"/>
      <c r="AD905" s="1"/>
      <c r="AE905" s="6" t="s">
        <v>3610</v>
      </c>
      <c r="AF905" s="1"/>
      <c r="AG905" s="1"/>
      <c r="AH905" s="1" t="s">
        <v>3611</v>
      </c>
      <c r="AI905" s="1"/>
      <c r="AJ905" s="1" t="s">
        <v>3600</v>
      </c>
      <c r="AK905" s="1" t="s">
        <v>3601</v>
      </c>
      <c r="AL905" s="1" t="s">
        <v>3602</v>
      </c>
      <c r="AM905" s="1" t="s">
        <v>3603</v>
      </c>
      <c r="AN905" s="1" t="s">
        <v>3601</v>
      </c>
      <c r="AO905" s="1" t="s">
        <v>3604</v>
      </c>
      <c r="AP905" s="2" t="s">
        <v>3612</v>
      </c>
      <c r="AQ905" s="2" t="s">
        <v>1153</v>
      </c>
      <c r="AR905" s="1" t="s">
        <v>286</v>
      </c>
      <c r="AS905" s="1" t="s">
        <v>3606</v>
      </c>
      <c r="AT905" s="1" t="s">
        <v>5</v>
      </c>
    </row>
    <row r="906" spans="1:46" hidden="1" x14ac:dyDescent="0.4">
      <c r="A906" s="7" t="s">
        <v>3613</v>
      </c>
      <c r="B906" s="11"/>
      <c r="C906" s="1" t="s">
        <v>2705</v>
      </c>
      <c r="D906" s="1" t="s">
        <v>2157</v>
      </c>
      <c r="E906" s="1" t="s">
        <v>2078</v>
      </c>
      <c r="F906" s="1" t="s">
        <v>14</v>
      </c>
      <c r="G906" s="1" t="s">
        <v>1</v>
      </c>
      <c r="H906" s="1" t="s">
        <v>6</v>
      </c>
      <c r="I906" s="1" t="s">
        <v>2</v>
      </c>
      <c r="J906" s="1" t="s">
        <v>2813</v>
      </c>
      <c r="K906" s="1" t="s">
        <v>3614</v>
      </c>
      <c r="L906" s="1" t="s">
        <v>4</v>
      </c>
      <c r="M906" s="1" t="s">
        <v>9</v>
      </c>
      <c r="N906" s="1" t="s">
        <v>3615</v>
      </c>
      <c r="O906" s="1" t="s">
        <v>3616</v>
      </c>
      <c r="P906" s="1"/>
      <c r="Q906" s="1"/>
      <c r="R906" s="1" t="s">
        <v>11</v>
      </c>
      <c r="S906" s="1"/>
      <c r="T906" s="1"/>
      <c r="U906" s="1"/>
      <c r="V906" s="1"/>
      <c r="W906" s="1"/>
      <c r="X906" s="1" t="s">
        <v>3617</v>
      </c>
      <c r="Y906" s="1"/>
      <c r="Z906" s="1"/>
      <c r="AA906" s="1"/>
      <c r="AB906" s="1"/>
      <c r="AC906" s="1"/>
      <c r="AD906" s="1"/>
      <c r="AE906" s="6" t="s">
        <v>3618</v>
      </c>
      <c r="AF906" s="1"/>
      <c r="AG906" s="1"/>
      <c r="AH906" s="1" t="s">
        <v>3619</v>
      </c>
      <c r="AI906" s="1"/>
      <c r="AJ906" s="1" t="s">
        <v>3620</v>
      </c>
      <c r="AK906" s="1" t="s">
        <v>3621</v>
      </c>
      <c r="AL906" s="1"/>
      <c r="AM906" s="1" t="s">
        <v>3622</v>
      </c>
      <c r="AN906" s="1" t="s">
        <v>3621</v>
      </c>
      <c r="AO906" s="1" t="s">
        <v>3623</v>
      </c>
      <c r="AP906" s="2" t="s">
        <v>3624</v>
      </c>
      <c r="AQ906" s="2" t="s">
        <v>1153</v>
      </c>
      <c r="AR906" s="1" t="s">
        <v>287</v>
      </c>
      <c r="AS906" s="1"/>
      <c r="AT906" s="1" t="s">
        <v>5</v>
      </c>
    </row>
    <row r="907" spans="1:46" hidden="1" x14ac:dyDescent="0.4">
      <c r="A907" s="7" t="s">
        <v>3725</v>
      </c>
      <c r="B907" s="11"/>
      <c r="C907" s="1" t="s">
        <v>0</v>
      </c>
      <c r="D907" s="1" t="s">
        <v>2211</v>
      </c>
      <c r="E907" s="1" t="s">
        <v>2078</v>
      </c>
      <c r="F907" s="1" t="s">
        <v>14</v>
      </c>
      <c r="G907" s="1" t="s">
        <v>1</v>
      </c>
      <c r="H907" s="1" t="s">
        <v>6</v>
      </c>
      <c r="I907" s="1" t="s">
        <v>2</v>
      </c>
      <c r="J907" s="1" t="s">
        <v>3</v>
      </c>
      <c r="K907" s="1" t="s">
        <v>3726</v>
      </c>
      <c r="L907" s="1" t="s">
        <v>7</v>
      </c>
      <c r="M907" s="1" t="s">
        <v>9</v>
      </c>
      <c r="N907" s="1" t="s">
        <v>3727</v>
      </c>
      <c r="O907" s="1" t="s">
        <v>3728</v>
      </c>
      <c r="P907" s="1"/>
      <c r="Q907" s="1"/>
      <c r="R907" s="1" t="s">
        <v>11</v>
      </c>
      <c r="S907" s="1"/>
      <c r="T907" s="1"/>
      <c r="U907" s="1"/>
      <c r="V907" s="1"/>
      <c r="W907" s="1"/>
      <c r="X907" s="1"/>
      <c r="Y907" s="1"/>
      <c r="Z907" s="1"/>
      <c r="AA907" s="1"/>
      <c r="AB907" s="1"/>
      <c r="AC907" s="1"/>
      <c r="AD907" s="1"/>
      <c r="AE907" s="6" t="s">
        <v>3729</v>
      </c>
      <c r="AF907" s="1"/>
      <c r="AG907" s="1"/>
      <c r="AH907" s="1" t="s">
        <v>3730</v>
      </c>
      <c r="AI907" s="1"/>
      <c r="AJ907" s="1" t="s">
        <v>423</v>
      </c>
      <c r="AK907" s="1" t="s">
        <v>218</v>
      </c>
      <c r="AL907" s="1" t="s">
        <v>424</v>
      </c>
      <c r="AM907" s="1" t="s">
        <v>3731</v>
      </c>
      <c r="AN907" s="1" t="s">
        <v>218</v>
      </c>
      <c r="AO907" s="1" t="s">
        <v>3732</v>
      </c>
      <c r="AP907" s="2" t="s">
        <v>3733</v>
      </c>
      <c r="AQ907" s="2" t="s">
        <v>1153</v>
      </c>
      <c r="AR907" s="1" t="s">
        <v>287</v>
      </c>
      <c r="AS907" s="1"/>
      <c r="AT907" s="1" t="s">
        <v>5</v>
      </c>
    </row>
    <row r="908" spans="1:46" hidden="1" x14ac:dyDescent="0.4">
      <c r="A908" s="7" t="s">
        <v>3753</v>
      </c>
      <c r="B908" s="11"/>
      <c r="C908" s="1" t="s">
        <v>0</v>
      </c>
      <c r="D908" s="1" t="s">
        <v>2290</v>
      </c>
      <c r="E908" s="1" t="s">
        <v>2291</v>
      </c>
      <c r="F908" s="1" t="s">
        <v>14</v>
      </c>
      <c r="G908" s="1" t="s">
        <v>1</v>
      </c>
      <c r="H908" s="1" t="s">
        <v>6</v>
      </c>
      <c r="I908" s="1" t="s">
        <v>2</v>
      </c>
      <c r="J908" s="1" t="s">
        <v>3</v>
      </c>
      <c r="K908" s="1" t="s">
        <v>3754</v>
      </c>
      <c r="L908" s="1" t="s">
        <v>7</v>
      </c>
      <c r="M908" s="1" t="s">
        <v>9</v>
      </c>
      <c r="N908" s="1" t="s">
        <v>3755</v>
      </c>
      <c r="O908" s="1" t="s">
        <v>3756</v>
      </c>
      <c r="P908" s="1"/>
      <c r="Q908" s="1"/>
      <c r="R908" s="1" t="s">
        <v>11</v>
      </c>
      <c r="S908" s="1"/>
      <c r="T908" s="1"/>
      <c r="U908" s="1"/>
      <c r="V908" s="1"/>
      <c r="W908" s="1"/>
      <c r="X908" s="1"/>
      <c r="Y908" s="1"/>
      <c r="Z908" s="1"/>
      <c r="AA908" s="1"/>
      <c r="AB908" s="1"/>
      <c r="AC908" s="1"/>
      <c r="AD908" s="1"/>
      <c r="AE908" s="6" t="s">
        <v>3757</v>
      </c>
      <c r="AF908" s="1"/>
      <c r="AG908" s="1"/>
      <c r="AH908" s="1" t="s">
        <v>3758</v>
      </c>
      <c r="AI908" s="1"/>
      <c r="AJ908" s="1" t="s">
        <v>57</v>
      </c>
      <c r="AK908" s="1" t="s">
        <v>3759</v>
      </c>
      <c r="AL908" s="1"/>
      <c r="AM908" s="1" t="s">
        <v>1636</v>
      </c>
      <c r="AN908" s="1" t="s">
        <v>3759</v>
      </c>
      <c r="AO908" s="1" t="s">
        <v>1637</v>
      </c>
      <c r="AP908" s="2" t="s">
        <v>3760</v>
      </c>
      <c r="AQ908" s="2" t="s">
        <v>1153</v>
      </c>
      <c r="AR908" s="1" t="s">
        <v>287</v>
      </c>
      <c r="AS908" s="1"/>
      <c r="AT908" s="1" t="s">
        <v>5</v>
      </c>
    </row>
    <row r="909" spans="1:46" hidden="1" x14ac:dyDescent="0.4">
      <c r="A909" s="7" t="s">
        <v>3807</v>
      </c>
      <c r="B909" s="11"/>
      <c r="C909" s="1" t="s">
        <v>0</v>
      </c>
      <c r="D909" s="1" t="s">
        <v>2396</v>
      </c>
      <c r="E909" s="1" t="s">
        <v>2078</v>
      </c>
      <c r="F909" s="1" t="s">
        <v>14</v>
      </c>
      <c r="G909" s="1" t="s">
        <v>1</v>
      </c>
      <c r="H909" s="1" t="s">
        <v>6</v>
      </c>
      <c r="I909" s="1" t="s">
        <v>2</v>
      </c>
      <c r="J909" s="1" t="s">
        <v>3</v>
      </c>
      <c r="K909" s="1" t="s">
        <v>3808</v>
      </c>
      <c r="L909" s="1" t="s">
        <v>7</v>
      </c>
      <c r="M909" s="1" t="s">
        <v>9</v>
      </c>
      <c r="N909" s="1" t="s">
        <v>3809</v>
      </c>
      <c r="O909" s="1" t="s">
        <v>3810</v>
      </c>
      <c r="P909" s="1"/>
      <c r="Q909" s="1"/>
      <c r="R909" s="1" t="s">
        <v>11</v>
      </c>
      <c r="S909" s="1"/>
      <c r="T909" s="1"/>
      <c r="U909" s="1"/>
      <c r="V909" s="1"/>
      <c r="W909" s="1"/>
      <c r="X909" s="1"/>
      <c r="Y909" s="1"/>
      <c r="Z909" s="1"/>
      <c r="AA909" s="1"/>
      <c r="AB909" s="1"/>
      <c r="AC909" s="1"/>
      <c r="AD909" s="1"/>
      <c r="AE909" s="6" t="s">
        <v>3811</v>
      </c>
      <c r="AF909" s="1"/>
      <c r="AG909" s="1"/>
      <c r="AH909" s="1" t="s">
        <v>3812</v>
      </c>
      <c r="AI909" s="1"/>
      <c r="AJ909" s="1" t="s">
        <v>1647</v>
      </c>
      <c r="AK909" s="1" t="s">
        <v>1648</v>
      </c>
      <c r="AL909" s="1"/>
      <c r="AM909" s="1" t="s">
        <v>3813</v>
      </c>
      <c r="AN909" s="1" t="s">
        <v>1648</v>
      </c>
      <c r="AO909" s="1" t="s">
        <v>3814</v>
      </c>
      <c r="AP909" s="2" t="s">
        <v>3815</v>
      </c>
      <c r="AQ909" s="2" t="s">
        <v>1153</v>
      </c>
      <c r="AR909" s="1" t="s">
        <v>286</v>
      </c>
      <c r="AS909" s="1" t="s">
        <v>3816</v>
      </c>
      <c r="AT909" s="1" t="s">
        <v>5</v>
      </c>
    </row>
    <row r="910" spans="1:46" hidden="1" x14ac:dyDescent="0.4">
      <c r="A910" s="7" t="s">
        <v>3831</v>
      </c>
      <c r="B910" s="11"/>
      <c r="C910" s="1" t="s">
        <v>0</v>
      </c>
      <c r="D910" s="1" t="s">
        <v>2157</v>
      </c>
      <c r="E910" s="1" t="s">
        <v>2078</v>
      </c>
      <c r="F910" s="1" t="s">
        <v>14</v>
      </c>
      <c r="G910" s="1" t="s">
        <v>1</v>
      </c>
      <c r="H910" s="1" t="s">
        <v>6</v>
      </c>
      <c r="I910" s="1" t="s">
        <v>2</v>
      </c>
      <c r="J910" s="1" t="s">
        <v>3</v>
      </c>
      <c r="K910" s="1" t="s">
        <v>3832</v>
      </c>
      <c r="L910" s="1" t="s">
        <v>7</v>
      </c>
      <c r="M910" s="1" t="s">
        <v>9</v>
      </c>
      <c r="N910" s="1" t="s">
        <v>3535</v>
      </c>
      <c r="O910" s="1" t="s">
        <v>3536</v>
      </c>
      <c r="P910" s="1"/>
      <c r="Q910" s="1"/>
      <c r="R910" s="1" t="s">
        <v>11</v>
      </c>
      <c r="S910" s="1"/>
      <c r="T910" s="1"/>
      <c r="U910" s="1"/>
      <c r="V910" s="1"/>
      <c r="W910" s="1"/>
      <c r="X910" s="1"/>
      <c r="Y910" s="1"/>
      <c r="Z910" s="1"/>
      <c r="AA910" s="1"/>
      <c r="AB910" s="1"/>
      <c r="AC910" s="1"/>
      <c r="AD910" s="1"/>
      <c r="AE910" s="6" t="s">
        <v>3833</v>
      </c>
      <c r="AF910" s="1"/>
      <c r="AG910" s="1"/>
      <c r="AH910" s="1" t="s">
        <v>3834</v>
      </c>
      <c r="AI910" s="1"/>
      <c r="AJ910" s="1" t="s">
        <v>3835</v>
      </c>
      <c r="AK910" s="1" t="s">
        <v>3836</v>
      </c>
      <c r="AL910" s="1"/>
      <c r="AM910" s="1" t="s">
        <v>3837</v>
      </c>
      <c r="AN910" s="1" t="s">
        <v>3836</v>
      </c>
      <c r="AO910" s="1" t="s">
        <v>3838</v>
      </c>
      <c r="AP910" s="2" t="s">
        <v>3839</v>
      </c>
      <c r="AQ910" s="2" t="s">
        <v>1153</v>
      </c>
      <c r="AR910" s="1" t="s">
        <v>286</v>
      </c>
      <c r="AS910" s="1" t="s">
        <v>3840</v>
      </c>
      <c r="AT910" s="1" t="s">
        <v>5</v>
      </c>
    </row>
    <row r="911" spans="1:46" hidden="1" x14ac:dyDescent="0.4">
      <c r="A911" s="7" t="s">
        <v>3841</v>
      </c>
      <c r="B911" s="11"/>
      <c r="C911" s="1" t="s">
        <v>0</v>
      </c>
      <c r="D911" s="1" t="s">
        <v>2157</v>
      </c>
      <c r="E911" s="1" t="s">
        <v>2078</v>
      </c>
      <c r="F911" s="1" t="s">
        <v>14</v>
      </c>
      <c r="G911" s="1" t="s">
        <v>1</v>
      </c>
      <c r="H911" s="1" t="s">
        <v>6</v>
      </c>
      <c r="I911" s="1" t="s">
        <v>2</v>
      </c>
      <c r="J911" s="1" t="s">
        <v>3</v>
      </c>
      <c r="K911" s="1" t="s">
        <v>3842</v>
      </c>
      <c r="L911" s="1" t="s">
        <v>7</v>
      </c>
      <c r="M911" s="1" t="s">
        <v>9</v>
      </c>
      <c r="N911" s="1" t="s">
        <v>3843</v>
      </c>
      <c r="O911" s="1" t="s">
        <v>3536</v>
      </c>
      <c r="P911" s="1"/>
      <c r="Q911" s="1"/>
      <c r="R911" s="1" t="s">
        <v>11</v>
      </c>
      <c r="S911" s="1"/>
      <c r="T911" s="1"/>
      <c r="U911" s="1"/>
      <c r="V911" s="1"/>
      <c r="W911" s="1"/>
      <c r="X911" s="1"/>
      <c r="Y911" s="1"/>
      <c r="Z911" s="1"/>
      <c r="AA911" s="1"/>
      <c r="AB911" s="1"/>
      <c r="AC911" s="1"/>
      <c r="AD911" s="1"/>
      <c r="AE911" s="6" t="s">
        <v>3833</v>
      </c>
      <c r="AF911" s="1"/>
      <c r="AG911" s="1"/>
      <c r="AH911" s="1" t="s">
        <v>3844</v>
      </c>
      <c r="AI911" s="1"/>
      <c r="AJ911" s="1" t="s">
        <v>3835</v>
      </c>
      <c r="AK911" s="1" t="s">
        <v>3836</v>
      </c>
      <c r="AL911" s="1"/>
      <c r="AM911" s="1" t="s">
        <v>3837</v>
      </c>
      <c r="AN911" s="1" t="s">
        <v>3836</v>
      </c>
      <c r="AO911" s="1" t="s">
        <v>3838</v>
      </c>
      <c r="AP911" s="2" t="s">
        <v>3845</v>
      </c>
      <c r="AQ911" s="2" t="s">
        <v>1153</v>
      </c>
      <c r="AR911" s="1" t="s">
        <v>286</v>
      </c>
      <c r="AS911" s="1" t="s">
        <v>3816</v>
      </c>
      <c r="AT911" s="1" t="s">
        <v>5</v>
      </c>
    </row>
    <row r="912" spans="1:46" hidden="1" x14ac:dyDescent="0.4">
      <c r="A912" s="7" t="s">
        <v>3846</v>
      </c>
      <c r="B912" s="11"/>
      <c r="C912" s="1" t="s">
        <v>0</v>
      </c>
      <c r="D912" s="1" t="s">
        <v>2396</v>
      </c>
      <c r="E912" s="1" t="s">
        <v>2078</v>
      </c>
      <c r="F912" s="1" t="s">
        <v>14</v>
      </c>
      <c r="G912" s="1" t="s">
        <v>1</v>
      </c>
      <c r="H912" s="1" t="s">
        <v>6</v>
      </c>
      <c r="I912" s="1" t="s">
        <v>2</v>
      </c>
      <c r="J912" s="1" t="s">
        <v>3</v>
      </c>
      <c r="K912" s="1" t="s">
        <v>3847</v>
      </c>
      <c r="L912" s="1" t="s">
        <v>7</v>
      </c>
      <c r="M912" s="1" t="s">
        <v>9</v>
      </c>
      <c r="N912" s="1" t="s">
        <v>3848</v>
      </c>
      <c r="O912" s="1" t="s">
        <v>3536</v>
      </c>
      <c r="P912" s="1"/>
      <c r="Q912" s="1"/>
      <c r="R912" s="1" t="s">
        <v>11</v>
      </c>
      <c r="S912" s="1"/>
      <c r="T912" s="1"/>
      <c r="U912" s="1"/>
      <c r="V912" s="1"/>
      <c r="W912" s="1" t="s">
        <v>3849</v>
      </c>
      <c r="X912" s="1"/>
      <c r="Y912" s="1"/>
      <c r="Z912" s="1"/>
      <c r="AA912" s="1"/>
      <c r="AB912" s="1"/>
      <c r="AC912" s="1"/>
      <c r="AD912" s="1"/>
      <c r="AE912" s="6" t="s">
        <v>3833</v>
      </c>
      <c r="AF912" s="1"/>
      <c r="AG912" s="1"/>
      <c r="AH912" s="1" t="s">
        <v>3850</v>
      </c>
      <c r="AI912" s="1"/>
      <c r="AJ912" s="1" t="s">
        <v>3835</v>
      </c>
      <c r="AK912" s="1" t="s">
        <v>3836</v>
      </c>
      <c r="AL912" s="1"/>
      <c r="AM912" s="1" t="s">
        <v>3837</v>
      </c>
      <c r="AN912" s="1" t="s">
        <v>3836</v>
      </c>
      <c r="AO912" s="1" t="s">
        <v>3838</v>
      </c>
      <c r="AP912" s="2" t="s">
        <v>3851</v>
      </c>
      <c r="AQ912" s="2" t="s">
        <v>1153</v>
      </c>
      <c r="AR912" s="1" t="s">
        <v>286</v>
      </c>
      <c r="AS912" s="1" t="s">
        <v>3816</v>
      </c>
      <c r="AT912" s="1" t="s">
        <v>5</v>
      </c>
    </row>
    <row r="913" spans="1:46" hidden="1" x14ac:dyDescent="0.4">
      <c r="A913" s="7" t="s">
        <v>3892</v>
      </c>
      <c r="B913" s="11"/>
      <c r="C913" s="1" t="s">
        <v>1664</v>
      </c>
      <c r="D913" s="1" t="s">
        <v>2157</v>
      </c>
      <c r="E913" s="1" t="s">
        <v>2078</v>
      </c>
      <c r="F913" s="1" t="s">
        <v>14</v>
      </c>
      <c r="G913" s="1" t="s">
        <v>1</v>
      </c>
      <c r="H913" s="1" t="s">
        <v>6</v>
      </c>
      <c r="I913" s="1" t="s">
        <v>2</v>
      </c>
      <c r="J913" s="1" t="s">
        <v>3</v>
      </c>
      <c r="K913" s="1" t="s">
        <v>3893</v>
      </c>
      <c r="L913" s="1" t="s">
        <v>7</v>
      </c>
      <c r="M913" s="1" t="s">
        <v>9</v>
      </c>
      <c r="N913" s="1" t="s">
        <v>3894</v>
      </c>
      <c r="O913" s="1" t="s">
        <v>2214</v>
      </c>
      <c r="P913" s="1"/>
      <c r="Q913" s="1"/>
      <c r="R913" s="1" t="s">
        <v>11</v>
      </c>
      <c r="S913" s="1"/>
      <c r="T913" s="1"/>
      <c r="U913" s="1"/>
      <c r="V913" s="1"/>
      <c r="W913" s="1" t="s">
        <v>3895</v>
      </c>
      <c r="X913" s="1" t="s">
        <v>3896</v>
      </c>
      <c r="Y913" s="1"/>
      <c r="Z913" s="1"/>
      <c r="AA913" s="1"/>
      <c r="AB913" s="1"/>
      <c r="AC913" s="1"/>
      <c r="AD913" s="1"/>
      <c r="AE913" s="6" t="s">
        <v>3897</v>
      </c>
      <c r="AF913" s="1"/>
      <c r="AG913" s="1"/>
      <c r="AH913" s="1" t="s">
        <v>3898</v>
      </c>
      <c r="AI913" s="1"/>
      <c r="AJ913" s="1" t="s">
        <v>2586</v>
      </c>
      <c r="AK913" s="1" t="s">
        <v>2587</v>
      </c>
      <c r="AL913" s="1" t="s">
        <v>2588</v>
      </c>
      <c r="AM913" s="1" t="s">
        <v>2586</v>
      </c>
      <c r="AN913" s="1" t="s">
        <v>2587</v>
      </c>
      <c r="AO913" s="1" t="s">
        <v>2588</v>
      </c>
      <c r="AP913" s="2" t="s">
        <v>3899</v>
      </c>
      <c r="AQ913" s="2" t="s">
        <v>1153</v>
      </c>
      <c r="AR913" s="1" t="s">
        <v>286</v>
      </c>
      <c r="AS913" s="1"/>
      <c r="AT913" s="1" t="s">
        <v>5</v>
      </c>
    </row>
    <row r="914" spans="1:46" hidden="1" x14ac:dyDescent="0.4">
      <c r="A914" s="7" t="s">
        <v>3900</v>
      </c>
      <c r="B914" s="11"/>
      <c r="C914" s="1" t="s">
        <v>0</v>
      </c>
      <c r="D914" s="1" t="s">
        <v>2076</v>
      </c>
      <c r="E914" s="1" t="s">
        <v>2078</v>
      </c>
      <c r="F914" s="1" t="s">
        <v>14</v>
      </c>
      <c r="G914" s="1" t="s">
        <v>1</v>
      </c>
      <c r="H914" s="1" t="s">
        <v>6</v>
      </c>
      <c r="I914" s="1" t="s">
        <v>2</v>
      </c>
      <c r="J914" s="1" t="s">
        <v>3</v>
      </c>
      <c r="K914" s="1" t="s">
        <v>3901</v>
      </c>
      <c r="L914" s="1" t="s">
        <v>4</v>
      </c>
      <c r="M914" s="1" t="s">
        <v>9</v>
      </c>
      <c r="N914" s="1" t="s">
        <v>3902</v>
      </c>
      <c r="O914" s="1" t="s">
        <v>2238</v>
      </c>
      <c r="P914" s="1"/>
      <c r="Q914" s="1"/>
      <c r="R914" s="1" t="s">
        <v>11</v>
      </c>
      <c r="S914" s="1"/>
      <c r="T914" s="1"/>
      <c r="U914" s="1"/>
      <c r="V914" s="1"/>
      <c r="W914" s="1"/>
      <c r="X914" s="1" t="s">
        <v>3903</v>
      </c>
      <c r="Y914" s="1"/>
      <c r="Z914" s="1"/>
      <c r="AA914" s="1"/>
      <c r="AB914" s="1"/>
      <c r="AC914" s="1"/>
      <c r="AD914" s="1"/>
      <c r="AE914" s="6" t="s">
        <v>3904</v>
      </c>
      <c r="AF914" s="1"/>
      <c r="AG914" s="1"/>
      <c r="AH914" s="1" t="s">
        <v>3905</v>
      </c>
      <c r="AI914" s="1"/>
      <c r="AJ914" s="1" t="s">
        <v>3906</v>
      </c>
      <c r="AK914" s="1" t="s">
        <v>3907</v>
      </c>
      <c r="AL914" s="1" t="s">
        <v>3908</v>
      </c>
      <c r="AM914" s="1" t="s">
        <v>3909</v>
      </c>
      <c r="AN914" s="1" t="s">
        <v>3907</v>
      </c>
      <c r="AO914" s="1" t="s">
        <v>3910</v>
      </c>
      <c r="AP914" s="2" t="s">
        <v>3911</v>
      </c>
      <c r="AQ914" s="2" t="s">
        <v>1153</v>
      </c>
      <c r="AR914" s="1" t="s">
        <v>286</v>
      </c>
      <c r="AS914" s="1" t="s">
        <v>3912</v>
      </c>
      <c r="AT914" s="1" t="s">
        <v>5</v>
      </c>
    </row>
    <row r="915" spans="1:46" hidden="1" x14ac:dyDescent="0.4">
      <c r="A915" s="7" t="s">
        <v>3949</v>
      </c>
      <c r="B915" s="11"/>
      <c r="C915" s="1" t="s">
        <v>1664</v>
      </c>
      <c r="D915" s="1" t="s">
        <v>2157</v>
      </c>
      <c r="E915" s="1" t="s">
        <v>2078</v>
      </c>
      <c r="F915" s="1" t="s">
        <v>14</v>
      </c>
      <c r="G915" s="1" t="s">
        <v>1</v>
      </c>
      <c r="H915" s="1" t="s">
        <v>6</v>
      </c>
      <c r="I915" s="1" t="s">
        <v>2</v>
      </c>
      <c r="J915" s="1" t="s">
        <v>3</v>
      </c>
      <c r="K915" s="1" t="s">
        <v>3950</v>
      </c>
      <c r="L915" s="1" t="s">
        <v>7</v>
      </c>
      <c r="M915" s="1" t="s">
        <v>9</v>
      </c>
      <c r="N915" s="1" t="s">
        <v>3951</v>
      </c>
      <c r="O915" s="1" t="s">
        <v>3952</v>
      </c>
      <c r="P915" s="1"/>
      <c r="Q915" s="1"/>
      <c r="R915" s="1" t="s">
        <v>11</v>
      </c>
      <c r="S915" s="1"/>
      <c r="T915" s="1"/>
      <c r="U915" s="1"/>
      <c r="V915" s="1"/>
      <c r="W915" s="1" t="s">
        <v>3953</v>
      </c>
      <c r="X915" s="1" t="s">
        <v>3954</v>
      </c>
      <c r="Y915" s="1"/>
      <c r="Z915" s="1"/>
      <c r="AA915" s="1"/>
      <c r="AB915" s="1"/>
      <c r="AC915" s="1"/>
      <c r="AD915" s="1"/>
      <c r="AE915" s="6" t="s">
        <v>3955</v>
      </c>
      <c r="AF915" s="1"/>
      <c r="AG915" s="1"/>
      <c r="AH915" s="1" t="s">
        <v>3956</v>
      </c>
      <c r="AI915" s="1"/>
      <c r="AJ915" s="1" t="s">
        <v>1671</v>
      </c>
      <c r="AK915" s="1" t="s">
        <v>1672</v>
      </c>
      <c r="AL915" s="1" t="s">
        <v>1673</v>
      </c>
      <c r="AM915" s="1" t="s">
        <v>1671</v>
      </c>
      <c r="AN915" s="1" t="s">
        <v>1672</v>
      </c>
      <c r="AO915" s="1" t="s">
        <v>1673</v>
      </c>
      <c r="AP915" s="2" t="s">
        <v>3957</v>
      </c>
      <c r="AQ915" s="2" t="s">
        <v>1077</v>
      </c>
      <c r="AR915" s="1" t="s">
        <v>286</v>
      </c>
      <c r="AS915" s="1" t="s">
        <v>3958</v>
      </c>
      <c r="AT915" s="1" t="s">
        <v>5</v>
      </c>
    </row>
    <row r="916" spans="1:46" hidden="1" x14ac:dyDescent="0.4">
      <c r="A916" s="7" t="s">
        <v>3982</v>
      </c>
      <c r="B916" s="11"/>
      <c r="C916" s="1" t="s">
        <v>2841</v>
      </c>
      <c r="D916" s="1" t="s">
        <v>2157</v>
      </c>
      <c r="E916" s="1" t="s">
        <v>2078</v>
      </c>
      <c r="F916" s="1" t="s">
        <v>14</v>
      </c>
      <c r="G916" s="1" t="s">
        <v>1</v>
      </c>
      <c r="H916" s="1" t="s">
        <v>6</v>
      </c>
      <c r="I916" s="1" t="s">
        <v>2</v>
      </c>
      <c r="J916" s="1" t="s">
        <v>2842</v>
      </c>
      <c r="K916" s="1" t="s">
        <v>3983</v>
      </c>
      <c r="L916" s="1" t="s">
        <v>7</v>
      </c>
      <c r="M916" s="1"/>
      <c r="N916" s="1" t="s">
        <v>3984</v>
      </c>
      <c r="O916" s="1" t="s">
        <v>2238</v>
      </c>
      <c r="P916" s="1"/>
      <c r="Q916" s="1"/>
      <c r="R916" s="1" t="s">
        <v>11</v>
      </c>
      <c r="S916" s="1"/>
      <c r="T916" s="1"/>
      <c r="U916" s="1"/>
      <c r="V916" s="1"/>
      <c r="W916" s="1"/>
      <c r="X916" s="1" t="s">
        <v>3985</v>
      </c>
      <c r="Y916" s="1"/>
      <c r="Z916" s="1"/>
      <c r="AA916" s="1"/>
      <c r="AB916" s="1"/>
      <c r="AC916" s="1"/>
      <c r="AD916" s="1"/>
      <c r="AE916" s="6" t="s">
        <v>3986</v>
      </c>
      <c r="AF916" s="1"/>
      <c r="AG916" s="1"/>
      <c r="AH916" s="1" t="s">
        <v>3987</v>
      </c>
      <c r="AI916" s="1"/>
      <c r="AJ916" s="1" t="s">
        <v>3988</v>
      </c>
      <c r="AK916" s="1" t="s">
        <v>3471</v>
      </c>
      <c r="AL916" s="1" t="s">
        <v>3989</v>
      </c>
      <c r="AM916" s="1" t="s">
        <v>3988</v>
      </c>
      <c r="AN916" s="1" t="s">
        <v>3471</v>
      </c>
      <c r="AO916" s="1" t="s">
        <v>3989</v>
      </c>
      <c r="AP916" s="2" t="s">
        <v>3990</v>
      </c>
      <c r="AQ916" s="2" t="s">
        <v>1153</v>
      </c>
      <c r="AR916" s="1" t="s">
        <v>286</v>
      </c>
      <c r="AS916" s="1"/>
      <c r="AT916" s="1" t="s">
        <v>5</v>
      </c>
    </row>
    <row r="917" spans="1:46" hidden="1" x14ac:dyDescent="0.4">
      <c r="A917" s="7" t="s">
        <v>4027</v>
      </c>
      <c r="B917" s="11"/>
      <c r="C917" s="1" t="s">
        <v>3626</v>
      </c>
      <c r="D917" s="1" t="s">
        <v>2076</v>
      </c>
      <c r="E917" s="1" t="s">
        <v>2078</v>
      </c>
      <c r="F917" s="1" t="s">
        <v>14</v>
      </c>
      <c r="G917" s="1" t="s">
        <v>1</v>
      </c>
      <c r="H917" s="1" t="s">
        <v>6</v>
      </c>
      <c r="I917" s="1" t="s">
        <v>2</v>
      </c>
      <c r="J917" s="1" t="s">
        <v>3514</v>
      </c>
      <c r="K917" s="1" t="s">
        <v>4028</v>
      </c>
      <c r="L917" s="1" t="s">
        <v>7</v>
      </c>
      <c r="M917" s="1" t="s">
        <v>9</v>
      </c>
      <c r="N917" s="1" t="s">
        <v>4029</v>
      </c>
      <c r="O917" s="1" t="s">
        <v>2238</v>
      </c>
      <c r="P917" s="1"/>
      <c r="Q917" s="1"/>
      <c r="R917" s="1" t="s">
        <v>11</v>
      </c>
      <c r="S917" s="1"/>
      <c r="T917" s="1"/>
      <c r="U917" s="1"/>
      <c r="V917" s="1"/>
      <c r="W917" s="1"/>
      <c r="X917" s="1" t="s">
        <v>4030</v>
      </c>
      <c r="Y917" s="1"/>
      <c r="Z917" s="1"/>
      <c r="AA917" s="1" t="s">
        <v>4031</v>
      </c>
      <c r="AB917" s="1"/>
      <c r="AC917" s="1"/>
      <c r="AD917" s="1"/>
      <c r="AE917" s="6" t="s">
        <v>4032</v>
      </c>
      <c r="AF917" s="1"/>
      <c r="AG917" s="1"/>
      <c r="AH917" s="1" t="s">
        <v>4033</v>
      </c>
      <c r="AI917" s="1"/>
      <c r="AJ917" s="1" t="s">
        <v>4034</v>
      </c>
      <c r="AK917" s="1" t="s">
        <v>4035</v>
      </c>
      <c r="AL917" s="1" t="s">
        <v>4036</v>
      </c>
      <c r="AM917" s="1" t="s">
        <v>4034</v>
      </c>
      <c r="AN917" s="1" t="s">
        <v>4035</v>
      </c>
      <c r="AO917" s="1" t="s">
        <v>4036</v>
      </c>
      <c r="AP917" s="2" t="s">
        <v>4037</v>
      </c>
      <c r="AQ917" s="2" t="s">
        <v>1153</v>
      </c>
      <c r="AR917" s="1" t="s">
        <v>286</v>
      </c>
      <c r="AS917" s="1"/>
      <c r="AT917" s="1" t="s">
        <v>5</v>
      </c>
    </row>
    <row r="918" spans="1:46" hidden="1" x14ac:dyDescent="0.4">
      <c r="A918" s="7" t="s">
        <v>4120</v>
      </c>
      <c r="B918" s="11"/>
      <c r="C918" s="1" t="s">
        <v>3626</v>
      </c>
      <c r="D918" s="1" t="s">
        <v>2076</v>
      </c>
      <c r="E918" s="1" t="s">
        <v>2078</v>
      </c>
      <c r="F918" s="1" t="s">
        <v>14</v>
      </c>
      <c r="G918" s="1" t="s">
        <v>1</v>
      </c>
      <c r="H918" s="1" t="s">
        <v>6</v>
      </c>
      <c r="I918" s="1" t="s">
        <v>2</v>
      </c>
      <c r="J918" s="1" t="s">
        <v>3514</v>
      </c>
      <c r="K918" s="1" t="s">
        <v>4121</v>
      </c>
      <c r="L918" s="1" t="s">
        <v>4</v>
      </c>
      <c r="M918" s="1" t="s">
        <v>9</v>
      </c>
      <c r="N918" s="1" t="s">
        <v>4122</v>
      </c>
      <c r="O918" s="1" t="s">
        <v>2911</v>
      </c>
      <c r="P918" s="1"/>
      <c r="Q918" s="1"/>
      <c r="R918" s="1" t="s">
        <v>11</v>
      </c>
      <c r="S918" s="1"/>
      <c r="T918" s="1"/>
      <c r="U918" s="1"/>
      <c r="V918" s="1"/>
      <c r="W918" s="1" t="s">
        <v>4123</v>
      </c>
      <c r="X918" s="1" t="s">
        <v>4124</v>
      </c>
      <c r="Y918" s="1"/>
      <c r="Z918" s="1"/>
      <c r="AA918" s="1"/>
      <c r="AB918" s="1"/>
      <c r="AC918" s="1"/>
      <c r="AD918" s="1"/>
      <c r="AE918" s="6" t="s">
        <v>4125</v>
      </c>
      <c r="AF918" s="1"/>
      <c r="AG918" s="1"/>
      <c r="AH918" s="1" t="s">
        <v>4126</v>
      </c>
      <c r="AI918" s="1"/>
      <c r="AJ918" s="1" t="s">
        <v>4127</v>
      </c>
      <c r="AK918" s="1" t="s">
        <v>4128</v>
      </c>
      <c r="AL918" s="1" t="s">
        <v>4129</v>
      </c>
      <c r="AM918" s="1" t="s">
        <v>4127</v>
      </c>
      <c r="AN918" s="1" t="s">
        <v>4128</v>
      </c>
      <c r="AO918" s="1" t="s">
        <v>4129</v>
      </c>
      <c r="AP918" s="2" t="s">
        <v>4130</v>
      </c>
      <c r="AQ918" s="2" t="s">
        <v>1153</v>
      </c>
      <c r="AR918" s="1" t="s">
        <v>286</v>
      </c>
      <c r="AS918" s="1"/>
      <c r="AT918" s="1" t="s">
        <v>5</v>
      </c>
    </row>
    <row r="919" spans="1:46" hidden="1" x14ac:dyDescent="0.4">
      <c r="A919" s="7" t="s">
        <v>4182</v>
      </c>
      <c r="B919" s="11"/>
      <c r="C919" s="1" t="s">
        <v>93</v>
      </c>
      <c r="D919" s="1" t="s">
        <v>2211</v>
      </c>
      <c r="E919" s="1" t="s">
        <v>2078</v>
      </c>
      <c r="F919" s="1" t="s">
        <v>14</v>
      </c>
      <c r="G919" s="1" t="s">
        <v>1</v>
      </c>
      <c r="H919" s="1" t="s">
        <v>6</v>
      </c>
      <c r="I919" s="1" t="s">
        <v>2</v>
      </c>
      <c r="J919" s="1" t="s">
        <v>3</v>
      </c>
      <c r="K919" s="1" t="s">
        <v>4183</v>
      </c>
      <c r="L919" s="1" t="s">
        <v>7</v>
      </c>
      <c r="M919" s="1"/>
      <c r="N919" s="1" t="s">
        <v>4184</v>
      </c>
      <c r="O919" s="1" t="s">
        <v>4185</v>
      </c>
      <c r="P919" s="1"/>
      <c r="Q919" s="1"/>
      <c r="R919" s="1" t="s">
        <v>11</v>
      </c>
      <c r="S919" s="1"/>
      <c r="T919" s="1"/>
      <c r="U919" s="1"/>
      <c r="V919" s="1"/>
      <c r="W919" s="1"/>
      <c r="X919" s="1"/>
      <c r="Y919" s="1"/>
      <c r="Z919" s="1"/>
      <c r="AA919" s="1"/>
      <c r="AB919" s="1"/>
      <c r="AC919" s="1"/>
      <c r="AD919" s="1"/>
      <c r="AE919" s="6" t="s">
        <v>4186</v>
      </c>
      <c r="AF919" s="1"/>
      <c r="AG919" s="1"/>
      <c r="AH919" s="1" t="s">
        <v>4187</v>
      </c>
      <c r="AI919" s="1"/>
      <c r="AJ919" s="1" t="s">
        <v>4188</v>
      </c>
      <c r="AK919" s="1" t="s">
        <v>4189</v>
      </c>
      <c r="AL919" s="1" t="s">
        <v>4190</v>
      </c>
      <c r="AM919" s="1" t="s">
        <v>4188</v>
      </c>
      <c r="AN919" s="1" t="s">
        <v>4189</v>
      </c>
      <c r="AO919" s="1" t="s">
        <v>4190</v>
      </c>
      <c r="AP919" s="2" t="s">
        <v>4191</v>
      </c>
      <c r="AQ919" s="2" t="s">
        <v>1153</v>
      </c>
      <c r="AR919" s="1" t="s">
        <v>286</v>
      </c>
      <c r="AS919" s="1"/>
      <c r="AT919" s="1" t="s">
        <v>5</v>
      </c>
    </row>
    <row r="920" spans="1:46" hidden="1" x14ac:dyDescent="0.4">
      <c r="A920" s="7" t="s">
        <v>4192</v>
      </c>
      <c r="B920" s="11"/>
      <c r="C920" s="1" t="s">
        <v>93</v>
      </c>
      <c r="D920" s="1" t="s">
        <v>2211</v>
      </c>
      <c r="E920" s="1" t="s">
        <v>2078</v>
      </c>
      <c r="F920" s="1" t="s">
        <v>14</v>
      </c>
      <c r="G920" s="1" t="s">
        <v>1</v>
      </c>
      <c r="H920" s="1" t="s">
        <v>6</v>
      </c>
      <c r="I920" s="1" t="s">
        <v>2</v>
      </c>
      <c r="J920" s="1" t="s">
        <v>3</v>
      </c>
      <c r="K920" s="1" t="s">
        <v>4193</v>
      </c>
      <c r="L920" s="1" t="s">
        <v>7</v>
      </c>
      <c r="M920" s="1"/>
      <c r="N920" s="1" t="s">
        <v>4194</v>
      </c>
      <c r="O920" s="1" t="s">
        <v>4185</v>
      </c>
      <c r="P920" s="1"/>
      <c r="Q920" s="1"/>
      <c r="R920" s="1" t="s">
        <v>11</v>
      </c>
      <c r="S920" s="1"/>
      <c r="T920" s="1"/>
      <c r="U920" s="1"/>
      <c r="V920" s="1"/>
      <c r="W920" s="1"/>
      <c r="X920" s="1"/>
      <c r="Y920" s="1"/>
      <c r="Z920" s="1"/>
      <c r="AA920" s="1"/>
      <c r="AB920" s="1"/>
      <c r="AC920" s="1"/>
      <c r="AD920" s="1"/>
      <c r="AE920" s="6" t="s">
        <v>4195</v>
      </c>
      <c r="AF920" s="1"/>
      <c r="AG920" s="1"/>
      <c r="AH920" s="1" t="s">
        <v>4196</v>
      </c>
      <c r="AI920" s="1"/>
      <c r="AJ920" s="1" t="s">
        <v>4188</v>
      </c>
      <c r="AK920" s="1" t="s">
        <v>4189</v>
      </c>
      <c r="AL920" s="1" t="s">
        <v>4190</v>
      </c>
      <c r="AM920" s="1" t="s">
        <v>4188</v>
      </c>
      <c r="AN920" s="1" t="s">
        <v>4189</v>
      </c>
      <c r="AO920" s="1" t="s">
        <v>4190</v>
      </c>
      <c r="AP920" s="2" t="s">
        <v>4197</v>
      </c>
      <c r="AQ920" s="2" t="s">
        <v>1153</v>
      </c>
      <c r="AR920" s="1" t="s">
        <v>286</v>
      </c>
      <c r="AS920" s="1"/>
      <c r="AT920" s="1" t="s">
        <v>5</v>
      </c>
    </row>
    <row r="921" spans="1:46" hidden="1" x14ac:dyDescent="0.4">
      <c r="A921" s="7" t="s">
        <v>2092</v>
      </c>
      <c r="B921" s="11"/>
      <c r="C921" s="1" t="s">
        <v>0</v>
      </c>
      <c r="D921" s="1" t="s">
        <v>2076</v>
      </c>
      <c r="E921" s="1" t="s">
        <v>2078</v>
      </c>
      <c r="F921" s="1" t="s">
        <v>14</v>
      </c>
      <c r="G921" s="1" t="s">
        <v>1</v>
      </c>
      <c r="H921" s="1" t="s">
        <v>6</v>
      </c>
      <c r="I921" s="1" t="s">
        <v>2</v>
      </c>
      <c r="J921" s="1" t="s">
        <v>3</v>
      </c>
      <c r="K921" s="1" t="s">
        <v>2093</v>
      </c>
      <c r="L921" s="1" t="s">
        <v>7</v>
      </c>
      <c r="M921" s="1" t="s">
        <v>9</v>
      </c>
      <c r="N921" s="1" t="s">
        <v>4198</v>
      </c>
      <c r="O921" s="1" t="s">
        <v>2648</v>
      </c>
      <c r="P921" s="1"/>
      <c r="Q921" s="1"/>
      <c r="R921" s="1" t="s">
        <v>11</v>
      </c>
      <c r="S921" s="1"/>
      <c r="T921" s="1"/>
      <c r="U921" s="1"/>
      <c r="V921" s="1"/>
      <c r="W921" s="1"/>
      <c r="X921" s="1" t="s">
        <v>4199</v>
      </c>
      <c r="Y921" s="1"/>
      <c r="Z921" s="1"/>
      <c r="AA921" s="1"/>
      <c r="AB921" s="1"/>
      <c r="AC921" s="1"/>
      <c r="AD921" s="1"/>
      <c r="AE921" s="6" t="s">
        <v>2094</v>
      </c>
      <c r="AF921" s="1"/>
      <c r="AG921" s="1"/>
      <c r="AH921" s="1" t="s">
        <v>4200</v>
      </c>
      <c r="AI921" s="1"/>
      <c r="AJ921" s="1" t="s">
        <v>211</v>
      </c>
      <c r="AK921" s="1" t="s">
        <v>247</v>
      </c>
      <c r="AL921" s="1" t="s">
        <v>212</v>
      </c>
      <c r="AM921" s="1" t="s">
        <v>4201</v>
      </c>
      <c r="AN921" s="1" t="s">
        <v>247</v>
      </c>
      <c r="AO921" s="1" t="s">
        <v>4202</v>
      </c>
      <c r="AP921" s="2" t="s">
        <v>4203</v>
      </c>
      <c r="AQ921" s="2" t="s">
        <v>1155</v>
      </c>
      <c r="AR921" s="1" t="s">
        <v>286</v>
      </c>
      <c r="AS921" s="1" t="s">
        <v>4204</v>
      </c>
      <c r="AT921" s="1" t="s">
        <v>5</v>
      </c>
    </row>
    <row r="922" spans="1:46" hidden="1" x14ac:dyDescent="0.4">
      <c r="A922" s="7" t="s">
        <v>4220</v>
      </c>
      <c r="B922" s="11"/>
      <c r="C922" s="1" t="s">
        <v>0</v>
      </c>
      <c r="D922" s="1" t="s">
        <v>2076</v>
      </c>
      <c r="E922" s="1" t="s">
        <v>2078</v>
      </c>
      <c r="F922" s="1" t="s">
        <v>14</v>
      </c>
      <c r="G922" s="1" t="s">
        <v>1</v>
      </c>
      <c r="H922" s="1" t="s">
        <v>6</v>
      </c>
      <c r="I922" s="1" t="s">
        <v>2</v>
      </c>
      <c r="J922" s="1" t="s">
        <v>3</v>
      </c>
      <c r="K922" s="1" t="s">
        <v>4221</v>
      </c>
      <c r="L922" s="1" t="s">
        <v>4</v>
      </c>
      <c r="M922" s="1" t="s">
        <v>9</v>
      </c>
      <c r="N922" s="1" t="s">
        <v>4222</v>
      </c>
      <c r="O922" s="1" t="s">
        <v>2771</v>
      </c>
      <c r="P922" s="1"/>
      <c r="Q922" s="1"/>
      <c r="R922" s="1" t="s">
        <v>11</v>
      </c>
      <c r="S922" s="1"/>
      <c r="T922" s="1"/>
      <c r="U922" s="1"/>
      <c r="V922" s="1"/>
      <c r="W922" s="1"/>
      <c r="X922" s="1" t="s">
        <v>4223</v>
      </c>
      <c r="Y922" s="1"/>
      <c r="Z922" s="1"/>
      <c r="AA922" s="1"/>
      <c r="AB922" s="1"/>
      <c r="AC922" s="1"/>
      <c r="AD922" s="1"/>
      <c r="AE922" s="6" t="s">
        <v>4224</v>
      </c>
      <c r="AF922" s="1"/>
      <c r="AG922" s="1"/>
      <c r="AH922" s="1" t="s">
        <v>4225</v>
      </c>
      <c r="AI922" s="1"/>
      <c r="AJ922" s="1" t="s">
        <v>4226</v>
      </c>
      <c r="AK922" s="1" t="s">
        <v>4227</v>
      </c>
      <c r="AL922" s="1"/>
      <c r="AM922" s="1" t="s">
        <v>4228</v>
      </c>
      <c r="AN922" s="1" t="s">
        <v>4227</v>
      </c>
      <c r="AO922" s="1" t="s">
        <v>4229</v>
      </c>
      <c r="AP922" s="2" t="s">
        <v>4230</v>
      </c>
      <c r="AQ922" s="2" t="s">
        <v>1153</v>
      </c>
      <c r="AR922" s="1" t="s">
        <v>286</v>
      </c>
      <c r="AS922" s="1"/>
      <c r="AT922" s="1" t="s">
        <v>5</v>
      </c>
    </row>
    <row r="923" spans="1:46" hidden="1" x14ac:dyDescent="0.4">
      <c r="A923" s="7" t="s">
        <v>4246</v>
      </c>
      <c r="B923" s="11"/>
      <c r="C923" s="1" t="s">
        <v>0</v>
      </c>
      <c r="D923" s="1" t="s">
        <v>2157</v>
      </c>
      <c r="E923" s="1" t="s">
        <v>2078</v>
      </c>
      <c r="F923" s="1" t="s">
        <v>14</v>
      </c>
      <c r="G923" s="1" t="s">
        <v>1</v>
      </c>
      <c r="H923" s="1" t="s">
        <v>6</v>
      </c>
      <c r="I923" s="1" t="s">
        <v>2</v>
      </c>
      <c r="J923" s="1" t="s">
        <v>3</v>
      </c>
      <c r="K923" s="1" t="s">
        <v>4247</v>
      </c>
      <c r="L923" s="1" t="s">
        <v>7</v>
      </c>
      <c r="M923" s="1" t="s">
        <v>9</v>
      </c>
      <c r="N923" s="1" t="s">
        <v>4248</v>
      </c>
      <c r="O923" s="1" t="s">
        <v>2214</v>
      </c>
      <c r="P923" s="1"/>
      <c r="Q923" s="1"/>
      <c r="R923" s="1" t="s">
        <v>11</v>
      </c>
      <c r="S923" s="1"/>
      <c r="T923" s="1"/>
      <c r="U923" s="1"/>
      <c r="V923" s="1"/>
      <c r="W923" s="1"/>
      <c r="X923" s="1"/>
      <c r="Y923" s="1"/>
      <c r="Z923" s="1"/>
      <c r="AA923" s="1"/>
      <c r="AB923" s="1"/>
      <c r="AC923" s="1"/>
      <c r="AD923" s="1"/>
      <c r="AE923" s="6" t="s">
        <v>4249</v>
      </c>
      <c r="AF923" s="1"/>
      <c r="AG923" s="1"/>
      <c r="AH923" s="1" t="s">
        <v>4250</v>
      </c>
      <c r="AI923" s="1"/>
      <c r="AJ923" s="1" t="s">
        <v>283</v>
      </c>
      <c r="AK923" s="1" t="s">
        <v>4251</v>
      </c>
      <c r="AL923" s="1" t="s">
        <v>284</v>
      </c>
      <c r="AM923" s="1" t="s">
        <v>245</v>
      </c>
      <c r="AN923" s="1" t="s">
        <v>4251</v>
      </c>
      <c r="AO923" s="1"/>
      <c r="AP923" s="2" t="s">
        <v>4252</v>
      </c>
      <c r="AQ923" s="2" t="s">
        <v>1153</v>
      </c>
      <c r="AR923" s="1" t="s">
        <v>286</v>
      </c>
      <c r="AS923" s="1"/>
      <c r="AT923" s="1" t="s">
        <v>5</v>
      </c>
    </row>
    <row r="924" spans="1:46" hidden="1" x14ac:dyDescent="0.4">
      <c r="A924" s="7" t="s">
        <v>4266</v>
      </c>
      <c r="B924" s="11"/>
      <c r="C924" s="1" t="s">
        <v>93</v>
      </c>
      <c r="D924" s="1" t="s">
        <v>2290</v>
      </c>
      <c r="E924" s="1" t="s">
        <v>2291</v>
      </c>
      <c r="F924" s="1" t="s">
        <v>14</v>
      </c>
      <c r="G924" s="1" t="s">
        <v>1</v>
      </c>
      <c r="H924" s="1" t="s">
        <v>6</v>
      </c>
      <c r="I924" s="1" t="s">
        <v>2</v>
      </c>
      <c r="J924" s="1" t="s">
        <v>3</v>
      </c>
      <c r="K924" s="1" t="s">
        <v>4267</v>
      </c>
      <c r="L924" s="1" t="s">
        <v>7</v>
      </c>
      <c r="M924" s="1"/>
      <c r="N924" s="1" t="s">
        <v>4268</v>
      </c>
      <c r="O924" s="1" t="s">
        <v>4269</v>
      </c>
      <c r="P924" s="1"/>
      <c r="Q924" s="1"/>
      <c r="R924" s="1" t="s">
        <v>11</v>
      </c>
      <c r="S924" s="1"/>
      <c r="T924" s="1"/>
      <c r="U924" s="1"/>
      <c r="V924" s="1"/>
      <c r="W924" s="1"/>
      <c r="X924" s="1"/>
      <c r="Y924" s="1"/>
      <c r="Z924" s="1"/>
      <c r="AA924" s="1"/>
      <c r="AB924" s="1"/>
      <c r="AC924" s="1"/>
      <c r="AD924" s="1"/>
      <c r="AE924" s="6" t="s">
        <v>4270</v>
      </c>
      <c r="AF924" s="1"/>
      <c r="AG924" s="1"/>
      <c r="AH924" s="1" t="s">
        <v>4271</v>
      </c>
      <c r="AI924" s="1"/>
      <c r="AJ924" s="1" t="s">
        <v>4272</v>
      </c>
      <c r="AK924" s="1" t="s">
        <v>4273</v>
      </c>
      <c r="AL924" s="1" t="s">
        <v>4274</v>
      </c>
      <c r="AM924" s="1" t="s">
        <v>4272</v>
      </c>
      <c r="AN924" s="1" t="s">
        <v>4273</v>
      </c>
      <c r="AO924" s="1" t="s">
        <v>4274</v>
      </c>
      <c r="AP924" s="2" t="s">
        <v>4275</v>
      </c>
      <c r="AQ924" s="2" t="s">
        <v>1153</v>
      </c>
      <c r="AR924" s="1" t="s">
        <v>287</v>
      </c>
      <c r="AS924" s="1"/>
      <c r="AT924" s="1" t="s">
        <v>5</v>
      </c>
    </row>
    <row r="925" spans="1:46" hidden="1" x14ac:dyDescent="0.4">
      <c r="A925" s="7" t="s">
        <v>4276</v>
      </c>
      <c r="B925" s="11"/>
      <c r="C925" s="1" t="s">
        <v>0</v>
      </c>
      <c r="D925" s="1" t="s">
        <v>2211</v>
      </c>
      <c r="E925" s="1" t="s">
        <v>2078</v>
      </c>
      <c r="F925" s="1" t="s">
        <v>14</v>
      </c>
      <c r="G925" s="1" t="s">
        <v>1</v>
      </c>
      <c r="H925" s="1" t="s">
        <v>6</v>
      </c>
      <c r="I925" s="1" t="s">
        <v>2</v>
      </c>
      <c r="J925" s="1" t="s">
        <v>3</v>
      </c>
      <c r="K925" s="1" t="s">
        <v>4277</v>
      </c>
      <c r="L925" s="1" t="s">
        <v>7</v>
      </c>
      <c r="M925" s="1" t="s">
        <v>9</v>
      </c>
      <c r="N925" s="1" t="s">
        <v>4278</v>
      </c>
      <c r="O925" s="1" t="s">
        <v>4279</v>
      </c>
      <c r="P925" s="1"/>
      <c r="Q925" s="1"/>
      <c r="R925" s="1" t="s">
        <v>11</v>
      </c>
      <c r="S925" s="1"/>
      <c r="T925" s="1"/>
      <c r="U925" s="1"/>
      <c r="V925" s="1"/>
      <c r="W925" s="1"/>
      <c r="X925" s="1"/>
      <c r="Y925" s="1"/>
      <c r="Z925" s="1"/>
      <c r="AA925" s="1"/>
      <c r="AB925" s="1"/>
      <c r="AC925" s="1"/>
      <c r="AD925" s="1"/>
      <c r="AE925" s="6" t="s">
        <v>4280</v>
      </c>
      <c r="AF925" s="1"/>
      <c r="AG925" s="1"/>
      <c r="AH925" s="1" t="s">
        <v>4281</v>
      </c>
      <c r="AI925" s="1"/>
      <c r="AJ925" s="1" t="s">
        <v>4282</v>
      </c>
      <c r="AK925" s="1" t="s">
        <v>4283</v>
      </c>
      <c r="AL925" s="1"/>
      <c r="AM925" s="1" t="s">
        <v>4284</v>
      </c>
      <c r="AN925" s="1" t="s">
        <v>4283</v>
      </c>
      <c r="AO925" s="1" t="s">
        <v>4285</v>
      </c>
      <c r="AP925" s="2" t="s">
        <v>4286</v>
      </c>
      <c r="AQ925" s="2" t="s">
        <v>1153</v>
      </c>
      <c r="AR925" s="1" t="s">
        <v>286</v>
      </c>
      <c r="AS925" s="1" t="s">
        <v>4287</v>
      </c>
      <c r="AT925" s="1" t="s">
        <v>5</v>
      </c>
    </row>
    <row r="926" spans="1:46" hidden="1" x14ac:dyDescent="0.4">
      <c r="A926" s="7" t="s">
        <v>4288</v>
      </c>
      <c r="B926" s="11"/>
      <c r="C926" s="1" t="s">
        <v>0</v>
      </c>
      <c r="D926" s="1" t="s">
        <v>2211</v>
      </c>
      <c r="E926" s="1" t="s">
        <v>2078</v>
      </c>
      <c r="F926" s="1" t="s">
        <v>14</v>
      </c>
      <c r="G926" s="1" t="s">
        <v>1</v>
      </c>
      <c r="H926" s="1" t="s">
        <v>6</v>
      </c>
      <c r="I926" s="1" t="s">
        <v>2</v>
      </c>
      <c r="J926" s="1" t="s">
        <v>3</v>
      </c>
      <c r="K926" s="1" t="s">
        <v>4289</v>
      </c>
      <c r="L926" s="1" t="s">
        <v>7</v>
      </c>
      <c r="M926" s="1" t="s">
        <v>9</v>
      </c>
      <c r="N926" s="1" t="s">
        <v>4290</v>
      </c>
      <c r="O926" s="1" t="s">
        <v>4279</v>
      </c>
      <c r="P926" s="1"/>
      <c r="Q926" s="1"/>
      <c r="R926" s="1" t="s">
        <v>11</v>
      </c>
      <c r="S926" s="1"/>
      <c r="T926" s="1"/>
      <c r="U926" s="1"/>
      <c r="V926" s="1"/>
      <c r="W926" s="1"/>
      <c r="X926" s="1"/>
      <c r="Y926" s="1"/>
      <c r="Z926" s="1"/>
      <c r="AA926" s="1"/>
      <c r="AB926" s="1"/>
      <c r="AC926" s="1"/>
      <c r="AD926" s="1"/>
      <c r="AE926" s="6" t="s">
        <v>4280</v>
      </c>
      <c r="AF926" s="1"/>
      <c r="AG926" s="1"/>
      <c r="AH926" s="1" t="s">
        <v>4291</v>
      </c>
      <c r="AI926" s="1"/>
      <c r="AJ926" s="1" t="s">
        <v>4282</v>
      </c>
      <c r="AK926" s="1" t="s">
        <v>4283</v>
      </c>
      <c r="AL926" s="1"/>
      <c r="AM926" s="1" t="s">
        <v>4284</v>
      </c>
      <c r="AN926" s="1" t="s">
        <v>4283</v>
      </c>
      <c r="AO926" s="1" t="s">
        <v>4285</v>
      </c>
      <c r="AP926" s="2" t="s">
        <v>4292</v>
      </c>
      <c r="AQ926" s="2" t="s">
        <v>1153</v>
      </c>
      <c r="AR926" s="1" t="s">
        <v>286</v>
      </c>
      <c r="AS926" s="1" t="s">
        <v>4293</v>
      </c>
      <c r="AT926" s="1" t="s">
        <v>5</v>
      </c>
    </row>
    <row r="927" spans="1:46" hidden="1" x14ac:dyDescent="0.4">
      <c r="A927" s="7" t="s">
        <v>4294</v>
      </c>
      <c r="B927" s="11"/>
      <c r="C927" s="1" t="s">
        <v>0</v>
      </c>
      <c r="D927" s="1" t="s">
        <v>2211</v>
      </c>
      <c r="E927" s="1" t="s">
        <v>2078</v>
      </c>
      <c r="F927" s="1" t="s">
        <v>14</v>
      </c>
      <c r="G927" s="1" t="s">
        <v>1</v>
      </c>
      <c r="H927" s="1" t="s">
        <v>6</v>
      </c>
      <c r="I927" s="1" t="s">
        <v>2</v>
      </c>
      <c r="J927" s="1" t="s">
        <v>3</v>
      </c>
      <c r="K927" s="1" t="s">
        <v>4295</v>
      </c>
      <c r="L927" s="1" t="s">
        <v>7</v>
      </c>
      <c r="M927" s="1"/>
      <c r="N927" s="1" t="s">
        <v>4296</v>
      </c>
      <c r="O927" s="1" t="s">
        <v>3994</v>
      </c>
      <c r="P927" s="1"/>
      <c r="Q927" s="1"/>
      <c r="R927" s="1" t="s">
        <v>11</v>
      </c>
      <c r="S927" s="1"/>
      <c r="T927" s="1"/>
      <c r="U927" s="1"/>
      <c r="V927" s="1"/>
      <c r="W927" s="1"/>
      <c r="X927" s="1" t="s">
        <v>4297</v>
      </c>
      <c r="Y927" s="1"/>
      <c r="Z927" s="1"/>
      <c r="AA927" s="1"/>
      <c r="AB927" s="1"/>
      <c r="AC927" s="1"/>
      <c r="AD927" s="1"/>
      <c r="AE927" s="6" t="s">
        <v>4298</v>
      </c>
      <c r="AF927" s="1"/>
      <c r="AG927" s="1"/>
      <c r="AH927" s="1" t="s">
        <v>4299</v>
      </c>
      <c r="AI927" s="1"/>
      <c r="AJ927" s="1" t="s">
        <v>4300</v>
      </c>
      <c r="AK927" s="1" t="s">
        <v>4301</v>
      </c>
      <c r="AL927" s="1" t="s">
        <v>4302</v>
      </c>
      <c r="AM927" s="1" t="s">
        <v>4303</v>
      </c>
      <c r="AN927" s="1" t="s">
        <v>4304</v>
      </c>
      <c r="AO927" s="1" t="s">
        <v>4305</v>
      </c>
      <c r="AP927" s="2" t="s">
        <v>4306</v>
      </c>
      <c r="AQ927" s="2" t="s">
        <v>1153</v>
      </c>
      <c r="AR927" s="1" t="s">
        <v>286</v>
      </c>
      <c r="AS927" s="1" t="s">
        <v>4307</v>
      </c>
      <c r="AT927" s="1" t="s">
        <v>5</v>
      </c>
    </row>
    <row r="928" spans="1:46" hidden="1" x14ac:dyDescent="0.4">
      <c r="A928" s="7" t="s">
        <v>4379</v>
      </c>
      <c r="B928" s="11"/>
      <c r="C928" s="1" t="s">
        <v>93</v>
      </c>
      <c r="D928" s="1" t="s">
        <v>2827</v>
      </c>
      <c r="E928" s="1" t="s">
        <v>2078</v>
      </c>
      <c r="F928" s="1" t="s">
        <v>14</v>
      </c>
      <c r="G928" s="1" t="s">
        <v>1</v>
      </c>
      <c r="H928" s="1" t="s">
        <v>6</v>
      </c>
      <c r="I928" s="1" t="s">
        <v>2</v>
      </c>
      <c r="J928" s="1" t="s">
        <v>3</v>
      </c>
      <c r="K928" s="1" t="s">
        <v>4380</v>
      </c>
      <c r="L928" s="1" t="s">
        <v>4</v>
      </c>
      <c r="M928" s="1"/>
      <c r="N928" s="1" t="s">
        <v>4381</v>
      </c>
      <c r="O928" s="1" t="s">
        <v>4382</v>
      </c>
      <c r="P928" s="1"/>
      <c r="Q928" s="1"/>
      <c r="R928" s="1" t="s">
        <v>11</v>
      </c>
      <c r="S928" s="1"/>
      <c r="T928" s="1"/>
      <c r="U928" s="1"/>
      <c r="V928" s="1"/>
      <c r="W928" s="1" t="s">
        <v>4383</v>
      </c>
      <c r="X928" s="1"/>
      <c r="Y928" s="1"/>
      <c r="Z928" s="1"/>
      <c r="AA928" s="1"/>
      <c r="AB928" s="1"/>
      <c r="AC928" s="1"/>
      <c r="AD928" s="1"/>
      <c r="AE928" s="6" t="s">
        <v>4384</v>
      </c>
      <c r="AF928" s="1"/>
      <c r="AG928" s="1"/>
      <c r="AH928" s="1" t="s">
        <v>4385</v>
      </c>
      <c r="AI928" s="1"/>
      <c r="AJ928" s="1" t="s">
        <v>4386</v>
      </c>
      <c r="AK928" s="1" t="s">
        <v>3792</v>
      </c>
      <c r="AL928" s="1" t="s">
        <v>4387</v>
      </c>
      <c r="AM928" s="1" t="s">
        <v>4386</v>
      </c>
      <c r="AN928" s="1" t="s">
        <v>3792</v>
      </c>
      <c r="AO928" s="1" t="s">
        <v>4387</v>
      </c>
      <c r="AP928" s="2" t="s">
        <v>4388</v>
      </c>
      <c r="AQ928" s="2" t="s">
        <v>1153</v>
      </c>
      <c r="AR928" s="1" t="s">
        <v>286</v>
      </c>
      <c r="AS928" s="1" t="s">
        <v>4389</v>
      </c>
      <c r="AT928" s="1" t="s">
        <v>5</v>
      </c>
    </row>
    <row r="929" spans="1:46" hidden="1" x14ac:dyDescent="0.4">
      <c r="A929" s="7" t="s">
        <v>4390</v>
      </c>
      <c r="B929" s="11"/>
      <c r="C929" s="1" t="s">
        <v>93</v>
      </c>
      <c r="D929" s="1" t="s">
        <v>2827</v>
      </c>
      <c r="E929" s="1" t="s">
        <v>2078</v>
      </c>
      <c r="F929" s="1" t="s">
        <v>14</v>
      </c>
      <c r="G929" s="1" t="s">
        <v>1</v>
      </c>
      <c r="H929" s="1" t="s">
        <v>6</v>
      </c>
      <c r="I929" s="1" t="s">
        <v>2</v>
      </c>
      <c r="J929" s="1" t="s">
        <v>3</v>
      </c>
      <c r="K929" s="1" t="s">
        <v>4391</v>
      </c>
      <c r="L929" s="1" t="s">
        <v>4</v>
      </c>
      <c r="M929" s="1"/>
      <c r="N929" s="1" t="s">
        <v>4392</v>
      </c>
      <c r="O929" s="1" t="s">
        <v>4382</v>
      </c>
      <c r="P929" s="1"/>
      <c r="Q929" s="1"/>
      <c r="R929" s="1" t="s">
        <v>11</v>
      </c>
      <c r="S929" s="1"/>
      <c r="T929" s="1"/>
      <c r="U929" s="1"/>
      <c r="V929" s="1"/>
      <c r="W929" s="1" t="s">
        <v>4383</v>
      </c>
      <c r="X929" s="1"/>
      <c r="Y929" s="1"/>
      <c r="Z929" s="1"/>
      <c r="AA929" s="1"/>
      <c r="AB929" s="1"/>
      <c r="AC929" s="1"/>
      <c r="AD929" s="1"/>
      <c r="AE929" s="6" t="s">
        <v>4393</v>
      </c>
      <c r="AF929" s="1"/>
      <c r="AG929" s="1"/>
      <c r="AH929" s="1" t="s">
        <v>4394</v>
      </c>
      <c r="AI929" s="1"/>
      <c r="AJ929" s="1" t="s">
        <v>4386</v>
      </c>
      <c r="AK929" s="1" t="s">
        <v>3792</v>
      </c>
      <c r="AL929" s="1" t="s">
        <v>4387</v>
      </c>
      <c r="AM929" s="1" t="s">
        <v>4386</v>
      </c>
      <c r="AN929" s="1" t="s">
        <v>3792</v>
      </c>
      <c r="AO929" s="1" t="s">
        <v>4387</v>
      </c>
      <c r="AP929" s="2" t="s">
        <v>4395</v>
      </c>
      <c r="AQ929" s="2" t="s">
        <v>1153</v>
      </c>
      <c r="AR929" s="1" t="s">
        <v>286</v>
      </c>
      <c r="AS929" s="1" t="s">
        <v>4396</v>
      </c>
      <c r="AT929" s="1" t="s">
        <v>5</v>
      </c>
    </row>
    <row r="930" spans="1:46" hidden="1" x14ac:dyDescent="0.4">
      <c r="A930" s="7" t="s">
        <v>4397</v>
      </c>
      <c r="B930" s="11"/>
      <c r="C930" s="1" t="s">
        <v>4098</v>
      </c>
      <c r="D930" s="1" t="s">
        <v>3381</v>
      </c>
      <c r="E930" s="1" t="s">
        <v>2291</v>
      </c>
      <c r="F930" s="1" t="s">
        <v>3382</v>
      </c>
      <c r="G930" s="1" t="s">
        <v>1</v>
      </c>
      <c r="H930" s="1" t="s">
        <v>6</v>
      </c>
      <c r="I930" s="1" t="s">
        <v>2</v>
      </c>
      <c r="J930" s="1" t="s">
        <v>3</v>
      </c>
      <c r="K930" s="1" t="s">
        <v>4398</v>
      </c>
      <c r="L930" s="1" t="s">
        <v>4</v>
      </c>
      <c r="M930" s="1"/>
      <c r="N930" s="1" t="s">
        <v>4399</v>
      </c>
      <c r="O930" s="1" t="s">
        <v>4400</v>
      </c>
      <c r="P930" s="1"/>
      <c r="Q930" s="1"/>
      <c r="R930" s="1" t="s">
        <v>11</v>
      </c>
      <c r="S930" s="1"/>
      <c r="T930" s="1"/>
      <c r="U930" s="1"/>
      <c r="V930" s="1"/>
      <c r="W930" s="1" t="s">
        <v>4401</v>
      </c>
      <c r="X930" s="1"/>
      <c r="Y930" s="1"/>
      <c r="Z930" s="1"/>
      <c r="AA930" s="1"/>
      <c r="AB930" s="1"/>
      <c r="AC930" s="1"/>
      <c r="AD930" s="1"/>
      <c r="AE930" s="6" t="s">
        <v>4402</v>
      </c>
      <c r="AF930" s="1"/>
      <c r="AG930" s="1"/>
      <c r="AH930" s="1" t="s">
        <v>4403</v>
      </c>
      <c r="AI930" s="1"/>
      <c r="AJ930" s="1" t="s">
        <v>4404</v>
      </c>
      <c r="AK930" s="1" t="s">
        <v>4405</v>
      </c>
      <c r="AL930" s="1" t="s">
        <v>4406</v>
      </c>
      <c r="AM930" s="1" t="s">
        <v>4407</v>
      </c>
      <c r="AN930" s="1" t="s">
        <v>4405</v>
      </c>
      <c r="AO930" s="1" t="s">
        <v>4408</v>
      </c>
      <c r="AP930" s="2" t="s">
        <v>4409</v>
      </c>
      <c r="AQ930" s="2" t="s">
        <v>1153</v>
      </c>
      <c r="AR930" s="1" t="s">
        <v>286</v>
      </c>
      <c r="AS930" s="1"/>
      <c r="AT930" s="1" t="s">
        <v>5</v>
      </c>
    </row>
    <row r="931" spans="1:46" hidden="1" x14ac:dyDescent="0.4">
      <c r="A931" s="7" t="s">
        <v>4476</v>
      </c>
      <c r="B931" s="11"/>
      <c r="C931" s="1" t="s">
        <v>0</v>
      </c>
      <c r="D931" s="1" t="s">
        <v>2688</v>
      </c>
      <c r="E931" s="1" t="s">
        <v>3289</v>
      </c>
      <c r="F931" s="1" t="s">
        <v>2690</v>
      </c>
      <c r="G931" s="1" t="s">
        <v>1</v>
      </c>
      <c r="H931" s="1" t="s">
        <v>6</v>
      </c>
      <c r="I931" s="1" t="s">
        <v>2</v>
      </c>
      <c r="J931" s="1" t="s">
        <v>3</v>
      </c>
      <c r="K931" s="1" t="s">
        <v>4477</v>
      </c>
      <c r="L931" s="1" t="s">
        <v>4</v>
      </c>
      <c r="M931" s="1" t="s">
        <v>9</v>
      </c>
      <c r="N931" s="1" t="s">
        <v>4478</v>
      </c>
      <c r="O931" s="1" t="s">
        <v>4479</v>
      </c>
      <c r="P931" s="1"/>
      <c r="Q931" s="1"/>
      <c r="R931" s="1" t="s">
        <v>11</v>
      </c>
      <c r="S931" s="1"/>
      <c r="T931" s="1"/>
      <c r="U931" s="1"/>
      <c r="V931" s="1"/>
      <c r="W931" s="1" t="s">
        <v>4480</v>
      </c>
      <c r="X931" s="1" t="s">
        <v>4481</v>
      </c>
      <c r="Y931" s="1"/>
      <c r="Z931" s="1"/>
      <c r="AA931" s="1"/>
      <c r="AB931" s="1"/>
      <c r="AC931" s="1"/>
      <c r="AD931" s="1"/>
      <c r="AE931" s="6" t="s">
        <v>4482</v>
      </c>
      <c r="AF931" s="1"/>
      <c r="AG931" s="1"/>
      <c r="AH931" s="1" t="s">
        <v>4483</v>
      </c>
      <c r="AI931" s="1"/>
      <c r="AJ931" s="1" t="s">
        <v>63</v>
      </c>
      <c r="AK931" s="1" t="s">
        <v>279</v>
      </c>
      <c r="AL931" s="1"/>
      <c r="AM931" s="1" t="s">
        <v>4484</v>
      </c>
      <c r="AN931" s="1" t="s">
        <v>279</v>
      </c>
      <c r="AO931" s="1"/>
      <c r="AP931" s="2" t="s">
        <v>4485</v>
      </c>
      <c r="AQ931" s="2" t="s">
        <v>1153</v>
      </c>
      <c r="AR931" s="1" t="s">
        <v>286</v>
      </c>
      <c r="AS931" s="1"/>
      <c r="AT931" s="1" t="s">
        <v>5</v>
      </c>
    </row>
    <row r="932" spans="1:46" hidden="1" x14ac:dyDescent="0.4">
      <c r="A932" s="7" t="s">
        <v>4543</v>
      </c>
      <c r="B932" s="11"/>
      <c r="C932" s="1" t="s">
        <v>2491</v>
      </c>
      <c r="D932" s="1" t="s">
        <v>2157</v>
      </c>
      <c r="E932" s="1" t="s">
        <v>2078</v>
      </c>
      <c r="F932" s="1" t="s">
        <v>14</v>
      </c>
      <c r="G932" s="1" t="s">
        <v>1</v>
      </c>
      <c r="H932" s="1" t="s">
        <v>6</v>
      </c>
      <c r="I932" s="1" t="s">
        <v>2</v>
      </c>
      <c r="J932" s="1" t="s">
        <v>2492</v>
      </c>
      <c r="K932" s="1" t="s">
        <v>4544</v>
      </c>
      <c r="L932" s="1" t="s">
        <v>7</v>
      </c>
      <c r="M932" s="1"/>
      <c r="N932" s="1" t="s">
        <v>4545</v>
      </c>
      <c r="O932" s="1" t="s">
        <v>4546</v>
      </c>
      <c r="P932" s="1"/>
      <c r="Q932" s="1"/>
      <c r="R932" s="1" t="s">
        <v>11</v>
      </c>
      <c r="S932" s="1"/>
      <c r="T932" s="1"/>
      <c r="U932" s="1"/>
      <c r="V932" s="1"/>
      <c r="W932" s="1" t="s">
        <v>4547</v>
      </c>
      <c r="X932" s="1" t="s">
        <v>4548</v>
      </c>
      <c r="Y932" s="1"/>
      <c r="Z932" s="1"/>
      <c r="AA932" s="1"/>
      <c r="AB932" s="1"/>
      <c r="AC932" s="1"/>
      <c r="AD932" s="1"/>
      <c r="AE932" s="6" t="s">
        <v>4549</v>
      </c>
      <c r="AF932" s="1"/>
      <c r="AG932" s="1"/>
      <c r="AH932" s="1" t="s">
        <v>4550</v>
      </c>
      <c r="AI932" s="1"/>
      <c r="AJ932" s="1" t="s">
        <v>3481</v>
      </c>
      <c r="AK932" s="1" t="s">
        <v>3482</v>
      </c>
      <c r="AL932" s="1" t="s">
        <v>3483</v>
      </c>
      <c r="AM932" s="1" t="s">
        <v>4551</v>
      </c>
      <c r="AN932" s="1" t="s">
        <v>3482</v>
      </c>
      <c r="AO932" s="1" t="s">
        <v>4552</v>
      </c>
      <c r="AP932" s="2" t="s">
        <v>4553</v>
      </c>
      <c r="AQ932" s="2" t="s">
        <v>1153</v>
      </c>
      <c r="AR932" s="1" t="s">
        <v>286</v>
      </c>
      <c r="AS932" s="1"/>
      <c r="AT932" s="1" t="s">
        <v>5</v>
      </c>
    </row>
    <row r="933" spans="1:46" hidden="1" x14ac:dyDescent="0.4">
      <c r="A933" s="7" t="s">
        <v>4568</v>
      </c>
      <c r="B933" s="11"/>
      <c r="C933" s="1" t="s">
        <v>0</v>
      </c>
      <c r="D933" s="1" t="s">
        <v>2076</v>
      </c>
      <c r="E933" s="1" t="s">
        <v>2078</v>
      </c>
      <c r="F933" s="1" t="s">
        <v>14</v>
      </c>
      <c r="G933" s="1" t="s">
        <v>1</v>
      </c>
      <c r="H933" s="1" t="s">
        <v>6</v>
      </c>
      <c r="I933" s="1" t="s">
        <v>2</v>
      </c>
      <c r="J933" s="1" t="s">
        <v>3</v>
      </c>
      <c r="K933" s="1" t="s">
        <v>4569</v>
      </c>
      <c r="L933" s="1" t="s">
        <v>4</v>
      </c>
      <c r="M933" s="1" t="s">
        <v>9</v>
      </c>
      <c r="N933" s="1" t="s">
        <v>4570</v>
      </c>
      <c r="O933" s="1" t="s">
        <v>15</v>
      </c>
      <c r="P933" s="1"/>
      <c r="Q933" s="1"/>
      <c r="R933" s="1" t="s">
        <v>11</v>
      </c>
      <c r="S933" s="1"/>
      <c r="T933" s="1"/>
      <c r="U933" s="1"/>
      <c r="V933" s="1"/>
      <c r="W933" s="1"/>
      <c r="X933" s="1" t="s">
        <v>4571</v>
      </c>
      <c r="Y933" s="1"/>
      <c r="Z933" s="1"/>
      <c r="AA933" s="1"/>
      <c r="AB933" s="1"/>
      <c r="AC933" s="1"/>
      <c r="AD933" s="1"/>
      <c r="AE933" s="6" t="s">
        <v>4572</v>
      </c>
      <c r="AF933" s="1"/>
      <c r="AG933" s="1"/>
      <c r="AH933" s="1" t="s">
        <v>4573</v>
      </c>
      <c r="AI933" s="1"/>
      <c r="AJ933" s="1" t="s">
        <v>158</v>
      </c>
      <c r="AK933" s="1" t="s">
        <v>252</v>
      </c>
      <c r="AL933" s="1" t="s">
        <v>159</v>
      </c>
      <c r="AM933" s="1" t="s">
        <v>257</v>
      </c>
      <c r="AN933" s="1" t="s">
        <v>252</v>
      </c>
      <c r="AO933" s="1" t="s">
        <v>258</v>
      </c>
      <c r="AP933" s="2" t="s">
        <v>4574</v>
      </c>
      <c r="AQ933" s="2" t="s">
        <v>1153</v>
      </c>
      <c r="AR933" s="1" t="s">
        <v>286</v>
      </c>
      <c r="AS933" s="1"/>
      <c r="AT933" s="1" t="s">
        <v>5</v>
      </c>
    </row>
    <row r="934" spans="1:46" hidden="1" x14ac:dyDescent="0.4">
      <c r="A934" s="7" t="s">
        <v>4634</v>
      </c>
      <c r="B934" s="11"/>
      <c r="C934" s="1" t="s">
        <v>93</v>
      </c>
      <c r="D934" s="1" t="s">
        <v>2827</v>
      </c>
      <c r="E934" s="1" t="s">
        <v>2078</v>
      </c>
      <c r="F934" s="1" t="s">
        <v>14</v>
      </c>
      <c r="G934" s="1" t="s">
        <v>1</v>
      </c>
      <c r="H934" s="1" t="s">
        <v>6</v>
      </c>
      <c r="I934" s="1" t="s">
        <v>2</v>
      </c>
      <c r="J934" s="1" t="s">
        <v>3</v>
      </c>
      <c r="K934" s="1" t="s">
        <v>4635</v>
      </c>
      <c r="L934" s="1" t="s">
        <v>7</v>
      </c>
      <c r="M934" s="1"/>
      <c r="N934" s="1" t="s">
        <v>4636</v>
      </c>
      <c r="O934" s="1" t="s">
        <v>4628</v>
      </c>
      <c r="P934" s="1"/>
      <c r="Q934" s="1"/>
      <c r="R934" s="1" t="s">
        <v>11</v>
      </c>
      <c r="S934" s="1"/>
      <c r="T934" s="1"/>
      <c r="U934" s="1"/>
      <c r="V934" s="1"/>
      <c r="W934" s="1" t="s">
        <v>4629</v>
      </c>
      <c r="X934" s="1"/>
      <c r="Y934" s="1"/>
      <c r="Z934" s="1"/>
      <c r="AA934" s="1"/>
      <c r="AB934" s="1"/>
      <c r="AC934" s="1"/>
      <c r="AD934" s="1"/>
      <c r="AE934" s="6" t="s">
        <v>4631</v>
      </c>
      <c r="AF934" s="1"/>
      <c r="AG934" s="1"/>
      <c r="AH934" s="1" t="s">
        <v>4637</v>
      </c>
      <c r="AI934" s="1"/>
      <c r="AJ934" s="1" t="s">
        <v>4502</v>
      </c>
      <c r="AK934" s="1" t="s">
        <v>4503</v>
      </c>
      <c r="AL934" s="1" t="s">
        <v>4504</v>
      </c>
      <c r="AM934" s="1" t="s">
        <v>4502</v>
      </c>
      <c r="AN934" s="1" t="s">
        <v>4503</v>
      </c>
      <c r="AO934" s="1" t="s">
        <v>4504</v>
      </c>
      <c r="AP934" s="2" t="s">
        <v>4638</v>
      </c>
      <c r="AQ934" s="2" t="s">
        <v>1153</v>
      </c>
      <c r="AR934" s="1" t="s">
        <v>286</v>
      </c>
      <c r="AS934" s="1"/>
      <c r="AT934" s="1" t="s">
        <v>5</v>
      </c>
    </row>
    <row r="935" spans="1:46" hidden="1" x14ac:dyDescent="0.4">
      <c r="A935" s="7" t="s">
        <v>4660</v>
      </c>
      <c r="B935" s="11"/>
      <c r="C935" s="1" t="s">
        <v>0</v>
      </c>
      <c r="D935" s="1" t="s">
        <v>2157</v>
      </c>
      <c r="E935" s="1" t="s">
        <v>2078</v>
      </c>
      <c r="F935" s="1" t="s">
        <v>14</v>
      </c>
      <c r="G935" s="1" t="s">
        <v>1</v>
      </c>
      <c r="H935" s="1" t="s">
        <v>6</v>
      </c>
      <c r="I935" s="1" t="s">
        <v>2</v>
      </c>
      <c r="J935" s="1" t="s">
        <v>3</v>
      </c>
      <c r="K935" s="1" t="s">
        <v>4661</v>
      </c>
      <c r="L935" s="1" t="s">
        <v>7</v>
      </c>
      <c r="M935" s="1" t="s">
        <v>9</v>
      </c>
      <c r="N935" s="1" t="s">
        <v>4662</v>
      </c>
      <c r="O935" s="1" t="s">
        <v>4663</v>
      </c>
      <c r="P935" s="1"/>
      <c r="Q935" s="1"/>
      <c r="R935" s="1" t="s">
        <v>11</v>
      </c>
      <c r="S935" s="1"/>
      <c r="T935" s="1"/>
      <c r="U935" s="1"/>
      <c r="V935" s="1"/>
      <c r="W935" s="1"/>
      <c r="X935" s="1" t="s">
        <v>4664</v>
      </c>
      <c r="Y935" s="1"/>
      <c r="Z935" s="1"/>
      <c r="AA935" s="1"/>
      <c r="AB935" s="1"/>
      <c r="AC935" s="1"/>
      <c r="AD935" s="1"/>
      <c r="AE935" s="6" t="s">
        <v>4665</v>
      </c>
      <c r="AF935" s="1"/>
      <c r="AG935" s="1"/>
      <c r="AH935" s="1" t="s">
        <v>4666</v>
      </c>
      <c r="AI935" s="1"/>
      <c r="AJ935" s="1" t="s">
        <v>4667</v>
      </c>
      <c r="AK935" s="1" t="s">
        <v>4668</v>
      </c>
      <c r="AL935" s="1" t="s">
        <v>4669</v>
      </c>
      <c r="AM935" s="1" t="s">
        <v>4670</v>
      </c>
      <c r="AN935" s="1" t="s">
        <v>4668</v>
      </c>
      <c r="AO935" s="1" t="s">
        <v>4671</v>
      </c>
      <c r="AP935" s="2" t="s">
        <v>4672</v>
      </c>
      <c r="AQ935" s="2" t="s">
        <v>1153</v>
      </c>
      <c r="AR935" s="1" t="s">
        <v>286</v>
      </c>
      <c r="AS935" s="1"/>
      <c r="AT935" s="1" t="s">
        <v>5</v>
      </c>
    </row>
    <row r="936" spans="1:46" hidden="1" x14ac:dyDescent="0.4">
      <c r="A936" s="7" t="s">
        <v>4673</v>
      </c>
      <c r="B936" s="11"/>
      <c r="C936" s="1" t="s">
        <v>0</v>
      </c>
      <c r="D936" s="1" t="s">
        <v>2211</v>
      </c>
      <c r="E936" s="1" t="s">
        <v>2078</v>
      </c>
      <c r="F936" s="1" t="s">
        <v>14</v>
      </c>
      <c r="G936" s="1" t="s">
        <v>1</v>
      </c>
      <c r="H936" s="1" t="s">
        <v>6</v>
      </c>
      <c r="I936" s="1" t="s">
        <v>2</v>
      </c>
      <c r="J936" s="1" t="s">
        <v>3</v>
      </c>
      <c r="K936" s="1" t="s">
        <v>4674</v>
      </c>
      <c r="L936" s="1" t="s">
        <v>7</v>
      </c>
      <c r="M936" s="1" t="s">
        <v>9</v>
      </c>
      <c r="N936" s="1" t="s">
        <v>4675</v>
      </c>
      <c r="O936" s="1" t="s">
        <v>4676</v>
      </c>
      <c r="P936" s="1"/>
      <c r="Q936" s="1"/>
      <c r="R936" s="1" t="s">
        <v>11</v>
      </c>
      <c r="S936" s="1"/>
      <c r="T936" s="1"/>
      <c r="U936" s="1"/>
      <c r="V936" s="1"/>
      <c r="W936" s="1"/>
      <c r="X936" s="1"/>
      <c r="Y936" s="1"/>
      <c r="Z936" s="1"/>
      <c r="AA936" s="1"/>
      <c r="AB936" s="1"/>
      <c r="AC936" s="1"/>
      <c r="AD936" s="1"/>
      <c r="AE936" s="6" t="s">
        <v>4677</v>
      </c>
      <c r="AF936" s="1"/>
      <c r="AG936" s="1"/>
      <c r="AH936" s="1" t="s">
        <v>4678</v>
      </c>
      <c r="AI936" s="1"/>
      <c r="AJ936" s="1" t="s">
        <v>423</v>
      </c>
      <c r="AK936" s="1" t="s">
        <v>218</v>
      </c>
      <c r="AL936" s="1" t="s">
        <v>424</v>
      </c>
      <c r="AM936" s="1" t="s">
        <v>4679</v>
      </c>
      <c r="AN936" s="1" t="s">
        <v>218</v>
      </c>
      <c r="AO936" s="1" t="s">
        <v>4680</v>
      </c>
      <c r="AP936" s="2" t="s">
        <v>4681</v>
      </c>
      <c r="AQ936" s="2" t="s">
        <v>1153</v>
      </c>
      <c r="AR936" s="1" t="s">
        <v>286</v>
      </c>
      <c r="AS936" s="1"/>
      <c r="AT936" s="1" t="s">
        <v>5</v>
      </c>
    </row>
    <row r="937" spans="1:46" hidden="1" x14ac:dyDescent="0.4">
      <c r="A937" s="7" t="s">
        <v>4682</v>
      </c>
      <c r="B937" s="11"/>
      <c r="C937" s="1" t="s">
        <v>0</v>
      </c>
      <c r="D937" s="1" t="s">
        <v>2157</v>
      </c>
      <c r="E937" s="1" t="s">
        <v>2078</v>
      </c>
      <c r="F937" s="1" t="s">
        <v>14</v>
      </c>
      <c r="G937" s="1" t="s">
        <v>1</v>
      </c>
      <c r="H937" s="1" t="s">
        <v>6</v>
      </c>
      <c r="I937" s="1" t="s">
        <v>2</v>
      </c>
      <c r="J937" s="1" t="s">
        <v>3</v>
      </c>
      <c r="K937" s="1" t="s">
        <v>4683</v>
      </c>
      <c r="L937" s="1" t="s">
        <v>7</v>
      </c>
      <c r="M937" s="1" t="s">
        <v>9</v>
      </c>
      <c r="N937" s="1" t="s">
        <v>4684</v>
      </c>
      <c r="O937" s="1" t="s">
        <v>4676</v>
      </c>
      <c r="P937" s="1"/>
      <c r="Q937" s="1"/>
      <c r="R937" s="1" t="s">
        <v>11</v>
      </c>
      <c r="S937" s="1"/>
      <c r="T937" s="1"/>
      <c r="U937" s="1"/>
      <c r="V937" s="1"/>
      <c r="W937" s="1"/>
      <c r="X937" s="1" t="s">
        <v>4685</v>
      </c>
      <c r="Y937" s="1"/>
      <c r="Z937" s="1"/>
      <c r="AA937" s="1"/>
      <c r="AB937" s="1"/>
      <c r="AC937" s="1"/>
      <c r="AD937" s="1"/>
      <c r="AE937" s="6" t="s">
        <v>4686</v>
      </c>
      <c r="AF937" s="1"/>
      <c r="AG937" s="1"/>
      <c r="AH937" s="1" t="s">
        <v>4687</v>
      </c>
      <c r="AI937" s="1"/>
      <c r="AJ937" s="1" t="s">
        <v>423</v>
      </c>
      <c r="AK937" s="1" t="s">
        <v>218</v>
      </c>
      <c r="AL937" s="1" t="s">
        <v>424</v>
      </c>
      <c r="AM937" s="1" t="s">
        <v>4679</v>
      </c>
      <c r="AN937" s="1" t="s">
        <v>218</v>
      </c>
      <c r="AO937" s="1" t="s">
        <v>4680</v>
      </c>
      <c r="AP937" s="2" t="s">
        <v>4681</v>
      </c>
      <c r="AQ937" s="2" t="s">
        <v>1153</v>
      </c>
      <c r="AR937" s="1" t="s">
        <v>286</v>
      </c>
      <c r="AS937" s="1"/>
      <c r="AT937" s="1" t="s">
        <v>5</v>
      </c>
    </row>
    <row r="938" spans="1:46" hidden="1" x14ac:dyDescent="0.4">
      <c r="A938" s="7" t="s">
        <v>4722</v>
      </c>
      <c r="B938" s="11"/>
      <c r="C938" s="1" t="s">
        <v>93</v>
      </c>
      <c r="D938" s="1" t="s">
        <v>2220</v>
      </c>
      <c r="E938" s="1" t="s">
        <v>2078</v>
      </c>
      <c r="F938" s="1" t="s">
        <v>14</v>
      </c>
      <c r="G938" s="1" t="s">
        <v>1</v>
      </c>
      <c r="H938" s="1" t="s">
        <v>6</v>
      </c>
      <c r="I938" s="1" t="s">
        <v>2</v>
      </c>
      <c r="J938" s="1" t="s">
        <v>3</v>
      </c>
      <c r="K938" s="1" t="s">
        <v>4723</v>
      </c>
      <c r="L938" s="1" t="s">
        <v>4</v>
      </c>
      <c r="M938" s="1" t="s">
        <v>9</v>
      </c>
      <c r="N938" s="1" t="s">
        <v>4724</v>
      </c>
      <c r="O938" s="1" t="s">
        <v>4725</v>
      </c>
      <c r="P938" s="1"/>
      <c r="Q938" s="1"/>
      <c r="R938" s="1" t="s">
        <v>11</v>
      </c>
      <c r="S938" s="1"/>
      <c r="T938" s="1"/>
      <c r="U938" s="1"/>
      <c r="V938" s="1"/>
      <c r="W938" s="1"/>
      <c r="X938" s="1" t="s">
        <v>4726</v>
      </c>
      <c r="Y938" s="1"/>
      <c r="Z938" s="1"/>
      <c r="AA938" s="1"/>
      <c r="AB938" s="1"/>
      <c r="AC938" s="1"/>
      <c r="AD938" s="1"/>
      <c r="AE938" s="6" t="s">
        <v>4727</v>
      </c>
      <c r="AF938" s="1"/>
      <c r="AG938" s="1"/>
      <c r="AH938" s="1" t="s">
        <v>4728</v>
      </c>
      <c r="AI938" s="1"/>
      <c r="AJ938" s="1" t="s">
        <v>3791</v>
      </c>
      <c r="AK938" s="1" t="s">
        <v>3792</v>
      </c>
      <c r="AL938" s="1" t="s">
        <v>3793</v>
      </c>
      <c r="AM938" s="1" t="s">
        <v>3791</v>
      </c>
      <c r="AN938" s="1" t="s">
        <v>3792</v>
      </c>
      <c r="AO938" s="1" t="s">
        <v>3793</v>
      </c>
      <c r="AP938" s="2" t="s">
        <v>4729</v>
      </c>
      <c r="AQ938" s="2" t="s">
        <v>1153</v>
      </c>
      <c r="AR938" s="1" t="s">
        <v>286</v>
      </c>
      <c r="AS938" s="1"/>
      <c r="AT938" s="1" t="s">
        <v>5</v>
      </c>
    </row>
    <row r="939" spans="1:46" hidden="1" x14ac:dyDescent="0.4">
      <c r="A939" s="7" t="s">
        <v>4730</v>
      </c>
      <c r="B939" s="11"/>
      <c r="C939" s="1" t="s">
        <v>2494</v>
      </c>
      <c r="D939" s="1" t="s">
        <v>2827</v>
      </c>
      <c r="E939" s="1" t="s">
        <v>2078</v>
      </c>
      <c r="F939" s="1" t="s">
        <v>14</v>
      </c>
      <c r="G939" s="1" t="s">
        <v>1</v>
      </c>
      <c r="H939" s="1" t="s">
        <v>6</v>
      </c>
      <c r="I939" s="1" t="s">
        <v>2</v>
      </c>
      <c r="J939" s="1" t="s">
        <v>2450</v>
      </c>
      <c r="K939" s="1" t="s">
        <v>4731</v>
      </c>
      <c r="L939" s="1" t="s">
        <v>7</v>
      </c>
      <c r="M939" s="1" t="s">
        <v>9</v>
      </c>
      <c r="N939" s="1" t="s">
        <v>4732</v>
      </c>
      <c r="O939" s="1" t="s">
        <v>4733</v>
      </c>
      <c r="P939" s="1"/>
      <c r="Q939" s="1"/>
      <c r="R939" s="1" t="s">
        <v>11</v>
      </c>
      <c r="S939" s="1"/>
      <c r="T939" s="1"/>
      <c r="U939" s="1"/>
      <c r="V939" s="1"/>
      <c r="W939" s="1" t="s">
        <v>4734</v>
      </c>
      <c r="X939" s="1"/>
      <c r="Y939" s="1"/>
      <c r="Z939" s="1"/>
      <c r="AA939" s="1"/>
      <c r="AB939" s="1"/>
      <c r="AC939" s="1"/>
      <c r="AD939" s="1"/>
      <c r="AE939" s="6" t="s">
        <v>4735</v>
      </c>
      <c r="AF939" s="1"/>
      <c r="AG939" s="1"/>
      <c r="AH939" s="1" t="s">
        <v>4736</v>
      </c>
      <c r="AI939" s="1"/>
      <c r="AJ939" s="1" t="s">
        <v>4737</v>
      </c>
      <c r="AK939" s="1" t="s">
        <v>4738</v>
      </c>
      <c r="AL939" s="1" t="s">
        <v>4739</v>
      </c>
      <c r="AM939" s="1" t="s">
        <v>4737</v>
      </c>
      <c r="AN939" s="1" t="s">
        <v>4738</v>
      </c>
      <c r="AO939" s="1" t="s">
        <v>4739</v>
      </c>
      <c r="AP939" s="2" t="s">
        <v>4740</v>
      </c>
      <c r="AQ939" s="2" t="s">
        <v>1153</v>
      </c>
      <c r="AR939" s="1" t="s">
        <v>286</v>
      </c>
      <c r="AS939" s="1"/>
      <c r="AT939" s="1" t="s">
        <v>5</v>
      </c>
    </row>
    <row r="940" spans="1:46" hidden="1" x14ac:dyDescent="0.4">
      <c r="A940" s="7" t="s">
        <v>4749</v>
      </c>
      <c r="B940" s="11"/>
      <c r="C940" s="1" t="s">
        <v>0</v>
      </c>
      <c r="D940" s="1" t="s">
        <v>2076</v>
      </c>
      <c r="E940" s="1" t="s">
        <v>13</v>
      </c>
      <c r="F940" s="1" t="s">
        <v>14</v>
      </c>
      <c r="G940" s="1" t="s">
        <v>1</v>
      </c>
      <c r="H940" s="1" t="s">
        <v>6</v>
      </c>
      <c r="I940" s="1" t="s">
        <v>2</v>
      </c>
      <c r="J940" s="1" t="s">
        <v>3</v>
      </c>
      <c r="K940" s="1" t="s">
        <v>4750</v>
      </c>
      <c r="L940" s="1" t="s">
        <v>4</v>
      </c>
      <c r="M940" s="1" t="s">
        <v>9</v>
      </c>
      <c r="N940" s="1" t="s">
        <v>4751</v>
      </c>
      <c r="O940" s="1" t="s">
        <v>3399</v>
      </c>
      <c r="P940" s="1"/>
      <c r="Q940" s="1"/>
      <c r="R940" s="1" t="s">
        <v>11</v>
      </c>
      <c r="S940" s="1"/>
      <c r="T940" s="1"/>
      <c r="U940" s="1"/>
      <c r="V940" s="1"/>
      <c r="W940" s="1"/>
      <c r="X940" s="1" t="s">
        <v>4752</v>
      </c>
      <c r="Y940" s="1"/>
      <c r="Z940" s="1"/>
      <c r="AA940" s="1"/>
      <c r="AB940" s="1"/>
      <c r="AC940" s="1"/>
      <c r="AD940" s="1"/>
      <c r="AE940" s="6" t="s">
        <v>4753</v>
      </c>
      <c r="AF940" s="1"/>
      <c r="AG940" s="1"/>
      <c r="AH940" s="1" t="s">
        <v>4754</v>
      </c>
      <c r="AI940" s="1"/>
      <c r="AJ940" s="1" t="s">
        <v>4755</v>
      </c>
      <c r="AK940" s="1" t="s">
        <v>3432</v>
      </c>
      <c r="AL940" s="1"/>
      <c r="AM940" s="1" t="s">
        <v>4756</v>
      </c>
      <c r="AN940" s="1" t="s">
        <v>3432</v>
      </c>
      <c r="AO940" s="1" t="s">
        <v>4757</v>
      </c>
      <c r="AP940" s="2" t="s">
        <v>4758</v>
      </c>
      <c r="AQ940" s="2" t="s">
        <v>1153</v>
      </c>
      <c r="AR940" s="1" t="s">
        <v>286</v>
      </c>
      <c r="AS940" s="1"/>
      <c r="AT940" s="1" t="s">
        <v>5</v>
      </c>
    </row>
    <row r="941" spans="1:46" hidden="1" x14ac:dyDescent="0.4">
      <c r="A941" s="7" t="s">
        <v>4829</v>
      </c>
      <c r="B941" s="11"/>
      <c r="C941" s="1" t="s">
        <v>3626</v>
      </c>
      <c r="D941" s="1" t="s">
        <v>2290</v>
      </c>
      <c r="E941" s="1" t="s">
        <v>2291</v>
      </c>
      <c r="F941" s="1" t="s">
        <v>14</v>
      </c>
      <c r="G941" s="1" t="s">
        <v>1</v>
      </c>
      <c r="H941" s="1" t="s">
        <v>6</v>
      </c>
      <c r="I941" s="1" t="s">
        <v>2</v>
      </c>
      <c r="J941" s="1" t="s">
        <v>3514</v>
      </c>
      <c r="K941" s="1" t="s">
        <v>4830</v>
      </c>
      <c r="L941" s="1" t="s">
        <v>7</v>
      </c>
      <c r="M941" s="1" t="s">
        <v>9</v>
      </c>
      <c r="N941" s="1" t="s">
        <v>4831</v>
      </c>
      <c r="O941" s="1" t="s">
        <v>3756</v>
      </c>
      <c r="P941" s="1"/>
      <c r="Q941" s="1"/>
      <c r="R941" s="1" t="s">
        <v>11</v>
      </c>
      <c r="S941" s="1"/>
      <c r="T941" s="1"/>
      <c r="U941" s="1"/>
      <c r="V941" s="1"/>
      <c r="W941" s="1"/>
      <c r="X941" s="1"/>
      <c r="Y941" s="1"/>
      <c r="Z941" s="1"/>
      <c r="AA941" s="1"/>
      <c r="AB941" s="1"/>
      <c r="AC941" s="1"/>
      <c r="AD941" s="1"/>
      <c r="AE941" s="6" t="s">
        <v>4832</v>
      </c>
      <c r="AF941" s="1"/>
      <c r="AG941" s="1"/>
      <c r="AH941" s="1" t="s">
        <v>4833</v>
      </c>
      <c r="AI941" s="1"/>
      <c r="AJ941" s="1" t="s">
        <v>4834</v>
      </c>
      <c r="AK941" s="1" t="s">
        <v>4835</v>
      </c>
      <c r="AL941" s="1"/>
      <c r="AM941" s="1" t="s">
        <v>4834</v>
      </c>
      <c r="AN941" s="1" t="s">
        <v>4835</v>
      </c>
      <c r="AO941" s="1"/>
      <c r="AP941" s="2" t="s">
        <v>4836</v>
      </c>
      <c r="AQ941" s="2" t="s">
        <v>1153</v>
      </c>
      <c r="AR941" s="1" t="s">
        <v>287</v>
      </c>
      <c r="AS941" s="1"/>
      <c r="AT941" s="1" t="s">
        <v>5</v>
      </c>
    </row>
    <row r="942" spans="1:46" hidden="1" x14ac:dyDescent="0.4">
      <c r="A942" s="7" t="s">
        <v>4864</v>
      </c>
      <c r="B942" s="11"/>
      <c r="C942" s="1" t="s">
        <v>2675</v>
      </c>
      <c r="D942" s="1" t="s">
        <v>2827</v>
      </c>
      <c r="E942" s="1" t="s">
        <v>2078</v>
      </c>
      <c r="F942" s="1" t="s">
        <v>14</v>
      </c>
      <c r="G942" s="1" t="s">
        <v>1</v>
      </c>
      <c r="H942" s="1" t="s">
        <v>6</v>
      </c>
      <c r="I942" s="1" t="s">
        <v>2</v>
      </c>
      <c r="J942" s="1" t="s">
        <v>2450</v>
      </c>
      <c r="K942" s="1" t="s">
        <v>4865</v>
      </c>
      <c r="L942" s="1" t="s">
        <v>4</v>
      </c>
      <c r="M942" s="1"/>
      <c r="N942" s="1" t="s">
        <v>4866</v>
      </c>
      <c r="O942" s="1" t="s">
        <v>4867</v>
      </c>
      <c r="P942" s="1"/>
      <c r="Q942" s="1"/>
      <c r="R942" s="1" t="s">
        <v>11</v>
      </c>
      <c r="S942" s="1"/>
      <c r="T942" s="1"/>
      <c r="U942" s="1"/>
      <c r="V942" s="1"/>
      <c r="W942" s="1"/>
      <c r="X942" s="1" t="s">
        <v>4868</v>
      </c>
      <c r="Y942" s="1"/>
      <c r="Z942" s="1"/>
      <c r="AA942" s="1"/>
      <c r="AB942" s="1"/>
      <c r="AC942" s="1"/>
      <c r="AD942" s="1"/>
      <c r="AE942" s="6" t="s">
        <v>4869</v>
      </c>
      <c r="AF942" s="1"/>
      <c r="AG942" s="1"/>
      <c r="AH942" s="1" t="s">
        <v>4870</v>
      </c>
      <c r="AI942" s="1"/>
      <c r="AJ942" s="1" t="s">
        <v>4871</v>
      </c>
      <c r="AK942" s="1" t="s">
        <v>4872</v>
      </c>
      <c r="AL942" s="1" t="s">
        <v>4873</v>
      </c>
      <c r="AM942" s="1" t="s">
        <v>4874</v>
      </c>
      <c r="AN942" s="1" t="s">
        <v>4872</v>
      </c>
      <c r="AO942" s="1" t="s">
        <v>4875</v>
      </c>
      <c r="AP942" s="2" t="s">
        <v>4876</v>
      </c>
      <c r="AQ942" s="2" t="s">
        <v>1153</v>
      </c>
      <c r="AR942" s="1" t="s">
        <v>286</v>
      </c>
      <c r="AS942" s="1"/>
      <c r="AT942" s="1" t="s">
        <v>5</v>
      </c>
    </row>
    <row r="943" spans="1:46" hidden="1" x14ac:dyDescent="0.4">
      <c r="A943" s="7" t="s">
        <v>4892</v>
      </c>
      <c r="B943" s="11"/>
      <c r="C943" s="1" t="s">
        <v>4098</v>
      </c>
      <c r="D943" s="1" t="s">
        <v>2211</v>
      </c>
      <c r="E943" s="1" t="s">
        <v>2078</v>
      </c>
      <c r="F943" s="1" t="s">
        <v>14</v>
      </c>
      <c r="G943" s="1" t="s">
        <v>1</v>
      </c>
      <c r="H943" s="1" t="s">
        <v>6</v>
      </c>
      <c r="I943" s="1" t="s">
        <v>2</v>
      </c>
      <c r="J943" s="1" t="s">
        <v>3</v>
      </c>
      <c r="K943" s="1" t="s">
        <v>4893</v>
      </c>
      <c r="L943" s="1" t="s">
        <v>7</v>
      </c>
      <c r="M943" s="1"/>
      <c r="N943" s="1" t="s">
        <v>4894</v>
      </c>
      <c r="O943" s="1" t="s">
        <v>4895</v>
      </c>
      <c r="P943" s="1"/>
      <c r="Q943" s="1"/>
      <c r="R943" s="1" t="s">
        <v>11</v>
      </c>
      <c r="S943" s="1"/>
      <c r="T943" s="1"/>
      <c r="U943" s="1"/>
      <c r="V943" s="1"/>
      <c r="W943" s="1"/>
      <c r="X943" s="1" t="s">
        <v>4896</v>
      </c>
      <c r="Y943" s="1"/>
      <c r="Z943" s="1"/>
      <c r="AA943" s="1"/>
      <c r="AB943" s="1"/>
      <c r="AC943" s="1"/>
      <c r="AD943" s="1"/>
      <c r="AE943" s="6" t="s">
        <v>4897</v>
      </c>
      <c r="AF943" s="1"/>
      <c r="AG943" s="1"/>
      <c r="AH943" s="1" t="s">
        <v>4898</v>
      </c>
      <c r="AI943" s="1"/>
      <c r="AJ943" s="1" t="s">
        <v>4899</v>
      </c>
      <c r="AK943" s="1" t="s">
        <v>4900</v>
      </c>
      <c r="AL943" s="1" t="s">
        <v>4901</v>
      </c>
      <c r="AM943" s="1" t="s">
        <v>4899</v>
      </c>
      <c r="AN943" s="1" t="s">
        <v>4900</v>
      </c>
      <c r="AO943" s="1" t="s">
        <v>4901</v>
      </c>
      <c r="AP943" s="2" t="s">
        <v>4902</v>
      </c>
      <c r="AQ943" s="2" t="s">
        <v>1153</v>
      </c>
      <c r="AR943" s="1" t="s">
        <v>286</v>
      </c>
      <c r="AS943" s="1" t="s">
        <v>4903</v>
      </c>
      <c r="AT943" s="1" t="s">
        <v>5</v>
      </c>
    </row>
    <row r="944" spans="1:46" hidden="1" x14ac:dyDescent="0.4">
      <c r="A944" s="7" t="s">
        <v>4912</v>
      </c>
      <c r="B944" s="11"/>
      <c r="C944" s="1" t="s">
        <v>2841</v>
      </c>
      <c r="D944" s="1" t="s">
        <v>2076</v>
      </c>
      <c r="E944" s="1" t="s">
        <v>2078</v>
      </c>
      <c r="F944" s="1" t="s">
        <v>14</v>
      </c>
      <c r="G944" s="1" t="s">
        <v>1</v>
      </c>
      <c r="H944" s="1" t="s">
        <v>6</v>
      </c>
      <c r="I944" s="1" t="s">
        <v>2</v>
      </c>
      <c r="J944" s="1" t="s">
        <v>2842</v>
      </c>
      <c r="K944" s="1" t="s">
        <v>4913</v>
      </c>
      <c r="L944" s="1" t="s">
        <v>7</v>
      </c>
      <c r="M944" s="1"/>
      <c r="N944" s="1" t="s">
        <v>4914</v>
      </c>
      <c r="O944" s="1" t="s">
        <v>2771</v>
      </c>
      <c r="P944" s="1"/>
      <c r="Q944" s="1"/>
      <c r="R944" s="1" t="s">
        <v>11</v>
      </c>
      <c r="S944" s="1"/>
      <c r="T944" s="1"/>
      <c r="U944" s="1"/>
      <c r="V944" s="1"/>
      <c r="W944" s="1" t="s">
        <v>4915</v>
      </c>
      <c r="X944" s="1" t="s">
        <v>4916</v>
      </c>
      <c r="Y944" s="1"/>
      <c r="Z944" s="1"/>
      <c r="AA944" s="1"/>
      <c r="AB944" s="1"/>
      <c r="AC944" s="1"/>
      <c r="AD944" s="1"/>
      <c r="AE944" s="6" t="s">
        <v>4917</v>
      </c>
      <c r="AF944" s="1"/>
      <c r="AG944" s="1"/>
      <c r="AH944" s="1" t="s">
        <v>4918</v>
      </c>
      <c r="AI944" s="1" t="s">
        <v>4919</v>
      </c>
      <c r="AJ944" s="1" t="s">
        <v>4327</v>
      </c>
      <c r="AK944" s="1" t="s">
        <v>3471</v>
      </c>
      <c r="AL944" s="1" t="s">
        <v>4328</v>
      </c>
      <c r="AM944" s="1" t="s">
        <v>4327</v>
      </c>
      <c r="AN944" s="1" t="s">
        <v>3471</v>
      </c>
      <c r="AO944" s="1" t="s">
        <v>4328</v>
      </c>
      <c r="AP944" s="2" t="s">
        <v>4920</v>
      </c>
      <c r="AQ944" s="2" t="s">
        <v>1153</v>
      </c>
      <c r="AR944" s="1" t="s">
        <v>286</v>
      </c>
      <c r="AS944" s="1"/>
      <c r="AT944" s="1" t="s">
        <v>5</v>
      </c>
    </row>
    <row r="945" spans="1:46" hidden="1" x14ac:dyDescent="0.4">
      <c r="A945" s="7" t="s">
        <v>4941</v>
      </c>
      <c r="B945" s="11"/>
      <c r="C945" s="1" t="s">
        <v>0</v>
      </c>
      <c r="D945" s="1" t="s">
        <v>2211</v>
      </c>
      <c r="E945" s="1" t="s">
        <v>2078</v>
      </c>
      <c r="F945" s="1" t="s">
        <v>14</v>
      </c>
      <c r="G945" s="1" t="s">
        <v>1</v>
      </c>
      <c r="H945" s="1" t="s">
        <v>6</v>
      </c>
      <c r="I945" s="1" t="s">
        <v>2</v>
      </c>
      <c r="J945" s="1" t="s">
        <v>3</v>
      </c>
      <c r="K945" s="1" t="s">
        <v>4942</v>
      </c>
      <c r="L945" s="1" t="s">
        <v>7</v>
      </c>
      <c r="M945" s="1" t="s">
        <v>9</v>
      </c>
      <c r="N945" s="1" t="s">
        <v>4943</v>
      </c>
      <c r="O945" s="1" t="s">
        <v>4944</v>
      </c>
      <c r="P945" s="1"/>
      <c r="Q945" s="1"/>
      <c r="R945" s="1" t="s">
        <v>11</v>
      </c>
      <c r="S945" s="1"/>
      <c r="T945" s="1"/>
      <c r="U945" s="1"/>
      <c r="V945" s="1"/>
      <c r="W945" s="1"/>
      <c r="X945" s="1"/>
      <c r="Y945" s="1"/>
      <c r="Z945" s="1"/>
      <c r="AA945" s="1"/>
      <c r="AB945" s="1"/>
      <c r="AC945" s="1"/>
      <c r="AD945" s="1"/>
      <c r="AE945" s="6" t="s">
        <v>4945</v>
      </c>
      <c r="AF945" s="1"/>
      <c r="AG945" s="1"/>
      <c r="AH945" s="1" t="s">
        <v>4946</v>
      </c>
      <c r="AI945" s="1"/>
      <c r="AJ945" s="1" t="s">
        <v>4282</v>
      </c>
      <c r="AK945" s="1" t="s">
        <v>4283</v>
      </c>
      <c r="AL945" s="1"/>
      <c r="AM945" s="1" t="s">
        <v>4947</v>
      </c>
      <c r="AN945" s="1" t="s">
        <v>4283</v>
      </c>
      <c r="AO945" s="1" t="s">
        <v>4948</v>
      </c>
      <c r="AP945" s="2" t="s">
        <v>4949</v>
      </c>
      <c r="AQ945" s="2" t="s">
        <v>1153</v>
      </c>
      <c r="AR945" s="1" t="s">
        <v>286</v>
      </c>
      <c r="AS945" s="1"/>
      <c r="AT945" s="1" t="s">
        <v>5</v>
      </c>
    </row>
    <row r="946" spans="1:46" hidden="1" x14ac:dyDescent="0.4">
      <c r="A946" s="7" t="s">
        <v>4997</v>
      </c>
      <c r="B946" s="11"/>
      <c r="C946" s="1" t="s">
        <v>0</v>
      </c>
      <c r="D946" s="1" t="s">
        <v>2290</v>
      </c>
      <c r="E946" s="1" t="s">
        <v>2291</v>
      </c>
      <c r="F946" s="1" t="s">
        <v>14</v>
      </c>
      <c r="G946" s="1" t="s">
        <v>1</v>
      </c>
      <c r="H946" s="1" t="s">
        <v>6</v>
      </c>
      <c r="I946" s="1" t="s">
        <v>2</v>
      </c>
      <c r="J946" s="1" t="s">
        <v>3</v>
      </c>
      <c r="K946" s="1" t="s">
        <v>4998</v>
      </c>
      <c r="L946" s="1" t="s">
        <v>7</v>
      </c>
      <c r="M946" s="1" t="s">
        <v>9</v>
      </c>
      <c r="N946" s="1" t="s">
        <v>4999</v>
      </c>
      <c r="O946" s="1" t="s">
        <v>3426</v>
      </c>
      <c r="P946" s="1"/>
      <c r="Q946" s="1"/>
      <c r="R946" s="1" t="s">
        <v>11</v>
      </c>
      <c r="S946" s="1"/>
      <c r="T946" s="1"/>
      <c r="U946" s="1"/>
      <c r="V946" s="1"/>
      <c r="W946" s="1"/>
      <c r="X946" s="1"/>
      <c r="Y946" s="1"/>
      <c r="Z946" s="1"/>
      <c r="AA946" s="1"/>
      <c r="AB946" s="1"/>
      <c r="AC946" s="1"/>
      <c r="AD946" s="1"/>
      <c r="AE946" s="6" t="s">
        <v>5000</v>
      </c>
      <c r="AF946" s="1"/>
      <c r="AG946" s="1"/>
      <c r="AH946" s="1" t="s">
        <v>5001</v>
      </c>
      <c r="AI946" s="1"/>
      <c r="AJ946" s="1" t="s">
        <v>1214</v>
      </c>
      <c r="AK946" s="1" t="s">
        <v>4937</v>
      </c>
      <c r="AL946" s="1"/>
      <c r="AM946" s="1" t="s">
        <v>5002</v>
      </c>
      <c r="AN946" s="1" t="s">
        <v>4937</v>
      </c>
      <c r="AO946" s="1" t="s">
        <v>5003</v>
      </c>
      <c r="AP946" s="2" t="s">
        <v>5004</v>
      </c>
      <c r="AQ946" s="2" t="s">
        <v>1153</v>
      </c>
      <c r="AR946" s="1" t="s">
        <v>287</v>
      </c>
      <c r="AS946" s="1"/>
      <c r="AT946" s="1" t="s">
        <v>5</v>
      </c>
    </row>
    <row r="947" spans="1:46" hidden="1" x14ac:dyDescent="0.4">
      <c r="A947" s="7" t="s">
        <v>5080</v>
      </c>
      <c r="B947" s="11"/>
      <c r="C947" s="1" t="s">
        <v>4980</v>
      </c>
      <c r="D947" s="1" t="s">
        <v>2157</v>
      </c>
      <c r="E947" s="1" t="s">
        <v>2078</v>
      </c>
      <c r="F947" s="1" t="s">
        <v>14</v>
      </c>
      <c r="G947" s="1" t="s">
        <v>1</v>
      </c>
      <c r="H947" s="1" t="s">
        <v>6</v>
      </c>
      <c r="I947" s="1" t="s">
        <v>2</v>
      </c>
      <c r="J947" s="1" t="s">
        <v>4519</v>
      </c>
      <c r="K947" s="1" t="s">
        <v>5081</v>
      </c>
      <c r="L947" s="1" t="s">
        <v>7</v>
      </c>
      <c r="M947" s="1"/>
      <c r="N947" s="1" t="s">
        <v>5082</v>
      </c>
      <c r="O947" s="1" t="s">
        <v>4983</v>
      </c>
      <c r="P947" s="1"/>
      <c r="Q947" s="1"/>
      <c r="R947" s="1" t="s">
        <v>11</v>
      </c>
      <c r="S947" s="1"/>
      <c r="T947" s="1"/>
      <c r="U947" s="1"/>
      <c r="V947" s="1"/>
      <c r="W947" s="1" t="s">
        <v>5083</v>
      </c>
      <c r="X947" s="1" t="s">
        <v>4984</v>
      </c>
      <c r="Y947" s="1"/>
      <c r="Z947" s="1"/>
      <c r="AA947" s="1"/>
      <c r="AB947" s="1"/>
      <c r="AC947" s="1"/>
      <c r="AD947" s="1"/>
      <c r="AE947" s="6" t="s">
        <v>4986</v>
      </c>
      <c r="AF947" s="1"/>
      <c r="AG947" s="1"/>
      <c r="AH947" s="1" t="s">
        <v>5084</v>
      </c>
      <c r="AI947" s="1"/>
      <c r="AJ947" s="1" t="s">
        <v>4988</v>
      </c>
      <c r="AK947" s="1" t="s">
        <v>3521</v>
      </c>
      <c r="AL947" s="1" t="s">
        <v>4989</v>
      </c>
      <c r="AM947" s="1" t="s">
        <v>4988</v>
      </c>
      <c r="AN947" s="1" t="s">
        <v>3521</v>
      </c>
      <c r="AO947" s="1" t="s">
        <v>4989</v>
      </c>
      <c r="AP947" s="2" t="s">
        <v>5085</v>
      </c>
      <c r="AQ947" s="2" t="s">
        <v>1153</v>
      </c>
      <c r="AR947" s="1" t="s">
        <v>286</v>
      </c>
      <c r="AS947" s="1"/>
      <c r="AT947" s="1" t="s">
        <v>5</v>
      </c>
    </row>
    <row r="948" spans="1:46" hidden="1" x14ac:dyDescent="0.4">
      <c r="A948" s="7" t="s">
        <v>5086</v>
      </c>
      <c r="B948" s="11"/>
      <c r="C948" s="1" t="s">
        <v>4980</v>
      </c>
      <c r="D948" s="1" t="s">
        <v>2157</v>
      </c>
      <c r="E948" s="1" t="s">
        <v>2078</v>
      </c>
      <c r="F948" s="1" t="s">
        <v>14</v>
      </c>
      <c r="G948" s="1" t="s">
        <v>1</v>
      </c>
      <c r="H948" s="1" t="s">
        <v>6</v>
      </c>
      <c r="I948" s="1" t="s">
        <v>2</v>
      </c>
      <c r="J948" s="1" t="s">
        <v>4519</v>
      </c>
      <c r="K948" s="1" t="s">
        <v>5087</v>
      </c>
      <c r="L948" s="1" t="s">
        <v>7</v>
      </c>
      <c r="M948" s="1"/>
      <c r="N948" s="1" t="s">
        <v>5088</v>
      </c>
      <c r="O948" s="1" t="s">
        <v>4983</v>
      </c>
      <c r="P948" s="1"/>
      <c r="Q948" s="1"/>
      <c r="R948" s="1" t="s">
        <v>11</v>
      </c>
      <c r="S948" s="1"/>
      <c r="T948" s="1"/>
      <c r="U948" s="1"/>
      <c r="V948" s="1"/>
      <c r="W948" s="1" t="s">
        <v>5083</v>
      </c>
      <c r="X948" s="1" t="s">
        <v>4984</v>
      </c>
      <c r="Y948" s="1"/>
      <c r="Z948" s="1"/>
      <c r="AA948" s="1"/>
      <c r="AB948" s="1"/>
      <c r="AC948" s="1"/>
      <c r="AD948" s="1"/>
      <c r="AE948" s="6" t="s">
        <v>4986</v>
      </c>
      <c r="AF948" s="1"/>
      <c r="AG948" s="1"/>
      <c r="AH948" s="1" t="s">
        <v>5089</v>
      </c>
      <c r="AI948" s="1"/>
      <c r="AJ948" s="1" t="s">
        <v>4988</v>
      </c>
      <c r="AK948" s="1" t="s">
        <v>3521</v>
      </c>
      <c r="AL948" s="1" t="s">
        <v>4989</v>
      </c>
      <c r="AM948" s="1" t="s">
        <v>4988</v>
      </c>
      <c r="AN948" s="1" t="s">
        <v>3521</v>
      </c>
      <c r="AO948" s="1" t="s">
        <v>4989</v>
      </c>
      <c r="AP948" s="2" t="s">
        <v>5090</v>
      </c>
      <c r="AQ948" s="2" t="s">
        <v>1153</v>
      </c>
      <c r="AR948" s="1" t="s">
        <v>286</v>
      </c>
      <c r="AS948" s="1"/>
      <c r="AT948" s="1" t="s">
        <v>5</v>
      </c>
    </row>
    <row r="949" spans="1:46" hidden="1" x14ac:dyDescent="0.4">
      <c r="A949" s="7" t="s">
        <v>5091</v>
      </c>
      <c r="B949" s="11"/>
      <c r="C949" s="1" t="s">
        <v>4980</v>
      </c>
      <c r="D949" s="1" t="s">
        <v>2396</v>
      </c>
      <c r="E949" s="1" t="s">
        <v>2078</v>
      </c>
      <c r="F949" s="1" t="s">
        <v>14</v>
      </c>
      <c r="G949" s="1" t="s">
        <v>1</v>
      </c>
      <c r="H949" s="1" t="s">
        <v>6</v>
      </c>
      <c r="I949" s="1" t="s">
        <v>2</v>
      </c>
      <c r="J949" s="1" t="s">
        <v>4519</v>
      </c>
      <c r="K949" s="1" t="s">
        <v>5092</v>
      </c>
      <c r="L949" s="1" t="s">
        <v>7</v>
      </c>
      <c r="M949" s="1"/>
      <c r="N949" s="1" t="s">
        <v>5093</v>
      </c>
      <c r="O949" s="1" t="s">
        <v>4983</v>
      </c>
      <c r="P949" s="1"/>
      <c r="Q949" s="1"/>
      <c r="R949" s="1" t="s">
        <v>11</v>
      </c>
      <c r="S949" s="1"/>
      <c r="T949" s="1"/>
      <c r="U949" s="1"/>
      <c r="V949" s="1"/>
      <c r="W949" s="1" t="s">
        <v>5094</v>
      </c>
      <c r="X949" s="1"/>
      <c r="Y949" s="1"/>
      <c r="Z949" s="1"/>
      <c r="AA949" s="1"/>
      <c r="AB949" s="1"/>
      <c r="AC949" s="1"/>
      <c r="AD949" s="1"/>
      <c r="AE949" s="6" t="s">
        <v>5095</v>
      </c>
      <c r="AF949" s="1"/>
      <c r="AG949" s="1"/>
      <c r="AH949" s="1" t="s">
        <v>5096</v>
      </c>
      <c r="AI949" s="1"/>
      <c r="AJ949" s="1" t="s">
        <v>4988</v>
      </c>
      <c r="AK949" s="1" t="s">
        <v>3521</v>
      </c>
      <c r="AL949" s="1" t="s">
        <v>4989</v>
      </c>
      <c r="AM949" s="1" t="s">
        <v>4988</v>
      </c>
      <c r="AN949" s="1" t="s">
        <v>3521</v>
      </c>
      <c r="AO949" s="1" t="s">
        <v>4989</v>
      </c>
      <c r="AP949" s="2" t="s">
        <v>5097</v>
      </c>
      <c r="AQ949" s="2" t="s">
        <v>1153</v>
      </c>
      <c r="AR949" s="1" t="s">
        <v>286</v>
      </c>
      <c r="AS949" s="1"/>
      <c r="AT949" s="1" t="s">
        <v>5</v>
      </c>
    </row>
    <row r="950" spans="1:46" hidden="1" x14ac:dyDescent="0.4">
      <c r="A950" s="7" t="s">
        <v>5098</v>
      </c>
      <c r="B950" s="11"/>
      <c r="C950" s="1" t="s">
        <v>4980</v>
      </c>
      <c r="D950" s="1" t="s">
        <v>2396</v>
      </c>
      <c r="E950" s="1" t="s">
        <v>2078</v>
      </c>
      <c r="F950" s="1" t="s">
        <v>14</v>
      </c>
      <c r="G950" s="1" t="s">
        <v>1</v>
      </c>
      <c r="H950" s="1" t="s">
        <v>6</v>
      </c>
      <c r="I950" s="1" t="s">
        <v>2</v>
      </c>
      <c r="J950" s="1" t="s">
        <v>4519</v>
      </c>
      <c r="K950" s="1" t="s">
        <v>5099</v>
      </c>
      <c r="L950" s="1" t="s">
        <v>7</v>
      </c>
      <c r="M950" s="1"/>
      <c r="N950" s="1" t="s">
        <v>5100</v>
      </c>
      <c r="O950" s="1" t="s">
        <v>4983</v>
      </c>
      <c r="P950" s="1"/>
      <c r="Q950" s="1"/>
      <c r="R950" s="1" t="s">
        <v>11</v>
      </c>
      <c r="S950" s="1"/>
      <c r="T950" s="1"/>
      <c r="U950" s="1"/>
      <c r="V950" s="1"/>
      <c r="W950" s="1" t="s">
        <v>5094</v>
      </c>
      <c r="X950" s="1"/>
      <c r="Y950" s="1"/>
      <c r="Z950" s="1"/>
      <c r="AA950" s="1"/>
      <c r="AB950" s="1"/>
      <c r="AC950" s="1"/>
      <c r="AD950" s="1"/>
      <c r="AE950" s="6" t="s">
        <v>5095</v>
      </c>
      <c r="AF950" s="1"/>
      <c r="AG950" s="1"/>
      <c r="AH950" s="1" t="s">
        <v>5101</v>
      </c>
      <c r="AI950" s="1"/>
      <c r="AJ950" s="1" t="s">
        <v>4988</v>
      </c>
      <c r="AK950" s="1" t="s">
        <v>3521</v>
      </c>
      <c r="AL950" s="1" t="s">
        <v>4989</v>
      </c>
      <c r="AM950" s="1" t="s">
        <v>4988</v>
      </c>
      <c r="AN950" s="1" t="s">
        <v>3521</v>
      </c>
      <c r="AO950" s="1" t="s">
        <v>4989</v>
      </c>
      <c r="AP950" s="2" t="s">
        <v>5102</v>
      </c>
      <c r="AQ950" s="2" t="s">
        <v>1153</v>
      </c>
      <c r="AR950" s="1" t="s">
        <v>286</v>
      </c>
      <c r="AS950" s="1"/>
      <c r="AT950" s="1" t="s">
        <v>5</v>
      </c>
    </row>
    <row r="951" spans="1:46" hidden="1" x14ac:dyDescent="0.4">
      <c r="A951" s="7" t="s">
        <v>5114</v>
      </c>
      <c r="B951" s="11"/>
      <c r="C951" s="1" t="s">
        <v>4980</v>
      </c>
      <c r="D951" s="1" t="s">
        <v>2157</v>
      </c>
      <c r="E951" s="1" t="s">
        <v>2078</v>
      </c>
      <c r="F951" s="1" t="s">
        <v>14</v>
      </c>
      <c r="G951" s="1" t="s">
        <v>1</v>
      </c>
      <c r="H951" s="1" t="s">
        <v>6</v>
      </c>
      <c r="I951" s="1" t="s">
        <v>2</v>
      </c>
      <c r="J951" s="1" t="s">
        <v>4519</v>
      </c>
      <c r="K951" s="1" t="s">
        <v>5115</v>
      </c>
      <c r="L951" s="1" t="s">
        <v>7</v>
      </c>
      <c r="M951" s="1"/>
      <c r="N951" s="1" t="s">
        <v>5116</v>
      </c>
      <c r="O951" s="1" t="s">
        <v>4983</v>
      </c>
      <c r="P951" s="1"/>
      <c r="Q951" s="1"/>
      <c r="R951" s="1" t="s">
        <v>11</v>
      </c>
      <c r="S951" s="1"/>
      <c r="T951" s="1"/>
      <c r="U951" s="1"/>
      <c r="V951" s="1"/>
      <c r="W951" s="1"/>
      <c r="X951" s="1" t="s">
        <v>4984</v>
      </c>
      <c r="Y951" s="1"/>
      <c r="Z951" s="1"/>
      <c r="AA951" s="1"/>
      <c r="AB951" s="1"/>
      <c r="AC951" s="1"/>
      <c r="AD951" s="1"/>
      <c r="AE951" s="6" t="s">
        <v>4986</v>
      </c>
      <c r="AF951" s="1"/>
      <c r="AG951" s="1"/>
      <c r="AH951" s="1" t="s">
        <v>5117</v>
      </c>
      <c r="AI951" s="1"/>
      <c r="AJ951" s="1" t="s">
        <v>4988</v>
      </c>
      <c r="AK951" s="1" t="s">
        <v>3521</v>
      </c>
      <c r="AL951" s="1" t="s">
        <v>4989</v>
      </c>
      <c r="AM951" s="1" t="s">
        <v>4988</v>
      </c>
      <c r="AN951" s="1" t="s">
        <v>3521</v>
      </c>
      <c r="AO951" s="1" t="s">
        <v>4989</v>
      </c>
      <c r="AP951" s="2" t="s">
        <v>5118</v>
      </c>
      <c r="AQ951" s="2" t="s">
        <v>1153</v>
      </c>
      <c r="AR951" s="1" t="s">
        <v>286</v>
      </c>
      <c r="AS951" s="1" t="s">
        <v>5119</v>
      </c>
      <c r="AT951" s="1" t="s">
        <v>5</v>
      </c>
    </row>
    <row r="952" spans="1:46" hidden="1" x14ac:dyDescent="0.4">
      <c r="A952" s="7" t="s">
        <v>5120</v>
      </c>
      <c r="B952" s="11"/>
      <c r="C952" s="1" t="s">
        <v>4980</v>
      </c>
      <c r="D952" s="1" t="s">
        <v>2157</v>
      </c>
      <c r="E952" s="1" t="s">
        <v>2078</v>
      </c>
      <c r="F952" s="1" t="s">
        <v>14</v>
      </c>
      <c r="G952" s="1" t="s">
        <v>1</v>
      </c>
      <c r="H952" s="1" t="s">
        <v>6</v>
      </c>
      <c r="I952" s="1" t="s">
        <v>2</v>
      </c>
      <c r="J952" s="1" t="s">
        <v>4519</v>
      </c>
      <c r="K952" s="1" t="s">
        <v>5121</v>
      </c>
      <c r="L952" s="1" t="s">
        <v>7</v>
      </c>
      <c r="M952" s="1"/>
      <c r="N952" s="1" t="s">
        <v>5122</v>
      </c>
      <c r="O952" s="1" t="s">
        <v>4983</v>
      </c>
      <c r="P952" s="1"/>
      <c r="Q952" s="1"/>
      <c r="R952" s="1" t="s">
        <v>11</v>
      </c>
      <c r="S952" s="1"/>
      <c r="T952" s="1"/>
      <c r="U952" s="1"/>
      <c r="V952" s="1"/>
      <c r="W952" s="1"/>
      <c r="X952" s="1" t="s">
        <v>4984</v>
      </c>
      <c r="Y952" s="1"/>
      <c r="Z952" s="1"/>
      <c r="AA952" s="1"/>
      <c r="AB952" s="1"/>
      <c r="AC952" s="1"/>
      <c r="AD952" s="1"/>
      <c r="AE952" s="6" t="s">
        <v>4986</v>
      </c>
      <c r="AF952" s="1"/>
      <c r="AG952" s="1"/>
      <c r="AH952" s="1" t="s">
        <v>5123</v>
      </c>
      <c r="AI952" s="1"/>
      <c r="AJ952" s="1" t="s">
        <v>4988</v>
      </c>
      <c r="AK952" s="1" t="s">
        <v>3521</v>
      </c>
      <c r="AL952" s="1" t="s">
        <v>4989</v>
      </c>
      <c r="AM952" s="1" t="s">
        <v>4988</v>
      </c>
      <c r="AN952" s="1" t="s">
        <v>3521</v>
      </c>
      <c r="AO952" s="1" t="s">
        <v>4989</v>
      </c>
      <c r="AP952" s="2" t="s">
        <v>5124</v>
      </c>
      <c r="AQ952" s="2" t="s">
        <v>1153</v>
      </c>
      <c r="AR952" s="1" t="s">
        <v>286</v>
      </c>
      <c r="AS952" s="1" t="s">
        <v>5125</v>
      </c>
      <c r="AT952" s="1" t="s">
        <v>5</v>
      </c>
    </row>
    <row r="953" spans="1:46" hidden="1" x14ac:dyDescent="0.4">
      <c r="A953" s="7" t="s">
        <v>5126</v>
      </c>
      <c r="B953" s="11"/>
      <c r="C953" s="1" t="s">
        <v>0</v>
      </c>
      <c r="D953" s="1" t="s">
        <v>2211</v>
      </c>
      <c r="E953" s="1" t="s">
        <v>2078</v>
      </c>
      <c r="F953" s="1" t="s">
        <v>14</v>
      </c>
      <c r="G953" s="1" t="s">
        <v>1</v>
      </c>
      <c r="H953" s="1" t="s">
        <v>6</v>
      </c>
      <c r="I953" s="1" t="s">
        <v>2</v>
      </c>
      <c r="J953" s="1" t="s">
        <v>3</v>
      </c>
      <c r="K953" s="1" t="s">
        <v>5127</v>
      </c>
      <c r="L953" s="1" t="s">
        <v>4</v>
      </c>
      <c r="M953" s="1" t="s">
        <v>9</v>
      </c>
      <c r="N953" s="1" t="s">
        <v>5128</v>
      </c>
      <c r="O953" s="1" t="s">
        <v>15</v>
      </c>
      <c r="P953" s="1"/>
      <c r="Q953" s="1"/>
      <c r="R953" s="1" t="s">
        <v>11</v>
      </c>
      <c r="S953" s="1"/>
      <c r="T953" s="1"/>
      <c r="U953" s="1"/>
      <c r="V953" s="1"/>
      <c r="W953" s="1"/>
      <c r="X953" s="1"/>
      <c r="Y953" s="1"/>
      <c r="Z953" s="1"/>
      <c r="AA953" s="1"/>
      <c r="AB953" s="1"/>
      <c r="AC953" s="1"/>
      <c r="AD953" s="1"/>
      <c r="AE953" s="6" t="s">
        <v>20</v>
      </c>
      <c r="AF953" s="1"/>
      <c r="AG953" s="1"/>
      <c r="AH953" s="1" t="s">
        <v>5129</v>
      </c>
      <c r="AI953" s="1"/>
      <c r="AJ953" s="1" t="s">
        <v>2117</v>
      </c>
      <c r="AK953" s="1" t="s">
        <v>5130</v>
      </c>
      <c r="AL953" s="1" t="s">
        <v>2934</v>
      </c>
      <c r="AM953" s="1" t="s">
        <v>5131</v>
      </c>
      <c r="AN953" s="1" t="s">
        <v>5130</v>
      </c>
      <c r="AO953" s="1" t="s">
        <v>5132</v>
      </c>
      <c r="AP953" s="2" t="s">
        <v>5133</v>
      </c>
      <c r="AQ953" s="2" t="s">
        <v>1154</v>
      </c>
      <c r="AR953" s="1" t="s">
        <v>286</v>
      </c>
      <c r="AS953" s="1"/>
      <c r="AT953" s="1" t="s">
        <v>5</v>
      </c>
    </row>
    <row r="954" spans="1:46" hidden="1" x14ac:dyDescent="0.4">
      <c r="A954" s="7" t="s">
        <v>5197</v>
      </c>
      <c r="B954" s="11"/>
      <c r="C954" s="1" t="s">
        <v>5198</v>
      </c>
      <c r="D954" s="1" t="s">
        <v>2220</v>
      </c>
      <c r="E954" s="1" t="s">
        <v>2078</v>
      </c>
      <c r="F954" s="1" t="s">
        <v>14</v>
      </c>
      <c r="G954" s="1" t="s">
        <v>1</v>
      </c>
      <c r="H954" s="1" t="s">
        <v>6</v>
      </c>
      <c r="I954" s="1" t="s">
        <v>2</v>
      </c>
      <c r="J954" s="1" t="s">
        <v>5199</v>
      </c>
      <c r="K954" s="1" t="s">
        <v>5200</v>
      </c>
      <c r="L954" s="1" t="s">
        <v>7</v>
      </c>
      <c r="M954" s="1"/>
      <c r="N954" s="1" t="s">
        <v>5201</v>
      </c>
      <c r="O954" s="1" t="s">
        <v>5202</v>
      </c>
      <c r="P954" s="1"/>
      <c r="Q954" s="1"/>
      <c r="R954" s="1" t="s">
        <v>11</v>
      </c>
      <c r="S954" s="1"/>
      <c r="T954" s="1"/>
      <c r="U954" s="1"/>
      <c r="V954" s="1"/>
      <c r="W954" s="1"/>
      <c r="X954" s="1" t="s">
        <v>5203</v>
      </c>
      <c r="Y954" s="1"/>
      <c r="Z954" s="1"/>
      <c r="AA954" s="1" t="s">
        <v>5204</v>
      </c>
      <c r="AB954" s="1"/>
      <c r="AC954" s="1"/>
      <c r="AD954" s="1"/>
      <c r="AE954" s="6" t="s">
        <v>5205</v>
      </c>
      <c r="AF954" s="1"/>
      <c r="AG954" s="1"/>
      <c r="AH954" s="1" t="s">
        <v>5206</v>
      </c>
      <c r="AI954" s="1"/>
      <c r="AJ954" s="1" t="s">
        <v>5207</v>
      </c>
      <c r="AK954" s="1" t="s">
        <v>5208</v>
      </c>
      <c r="AL954" s="1" t="s">
        <v>5209</v>
      </c>
      <c r="AM954" s="1" t="s">
        <v>5207</v>
      </c>
      <c r="AN954" s="1" t="s">
        <v>5208</v>
      </c>
      <c r="AO954" s="1" t="s">
        <v>5209</v>
      </c>
      <c r="AP954" s="2" t="s">
        <v>5210</v>
      </c>
      <c r="AQ954" s="2" t="s">
        <v>1153</v>
      </c>
      <c r="AR954" s="1" t="s">
        <v>287</v>
      </c>
      <c r="AS954" s="1"/>
      <c r="AT954" s="1" t="s">
        <v>5</v>
      </c>
    </row>
    <row r="955" spans="1:46" hidden="1" x14ac:dyDescent="0.4">
      <c r="A955" s="7" t="s">
        <v>5211</v>
      </c>
      <c r="B955" s="11"/>
      <c r="C955" s="1" t="s">
        <v>5198</v>
      </c>
      <c r="D955" s="1" t="s">
        <v>2220</v>
      </c>
      <c r="E955" s="1" t="s">
        <v>2078</v>
      </c>
      <c r="F955" s="1" t="s">
        <v>14</v>
      </c>
      <c r="G955" s="1" t="s">
        <v>1</v>
      </c>
      <c r="H955" s="1" t="s">
        <v>6</v>
      </c>
      <c r="I955" s="1" t="s">
        <v>2</v>
      </c>
      <c r="J955" s="1" t="s">
        <v>5199</v>
      </c>
      <c r="K955" s="1" t="s">
        <v>5212</v>
      </c>
      <c r="L955" s="1" t="s">
        <v>7</v>
      </c>
      <c r="M955" s="1"/>
      <c r="N955" s="1" t="s">
        <v>5213</v>
      </c>
      <c r="O955" s="1" t="s">
        <v>5214</v>
      </c>
      <c r="P955" s="1" t="s">
        <v>5215</v>
      </c>
      <c r="Q955" s="1"/>
      <c r="R955" s="1" t="s">
        <v>11</v>
      </c>
      <c r="S955" s="1"/>
      <c r="T955" s="1"/>
      <c r="U955" s="1"/>
      <c r="V955" s="1"/>
      <c r="W955" s="1"/>
      <c r="X955" s="1" t="s">
        <v>5216</v>
      </c>
      <c r="Y955" s="1"/>
      <c r="Z955" s="1"/>
      <c r="AA955" s="1" t="s">
        <v>5217</v>
      </c>
      <c r="AB955" s="1"/>
      <c r="AC955" s="1"/>
      <c r="AD955" s="1"/>
      <c r="AE955" s="6" t="s">
        <v>5218</v>
      </c>
      <c r="AF955" s="1"/>
      <c r="AG955" s="1"/>
      <c r="AH955" s="1" t="s">
        <v>5219</v>
      </c>
      <c r="AI955" s="1"/>
      <c r="AJ955" s="1" t="s">
        <v>5207</v>
      </c>
      <c r="AK955" s="1" t="s">
        <v>5208</v>
      </c>
      <c r="AL955" s="1" t="s">
        <v>5209</v>
      </c>
      <c r="AM955" s="1" t="s">
        <v>5207</v>
      </c>
      <c r="AN955" s="1" t="s">
        <v>5208</v>
      </c>
      <c r="AO955" s="1" t="s">
        <v>5209</v>
      </c>
      <c r="AP955" s="2" t="s">
        <v>5220</v>
      </c>
      <c r="AQ955" s="2" t="s">
        <v>1153</v>
      </c>
      <c r="AR955" s="1" t="s">
        <v>287</v>
      </c>
      <c r="AS955" s="1"/>
      <c r="AT955" s="1" t="s">
        <v>5</v>
      </c>
    </row>
    <row r="956" spans="1:46" hidden="1" x14ac:dyDescent="0.4">
      <c r="A956" s="7" t="s">
        <v>5221</v>
      </c>
      <c r="B956" s="11"/>
      <c r="C956" s="1" t="s">
        <v>5198</v>
      </c>
      <c r="D956" s="1" t="s">
        <v>2211</v>
      </c>
      <c r="E956" s="1" t="s">
        <v>2078</v>
      </c>
      <c r="F956" s="1" t="s">
        <v>14</v>
      </c>
      <c r="G956" s="1" t="s">
        <v>1</v>
      </c>
      <c r="H956" s="1" t="s">
        <v>6</v>
      </c>
      <c r="I956" s="1" t="s">
        <v>2</v>
      </c>
      <c r="J956" s="1" t="s">
        <v>5199</v>
      </c>
      <c r="K956" s="1" t="s">
        <v>5222</v>
      </c>
      <c r="L956" s="1" t="s">
        <v>7</v>
      </c>
      <c r="M956" s="1"/>
      <c r="N956" s="1" t="s">
        <v>5223</v>
      </c>
      <c r="O956" s="1" t="s">
        <v>5224</v>
      </c>
      <c r="P956" s="1"/>
      <c r="Q956" s="1"/>
      <c r="R956" s="1" t="s">
        <v>11</v>
      </c>
      <c r="S956" s="1"/>
      <c r="T956" s="1"/>
      <c r="U956" s="1"/>
      <c r="V956" s="1"/>
      <c r="W956" s="1"/>
      <c r="X956" s="1" t="s">
        <v>5225</v>
      </c>
      <c r="Y956" s="1"/>
      <c r="Z956" s="1"/>
      <c r="AA956" s="1" t="s">
        <v>5226</v>
      </c>
      <c r="AB956" s="1"/>
      <c r="AC956" s="1"/>
      <c r="AD956" s="1"/>
      <c r="AE956" s="6" t="s">
        <v>5227</v>
      </c>
      <c r="AF956" s="1"/>
      <c r="AG956" s="1"/>
      <c r="AH956" s="1" t="s">
        <v>5228</v>
      </c>
      <c r="AI956" s="1"/>
      <c r="AJ956" s="1" t="s">
        <v>5207</v>
      </c>
      <c r="AK956" s="1" t="s">
        <v>5208</v>
      </c>
      <c r="AL956" s="1" t="s">
        <v>5209</v>
      </c>
      <c r="AM956" s="1" t="s">
        <v>5207</v>
      </c>
      <c r="AN956" s="1" t="s">
        <v>5208</v>
      </c>
      <c r="AO956" s="1" t="s">
        <v>5209</v>
      </c>
      <c r="AP956" s="2" t="s">
        <v>5229</v>
      </c>
      <c r="AQ956" s="2" t="s">
        <v>1153</v>
      </c>
      <c r="AR956" s="1" t="s">
        <v>287</v>
      </c>
      <c r="AS956" s="1"/>
      <c r="AT956" s="1" t="s">
        <v>5</v>
      </c>
    </row>
    <row r="957" spans="1:46" hidden="1" x14ac:dyDescent="0.4">
      <c r="A957" s="7" t="s">
        <v>5291</v>
      </c>
      <c r="B957" s="11"/>
      <c r="C957" s="1" t="s">
        <v>2705</v>
      </c>
      <c r="D957" s="1" t="s">
        <v>2290</v>
      </c>
      <c r="E957" s="1" t="s">
        <v>2291</v>
      </c>
      <c r="F957" s="1" t="s">
        <v>14</v>
      </c>
      <c r="G957" s="1" t="s">
        <v>1</v>
      </c>
      <c r="H957" s="1" t="s">
        <v>6</v>
      </c>
      <c r="I957" s="1" t="s">
        <v>2</v>
      </c>
      <c r="J957" s="1" t="s">
        <v>2813</v>
      </c>
      <c r="K957" s="1" t="s">
        <v>5292</v>
      </c>
      <c r="L957" s="1" t="s">
        <v>7</v>
      </c>
      <c r="M957" s="1" t="s">
        <v>9</v>
      </c>
      <c r="N957" s="1" t="s">
        <v>5293</v>
      </c>
      <c r="O957" s="1" t="s">
        <v>3426</v>
      </c>
      <c r="P957" s="1"/>
      <c r="Q957" s="1"/>
      <c r="R957" s="1" t="s">
        <v>11</v>
      </c>
      <c r="S957" s="1"/>
      <c r="T957" s="1"/>
      <c r="U957" s="1"/>
      <c r="V957" s="1"/>
      <c r="W957" s="1" t="s">
        <v>5294</v>
      </c>
      <c r="X957" s="1"/>
      <c r="Y957" s="1"/>
      <c r="Z957" s="1"/>
      <c r="AA957" s="1"/>
      <c r="AB957" s="1"/>
      <c r="AC957" s="1"/>
      <c r="AD957" s="1"/>
      <c r="AE957" s="6" t="s">
        <v>5295</v>
      </c>
      <c r="AF957" s="1"/>
      <c r="AG957" s="1"/>
      <c r="AH957" s="1" t="s">
        <v>5296</v>
      </c>
      <c r="AI957" s="1"/>
      <c r="AJ957" s="1" t="s">
        <v>3920</v>
      </c>
      <c r="AK957" s="1" t="s">
        <v>3921</v>
      </c>
      <c r="AL957" s="1" t="s">
        <v>3922</v>
      </c>
      <c r="AM957" s="1" t="s">
        <v>5297</v>
      </c>
      <c r="AN957" s="1" t="s">
        <v>3921</v>
      </c>
      <c r="AO957" s="1" t="s">
        <v>5298</v>
      </c>
      <c r="AP957" s="2" t="s">
        <v>5299</v>
      </c>
      <c r="AQ957" s="2" t="s">
        <v>1077</v>
      </c>
      <c r="AR957" s="1" t="s">
        <v>287</v>
      </c>
      <c r="AS957" s="1"/>
      <c r="AT957" s="1" t="s">
        <v>5</v>
      </c>
    </row>
    <row r="958" spans="1:46" hidden="1" x14ac:dyDescent="0.4">
      <c r="A958" s="7" t="s">
        <v>5317</v>
      </c>
      <c r="B958" s="11"/>
      <c r="C958" s="1" t="s">
        <v>0</v>
      </c>
      <c r="D958" s="1" t="s">
        <v>2076</v>
      </c>
      <c r="E958" s="1" t="s">
        <v>2078</v>
      </c>
      <c r="F958" s="1" t="s">
        <v>14</v>
      </c>
      <c r="G958" s="1" t="s">
        <v>1</v>
      </c>
      <c r="H958" s="1" t="s">
        <v>6</v>
      </c>
      <c r="I958" s="1" t="s">
        <v>2</v>
      </c>
      <c r="J958" s="1" t="s">
        <v>3</v>
      </c>
      <c r="K958" s="1" t="s">
        <v>5318</v>
      </c>
      <c r="L958" s="1" t="s">
        <v>4</v>
      </c>
      <c r="M958" s="1" t="s">
        <v>9</v>
      </c>
      <c r="N958" s="1" t="s">
        <v>5319</v>
      </c>
      <c r="O958" s="1" t="s">
        <v>2238</v>
      </c>
      <c r="P958" s="1"/>
      <c r="Q958" s="1"/>
      <c r="R958" s="1" t="s">
        <v>11</v>
      </c>
      <c r="S958" s="1"/>
      <c r="T958" s="1"/>
      <c r="U958" s="1"/>
      <c r="V958" s="1"/>
      <c r="W958" s="1"/>
      <c r="X958" s="1"/>
      <c r="Y958" s="1"/>
      <c r="Z958" s="1"/>
      <c r="AA958" s="1"/>
      <c r="AB958" s="1"/>
      <c r="AC958" s="1"/>
      <c r="AD958" s="1"/>
      <c r="AE958" s="6" t="s">
        <v>5320</v>
      </c>
      <c r="AF958" s="1"/>
      <c r="AG958" s="1"/>
      <c r="AH958" s="1" t="s">
        <v>5321</v>
      </c>
      <c r="AI958" s="1"/>
      <c r="AJ958" s="1" t="s">
        <v>2085</v>
      </c>
      <c r="AK958" s="1" t="s">
        <v>5322</v>
      </c>
      <c r="AL958" s="1"/>
      <c r="AM958" s="1" t="s">
        <v>5323</v>
      </c>
      <c r="AN958" s="1" t="s">
        <v>5322</v>
      </c>
      <c r="AO958" s="1" t="s">
        <v>5324</v>
      </c>
      <c r="AP958" s="2" t="s">
        <v>5325</v>
      </c>
      <c r="AQ958" s="2" t="s">
        <v>1077</v>
      </c>
      <c r="AR958" s="1" t="s">
        <v>286</v>
      </c>
      <c r="AS958" s="1"/>
      <c r="AT958" s="1" t="s">
        <v>5</v>
      </c>
    </row>
    <row r="959" spans="1:46" hidden="1" x14ac:dyDescent="0.4">
      <c r="A959" s="7" t="s">
        <v>5349</v>
      </c>
      <c r="B959" s="11"/>
      <c r="C959" s="1" t="s">
        <v>0</v>
      </c>
      <c r="D959" s="1" t="s">
        <v>2211</v>
      </c>
      <c r="E959" s="1" t="s">
        <v>2078</v>
      </c>
      <c r="F959" s="1" t="s">
        <v>14</v>
      </c>
      <c r="G959" s="1" t="s">
        <v>1</v>
      </c>
      <c r="H959" s="1" t="s">
        <v>6</v>
      </c>
      <c r="I959" s="1" t="s">
        <v>2</v>
      </c>
      <c r="J959" s="1" t="s">
        <v>3</v>
      </c>
      <c r="K959" s="1" t="s">
        <v>5350</v>
      </c>
      <c r="L959" s="1" t="s">
        <v>7</v>
      </c>
      <c r="M959" s="1" t="s">
        <v>9</v>
      </c>
      <c r="N959" s="1" t="s">
        <v>5351</v>
      </c>
      <c r="O959" s="1" t="s">
        <v>5352</v>
      </c>
      <c r="P959" s="1"/>
      <c r="Q959" s="1"/>
      <c r="R959" s="1" t="s">
        <v>11</v>
      </c>
      <c r="S959" s="1"/>
      <c r="T959" s="1"/>
      <c r="U959" s="1"/>
      <c r="V959" s="1"/>
      <c r="W959" s="1"/>
      <c r="X959" s="1" t="s">
        <v>5353</v>
      </c>
      <c r="Y959" s="1"/>
      <c r="Z959" s="1"/>
      <c r="AA959" s="1"/>
      <c r="AB959" s="1"/>
      <c r="AC959" s="1"/>
      <c r="AD959" s="1"/>
      <c r="AE959" s="6" t="s">
        <v>5354</v>
      </c>
      <c r="AF959" s="1"/>
      <c r="AG959" s="1"/>
      <c r="AH959" s="1" t="s">
        <v>5355</v>
      </c>
      <c r="AI959" s="1"/>
      <c r="AJ959" s="1" t="s">
        <v>2117</v>
      </c>
      <c r="AK959" s="1" t="s">
        <v>5356</v>
      </c>
      <c r="AL959" s="1" t="s">
        <v>2934</v>
      </c>
      <c r="AM959" s="1" t="s">
        <v>5357</v>
      </c>
      <c r="AN959" s="1" t="s">
        <v>5356</v>
      </c>
      <c r="AO959" s="1" t="s">
        <v>5358</v>
      </c>
      <c r="AP959" s="2" t="s">
        <v>5359</v>
      </c>
      <c r="AQ959" s="2" t="s">
        <v>1077</v>
      </c>
      <c r="AR959" s="1" t="s">
        <v>286</v>
      </c>
      <c r="AS959" s="1" t="s">
        <v>5348</v>
      </c>
      <c r="AT959" s="1" t="s">
        <v>5</v>
      </c>
    </row>
    <row r="960" spans="1:46" hidden="1" x14ac:dyDescent="0.4">
      <c r="A960" s="7" t="s">
        <v>5466</v>
      </c>
      <c r="B960" s="11"/>
      <c r="C960" s="1" t="s">
        <v>93</v>
      </c>
      <c r="D960" s="1" t="s">
        <v>2211</v>
      </c>
      <c r="E960" s="1" t="s">
        <v>2078</v>
      </c>
      <c r="F960" s="1" t="s">
        <v>14</v>
      </c>
      <c r="G960" s="1" t="s">
        <v>1</v>
      </c>
      <c r="H960" s="1" t="s">
        <v>6</v>
      </c>
      <c r="I960" s="1" t="s">
        <v>2</v>
      </c>
      <c r="J960" s="1" t="s">
        <v>3</v>
      </c>
      <c r="K960" s="1" t="s">
        <v>5467</v>
      </c>
      <c r="L960" s="1" t="s">
        <v>7</v>
      </c>
      <c r="M960" s="1"/>
      <c r="N960" s="1" t="s">
        <v>5468</v>
      </c>
      <c r="O960" s="1" t="s">
        <v>5469</v>
      </c>
      <c r="P960" s="1"/>
      <c r="Q960" s="1"/>
      <c r="R960" s="1" t="s">
        <v>11</v>
      </c>
      <c r="S960" s="1"/>
      <c r="T960" s="1"/>
      <c r="U960" s="1"/>
      <c r="V960" s="1"/>
      <c r="W960" s="1" t="s">
        <v>5470</v>
      </c>
      <c r="X960" s="1" t="s">
        <v>5471</v>
      </c>
      <c r="Y960" s="1"/>
      <c r="Z960" s="1"/>
      <c r="AA960" s="1"/>
      <c r="AB960" s="1"/>
      <c r="AC960" s="1"/>
      <c r="AD960" s="1"/>
      <c r="AE960" s="6" t="s">
        <v>5472</v>
      </c>
      <c r="AF960" s="1"/>
      <c r="AG960" s="1"/>
      <c r="AH960" s="1" t="s">
        <v>5473</v>
      </c>
      <c r="AI960" s="1"/>
      <c r="AJ960" s="1" t="s">
        <v>5474</v>
      </c>
      <c r="AK960" s="1" t="s">
        <v>3792</v>
      </c>
      <c r="AL960" s="1" t="s">
        <v>5475</v>
      </c>
      <c r="AM960" s="1" t="s">
        <v>5474</v>
      </c>
      <c r="AN960" s="1" t="s">
        <v>3792</v>
      </c>
      <c r="AO960" s="1" t="s">
        <v>5475</v>
      </c>
      <c r="AP960" s="2" t="s">
        <v>5476</v>
      </c>
      <c r="AQ960" s="2" t="s">
        <v>1077</v>
      </c>
      <c r="AR960" s="1" t="s">
        <v>286</v>
      </c>
      <c r="AS960" s="1" t="s">
        <v>5477</v>
      </c>
      <c r="AT960" s="1" t="s">
        <v>5</v>
      </c>
    </row>
    <row r="961" spans="1:46" hidden="1" x14ac:dyDescent="0.4">
      <c r="A961" s="7" t="s">
        <v>5485</v>
      </c>
      <c r="B961" s="11"/>
      <c r="C961" s="1" t="s">
        <v>0</v>
      </c>
      <c r="D961" s="1" t="s">
        <v>2211</v>
      </c>
      <c r="E961" s="1" t="s">
        <v>2078</v>
      </c>
      <c r="F961" s="1" t="s">
        <v>14</v>
      </c>
      <c r="G961" s="1" t="s">
        <v>1</v>
      </c>
      <c r="H961" s="1" t="s">
        <v>6</v>
      </c>
      <c r="I961" s="1" t="s">
        <v>2</v>
      </c>
      <c r="J961" s="1" t="s">
        <v>3</v>
      </c>
      <c r="K961" s="1" t="s">
        <v>5486</v>
      </c>
      <c r="L961" s="1" t="s">
        <v>4</v>
      </c>
      <c r="M961" s="1" t="s">
        <v>9</v>
      </c>
      <c r="N961" s="1" t="s">
        <v>5487</v>
      </c>
      <c r="O961" s="1" t="s">
        <v>15</v>
      </c>
      <c r="P961" s="1"/>
      <c r="Q961" s="1"/>
      <c r="R961" s="1" t="s">
        <v>11</v>
      </c>
      <c r="S961" s="1"/>
      <c r="T961" s="1"/>
      <c r="U961" s="1"/>
      <c r="V961" s="1"/>
      <c r="W961" s="1"/>
      <c r="X961" s="1" t="s">
        <v>5488</v>
      </c>
      <c r="Y961" s="1"/>
      <c r="Z961" s="1"/>
      <c r="AA961" s="1"/>
      <c r="AB961" s="1"/>
      <c r="AC961" s="1"/>
      <c r="AD961" s="1"/>
      <c r="AE961" s="6" t="s">
        <v>5489</v>
      </c>
      <c r="AF961" s="1"/>
      <c r="AG961" s="1"/>
      <c r="AH961" s="1" t="s">
        <v>5490</v>
      </c>
      <c r="AI961" s="1"/>
      <c r="AJ961" s="1" t="s">
        <v>158</v>
      </c>
      <c r="AK961" s="1" t="s">
        <v>504</v>
      </c>
      <c r="AL961" s="1" t="s">
        <v>159</v>
      </c>
      <c r="AM961" s="1" t="s">
        <v>164</v>
      </c>
      <c r="AN961" s="1" t="s">
        <v>504</v>
      </c>
      <c r="AO961" s="1" t="s">
        <v>165</v>
      </c>
      <c r="AP961" s="2" t="s">
        <v>5491</v>
      </c>
      <c r="AQ961" s="2" t="s">
        <v>1077</v>
      </c>
      <c r="AR961" s="1" t="s">
        <v>286</v>
      </c>
      <c r="AS961" s="1"/>
      <c r="AT961" s="1" t="s">
        <v>5</v>
      </c>
    </row>
    <row r="962" spans="1:46" hidden="1" x14ac:dyDescent="0.4">
      <c r="A962" s="7" t="s">
        <v>5505</v>
      </c>
      <c r="B962" s="11"/>
      <c r="C962" s="1" t="s">
        <v>5198</v>
      </c>
      <c r="D962" s="1" t="s">
        <v>2076</v>
      </c>
      <c r="E962" s="1" t="s">
        <v>2078</v>
      </c>
      <c r="F962" s="1" t="s">
        <v>14</v>
      </c>
      <c r="G962" s="1" t="s">
        <v>1</v>
      </c>
      <c r="H962" s="1" t="s">
        <v>6</v>
      </c>
      <c r="I962" s="1" t="s">
        <v>2</v>
      </c>
      <c r="J962" s="1" t="s">
        <v>5199</v>
      </c>
      <c r="K962" s="1" t="s">
        <v>5506</v>
      </c>
      <c r="L962" s="1" t="s">
        <v>7</v>
      </c>
      <c r="M962" s="1"/>
      <c r="N962" s="1" t="s">
        <v>5507</v>
      </c>
      <c r="O962" s="1" t="s">
        <v>5508</v>
      </c>
      <c r="P962" s="1"/>
      <c r="Q962" s="1"/>
      <c r="R962" s="1" t="s">
        <v>11</v>
      </c>
      <c r="S962" s="1"/>
      <c r="T962" s="1"/>
      <c r="U962" s="1"/>
      <c r="V962" s="1"/>
      <c r="W962" s="1"/>
      <c r="X962" s="1" t="s">
        <v>5509</v>
      </c>
      <c r="Y962" s="1"/>
      <c r="Z962" s="1"/>
      <c r="AA962" s="1"/>
      <c r="AB962" s="1"/>
      <c r="AC962" s="1"/>
      <c r="AD962" s="1"/>
      <c r="AE962" s="6" t="s">
        <v>5510</v>
      </c>
      <c r="AF962" s="1"/>
      <c r="AG962" s="1"/>
      <c r="AH962" s="1" t="s">
        <v>5511</v>
      </c>
      <c r="AI962" s="1"/>
      <c r="AJ962" s="1" t="s">
        <v>5512</v>
      </c>
      <c r="AK962" s="1" t="s">
        <v>5513</v>
      </c>
      <c r="AL962" s="1" t="s">
        <v>5514</v>
      </c>
      <c r="AM962" s="1" t="s">
        <v>5512</v>
      </c>
      <c r="AN962" s="1" t="s">
        <v>5513</v>
      </c>
      <c r="AO962" s="1" t="s">
        <v>5514</v>
      </c>
      <c r="AP962" s="2" t="s">
        <v>5515</v>
      </c>
      <c r="AQ962" s="2" t="s">
        <v>1077</v>
      </c>
      <c r="AR962" s="1" t="s">
        <v>286</v>
      </c>
      <c r="AS962" s="1"/>
      <c r="AT962" s="1" t="s">
        <v>5</v>
      </c>
    </row>
    <row r="963" spans="1:46" hidden="1" x14ac:dyDescent="0.4">
      <c r="A963" s="7" t="s">
        <v>5532</v>
      </c>
      <c r="B963" s="11"/>
      <c r="C963" s="1" t="s">
        <v>5198</v>
      </c>
      <c r="D963" s="1" t="s">
        <v>2076</v>
      </c>
      <c r="E963" s="1" t="s">
        <v>2078</v>
      </c>
      <c r="F963" s="1" t="s">
        <v>14</v>
      </c>
      <c r="G963" s="1" t="s">
        <v>1</v>
      </c>
      <c r="H963" s="1" t="s">
        <v>6</v>
      </c>
      <c r="I963" s="1" t="s">
        <v>2</v>
      </c>
      <c r="J963" s="1" t="s">
        <v>5199</v>
      </c>
      <c r="K963" s="1" t="s">
        <v>5533</v>
      </c>
      <c r="L963" s="1" t="s">
        <v>7</v>
      </c>
      <c r="M963" s="1"/>
      <c r="N963" s="1" t="s">
        <v>5534</v>
      </c>
      <c r="O963" s="1" t="s">
        <v>5535</v>
      </c>
      <c r="P963" s="1"/>
      <c r="Q963" s="1"/>
      <c r="R963" s="1" t="s">
        <v>11</v>
      </c>
      <c r="S963" s="1"/>
      <c r="T963" s="1"/>
      <c r="U963" s="1"/>
      <c r="V963" s="1"/>
      <c r="W963" s="1"/>
      <c r="X963" s="1"/>
      <c r="Y963" s="1"/>
      <c r="Z963" s="1"/>
      <c r="AA963" s="1"/>
      <c r="AB963" s="1"/>
      <c r="AC963" s="1"/>
      <c r="AD963" s="1"/>
      <c r="AE963" s="6" t="s">
        <v>5536</v>
      </c>
      <c r="AF963" s="1"/>
      <c r="AG963" s="1"/>
      <c r="AH963" s="1" t="s">
        <v>5537</v>
      </c>
      <c r="AI963" s="1"/>
      <c r="AJ963" s="1" t="s">
        <v>5448</v>
      </c>
      <c r="AK963" s="1" t="s">
        <v>5449</v>
      </c>
      <c r="AL963" s="1" t="s">
        <v>5450</v>
      </c>
      <c r="AM963" s="1" t="s">
        <v>5451</v>
      </c>
      <c r="AN963" s="1" t="s">
        <v>5452</v>
      </c>
      <c r="AO963" s="1" t="s">
        <v>5453</v>
      </c>
      <c r="AP963" s="2" t="s">
        <v>5538</v>
      </c>
      <c r="AQ963" s="2" t="s">
        <v>1077</v>
      </c>
      <c r="AR963" s="1" t="s">
        <v>286</v>
      </c>
      <c r="AS963" s="1"/>
      <c r="AT963" s="1" t="s">
        <v>5</v>
      </c>
    </row>
    <row r="964" spans="1:46" hidden="1" x14ac:dyDescent="0.4">
      <c r="A964" s="7" t="s">
        <v>5641</v>
      </c>
      <c r="B964" s="11"/>
      <c r="C964" s="1" t="s">
        <v>93</v>
      </c>
      <c r="D964" s="1" t="s">
        <v>2290</v>
      </c>
      <c r="E964" s="1" t="s">
        <v>2291</v>
      </c>
      <c r="F964" s="1" t="s">
        <v>14</v>
      </c>
      <c r="G964" s="1" t="s">
        <v>1</v>
      </c>
      <c r="H964" s="1" t="s">
        <v>6</v>
      </c>
      <c r="I964" s="1" t="s">
        <v>2</v>
      </c>
      <c r="J964" s="1" t="s">
        <v>3</v>
      </c>
      <c r="K964" s="1" t="s">
        <v>5642</v>
      </c>
      <c r="L964" s="1" t="s">
        <v>7</v>
      </c>
      <c r="M964" s="1"/>
      <c r="N964" s="1" t="s">
        <v>5643</v>
      </c>
      <c r="O964" s="1" t="s">
        <v>5644</v>
      </c>
      <c r="P964" s="1"/>
      <c r="Q964" s="1"/>
      <c r="R964" s="1" t="s">
        <v>11</v>
      </c>
      <c r="S964" s="1"/>
      <c r="T964" s="1"/>
      <c r="U964" s="1"/>
      <c r="V964" s="1"/>
      <c r="W964" s="1"/>
      <c r="X964" s="1"/>
      <c r="Y964" s="1"/>
      <c r="Z964" s="1"/>
      <c r="AA964" s="1"/>
      <c r="AB964" s="1"/>
      <c r="AC964" s="1"/>
      <c r="AD964" s="1"/>
      <c r="AE964" s="6" t="s">
        <v>5645</v>
      </c>
      <c r="AF964" s="1"/>
      <c r="AG964" s="1"/>
      <c r="AH964" s="1" t="s">
        <v>5646</v>
      </c>
      <c r="AI964" s="1"/>
      <c r="AJ964" s="1" t="s">
        <v>4272</v>
      </c>
      <c r="AK964" s="1" t="s">
        <v>4273</v>
      </c>
      <c r="AL964" s="1" t="s">
        <v>4274</v>
      </c>
      <c r="AM964" s="1" t="s">
        <v>4272</v>
      </c>
      <c r="AN964" s="1" t="s">
        <v>4273</v>
      </c>
      <c r="AO964" s="1" t="s">
        <v>4274</v>
      </c>
      <c r="AP964" s="2" t="s">
        <v>5647</v>
      </c>
      <c r="AQ964" s="2" t="s">
        <v>1077</v>
      </c>
      <c r="AR964" s="1" t="s">
        <v>287</v>
      </c>
      <c r="AS964" s="1"/>
      <c r="AT964" s="1" t="s">
        <v>5</v>
      </c>
    </row>
    <row r="965" spans="1:46" hidden="1" x14ac:dyDescent="0.4">
      <c r="A965" s="7" t="s">
        <v>5648</v>
      </c>
      <c r="B965" s="11"/>
      <c r="C965" s="1" t="s">
        <v>93</v>
      </c>
      <c r="D965" s="1" t="s">
        <v>2290</v>
      </c>
      <c r="E965" s="1" t="s">
        <v>2291</v>
      </c>
      <c r="F965" s="1" t="s">
        <v>14</v>
      </c>
      <c r="G965" s="1" t="s">
        <v>1</v>
      </c>
      <c r="H965" s="1" t="s">
        <v>6</v>
      </c>
      <c r="I965" s="1" t="s">
        <v>2</v>
      </c>
      <c r="J965" s="1" t="s">
        <v>3</v>
      </c>
      <c r="K965" s="1" t="s">
        <v>5649</v>
      </c>
      <c r="L965" s="1" t="s">
        <v>7</v>
      </c>
      <c r="M965" s="1"/>
      <c r="N965" s="1" t="s">
        <v>5650</v>
      </c>
      <c r="O965" s="1" t="s">
        <v>5644</v>
      </c>
      <c r="P965" s="1"/>
      <c r="Q965" s="1"/>
      <c r="R965" s="1" t="s">
        <v>11</v>
      </c>
      <c r="S965" s="1"/>
      <c r="T965" s="1"/>
      <c r="U965" s="1"/>
      <c r="V965" s="1"/>
      <c r="W965" s="1"/>
      <c r="X965" s="1"/>
      <c r="Y965" s="1"/>
      <c r="Z965" s="1"/>
      <c r="AA965" s="1"/>
      <c r="AB965" s="1"/>
      <c r="AC965" s="1"/>
      <c r="AD965" s="1"/>
      <c r="AE965" s="6" t="s">
        <v>5645</v>
      </c>
      <c r="AF965" s="1"/>
      <c r="AG965" s="1"/>
      <c r="AH965" s="1" t="s">
        <v>5651</v>
      </c>
      <c r="AI965" s="1"/>
      <c r="AJ965" s="1" t="s">
        <v>4272</v>
      </c>
      <c r="AK965" s="1" t="s">
        <v>4273</v>
      </c>
      <c r="AL965" s="1" t="s">
        <v>4274</v>
      </c>
      <c r="AM965" s="1" t="s">
        <v>4272</v>
      </c>
      <c r="AN965" s="1" t="s">
        <v>4273</v>
      </c>
      <c r="AO965" s="1" t="s">
        <v>4274</v>
      </c>
      <c r="AP965" s="2" t="s">
        <v>5652</v>
      </c>
      <c r="AQ965" s="2" t="s">
        <v>1077</v>
      </c>
      <c r="AR965" s="1" t="s">
        <v>287</v>
      </c>
      <c r="AS965" s="1"/>
      <c r="AT965" s="1" t="s">
        <v>5</v>
      </c>
    </row>
    <row r="966" spans="1:46" hidden="1" x14ac:dyDescent="0.4">
      <c r="A966" s="7" t="s">
        <v>5774</v>
      </c>
      <c r="B966" s="11"/>
      <c r="C966" s="1" t="s">
        <v>1664</v>
      </c>
      <c r="D966" s="1" t="s">
        <v>2157</v>
      </c>
      <c r="E966" s="1" t="s">
        <v>2078</v>
      </c>
      <c r="F966" s="1" t="s">
        <v>14</v>
      </c>
      <c r="G966" s="1" t="s">
        <v>1</v>
      </c>
      <c r="H966" s="1" t="s">
        <v>6</v>
      </c>
      <c r="I966" s="1" t="s">
        <v>2</v>
      </c>
      <c r="J966" s="1" t="s">
        <v>3</v>
      </c>
      <c r="K966" s="1" t="s">
        <v>5775</v>
      </c>
      <c r="L966" s="1" t="s">
        <v>7</v>
      </c>
      <c r="M966" s="1" t="s">
        <v>9</v>
      </c>
      <c r="N966" s="1" t="s">
        <v>5776</v>
      </c>
      <c r="O966" s="1" t="s">
        <v>3399</v>
      </c>
      <c r="P966" s="1"/>
      <c r="Q966" s="1"/>
      <c r="R966" s="1" t="s">
        <v>11</v>
      </c>
      <c r="S966" s="1"/>
      <c r="T966" s="1"/>
      <c r="U966" s="1"/>
      <c r="V966" s="1"/>
      <c r="W966" s="1"/>
      <c r="X966" s="1" t="s">
        <v>5777</v>
      </c>
      <c r="Y966" s="1"/>
      <c r="Z966" s="1"/>
      <c r="AA966" s="1"/>
      <c r="AB966" s="1"/>
      <c r="AC966" s="1"/>
      <c r="AD966" s="1"/>
      <c r="AE966" s="6" t="s">
        <v>3401</v>
      </c>
      <c r="AF966" s="1"/>
      <c r="AG966" s="1"/>
      <c r="AH966" s="1" t="s">
        <v>5778</v>
      </c>
      <c r="AI966" s="1" t="s">
        <v>5779</v>
      </c>
      <c r="AJ966" s="1" t="s">
        <v>2883</v>
      </c>
      <c r="AK966" s="1" t="s">
        <v>2587</v>
      </c>
      <c r="AL966" s="1" t="s">
        <v>2884</v>
      </c>
      <c r="AM966" s="1" t="s">
        <v>2883</v>
      </c>
      <c r="AN966" s="1" t="s">
        <v>2587</v>
      </c>
      <c r="AO966" s="1" t="s">
        <v>2884</v>
      </c>
      <c r="AP966" s="2" t="s">
        <v>5780</v>
      </c>
      <c r="AQ966" s="2" t="s">
        <v>1077</v>
      </c>
      <c r="AR966" s="1" t="s">
        <v>286</v>
      </c>
      <c r="AS966" s="1"/>
      <c r="AT966" s="1" t="s">
        <v>5</v>
      </c>
    </row>
    <row r="967" spans="1:46" hidden="1" x14ac:dyDescent="0.4">
      <c r="A967" s="7" t="s">
        <v>5842</v>
      </c>
      <c r="B967" s="11"/>
      <c r="C967" s="1" t="s">
        <v>2491</v>
      </c>
      <c r="D967" s="1" t="s">
        <v>2211</v>
      </c>
      <c r="E967" s="1" t="s">
        <v>2078</v>
      </c>
      <c r="F967" s="1" t="s">
        <v>14</v>
      </c>
      <c r="G967" s="1" t="s">
        <v>1</v>
      </c>
      <c r="H967" s="1" t="s">
        <v>6</v>
      </c>
      <c r="I967" s="1" t="s">
        <v>2</v>
      </c>
      <c r="J967" s="1" t="s">
        <v>2492</v>
      </c>
      <c r="K967" s="1" t="s">
        <v>5843</v>
      </c>
      <c r="L967" s="1" t="s">
        <v>4</v>
      </c>
      <c r="M967" s="1" t="s">
        <v>9</v>
      </c>
      <c r="N967" s="1" t="s">
        <v>5844</v>
      </c>
      <c r="O967" s="1" t="s">
        <v>5845</v>
      </c>
      <c r="P967" s="1"/>
      <c r="Q967" s="1"/>
      <c r="R967" s="1" t="s">
        <v>11</v>
      </c>
      <c r="S967" s="1"/>
      <c r="T967" s="1"/>
      <c r="U967" s="1"/>
      <c r="V967" s="1"/>
      <c r="W967" s="1"/>
      <c r="X967" s="1" t="s">
        <v>5846</v>
      </c>
      <c r="Y967" s="1"/>
      <c r="Z967" s="1"/>
      <c r="AA967" s="1"/>
      <c r="AB967" s="1"/>
      <c r="AC967" s="1"/>
      <c r="AD967" s="1"/>
      <c r="AE967" s="6" t="s">
        <v>5847</v>
      </c>
      <c r="AF967" s="1"/>
      <c r="AG967" s="1"/>
      <c r="AH967" s="1" t="s">
        <v>5848</v>
      </c>
      <c r="AI967" s="1"/>
      <c r="AJ967" s="1" t="s">
        <v>5849</v>
      </c>
      <c r="AK967" s="1" t="s">
        <v>5850</v>
      </c>
      <c r="AL967" s="1" t="s">
        <v>5851</v>
      </c>
      <c r="AM967" s="1" t="s">
        <v>5852</v>
      </c>
      <c r="AN967" s="1" t="s">
        <v>5853</v>
      </c>
      <c r="AO967" s="1" t="s">
        <v>5854</v>
      </c>
      <c r="AP967" s="2" t="s">
        <v>5855</v>
      </c>
      <c r="AQ967" s="2" t="s">
        <v>1077</v>
      </c>
      <c r="AR967" s="1" t="s">
        <v>286</v>
      </c>
      <c r="AS967" s="1"/>
      <c r="AT967" s="1" t="s">
        <v>5</v>
      </c>
    </row>
    <row r="968" spans="1:46" hidden="1" x14ac:dyDescent="0.4">
      <c r="A968" s="7" t="s">
        <v>5951</v>
      </c>
      <c r="B968" s="11"/>
      <c r="C968" s="1" t="s">
        <v>0</v>
      </c>
      <c r="D968" s="1" t="s">
        <v>2220</v>
      </c>
      <c r="E968" s="1" t="s">
        <v>2078</v>
      </c>
      <c r="F968" s="1" t="s">
        <v>14</v>
      </c>
      <c r="G968" s="1" t="s">
        <v>1</v>
      </c>
      <c r="H968" s="1" t="s">
        <v>6</v>
      </c>
      <c r="I968" s="1" t="s">
        <v>2</v>
      </c>
      <c r="J968" s="1" t="s">
        <v>3</v>
      </c>
      <c r="K968" s="1" t="s">
        <v>5952</v>
      </c>
      <c r="L968" s="1" t="s">
        <v>2231</v>
      </c>
      <c r="M968" s="1" t="s">
        <v>9</v>
      </c>
      <c r="N968" s="1" t="s">
        <v>5953</v>
      </c>
      <c r="O968" s="1" t="s">
        <v>5954</v>
      </c>
      <c r="P968" s="1"/>
      <c r="Q968" s="1"/>
      <c r="R968" s="1" t="s">
        <v>11</v>
      </c>
      <c r="S968" s="1"/>
      <c r="T968" s="1"/>
      <c r="U968" s="1"/>
      <c r="V968" s="1"/>
      <c r="W968" s="1"/>
      <c r="X968" s="1" t="s">
        <v>5955</v>
      </c>
      <c r="Y968" s="1"/>
      <c r="Z968" s="1"/>
      <c r="AA968" s="1"/>
      <c r="AB968" s="1"/>
      <c r="AC968" s="1"/>
      <c r="AD968" s="1"/>
      <c r="AE968" s="6" t="s">
        <v>5956</v>
      </c>
      <c r="AF968" s="1"/>
      <c r="AG968" s="1"/>
      <c r="AH968" s="1" t="s">
        <v>5957</v>
      </c>
      <c r="AI968" s="1"/>
      <c r="AJ968" s="1" t="s">
        <v>5958</v>
      </c>
      <c r="AK968" s="1" t="s">
        <v>5959</v>
      </c>
      <c r="AL968" s="1" t="s">
        <v>5960</v>
      </c>
      <c r="AM968" s="1" t="s">
        <v>5961</v>
      </c>
      <c r="AN968" s="1" t="s">
        <v>5959</v>
      </c>
      <c r="AO968" s="1" t="s">
        <v>5962</v>
      </c>
      <c r="AP968" s="2" t="s">
        <v>5963</v>
      </c>
      <c r="AQ968" s="2" t="s">
        <v>1077</v>
      </c>
      <c r="AR968" s="1" t="s">
        <v>287</v>
      </c>
      <c r="AS968" s="1" t="s">
        <v>5178</v>
      </c>
      <c r="AT968" s="1" t="s">
        <v>5</v>
      </c>
    </row>
    <row r="969" spans="1:46" hidden="1" x14ac:dyDescent="0.4">
      <c r="A969" s="7" t="s">
        <v>5976</v>
      </c>
      <c r="B969" s="11"/>
      <c r="C969" s="1" t="s">
        <v>2491</v>
      </c>
      <c r="D969" s="1" t="s">
        <v>2827</v>
      </c>
      <c r="E969" s="1" t="s">
        <v>2078</v>
      </c>
      <c r="F969" s="1" t="s">
        <v>14</v>
      </c>
      <c r="G969" s="1" t="s">
        <v>1</v>
      </c>
      <c r="H969" s="1" t="s">
        <v>6</v>
      </c>
      <c r="I969" s="1" t="s">
        <v>2</v>
      </c>
      <c r="J969" s="1" t="s">
        <v>2492</v>
      </c>
      <c r="K969" s="1" t="s">
        <v>5977</v>
      </c>
      <c r="L969" s="1" t="s">
        <v>7</v>
      </c>
      <c r="M969" s="1" t="s">
        <v>9</v>
      </c>
      <c r="N969" s="1" t="s">
        <v>5978</v>
      </c>
      <c r="O969" s="1" t="s">
        <v>5979</v>
      </c>
      <c r="P969" s="1"/>
      <c r="Q969" s="1"/>
      <c r="R969" s="1" t="s">
        <v>11</v>
      </c>
      <c r="S969" s="1"/>
      <c r="T969" s="1"/>
      <c r="U969" s="1"/>
      <c r="V969" s="1"/>
      <c r="W969" s="1"/>
      <c r="X969" s="1" t="s">
        <v>5980</v>
      </c>
      <c r="Y969" s="1"/>
      <c r="Z969" s="1"/>
      <c r="AA969" s="1"/>
      <c r="AB969" s="1"/>
      <c r="AC969" s="1"/>
      <c r="AD969" s="1"/>
      <c r="AE969" s="6" t="s">
        <v>5981</v>
      </c>
      <c r="AF969" s="1"/>
      <c r="AG969" s="1"/>
      <c r="AH969" s="1" t="s">
        <v>5982</v>
      </c>
      <c r="AI969" s="1"/>
      <c r="AJ969" s="1" t="s">
        <v>3769</v>
      </c>
      <c r="AK969" s="1" t="s">
        <v>3770</v>
      </c>
      <c r="AL969" s="1" t="s">
        <v>3771</v>
      </c>
      <c r="AM969" s="1" t="s">
        <v>5983</v>
      </c>
      <c r="AN969" s="1" t="s">
        <v>5984</v>
      </c>
      <c r="AO969" s="1" t="s">
        <v>5985</v>
      </c>
      <c r="AP969" s="2" t="s">
        <v>5986</v>
      </c>
      <c r="AQ969" s="2" t="s">
        <v>1154</v>
      </c>
      <c r="AR969" s="1" t="s">
        <v>286</v>
      </c>
      <c r="AS969" s="1" t="s">
        <v>5987</v>
      </c>
      <c r="AT969" s="1" t="s">
        <v>5</v>
      </c>
    </row>
    <row r="970" spans="1:46" hidden="1" x14ac:dyDescent="0.4">
      <c r="A970" s="7" t="s">
        <v>5988</v>
      </c>
      <c r="B970" s="11"/>
      <c r="C970" s="1" t="s">
        <v>1664</v>
      </c>
      <c r="D970" s="1" t="s">
        <v>2211</v>
      </c>
      <c r="E970" s="1" t="s">
        <v>2078</v>
      </c>
      <c r="F970" s="1" t="s">
        <v>14</v>
      </c>
      <c r="G970" s="1" t="s">
        <v>1</v>
      </c>
      <c r="H970" s="1" t="s">
        <v>6</v>
      </c>
      <c r="I970" s="1" t="s">
        <v>2</v>
      </c>
      <c r="J970" s="1" t="s">
        <v>3</v>
      </c>
      <c r="K970" s="1" t="s">
        <v>5989</v>
      </c>
      <c r="L970" s="1" t="s">
        <v>4</v>
      </c>
      <c r="M970" s="1" t="s">
        <v>9</v>
      </c>
      <c r="N970" s="1" t="s">
        <v>5990</v>
      </c>
      <c r="O970" s="1" t="s">
        <v>5146</v>
      </c>
      <c r="P970" s="1" t="s">
        <v>5991</v>
      </c>
      <c r="Q970" s="1"/>
      <c r="R970" s="1" t="s">
        <v>11</v>
      </c>
      <c r="S970" s="1"/>
      <c r="T970" s="1"/>
      <c r="U970" s="1"/>
      <c r="V970" s="1"/>
      <c r="W970" s="1" t="s">
        <v>5992</v>
      </c>
      <c r="X970" s="1" t="s">
        <v>5993</v>
      </c>
      <c r="Y970" s="1"/>
      <c r="Z970" s="1"/>
      <c r="AA970" s="1"/>
      <c r="AB970" s="1"/>
      <c r="AC970" s="1"/>
      <c r="AD970" s="1"/>
      <c r="AE970" s="6" t="s">
        <v>5994</v>
      </c>
      <c r="AF970" s="1"/>
      <c r="AG970" s="1"/>
      <c r="AH970" s="1" t="s">
        <v>5995</v>
      </c>
      <c r="AI970" s="1"/>
      <c r="AJ970" s="1" t="s">
        <v>1671</v>
      </c>
      <c r="AK970" s="1" t="s">
        <v>1672</v>
      </c>
      <c r="AL970" s="1" t="s">
        <v>1673</v>
      </c>
      <c r="AM970" s="1" t="s">
        <v>1671</v>
      </c>
      <c r="AN970" s="1" t="s">
        <v>1672</v>
      </c>
      <c r="AO970" s="1" t="s">
        <v>1673</v>
      </c>
      <c r="AP970" s="2" t="s">
        <v>5996</v>
      </c>
      <c r="AQ970" s="2" t="s">
        <v>1077</v>
      </c>
      <c r="AR970" s="1" t="s">
        <v>286</v>
      </c>
      <c r="AS970" s="1" t="s">
        <v>5997</v>
      </c>
      <c r="AT970" s="1" t="s">
        <v>5</v>
      </c>
    </row>
    <row r="971" spans="1:46" hidden="1" x14ac:dyDescent="0.4">
      <c r="A971" s="7" t="s">
        <v>6034</v>
      </c>
      <c r="B971" s="11"/>
      <c r="C971" s="1" t="s">
        <v>4980</v>
      </c>
      <c r="D971" s="1" t="s">
        <v>2157</v>
      </c>
      <c r="E971" s="1" t="s">
        <v>2078</v>
      </c>
      <c r="F971" s="1" t="s">
        <v>14</v>
      </c>
      <c r="G971" s="1" t="s">
        <v>1</v>
      </c>
      <c r="H971" s="1" t="s">
        <v>6</v>
      </c>
      <c r="I971" s="1" t="s">
        <v>2</v>
      </c>
      <c r="J971" s="1" t="s">
        <v>4519</v>
      </c>
      <c r="K971" s="1" t="s">
        <v>6035</v>
      </c>
      <c r="L971" s="1" t="s">
        <v>7</v>
      </c>
      <c r="M971" s="1"/>
      <c r="N971" s="1" t="s">
        <v>6036</v>
      </c>
      <c r="O971" s="1" t="s">
        <v>4208</v>
      </c>
      <c r="P971" s="1"/>
      <c r="Q971" s="1"/>
      <c r="R971" s="1" t="s">
        <v>11</v>
      </c>
      <c r="S971" s="1"/>
      <c r="T971" s="1"/>
      <c r="U971" s="1"/>
      <c r="V971" s="1"/>
      <c r="W971" s="1"/>
      <c r="X971" s="1" t="s">
        <v>6037</v>
      </c>
      <c r="Y971" s="1"/>
      <c r="Z971" s="1"/>
      <c r="AA971" s="1"/>
      <c r="AB971" s="1"/>
      <c r="AC971" s="1"/>
      <c r="AD971" s="1"/>
      <c r="AE971" s="6" t="s">
        <v>6038</v>
      </c>
      <c r="AF971" s="1"/>
      <c r="AG971" s="1"/>
      <c r="AH971" s="1" t="s">
        <v>6039</v>
      </c>
      <c r="AI971" s="1"/>
      <c r="AJ971" s="1" t="s">
        <v>4988</v>
      </c>
      <c r="AK971" s="1" t="s">
        <v>3521</v>
      </c>
      <c r="AL971" s="1" t="s">
        <v>4989</v>
      </c>
      <c r="AM971" s="1" t="s">
        <v>4988</v>
      </c>
      <c r="AN971" s="1" t="s">
        <v>3521</v>
      </c>
      <c r="AO971" s="1" t="s">
        <v>4989</v>
      </c>
      <c r="AP971" s="2" t="s">
        <v>6040</v>
      </c>
      <c r="AQ971" s="2" t="s">
        <v>1077</v>
      </c>
      <c r="AR971" s="1" t="s">
        <v>286</v>
      </c>
      <c r="AS971" s="1" t="s">
        <v>6041</v>
      </c>
      <c r="AT971" s="1" t="s">
        <v>5</v>
      </c>
    </row>
    <row r="972" spans="1:46" hidden="1" x14ac:dyDescent="0.4">
      <c r="A972" s="7" t="s">
        <v>6042</v>
      </c>
      <c r="B972" s="11"/>
      <c r="C972" s="1" t="s">
        <v>0</v>
      </c>
      <c r="D972" s="1" t="s">
        <v>2076</v>
      </c>
      <c r="E972" s="1" t="s">
        <v>2078</v>
      </c>
      <c r="F972" s="1" t="s">
        <v>14</v>
      </c>
      <c r="G972" s="1" t="s">
        <v>1</v>
      </c>
      <c r="H972" s="1" t="s">
        <v>6</v>
      </c>
      <c r="I972" s="1" t="s">
        <v>2</v>
      </c>
      <c r="J972" s="1" t="s">
        <v>3</v>
      </c>
      <c r="K972" s="1" t="s">
        <v>6043</v>
      </c>
      <c r="L972" s="1" t="s">
        <v>7</v>
      </c>
      <c r="M972" s="1" t="s">
        <v>9</v>
      </c>
      <c r="N972" s="1" t="s">
        <v>6044</v>
      </c>
      <c r="O972" s="1" t="s">
        <v>2214</v>
      </c>
      <c r="P972" s="1"/>
      <c r="Q972" s="1"/>
      <c r="R972" s="1" t="s">
        <v>11</v>
      </c>
      <c r="S972" s="1"/>
      <c r="T972" s="1"/>
      <c r="U972" s="1"/>
      <c r="V972" s="1"/>
      <c r="W972" s="1"/>
      <c r="X972" s="1" t="s">
        <v>6045</v>
      </c>
      <c r="Y972" s="1"/>
      <c r="Z972" s="1"/>
      <c r="AA972" s="1"/>
      <c r="AB972" s="1"/>
      <c r="AC972" s="1"/>
      <c r="AD972" s="1"/>
      <c r="AE972" s="6" t="s">
        <v>6046</v>
      </c>
      <c r="AF972" s="1"/>
      <c r="AG972" s="1"/>
      <c r="AH972" s="1" t="s">
        <v>6047</v>
      </c>
      <c r="AI972" s="1"/>
      <c r="AJ972" s="1" t="s">
        <v>160</v>
      </c>
      <c r="AK972" s="1" t="s">
        <v>515</v>
      </c>
      <c r="AL972" s="1" t="s">
        <v>161</v>
      </c>
      <c r="AM972" s="1" t="s">
        <v>6048</v>
      </c>
      <c r="AN972" s="1" t="s">
        <v>515</v>
      </c>
      <c r="AO972" s="1" t="s">
        <v>6049</v>
      </c>
      <c r="AP972" s="2" t="s">
        <v>6050</v>
      </c>
      <c r="AQ972" s="2" t="s">
        <v>1077</v>
      </c>
      <c r="AR972" s="1" t="s">
        <v>286</v>
      </c>
      <c r="AS972" s="1"/>
      <c r="AT972" s="1" t="s">
        <v>5</v>
      </c>
    </row>
    <row r="973" spans="1:46" hidden="1" x14ac:dyDescent="0.4">
      <c r="A973" s="7" t="s">
        <v>6064</v>
      </c>
      <c r="B973" s="11"/>
      <c r="C973" s="1" t="s">
        <v>0</v>
      </c>
      <c r="D973" s="1" t="s">
        <v>2211</v>
      </c>
      <c r="E973" s="1" t="s">
        <v>2078</v>
      </c>
      <c r="F973" s="1" t="s">
        <v>14</v>
      </c>
      <c r="G973" s="1" t="s">
        <v>1</v>
      </c>
      <c r="H973" s="1" t="s">
        <v>6</v>
      </c>
      <c r="I973" s="1" t="s">
        <v>2</v>
      </c>
      <c r="J973" s="1" t="s">
        <v>3</v>
      </c>
      <c r="K973" s="1" t="s">
        <v>6065</v>
      </c>
      <c r="L973" s="1" t="s">
        <v>4</v>
      </c>
      <c r="M973" s="1" t="s">
        <v>9</v>
      </c>
      <c r="N973" s="1" t="s">
        <v>6066</v>
      </c>
      <c r="O973" s="1" t="s">
        <v>6067</v>
      </c>
      <c r="P973" s="1"/>
      <c r="Q973" s="1"/>
      <c r="R973" s="1" t="s">
        <v>11</v>
      </c>
      <c r="S973" s="1"/>
      <c r="T973" s="1"/>
      <c r="U973" s="1"/>
      <c r="V973" s="1"/>
      <c r="W973" s="1"/>
      <c r="X973" s="1"/>
      <c r="Y973" s="1"/>
      <c r="Z973" s="1"/>
      <c r="AA973" s="1"/>
      <c r="AB973" s="1"/>
      <c r="AC973" s="1"/>
      <c r="AD973" s="1"/>
      <c r="AE973" s="6" t="s">
        <v>6068</v>
      </c>
      <c r="AF973" s="1"/>
      <c r="AG973" s="1"/>
      <c r="AH973" s="1" t="s">
        <v>6069</v>
      </c>
      <c r="AI973" s="1"/>
      <c r="AJ973" s="1" t="s">
        <v>1431</v>
      </c>
      <c r="AK973" s="1" t="s">
        <v>515</v>
      </c>
      <c r="AL973" s="1" t="s">
        <v>1432</v>
      </c>
      <c r="AM973" s="1" t="s">
        <v>5374</v>
      </c>
      <c r="AN973" s="1" t="s">
        <v>515</v>
      </c>
      <c r="AO973" s="1" t="s">
        <v>5375</v>
      </c>
      <c r="AP973" s="2" t="s">
        <v>6070</v>
      </c>
      <c r="AQ973" s="2" t="s">
        <v>1077</v>
      </c>
      <c r="AR973" s="1" t="s">
        <v>286</v>
      </c>
      <c r="AS973" s="1"/>
      <c r="AT973" s="1" t="s">
        <v>5</v>
      </c>
    </row>
    <row r="974" spans="1:46" hidden="1" x14ac:dyDescent="0.4">
      <c r="A974" s="7" t="s">
        <v>6078</v>
      </c>
      <c r="B974" s="11"/>
      <c r="C974" s="1" t="s">
        <v>0</v>
      </c>
      <c r="D974" s="1" t="s">
        <v>2396</v>
      </c>
      <c r="E974" s="1" t="s">
        <v>2078</v>
      </c>
      <c r="F974" s="1" t="s">
        <v>14</v>
      </c>
      <c r="G974" s="1" t="s">
        <v>1</v>
      </c>
      <c r="H974" s="1" t="s">
        <v>6</v>
      </c>
      <c r="I974" s="1" t="s">
        <v>2</v>
      </c>
      <c r="J974" s="1" t="s">
        <v>3</v>
      </c>
      <c r="K974" s="1" t="s">
        <v>6079</v>
      </c>
      <c r="L974" s="1" t="s">
        <v>4</v>
      </c>
      <c r="M974" s="1" t="s">
        <v>9</v>
      </c>
      <c r="N974" s="1" t="s">
        <v>6080</v>
      </c>
      <c r="O974" s="1" t="s">
        <v>6081</v>
      </c>
      <c r="P974" s="1"/>
      <c r="Q974" s="1"/>
      <c r="R974" s="1" t="s">
        <v>11</v>
      </c>
      <c r="S974" s="1"/>
      <c r="T974" s="1"/>
      <c r="U974" s="1"/>
      <c r="V974" s="1"/>
      <c r="W974" s="1" t="s">
        <v>6082</v>
      </c>
      <c r="X974" s="1"/>
      <c r="Y974" s="1"/>
      <c r="Z974" s="1"/>
      <c r="AA974" s="1"/>
      <c r="AB974" s="1"/>
      <c r="AC974" s="1"/>
      <c r="AD974" s="1"/>
      <c r="AE974" s="6" t="s">
        <v>6083</v>
      </c>
      <c r="AF974" s="1"/>
      <c r="AG974" s="1"/>
      <c r="AH974" s="1" t="s">
        <v>6084</v>
      </c>
      <c r="AI974" s="1"/>
      <c r="AJ974" s="1" t="s">
        <v>5958</v>
      </c>
      <c r="AK974" s="1" t="s">
        <v>5959</v>
      </c>
      <c r="AL974" s="1" t="s">
        <v>5960</v>
      </c>
      <c r="AM974" s="1" t="s">
        <v>6085</v>
      </c>
      <c r="AN974" s="1" t="s">
        <v>5959</v>
      </c>
      <c r="AO974" s="1"/>
      <c r="AP974" s="2" t="s">
        <v>6086</v>
      </c>
      <c r="AQ974" s="2" t="s">
        <v>1077</v>
      </c>
      <c r="AR974" s="1" t="s">
        <v>286</v>
      </c>
      <c r="AS974" s="1" t="s">
        <v>6087</v>
      </c>
      <c r="AT974" s="1" t="s">
        <v>5</v>
      </c>
    </row>
    <row r="975" spans="1:46" hidden="1" x14ac:dyDescent="0.4">
      <c r="A975" s="7" t="s">
        <v>6096</v>
      </c>
      <c r="B975" s="11"/>
      <c r="C975" s="1" t="s">
        <v>0</v>
      </c>
      <c r="D975" s="1" t="s">
        <v>2157</v>
      </c>
      <c r="E975" s="1" t="s">
        <v>2078</v>
      </c>
      <c r="F975" s="1" t="s">
        <v>14</v>
      </c>
      <c r="G975" s="1" t="s">
        <v>1</v>
      </c>
      <c r="H975" s="1" t="s">
        <v>6</v>
      </c>
      <c r="I975" s="1" t="s">
        <v>2</v>
      </c>
      <c r="J975" s="1" t="s">
        <v>3</v>
      </c>
      <c r="K975" s="1" t="s">
        <v>6097</v>
      </c>
      <c r="L975" s="1" t="s">
        <v>7</v>
      </c>
      <c r="M975" s="1" t="s">
        <v>9</v>
      </c>
      <c r="N975" s="1" t="s">
        <v>6098</v>
      </c>
      <c r="O975" s="1" t="s">
        <v>3820</v>
      </c>
      <c r="P975" s="1"/>
      <c r="Q975" s="1"/>
      <c r="R975" s="1" t="s">
        <v>11</v>
      </c>
      <c r="S975" s="1"/>
      <c r="T975" s="1"/>
      <c r="U975" s="1"/>
      <c r="V975" s="1"/>
      <c r="W975" s="1"/>
      <c r="X975" s="1" t="s">
        <v>6099</v>
      </c>
      <c r="Y975" s="1"/>
      <c r="Z975" s="1"/>
      <c r="AA975" s="1"/>
      <c r="AB975" s="1"/>
      <c r="AC975" s="1"/>
      <c r="AD975" s="1"/>
      <c r="AE975" s="6" t="s">
        <v>6100</v>
      </c>
      <c r="AF975" s="1"/>
      <c r="AG975" s="1"/>
      <c r="AH975" s="1" t="s">
        <v>6101</v>
      </c>
      <c r="AI975" s="1"/>
      <c r="AJ975" s="1" t="s">
        <v>2892</v>
      </c>
      <c r="AK975" s="1" t="s">
        <v>6102</v>
      </c>
      <c r="AL975" s="1" t="s">
        <v>2894</v>
      </c>
      <c r="AM975" s="1" t="s">
        <v>6103</v>
      </c>
      <c r="AN975" s="1" t="s">
        <v>6102</v>
      </c>
      <c r="AO975" s="1" t="s">
        <v>6104</v>
      </c>
      <c r="AP975" s="2" t="s">
        <v>6105</v>
      </c>
      <c r="AQ975" s="2" t="s">
        <v>1077</v>
      </c>
      <c r="AR975" s="1" t="s">
        <v>286</v>
      </c>
      <c r="AS975" s="1"/>
      <c r="AT975" s="1" t="s">
        <v>5</v>
      </c>
    </row>
    <row r="976" spans="1:46" hidden="1" x14ac:dyDescent="0.4">
      <c r="A976" s="7" t="s">
        <v>6118</v>
      </c>
      <c r="B976" s="11"/>
      <c r="C976" s="1" t="s">
        <v>93</v>
      </c>
      <c r="D976" s="1" t="s">
        <v>2220</v>
      </c>
      <c r="E976" s="1" t="s">
        <v>2078</v>
      </c>
      <c r="F976" s="1" t="s">
        <v>14</v>
      </c>
      <c r="G976" s="1" t="s">
        <v>1</v>
      </c>
      <c r="H976" s="1" t="s">
        <v>6</v>
      </c>
      <c r="I976" s="1" t="s">
        <v>2</v>
      </c>
      <c r="J976" s="1" t="s">
        <v>3</v>
      </c>
      <c r="K976" s="1" t="s">
        <v>6119</v>
      </c>
      <c r="L976" s="1" t="s">
        <v>7</v>
      </c>
      <c r="M976" s="1"/>
      <c r="N976" s="1" t="s">
        <v>6120</v>
      </c>
      <c r="O976" s="1" t="s">
        <v>6121</v>
      </c>
      <c r="P976" s="1"/>
      <c r="Q976" s="1"/>
      <c r="R976" s="1" t="s">
        <v>11</v>
      </c>
      <c r="S976" s="1"/>
      <c r="T976" s="1"/>
      <c r="U976" s="1"/>
      <c r="V976" s="1"/>
      <c r="W976" s="1" t="s">
        <v>6122</v>
      </c>
      <c r="X976" s="1" t="s">
        <v>6123</v>
      </c>
      <c r="Y976" s="1"/>
      <c r="Z976" s="1"/>
      <c r="AA976" s="1"/>
      <c r="AB976" s="1"/>
      <c r="AC976" s="1"/>
      <c r="AD976" s="1"/>
      <c r="AE976" s="6" t="s">
        <v>6124</v>
      </c>
      <c r="AF976" s="1"/>
      <c r="AG976" s="1"/>
      <c r="AH976" s="1" t="s">
        <v>6125</v>
      </c>
      <c r="AI976" s="1"/>
      <c r="AJ976" s="1" t="s">
        <v>4386</v>
      </c>
      <c r="AK976" s="1" t="s">
        <v>3792</v>
      </c>
      <c r="AL976" s="1" t="s">
        <v>4387</v>
      </c>
      <c r="AM976" s="1" t="s">
        <v>4386</v>
      </c>
      <c r="AN976" s="1" t="s">
        <v>3792</v>
      </c>
      <c r="AO976" s="1" t="s">
        <v>4387</v>
      </c>
      <c r="AP976" s="2" t="s">
        <v>6126</v>
      </c>
      <c r="AQ976" s="2" t="s">
        <v>1077</v>
      </c>
      <c r="AR976" s="1" t="s">
        <v>286</v>
      </c>
      <c r="AS976" s="1"/>
      <c r="AT976" s="1" t="s">
        <v>5</v>
      </c>
    </row>
    <row r="977" spans="1:46" hidden="1" x14ac:dyDescent="0.4">
      <c r="A977" s="7" t="s">
        <v>6164</v>
      </c>
      <c r="B977" s="11"/>
      <c r="C977" s="1" t="s">
        <v>0</v>
      </c>
      <c r="D977" s="1" t="s">
        <v>2076</v>
      </c>
      <c r="E977" s="1" t="s">
        <v>2078</v>
      </c>
      <c r="F977" s="1" t="s">
        <v>14</v>
      </c>
      <c r="G977" s="1" t="s">
        <v>1</v>
      </c>
      <c r="H977" s="1" t="s">
        <v>6</v>
      </c>
      <c r="I977" s="1" t="s">
        <v>2</v>
      </c>
      <c r="J977" s="1" t="s">
        <v>3</v>
      </c>
      <c r="K977" s="1" t="s">
        <v>6165</v>
      </c>
      <c r="L977" s="1" t="s">
        <v>4</v>
      </c>
      <c r="M977" s="1" t="s">
        <v>9</v>
      </c>
      <c r="N977" s="1" t="s">
        <v>6166</v>
      </c>
      <c r="O977" s="1" t="s">
        <v>2911</v>
      </c>
      <c r="P977" s="1"/>
      <c r="Q977" s="1"/>
      <c r="R977" s="1" t="s">
        <v>11</v>
      </c>
      <c r="S977" s="1"/>
      <c r="T977" s="1"/>
      <c r="U977" s="1"/>
      <c r="V977" s="1"/>
      <c r="W977" s="1"/>
      <c r="X977" s="1" t="s">
        <v>6167</v>
      </c>
      <c r="Y977" s="1"/>
      <c r="Z977" s="1"/>
      <c r="AA977" s="1"/>
      <c r="AB977" s="1"/>
      <c r="AC977" s="1"/>
      <c r="AD977" s="1"/>
      <c r="AE977" s="6" t="s">
        <v>6168</v>
      </c>
      <c r="AF977" s="1"/>
      <c r="AG977" s="1"/>
      <c r="AH977" s="1" t="s">
        <v>6169</v>
      </c>
      <c r="AI977" s="1"/>
      <c r="AJ977" s="1" t="s">
        <v>6170</v>
      </c>
      <c r="AK977" s="1" t="s">
        <v>1579</v>
      </c>
      <c r="AL977" s="1"/>
      <c r="AM977" s="1" t="s">
        <v>6171</v>
      </c>
      <c r="AN977" s="1" t="s">
        <v>1579</v>
      </c>
      <c r="AO977" s="1"/>
      <c r="AP977" s="2" t="s">
        <v>6172</v>
      </c>
      <c r="AQ977" s="2" t="s">
        <v>1077</v>
      </c>
      <c r="AR977" s="1" t="s">
        <v>286</v>
      </c>
      <c r="AS977" s="1"/>
      <c r="AT977" s="1" t="s">
        <v>5</v>
      </c>
    </row>
    <row r="978" spans="1:46" hidden="1" x14ac:dyDescent="0.4">
      <c r="A978" s="7" t="s">
        <v>6267</v>
      </c>
      <c r="B978" s="11"/>
      <c r="C978" s="1" t="s">
        <v>93</v>
      </c>
      <c r="D978" s="1" t="s">
        <v>2211</v>
      </c>
      <c r="E978" s="1" t="s">
        <v>2078</v>
      </c>
      <c r="F978" s="1" t="s">
        <v>14</v>
      </c>
      <c r="G978" s="1" t="s">
        <v>1</v>
      </c>
      <c r="H978" s="1" t="s">
        <v>6</v>
      </c>
      <c r="I978" s="1" t="s">
        <v>2</v>
      </c>
      <c r="J978" s="1" t="s">
        <v>3</v>
      </c>
      <c r="K978" s="1" t="s">
        <v>6268</v>
      </c>
      <c r="L978" s="1" t="s">
        <v>7</v>
      </c>
      <c r="M978" s="1"/>
      <c r="N978" s="1" t="s">
        <v>6269</v>
      </c>
      <c r="O978" s="1" t="s">
        <v>6270</v>
      </c>
      <c r="P978" s="1"/>
      <c r="Q978" s="1"/>
      <c r="R978" s="1" t="s">
        <v>11</v>
      </c>
      <c r="S978" s="1"/>
      <c r="T978" s="1"/>
      <c r="U978" s="1"/>
      <c r="V978" s="1"/>
      <c r="W978" s="1"/>
      <c r="X978" s="1"/>
      <c r="Y978" s="1"/>
      <c r="Z978" s="1"/>
      <c r="AA978" s="1"/>
      <c r="AB978" s="1"/>
      <c r="AC978" s="1"/>
      <c r="AD978" s="1"/>
      <c r="AE978" s="6" t="s">
        <v>6271</v>
      </c>
      <c r="AF978" s="1"/>
      <c r="AG978" s="1"/>
      <c r="AH978" s="1" t="s">
        <v>6272</v>
      </c>
      <c r="AI978" s="1" t="s">
        <v>6273</v>
      </c>
      <c r="AJ978" s="1" t="s">
        <v>6274</v>
      </c>
      <c r="AK978" s="1" t="s">
        <v>6275</v>
      </c>
      <c r="AL978" s="1" t="s">
        <v>6276</v>
      </c>
      <c r="AM978" s="1" t="s">
        <v>6274</v>
      </c>
      <c r="AN978" s="1" t="s">
        <v>6275</v>
      </c>
      <c r="AO978" s="1" t="s">
        <v>6276</v>
      </c>
      <c r="AP978" s="2" t="s">
        <v>6277</v>
      </c>
      <c r="AQ978" s="2" t="s">
        <v>1077</v>
      </c>
      <c r="AR978" s="1" t="s">
        <v>286</v>
      </c>
      <c r="AS978" s="1"/>
      <c r="AT978" s="1" t="s">
        <v>5</v>
      </c>
    </row>
    <row r="979" spans="1:46" hidden="1" x14ac:dyDescent="0.4">
      <c r="A979" s="7" t="s">
        <v>6344</v>
      </c>
      <c r="B979" s="11"/>
      <c r="C979" s="1" t="s">
        <v>0</v>
      </c>
      <c r="D979" s="1" t="s">
        <v>2211</v>
      </c>
      <c r="E979" s="1" t="s">
        <v>2078</v>
      </c>
      <c r="F979" s="1" t="s">
        <v>14</v>
      </c>
      <c r="G979" s="1" t="s">
        <v>1</v>
      </c>
      <c r="H979" s="1" t="s">
        <v>6</v>
      </c>
      <c r="I979" s="1" t="s">
        <v>2</v>
      </c>
      <c r="J979" s="1" t="s">
        <v>3</v>
      </c>
      <c r="K979" s="1" t="s">
        <v>6345</v>
      </c>
      <c r="L979" s="1" t="s">
        <v>7</v>
      </c>
      <c r="M979" s="1" t="s">
        <v>9</v>
      </c>
      <c r="N979" s="1" t="s">
        <v>6346</v>
      </c>
      <c r="O979" s="1" t="s">
        <v>3068</v>
      </c>
      <c r="P979" s="1"/>
      <c r="Q979" s="1"/>
      <c r="R979" s="1" t="s">
        <v>11</v>
      </c>
      <c r="S979" s="1"/>
      <c r="T979" s="1"/>
      <c r="U979" s="1"/>
      <c r="V979" s="1"/>
      <c r="W979" s="1"/>
      <c r="X979" s="1"/>
      <c r="Y979" s="1"/>
      <c r="Z979" s="1"/>
      <c r="AA979" s="1"/>
      <c r="AB979" s="1"/>
      <c r="AC979" s="1"/>
      <c r="AD979" s="1"/>
      <c r="AE979" s="6" t="s">
        <v>6347</v>
      </c>
      <c r="AF979" s="1"/>
      <c r="AG979" s="1"/>
      <c r="AH979" s="1" t="s">
        <v>6348</v>
      </c>
      <c r="AI979" s="1"/>
      <c r="AJ979" s="1" t="s">
        <v>6349</v>
      </c>
      <c r="AK979" s="1" t="s">
        <v>5959</v>
      </c>
      <c r="AL979" s="1" t="s">
        <v>6350</v>
      </c>
      <c r="AM979" s="1" t="s">
        <v>5961</v>
      </c>
      <c r="AN979" s="1" t="s">
        <v>5959</v>
      </c>
      <c r="AO979" s="1" t="s">
        <v>5962</v>
      </c>
      <c r="AP979" s="2" t="s">
        <v>6351</v>
      </c>
      <c r="AQ979" s="2" t="s">
        <v>1077</v>
      </c>
      <c r="AR979" s="1" t="s">
        <v>286</v>
      </c>
      <c r="AS979" s="1"/>
      <c r="AT979" s="1" t="s">
        <v>5</v>
      </c>
    </row>
    <row r="980" spans="1:46" hidden="1" x14ac:dyDescent="0.4">
      <c r="A980" s="7" t="s">
        <v>6352</v>
      </c>
      <c r="B980" s="11"/>
      <c r="C980" s="1" t="s">
        <v>0</v>
      </c>
      <c r="D980" s="1" t="s">
        <v>2827</v>
      </c>
      <c r="E980" s="1" t="s">
        <v>2078</v>
      </c>
      <c r="F980" s="1" t="s">
        <v>14</v>
      </c>
      <c r="G980" s="1" t="s">
        <v>1</v>
      </c>
      <c r="H980" s="1" t="s">
        <v>6</v>
      </c>
      <c r="I980" s="1" t="s">
        <v>2</v>
      </c>
      <c r="J980" s="1" t="s">
        <v>3</v>
      </c>
      <c r="K980" s="1" t="s">
        <v>6353</v>
      </c>
      <c r="L980" s="1" t="s">
        <v>7</v>
      </c>
      <c r="M980" s="1" t="s">
        <v>9</v>
      </c>
      <c r="N980" s="1" t="s">
        <v>6354</v>
      </c>
      <c r="O980" s="1" t="s">
        <v>6355</v>
      </c>
      <c r="P980" s="1"/>
      <c r="Q980" s="1"/>
      <c r="R980" s="1" t="s">
        <v>11</v>
      </c>
      <c r="S980" s="1"/>
      <c r="T980" s="1"/>
      <c r="U980" s="1"/>
      <c r="V980" s="1"/>
      <c r="W980" s="1"/>
      <c r="X980" s="1" t="s">
        <v>6356</v>
      </c>
      <c r="Y980" s="1"/>
      <c r="Z980" s="1"/>
      <c r="AA980" s="1"/>
      <c r="AB980" s="1"/>
      <c r="AC980" s="1"/>
      <c r="AD980" s="1"/>
      <c r="AE980" s="6" t="s">
        <v>6357</v>
      </c>
      <c r="AF980" s="1"/>
      <c r="AG980" s="1"/>
      <c r="AH980" s="1" t="s">
        <v>6358</v>
      </c>
      <c r="AI980" s="1"/>
      <c r="AJ980" s="1" t="s">
        <v>6359</v>
      </c>
      <c r="AK980" s="1" t="s">
        <v>3005</v>
      </c>
      <c r="AL980" s="1" t="s">
        <v>6360</v>
      </c>
      <c r="AM980" s="1" t="s">
        <v>6361</v>
      </c>
      <c r="AN980" s="1" t="s">
        <v>3005</v>
      </c>
      <c r="AO980" s="1" t="s">
        <v>6362</v>
      </c>
      <c r="AP980" s="2" t="s">
        <v>6363</v>
      </c>
      <c r="AQ980" s="2" t="s">
        <v>1077</v>
      </c>
      <c r="AR980" s="1" t="s">
        <v>286</v>
      </c>
      <c r="AS980" s="1"/>
      <c r="AT980" s="1" t="s">
        <v>5</v>
      </c>
    </row>
    <row r="981" spans="1:46" hidden="1" x14ac:dyDescent="0.4">
      <c r="A981" s="7" t="s">
        <v>6405</v>
      </c>
      <c r="B981" s="11"/>
      <c r="C981" s="1" t="s">
        <v>0</v>
      </c>
      <c r="D981" s="1" t="s">
        <v>2157</v>
      </c>
      <c r="E981" s="1" t="s">
        <v>2078</v>
      </c>
      <c r="F981" s="1" t="s">
        <v>14</v>
      </c>
      <c r="G981" s="1" t="s">
        <v>1</v>
      </c>
      <c r="H981" s="1" t="s">
        <v>6</v>
      </c>
      <c r="I981" s="1" t="s">
        <v>2</v>
      </c>
      <c r="J981" s="1" t="s">
        <v>3</v>
      </c>
      <c r="K981" s="1" t="s">
        <v>6406</v>
      </c>
      <c r="L981" s="1" t="s">
        <v>7</v>
      </c>
      <c r="M981" s="1" t="s">
        <v>9</v>
      </c>
      <c r="N981" s="1" t="s">
        <v>6407</v>
      </c>
      <c r="O981" s="1" t="s">
        <v>6408</v>
      </c>
      <c r="P981" s="1"/>
      <c r="Q981" s="1"/>
      <c r="R981" s="1" t="s">
        <v>11</v>
      </c>
      <c r="S981" s="1"/>
      <c r="T981" s="1"/>
      <c r="U981" s="1"/>
      <c r="V981" s="1"/>
      <c r="W981" s="1"/>
      <c r="X981" s="1"/>
      <c r="Y981" s="1"/>
      <c r="Z981" s="1"/>
      <c r="AA981" s="1"/>
      <c r="AB981" s="1"/>
      <c r="AC981" s="1"/>
      <c r="AD981" s="1"/>
      <c r="AE981" s="6" t="s">
        <v>6409</v>
      </c>
      <c r="AF981" s="1"/>
      <c r="AG981" s="1"/>
      <c r="AH981" s="1" t="s">
        <v>6410</v>
      </c>
      <c r="AI981" s="1"/>
      <c r="AJ981" s="1" t="s">
        <v>6411</v>
      </c>
      <c r="AK981" s="1" t="s">
        <v>6412</v>
      </c>
      <c r="AL981" s="1" t="s">
        <v>6413</v>
      </c>
      <c r="AM981" s="1" t="s">
        <v>6414</v>
      </c>
      <c r="AN981" s="1" t="s">
        <v>6412</v>
      </c>
      <c r="AO981" s="1" t="s">
        <v>6415</v>
      </c>
      <c r="AP981" s="2" t="s">
        <v>6416</v>
      </c>
      <c r="AQ981" s="2" t="s">
        <v>1077</v>
      </c>
      <c r="AR981" s="1" t="s">
        <v>286</v>
      </c>
      <c r="AS981" s="1"/>
      <c r="AT981" s="1" t="s">
        <v>5</v>
      </c>
    </row>
    <row r="982" spans="1:46" hidden="1" x14ac:dyDescent="0.4">
      <c r="A982" s="7" t="s">
        <v>6417</v>
      </c>
      <c r="B982" s="11"/>
      <c r="C982" s="1" t="s">
        <v>0</v>
      </c>
      <c r="D982" s="1" t="s">
        <v>2157</v>
      </c>
      <c r="E982" s="1" t="s">
        <v>2078</v>
      </c>
      <c r="F982" s="1" t="s">
        <v>14</v>
      </c>
      <c r="G982" s="1" t="s">
        <v>1</v>
      </c>
      <c r="H982" s="1" t="s">
        <v>6</v>
      </c>
      <c r="I982" s="1" t="s">
        <v>2</v>
      </c>
      <c r="J982" s="1" t="s">
        <v>3</v>
      </c>
      <c r="K982" s="1" t="s">
        <v>6418</v>
      </c>
      <c r="L982" s="1" t="s">
        <v>7</v>
      </c>
      <c r="M982" s="1" t="s">
        <v>9</v>
      </c>
      <c r="N982" s="1" t="s">
        <v>6419</v>
      </c>
      <c r="O982" s="1" t="s">
        <v>6408</v>
      </c>
      <c r="P982" s="1"/>
      <c r="Q982" s="1"/>
      <c r="R982" s="1" t="s">
        <v>11</v>
      </c>
      <c r="S982" s="1"/>
      <c r="T982" s="1"/>
      <c r="U982" s="1"/>
      <c r="V982" s="1"/>
      <c r="W982" s="1"/>
      <c r="X982" s="1"/>
      <c r="Y982" s="1"/>
      <c r="Z982" s="1"/>
      <c r="AA982" s="1"/>
      <c r="AB982" s="1"/>
      <c r="AC982" s="1"/>
      <c r="AD982" s="1"/>
      <c r="AE982" s="6" t="s">
        <v>6409</v>
      </c>
      <c r="AF982" s="1"/>
      <c r="AG982" s="1"/>
      <c r="AH982" s="1" t="s">
        <v>6420</v>
      </c>
      <c r="AI982" s="1"/>
      <c r="AJ982" s="1" t="s">
        <v>6411</v>
      </c>
      <c r="AK982" s="1" t="s">
        <v>6412</v>
      </c>
      <c r="AL982" s="1" t="s">
        <v>6413</v>
      </c>
      <c r="AM982" s="1" t="s">
        <v>6414</v>
      </c>
      <c r="AN982" s="1" t="s">
        <v>6412</v>
      </c>
      <c r="AO982" s="1" t="s">
        <v>6415</v>
      </c>
      <c r="AP982" s="2" t="s">
        <v>6421</v>
      </c>
      <c r="AQ982" s="2" t="s">
        <v>1077</v>
      </c>
      <c r="AR982" s="1" t="s">
        <v>286</v>
      </c>
      <c r="AS982" s="1"/>
      <c r="AT982" s="1" t="s">
        <v>5</v>
      </c>
    </row>
    <row r="983" spans="1:46" hidden="1" x14ac:dyDescent="0.4">
      <c r="A983" s="7" t="s">
        <v>6422</v>
      </c>
      <c r="B983" s="11"/>
      <c r="C983" s="1" t="s">
        <v>2705</v>
      </c>
      <c r="D983" s="1" t="s">
        <v>2220</v>
      </c>
      <c r="E983" s="1" t="s">
        <v>2078</v>
      </c>
      <c r="F983" s="1" t="s">
        <v>14</v>
      </c>
      <c r="G983" s="1" t="s">
        <v>1</v>
      </c>
      <c r="H983" s="1" t="s">
        <v>6</v>
      </c>
      <c r="I983" s="1" t="s">
        <v>2</v>
      </c>
      <c r="J983" s="1" t="s">
        <v>2813</v>
      </c>
      <c r="K983" s="1" t="s">
        <v>6423</v>
      </c>
      <c r="L983" s="1" t="s">
        <v>7</v>
      </c>
      <c r="M983" s="1" t="s">
        <v>9</v>
      </c>
      <c r="N983" s="1" t="s">
        <v>6424</v>
      </c>
      <c r="O983" s="1" t="s">
        <v>6425</v>
      </c>
      <c r="P983" s="1"/>
      <c r="Q983" s="1"/>
      <c r="R983" s="1" t="s">
        <v>11</v>
      </c>
      <c r="S983" s="1"/>
      <c r="T983" s="1"/>
      <c r="U983" s="1"/>
      <c r="V983" s="1"/>
      <c r="W983" s="1"/>
      <c r="X983" s="1" t="s">
        <v>6426</v>
      </c>
      <c r="Y983" s="1"/>
      <c r="Z983" s="1"/>
      <c r="AA983" s="1"/>
      <c r="AB983" s="1"/>
      <c r="AC983" s="1"/>
      <c r="AD983" s="1"/>
      <c r="AE983" s="6" t="s">
        <v>6427</v>
      </c>
      <c r="AF983" s="1"/>
      <c r="AG983" s="1"/>
      <c r="AH983" s="1" t="s">
        <v>6428</v>
      </c>
      <c r="AI983" s="1"/>
      <c r="AJ983" s="1" t="s">
        <v>3920</v>
      </c>
      <c r="AK983" s="1" t="s">
        <v>3921</v>
      </c>
      <c r="AL983" s="1" t="s">
        <v>3922</v>
      </c>
      <c r="AM983" s="1" t="s">
        <v>6429</v>
      </c>
      <c r="AN983" s="1" t="s">
        <v>3921</v>
      </c>
      <c r="AO983" s="1" t="s">
        <v>6430</v>
      </c>
      <c r="AP983" s="2" t="s">
        <v>6431</v>
      </c>
      <c r="AQ983" s="2" t="s">
        <v>1077</v>
      </c>
      <c r="AR983" s="1" t="s">
        <v>286</v>
      </c>
      <c r="AS983" s="1"/>
      <c r="AT983" s="1" t="s">
        <v>5</v>
      </c>
    </row>
    <row r="984" spans="1:46" hidden="1" x14ac:dyDescent="0.4">
      <c r="A984" s="7" t="s">
        <v>6455</v>
      </c>
      <c r="B984" s="11"/>
      <c r="C984" s="1" t="s">
        <v>0</v>
      </c>
      <c r="D984" s="1" t="s">
        <v>2157</v>
      </c>
      <c r="E984" s="1" t="s">
        <v>2078</v>
      </c>
      <c r="F984" s="1" t="s">
        <v>14</v>
      </c>
      <c r="G984" s="1" t="s">
        <v>1</v>
      </c>
      <c r="H984" s="1" t="s">
        <v>6</v>
      </c>
      <c r="I984" s="1" t="s">
        <v>2</v>
      </c>
      <c r="J984" s="1" t="s">
        <v>3</v>
      </c>
      <c r="K984" s="1" t="s">
        <v>6456</v>
      </c>
      <c r="L984" s="1" t="s">
        <v>4</v>
      </c>
      <c r="M984" s="1" t="s">
        <v>9</v>
      </c>
      <c r="N984" s="1" t="s">
        <v>6457</v>
      </c>
      <c r="O984" s="1" t="s">
        <v>6408</v>
      </c>
      <c r="P984" s="1"/>
      <c r="Q984" s="1"/>
      <c r="R984" s="1" t="s">
        <v>11</v>
      </c>
      <c r="S984" s="1"/>
      <c r="T984" s="1"/>
      <c r="U984" s="1"/>
      <c r="V984" s="1"/>
      <c r="W984" s="1"/>
      <c r="X984" s="1"/>
      <c r="Y984" s="1"/>
      <c r="Z984" s="1"/>
      <c r="AA984" s="1"/>
      <c r="AB984" s="1"/>
      <c r="AC984" s="1"/>
      <c r="AD984" s="1"/>
      <c r="AE984" s="6" t="s">
        <v>6409</v>
      </c>
      <c r="AF984" s="1"/>
      <c r="AG984" s="1"/>
      <c r="AH984" s="1" t="s">
        <v>6458</v>
      </c>
      <c r="AI984" s="1"/>
      <c r="AJ984" s="1" t="s">
        <v>6411</v>
      </c>
      <c r="AK984" s="1" t="s">
        <v>6412</v>
      </c>
      <c r="AL984" s="1" t="s">
        <v>6413</v>
      </c>
      <c r="AM984" s="1" t="s">
        <v>6414</v>
      </c>
      <c r="AN984" s="1" t="s">
        <v>6412</v>
      </c>
      <c r="AO984" s="1" t="s">
        <v>6415</v>
      </c>
      <c r="AP984" s="2" t="s">
        <v>6459</v>
      </c>
      <c r="AQ984" s="2" t="s">
        <v>1077</v>
      </c>
      <c r="AR984" s="1" t="s">
        <v>286</v>
      </c>
      <c r="AS984" s="1"/>
      <c r="AT984" s="1" t="s">
        <v>5</v>
      </c>
    </row>
    <row r="985" spans="1:46" hidden="1" x14ac:dyDescent="0.4">
      <c r="A985" s="7" t="s">
        <v>6505</v>
      </c>
      <c r="B985" s="11"/>
      <c r="C985" s="1" t="s">
        <v>0</v>
      </c>
      <c r="D985" s="1" t="s">
        <v>2157</v>
      </c>
      <c r="E985" s="1" t="s">
        <v>2078</v>
      </c>
      <c r="F985" s="1" t="s">
        <v>14</v>
      </c>
      <c r="G985" s="1" t="s">
        <v>1</v>
      </c>
      <c r="H985" s="1" t="s">
        <v>6</v>
      </c>
      <c r="I985" s="1" t="s">
        <v>2</v>
      </c>
      <c r="J985" s="1" t="s">
        <v>3</v>
      </c>
      <c r="K985" s="1" t="s">
        <v>6506</v>
      </c>
      <c r="L985" s="1" t="s">
        <v>4</v>
      </c>
      <c r="M985" s="1" t="s">
        <v>9</v>
      </c>
      <c r="N985" s="1" t="s">
        <v>6507</v>
      </c>
      <c r="O985" s="1" t="s">
        <v>3616</v>
      </c>
      <c r="P985" s="1"/>
      <c r="Q985" s="1"/>
      <c r="R985" s="1" t="s">
        <v>11</v>
      </c>
      <c r="S985" s="1"/>
      <c r="T985" s="1"/>
      <c r="U985" s="1"/>
      <c r="V985" s="1"/>
      <c r="W985" s="1"/>
      <c r="X985" s="1" t="s">
        <v>6508</v>
      </c>
      <c r="Y985" s="1"/>
      <c r="Z985" s="1"/>
      <c r="AA985" s="1"/>
      <c r="AB985" s="1"/>
      <c r="AC985" s="1"/>
      <c r="AD985" s="1"/>
      <c r="AE985" s="6" t="s">
        <v>6509</v>
      </c>
      <c r="AF985" s="1"/>
      <c r="AG985" s="1"/>
      <c r="AH985" s="1" t="s">
        <v>6510</v>
      </c>
      <c r="AI985" s="1"/>
      <c r="AJ985" s="1" t="s">
        <v>6359</v>
      </c>
      <c r="AK985" s="1" t="s">
        <v>3005</v>
      </c>
      <c r="AL985" s="1" t="s">
        <v>6360</v>
      </c>
      <c r="AM985" s="1" t="s">
        <v>6361</v>
      </c>
      <c r="AN985" s="1" t="s">
        <v>3005</v>
      </c>
      <c r="AO985" s="1" t="s">
        <v>6362</v>
      </c>
      <c r="AP985" s="2" t="s">
        <v>6511</v>
      </c>
      <c r="AQ985" s="2" t="s">
        <v>1077</v>
      </c>
      <c r="AR985" s="1" t="s">
        <v>286</v>
      </c>
      <c r="AS985" s="1"/>
      <c r="AT985" s="1" t="s">
        <v>5</v>
      </c>
    </row>
    <row r="986" spans="1:46" hidden="1" x14ac:dyDescent="0.4">
      <c r="A986" s="7" t="s">
        <v>6638</v>
      </c>
      <c r="B986" s="11"/>
      <c r="C986" s="1" t="s">
        <v>93</v>
      </c>
      <c r="D986" s="1" t="s">
        <v>2827</v>
      </c>
      <c r="E986" s="1" t="s">
        <v>2078</v>
      </c>
      <c r="F986" s="1" t="s">
        <v>14</v>
      </c>
      <c r="G986" s="1" t="s">
        <v>1</v>
      </c>
      <c r="H986" s="1" t="s">
        <v>6</v>
      </c>
      <c r="I986" s="1" t="s">
        <v>2</v>
      </c>
      <c r="J986" s="1" t="s">
        <v>3</v>
      </c>
      <c r="K986" s="1" t="s">
        <v>6639</v>
      </c>
      <c r="L986" s="1" t="s">
        <v>7</v>
      </c>
      <c r="M986" s="1"/>
      <c r="N986" s="1" t="s">
        <v>6640</v>
      </c>
      <c r="O986" s="1" t="s">
        <v>6641</v>
      </c>
      <c r="P986" s="1"/>
      <c r="Q986" s="1"/>
      <c r="R986" s="1" t="s">
        <v>11</v>
      </c>
      <c r="S986" s="1"/>
      <c r="T986" s="1"/>
      <c r="U986" s="1"/>
      <c r="V986" s="1"/>
      <c r="W986" s="1"/>
      <c r="X986" s="1"/>
      <c r="Y986" s="1"/>
      <c r="Z986" s="1"/>
      <c r="AA986" s="1"/>
      <c r="AB986" s="1"/>
      <c r="AC986" s="1"/>
      <c r="AD986" s="1"/>
      <c r="AE986" s="6" t="s">
        <v>6642</v>
      </c>
      <c r="AF986" s="1"/>
      <c r="AG986" s="1"/>
      <c r="AH986" s="1" t="s">
        <v>6643</v>
      </c>
      <c r="AI986" s="1"/>
      <c r="AJ986" s="1" t="s">
        <v>4386</v>
      </c>
      <c r="AK986" s="1" t="s">
        <v>3792</v>
      </c>
      <c r="AL986" s="1" t="s">
        <v>4387</v>
      </c>
      <c r="AM986" s="1" t="s">
        <v>4386</v>
      </c>
      <c r="AN986" s="1" t="s">
        <v>3792</v>
      </c>
      <c r="AO986" s="1" t="s">
        <v>4387</v>
      </c>
      <c r="AP986" s="2" t="s">
        <v>6644</v>
      </c>
      <c r="AQ986" s="2" t="s">
        <v>1077</v>
      </c>
      <c r="AR986" s="1" t="s">
        <v>287</v>
      </c>
      <c r="AS986" s="1"/>
      <c r="AT986" s="1" t="s">
        <v>5</v>
      </c>
    </row>
    <row r="987" spans="1:46" hidden="1" x14ac:dyDescent="0.4">
      <c r="A987" s="7" t="s">
        <v>6645</v>
      </c>
      <c r="B987" s="11"/>
      <c r="C987" s="1" t="s">
        <v>6443</v>
      </c>
      <c r="D987" s="1" t="s">
        <v>2157</v>
      </c>
      <c r="E987" s="1" t="s">
        <v>2078</v>
      </c>
      <c r="F987" s="1" t="s">
        <v>14</v>
      </c>
      <c r="G987" s="1" t="s">
        <v>1</v>
      </c>
      <c r="H987" s="1" t="s">
        <v>6</v>
      </c>
      <c r="I987" s="1" t="s">
        <v>2</v>
      </c>
      <c r="J987" s="1" t="s">
        <v>3</v>
      </c>
      <c r="K987" s="1" t="s">
        <v>6646</v>
      </c>
      <c r="L987" s="1" t="s">
        <v>7</v>
      </c>
      <c r="M987" s="1"/>
      <c r="N987" s="1" t="s">
        <v>6647</v>
      </c>
      <c r="O987" s="1" t="s">
        <v>6480</v>
      </c>
      <c r="P987" s="1"/>
      <c r="Q987" s="1"/>
      <c r="R987" s="1" t="s">
        <v>11</v>
      </c>
      <c r="S987" s="1"/>
      <c r="T987" s="1"/>
      <c r="U987" s="1"/>
      <c r="V987" s="1"/>
      <c r="W987" s="1"/>
      <c r="X987" s="1"/>
      <c r="Y987" s="1"/>
      <c r="Z987" s="1"/>
      <c r="AA987" s="1"/>
      <c r="AB987" s="1"/>
      <c r="AC987" s="1"/>
      <c r="AD987" s="1"/>
      <c r="AE987" s="6" t="s">
        <v>6648</v>
      </c>
      <c r="AF987" s="1"/>
      <c r="AG987" s="1"/>
      <c r="AH987" s="1" t="s">
        <v>6649</v>
      </c>
      <c r="AI987" s="1"/>
      <c r="AJ987" s="1" t="s">
        <v>6451</v>
      </c>
      <c r="AK987" s="1" t="s">
        <v>6452</v>
      </c>
      <c r="AL987" s="1" t="s">
        <v>6453</v>
      </c>
      <c r="AM987" s="1" t="s">
        <v>6451</v>
      </c>
      <c r="AN987" s="1" t="s">
        <v>6452</v>
      </c>
      <c r="AO987" s="1" t="s">
        <v>6453</v>
      </c>
      <c r="AP987" s="2" t="s">
        <v>6650</v>
      </c>
      <c r="AQ987" s="2" t="s">
        <v>1077</v>
      </c>
      <c r="AR987" s="1" t="s">
        <v>287</v>
      </c>
      <c r="AS987" s="1"/>
      <c r="AT987" s="1" t="s">
        <v>5</v>
      </c>
    </row>
    <row r="988" spans="1:46" hidden="1" x14ac:dyDescent="0.4">
      <c r="A988" s="7" t="s">
        <v>6781</v>
      </c>
      <c r="B988" s="11"/>
      <c r="C988" s="1" t="s">
        <v>2675</v>
      </c>
      <c r="D988" s="1" t="s">
        <v>2076</v>
      </c>
      <c r="E988" s="1" t="s">
        <v>13</v>
      </c>
      <c r="F988" s="1" t="s">
        <v>14</v>
      </c>
      <c r="G988" s="1" t="s">
        <v>1</v>
      </c>
      <c r="H988" s="1" t="s">
        <v>6</v>
      </c>
      <c r="I988" s="1" t="s">
        <v>2</v>
      </c>
      <c r="J988" s="1" t="s">
        <v>2450</v>
      </c>
      <c r="K988" s="1" t="s">
        <v>6782</v>
      </c>
      <c r="L988" s="1" t="s">
        <v>4</v>
      </c>
      <c r="M988" s="1"/>
      <c r="N988" s="1" t="s">
        <v>6783</v>
      </c>
      <c r="O988" s="1" t="s">
        <v>6784</v>
      </c>
      <c r="P988" s="1"/>
      <c r="Q988" s="1"/>
      <c r="R988" s="1" t="s">
        <v>11</v>
      </c>
      <c r="S988" s="1"/>
      <c r="T988" s="1"/>
      <c r="U988" s="1"/>
      <c r="V988" s="1"/>
      <c r="W988" s="1"/>
      <c r="X988" s="1" t="s">
        <v>6785</v>
      </c>
      <c r="Y988" s="1"/>
      <c r="Z988" s="1"/>
      <c r="AA988" s="1"/>
      <c r="AB988" s="1"/>
      <c r="AC988" s="1"/>
      <c r="AD988" s="1"/>
      <c r="AE988" s="6" t="s">
        <v>6786</v>
      </c>
      <c r="AF988" s="1"/>
      <c r="AG988" s="1"/>
      <c r="AH988" s="1" t="s">
        <v>6787</v>
      </c>
      <c r="AI988" s="1"/>
      <c r="AJ988" s="1" t="s">
        <v>4874</v>
      </c>
      <c r="AK988" s="1" t="s">
        <v>6788</v>
      </c>
      <c r="AL988" s="1" t="s">
        <v>4875</v>
      </c>
      <c r="AM988" s="1" t="s">
        <v>6789</v>
      </c>
      <c r="AN988" s="1" t="s">
        <v>4872</v>
      </c>
      <c r="AO988" s="1" t="s">
        <v>6790</v>
      </c>
      <c r="AP988" s="2" t="s">
        <v>6791</v>
      </c>
      <c r="AQ988" s="2" t="s">
        <v>1077</v>
      </c>
      <c r="AR988" s="1" t="s">
        <v>286</v>
      </c>
      <c r="AS988" s="1" t="s">
        <v>6792</v>
      </c>
      <c r="AT988" s="1" t="s">
        <v>5</v>
      </c>
    </row>
    <row r="989" spans="1:46" hidden="1" x14ac:dyDescent="0.4">
      <c r="A989" s="7" t="s">
        <v>6802</v>
      </c>
      <c r="B989" s="11"/>
      <c r="C989" s="1" t="s">
        <v>0</v>
      </c>
      <c r="D989" s="1" t="s">
        <v>2290</v>
      </c>
      <c r="E989" s="1" t="s">
        <v>2291</v>
      </c>
      <c r="F989" s="1" t="s">
        <v>14</v>
      </c>
      <c r="G989" s="1" t="s">
        <v>1</v>
      </c>
      <c r="H989" s="1" t="s">
        <v>6</v>
      </c>
      <c r="I989" s="1" t="s">
        <v>2</v>
      </c>
      <c r="J989" s="1" t="s">
        <v>3</v>
      </c>
      <c r="K989" s="1" t="s">
        <v>6803</v>
      </c>
      <c r="L989" s="1" t="s">
        <v>7</v>
      </c>
      <c r="M989" s="1" t="s">
        <v>9</v>
      </c>
      <c r="N989" s="1" t="s">
        <v>6804</v>
      </c>
      <c r="O989" s="1" t="s">
        <v>3426</v>
      </c>
      <c r="P989" s="1"/>
      <c r="Q989" s="1"/>
      <c r="R989" s="1" t="s">
        <v>11</v>
      </c>
      <c r="S989" s="1"/>
      <c r="T989" s="1"/>
      <c r="U989" s="1"/>
      <c r="V989" s="1"/>
      <c r="W989" s="1"/>
      <c r="X989" s="1"/>
      <c r="Y989" s="1"/>
      <c r="Z989" s="1"/>
      <c r="AA989" s="1"/>
      <c r="AB989" s="1"/>
      <c r="AC989" s="1"/>
      <c r="AD989" s="1"/>
      <c r="AE989" s="6" t="s">
        <v>6805</v>
      </c>
      <c r="AF989" s="1"/>
      <c r="AG989" s="1"/>
      <c r="AH989" s="1" t="s">
        <v>6806</v>
      </c>
      <c r="AI989" s="1"/>
      <c r="AJ989" s="1" t="s">
        <v>51</v>
      </c>
      <c r="AK989" s="1" t="s">
        <v>518</v>
      </c>
      <c r="AL989" s="1" t="s">
        <v>136</v>
      </c>
      <c r="AM989" s="1" t="s">
        <v>6807</v>
      </c>
      <c r="AN989" s="1" t="s">
        <v>518</v>
      </c>
      <c r="AO989" s="1" t="s">
        <v>6808</v>
      </c>
      <c r="AP989" s="2" t="s">
        <v>6809</v>
      </c>
      <c r="AQ989" s="2" t="s">
        <v>1077</v>
      </c>
      <c r="AR989" s="1" t="s">
        <v>287</v>
      </c>
      <c r="AS989" s="1"/>
      <c r="AT989" s="1" t="s">
        <v>5</v>
      </c>
    </row>
    <row r="990" spans="1:46" hidden="1" x14ac:dyDescent="0.4">
      <c r="A990" s="7" t="s">
        <v>6810</v>
      </c>
      <c r="B990" s="11"/>
      <c r="C990" s="1" t="s">
        <v>0</v>
      </c>
      <c r="D990" s="1" t="s">
        <v>2290</v>
      </c>
      <c r="E990" s="1" t="s">
        <v>2291</v>
      </c>
      <c r="F990" s="1" t="s">
        <v>14</v>
      </c>
      <c r="G990" s="1" t="s">
        <v>1</v>
      </c>
      <c r="H990" s="1" t="s">
        <v>6</v>
      </c>
      <c r="I990" s="1" t="s">
        <v>2</v>
      </c>
      <c r="J990" s="1" t="s">
        <v>3</v>
      </c>
      <c r="K990" s="1" t="s">
        <v>6811</v>
      </c>
      <c r="L990" s="1" t="s">
        <v>7</v>
      </c>
      <c r="M990" s="1" t="s">
        <v>9</v>
      </c>
      <c r="N990" s="1" t="s">
        <v>6812</v>
      </c>
      <c r="O990" s="1" t="s">
        <v>3426</v>
      </c>
      <c r="P990" s="1"/>
      <c r="Q990" s="1"/>
      <c r="R990" s="1" t="s">
        <v>11</v>
      </c>
      <c r="S990" s="1"/>
      <c r="T990" s="1"/>
      <c r="U990" s="1"/>
      <c r="V990" s="1"/>
      <c r="W990" s="1"/>
      <c r="X990" s="1"/>
      <c r="Y990" s="1"/>
      <c r="Z990" s="1"/>
      <c r="AA990" s="1"/>
      <c r="AB990" s="1"/>
      <c r="AC990" s="1"/>
      <c r="AD990" s="1"/>
      <c r="AE990" s="6" t="s">
        <v>6813</v>
      </c>
      <c r="AF990" s="1"/>
      <c r="AG990" s="1"/>
      <c r="AH990" s="1" t="s">
        <v>6814</v>
      </c>
      <c r="AI990" s="1"/>
      <c r="AJ990" s="1" t="s">
        <v>51</v>
      </c>
      <c r="AK990" s="1" t="s">
        <v>518</v>
      </c>
      <c r="AL990" s="1" t="s">
        <v>136</v>
      </c>
      <c r="AM990" s="1" t="s">
        <v>6807</v>
      </c>
      <c r="AN990" s="1" t="s">
        <v>518</v>
      </c>
      <c r="AO990" s="1" t="s">
        <v>6808</v>
      </c>
      <c r="AP990" s="2" t="s">
        <v>6815</v>
      </c>
      <c r="AQ990" s="2" t="s">
        <v>1077</v>
      </c>
      <c r="AR990" s="1" t="s">
        <v>287</v>
      </c>
      <c r="AS990" s="1"/>
      <c r="AT990" s="1" t="s">
        <v>5</v>
      </c>
    </row>
    <row r="991" spans="1:46" hidden="1" x14ac:dyDescent="0.4">
      <c r="A991" s="7" t="s">
        <v>6905</v>
      </c>
      <c r="B991" s="11"/>
      <c r="C991" s="1" t="s">
        <v>0</v>
      </c>
      <c r="D991" s="1" t="s">
        <v>2220</v>
      </c>
      <c r="E991" s="1" t="s">
        <v>2078</v>
      </c>
      <c r="F991" s="1" t="s">
        <v>14</v>
      </c>
      <c r="G991" s="1" t="s">
        <v>1</v>
      </c>
      <c r="H991" s="1" t="s">
        <v>6</v>
      </c>
      <c r="I991" s="1" t="s">
        <v>2</v>
      </c>
      <c r="J991" s="1" t="s">
        <v>3</v>
      </c>
      <c r="K991" s="1" t="s">
        <v>6906</v>
      </c>
      <c r="L991" s="1" t="s">
        <v>2129</v>
      </c>
      <c r="M991" s="1" t="s">
        <v>9</v>
      </c>
      <c r="N991" s="1" t="s">
        <v>6907</v>
      </c>
      <c r="O991" s="1" t="s">
        <v>6908</v>
      </c>
      <c r="P991" s="1"/>
      <c r="Q991" s="1"/>
      <c r="R991" s="1" t="s">
        <v>11</v>
      </c>
      <c r="S991" s="1"/>
      <c r="T991" s="1"/>
      <c r="U991" s="1"/>
      <c r="V991" s="1"/>
      <c r="W991" s="1"/>
      <c r="X991" s="1"/>
      <c r="Y991" s="1"/>
      <c r="Z991" s="1"/>
      <c r="AA991" s="1"/>
      <c r="AB991" s="1"/>
      <c r="AC991" s="1"/>
      <c r="AD991" s="1"/>
      <c r="AE991" s="6" t="s">
        <v>6909</v>
      </c>
      <c r="AF991" s="1"/>
      <c r="AG991" s="1"/>
      <c r="AH991" s="1" t="s">
        <v>6910</v>
      </c>
      <c r="AI991" s="1"/>
      <c r="AJ991" s="1" t="s">
        <v>51</v>
      </c>
      <c r="AK991" s="1" t="s">
        <v>518</v>
      </c>
      <c r="AL991" s="1" t="s">
        <v>136</v>
      </c>
      <c r="AM991" s="1" t="s">
        <v>6911</v>
      </c>
      <c r="AN991" s="1" t="s">
        <v>518</v>
      </c>
      <c r="AO991" s="1" t="s">
        <v>6912</v>
      </c>
      <c r="AP991" s="2" t="s">
        <v>6913</v>
      </c>
      <c r="AQ991" s="2" t="s">
        <v>1077</v>
      </c>
      <c r="AR991" s="1" t="s">
        <v>286</v>
      </c>
      <c r="AS991" s="1"/>
      <c r="AT991" s="1" t="s">
        <v>5</v>
      </c>
    </row>
    <row r="992" spans="1:46" hidden="1" x14ac:dyDescent="0.4">
      <c r="A992" s="7" t="s">
        <v>6914</v>
      </c>
      <c r="B992" s="11"/>
      <c r="C992" s="1" t="s">
        <v>0</v>
      </c>
      <c r="D992" s="1" t="s">
        <v>2220</v>
      </c>
      <c r="E992" s="1" t="s">
        <v>2078</v>
      </c>
      <c r="F992" s="1" t="s">
        <v>14</v>
      </c>
      <c r="G992" s="1" t="s">
        <v>1</v>
      </c>
      <c r="H992" s="1" t="s">
        <v>6</v>
      </c>
      <c r="I992" s="1" t="s">
        <v>2</v>
      </c>
      <c r="J992" s="1" t="s">
        <v>3</v>
      </c>
      <c r="K992" s="1" t="s">
        <v>6915</v>
      </c>
      <c r="L992" s="1" t="s">
        <v>2129</v>
      </c>
      <c r="M992" s="1" t="s">
        <v>9</v>
      </c>
      <c r="N992" s="1" t="s">
        <v>6916</v>
      </c>
      <c r="O992" s="1" t="s">
        <v>6908</v>
      </c>
      <c r="P992" s="1"/>
      <c r="Q992" s="1"/>
      <c r="R992" s="1" t="s">
        <v>11</v>
      </c>
      <c r="S992" s="1"/>
      <c r="T992" s="1"/>
      <c r="U992" s="1"/>
      <c r="V992" s="1"/>
      <c r="W992" s="1"/>
      <c r="X992" s="1"/>
      <c r="Y992" s="1"/>
      <c r="Z992" s="1"/>
      <c r="AA992" s="1"/>
      <c r="AB992" s="1"/>
      <c r="AC992" s="1"/>
      <c r="AD992" s="1"/>
      <c r="AE992" s="6" t="s">
        <v>6909</v>
      </c>
      <c r="AF992" s="1"/>
      <c r="AG992" s="1"/>
      <c r="AH992" s="1" t="s">
        <v>6917</v>
      </c>
      <c r="AI992" s="1"/>
      <c r="AJ992" s="1" t="s">
        <v>51</v>
      </c>
      <c r="AK992" s="1" t="s">
        <v>518</v>
      </c>
      <c r="AL992" s="1" t="s">
        <v>136</v>
      </c>
      <c r="AM992" s="1" t="s">
        <v>6911</v>
      </c>
      <c r="AN992" s="1" t="s">
        <v>518</v>
      </c>
      <c r="AO992" s="1" t="s">
        <v>6912</v>
      </c>
      <c r="AP992" s="2" t="s">
        <v>6918</v>
      </c>
      <c r="AQ992" s="2" t="s">
        <v>1077</v>
      </c>
      <c r="AR992" s="1" t="s">
        <v>286</v>
      </c>
      <c r="AS992" s="1"/>
      <c r="AT992" s="1" t="s">
        <v>5</v>
      </c>
    </row>
    <row r="993" spans="1:46" hidden="1" x14ac:dyDescent="0.4">
      <c r="A993" s="7" t="s">
        <v>6919</v>
      </c>
      <c r="B993" s="11"/>
      <c r="C993" s="1" t="s">
        <v>0</v>
      </c>
      <c r="D993" s="1" t="s">
        <v>2220</v>
      </c>
      <c r="E993" s="1" t="s">
        <v>2078</v>
      </c>
      <c r="F993" s="1" t="s">
        <v>14</v>
      </c>
      <c r="G993" s="1" t="s">
        <v>1</v>
      </c>
      <c r="H993" s="1" t="s">
        <v>6</v>
      </c>
      <c r="I993" s="1" t="s">
        <v>2</v>
      </c>
      <c r="J993" s="1" t="s">
        <v>3</v>
      </c>
      <c r="K993" s="1" t="s">
        <v>6920</v>
      </c>
      <c r="L993" s="1" t="s">
        <v>2129</v>
      </c>
      <c r="M993" s="1" t="s">
        <v>9</v>
      </c>
      <c r="N993" s="1" t="s">
        <v>6921</v>
      </c>
      <c r="O993" s="1" t="s">
        <v>6908</v>
      </c>
      <c r="P993" s="1"/>
      <c r="Q993" s="1"/>
      <c r="R993" s="1" t="s">
        <v>11</v>
      </c>
      <c r="S993" s="1"/>
      <c r="T993" s="1"/>
      <c r="U993" s="1"/>
      <c r="V993" s="1"/>
      <c r="W993" s="1"/>
      <c r="X993" s="1"/>
      <c r="Y993" s="1"/>
      <c r="Z993" s="1"/>
      <c r="AA993" s="1"/>
      <c r="AB993" s="1"/>
      <c r="AC993" s="1"/>
      <c r="AD993" s="1"/>
      <c r="AE993" s="6" t="s">
        <v>6922</v>
      </c>
      <c r="AF993" s="1"/>
      <c r="AG993" s="1"/>
      <c r="AH993" s="1" t="s">
        <v>6923</v>
      </c>
      <c r="AI993" s="1"/>
      <c r="AJ993" s="1" t="s">
        <v>51</v>
      </c>
      <c r="AK993" s="1" t="s">
        <v>518</v>
      </c>
      <c r="AL993" s="1" t="s">
        <v>136</v>
      </c>
      <c r="AM993" s="1" t="s">
        <v>6911</v>
      </c>
      <c r="AN993" s="1" t="s">
        <v>518</v>
      </c>
      <c r="AO993" s="1" t="s">
        <v>6912</v>
      </c>
      <c r="AP993" s="2" t="s">
        <v>6924</v>
      </c>
      <c r="AQ993" s="2" t="s">
        <v>1077</v>
      </c>
      <c r="AR993" s="1" t="s">
        <v>286</v>
      </c>
      <c r="AS993" s="1"/>
      <c r="AT993" s="1" t="s">
        <v>5</v>
      </c>
    </row>
    <row r="994" spans="1:46" hidden="1" x14ac:dyDescent="0.4">
      <c r="A994" s="7" t="s">
        <v>6925</v>
      </c>
      <c r="B994" s="11"/>
      <c r="C994" s="1" t="s">
        <v>93</v>
      </c>
      <c r="D994" s="1" t="s">
        <v>2157</v>
      </c>
      <c r="E994" s="1" t="s">
        <v>2078</v>
      </c>
      <c r="F994" s="1" t="s">
        <v>14</v>
      </c>
      <c r="G994" s="1" t="s">
        <v>1</v>
      </c>
      <c r="H994" s="1" t="s">
        <v>6</v>
      </c>
      <c r="I994" s="1" t="s">
        <v>2</v>
      </c>
      <c r="J994" s="1" t="s">
        <v>3</v>
      </c>
      <c r="K994" s="1" t="s">
        <v>6926</v>
      </c>
      <c r="L994" s="1" t="s">
        <v>7</v>
      </c>
      <c r="M994" s="1"/>
      <c r="N994" s="1" t="s">
        <v>6927</v>
      </c>
      <c r="O994" s="1" t="s">
        <v>5495</v>
      </c>
      <c r="P994" s="1"/>
      <c r="Q994" s="1"/>
      <c r="R994" s="1" t="s">
        <v>11</v>
      </c>
      <c r="S994" s="1"/>
      <c r="T994" s="1"/>
      <c r="U994" s="1"/>
      <c r="V994" s="1"/>
      <c r="W994" s="1" t="s">
        <v>6928</v>
      </c>
      <c r="X994" s="1"/>
      <c r="Y994" s="1"/>
      <c r="Z994" s="1"/>
      <c r="AA994" s="1"/>
      <c r="AB994" s="1"/>
      <c r="AC994" s="1"/>
      <c r="AD994" s="1"/>
      <c r="AE994" s="6" t="s">
        <v>6716</v>
      </c>
      <c r="AF994" s="1"/>
      <c r="AG994" s="1"/>
      <c r="AH994" s="1" t="s">
        <v>6929</v>
      </c>
      <c r="AI994" s="1"/>
      <c r="AJ994" s="1" t="s">
        <v>6930</v>
      </c>
      <c r="AK994" s="1" t="s">
        <v>6931</v>
      </c>
      <c r="AL994" s="1" t="s">
        <v>6932</v>
      </c>
      <c r="AM994" s="1" t="s">
        <v>6930</v>
      </c>
      <c r="AN994" s="1" t="s">
        <v>6931</v>
      </c>
      <c r="AO994" s="1" t="s">
        <v>6932</v>
      </c>
      <c r="AP994" s="2" t="s">
        <v>6933</v>
      </c>
      <c r="AQ994" s="2" t="s">
        <v>1077</v>
      </c>
      <c r="AR994" s="1" t="s">
        <v>286</v>
      </c>
      <c r="AS994" s="1"/>
      <c r="AT994" s="1" t="s">
        <v>5</v>
      </c>
    </row>
    <row r="995" spans="1:46" hidden="1" x14ac:dyDescent="0.4">
      <c r="A995" s="7" t="s">
        <v>7006</v>
      </c>
      <c r="B995" s="11"/>
      <c r="C995" s="1" t="s">
        <v>6443</v>
      </c>
      <c r="D995" s="1" t="s">
        <v>2220</v>
      </c>
      <c r="E995" s="1" t="s">
        <v>2078</v>
      </c>
      <c r="F995" s="1" t="s">
        <v>14</v>
      </c>
      <c r="G995" s="1" t="s">
        <v>1</v>
      </c>
      <c r="H995" s="1" t="s">
        <v>6</v>
      </c>
      <c r="I995" s="1" t="s">
        <v>2</v>
      </c>
      <c r="J995" s="1" t="s">
        <v>3</v>
      </c>
      <c r="K995" s="1" t="s">
        <v>7007</v>
      </c>
      <c r="L995" s="1" t="s">
        <v>4</v>
      </c>
      <c r="M995" s="1"/>
      <c r="N995" s="1" t="s">
        <v>7008</v>
      </c>
      <c r="O995" s="1" t="s">
        <v>6992</v>
      </c>
      <c r="P995" s="1"/>
      <c r="Q995" s="1"/>
      <c r="R995" s="1" t="s">
        <v>11</v>
      </c>
      <c r="S995" s="1"/>
      <c r="T995" s="1"/>
      <c r="U995" s="1"/>
      <c r="V995" s="1"/>
      <c r="W995" s="1" t="s">
        <v>6993</v>
      </c>
      <c r="X995" s="1" t="s">
        <v>6994</v>
      </c>
      <c r="Y995" s="1"/>
      <c r="Z995" s="1"/>
      <c r="AA995" s="1"/>
      <c r="AB995" s="1"/>
      <c r="AC995" s="1"/>
      <c r="AD995" s="1"/>
      <c r="AE995" s="6" t="s">
        <v>7003</v>
      </c>
      <c r="AF995" s="1"/>
      <c r="AG995" s="1"/>
      <c r="AH995" s="1" t="s">
        <v>7009</v>
      </c>
      <c r="AI995" s="1"/>
      <c r="AJ995" s="1" t="s">
        <v>6451</v>
      </c>
      <c r="AK995" s="1" t="s">
        <v>6452</v>
      </c>
      <c r="AL995" s="1" t="s">
        <v>6453</v>
      </c>
      <c r="AM995" s="1" t="s">
        <v>6451</v>
      </c>
      <c r="AN995" s="1" t="s">
        <v>6452</v>
      </c>
      <c r="AO995" s="1" t="s">
        <v>6453</v>
      </c>
      <c r="AP995" s="2" t="s">
        <v>7010</v>
      </c>
      <c r="AQ995" s="2" t="s">
        <v>1077</v>
      </c>
      <c r="AR995" s="1" t="s">
        <v>286</v>
      </c>
      <c r="AS995" s="1"/>
      <c r="AT995" s="1" t="s">
        <v>5</v>
      </c>
    </row>
    <row r="996" spans="1:46" hidden="1" x14ac:dyDescent="0.4">
      <c r="A996" s="7" t="s">
        <v>7011</v>
      </c>
      <c r="B996" s="11"/>
      <c r="C996" s="1" t="s">
        <v>6443</v>
      </c>
      <c r="D996" s="1" t="s">
        <v>2220</v>
      </c>
      <c r="E996" s="1" t="s">
        <v>2078</v>
      </c>
      <c r="F996" s="1" t="s">
        <v>14</v>
      </c>
      <c r="G996" s="1" t="s">
        <v>1</v>
      </c>
      <c r="H996" s="1" t="s">
        <v>6</v>
      </c>
      <c r="I996" s="1" t="s">
        <v>2</v>
      </c>
      <c r="J996" s="1" t="s">
        <v>3</v>
      </c>
      <c r="K996" s="1" t="s">
        <v>7012</v>
      </c>
      <c r="L996" s="1" t="s">
        <v>4</v>
      </c>
      <c r="M996" s="1"/>
      <c r="N996" s="1" t="s">
        <v>6991</v>
      </c>
      <c r="O996" s="1" t="s">
        <v>6992</v>
      </c>
      <c r="P996" s="1"/>
      <c r="Q996" s="1"/>
      <c r="R996" s="1" t="s">
        <v>11</v>
      </c>
      <c r="S996" s="1"/>
      <c r="T996" s="1"/>
      <c r="U996" s="1"/>
      <c r="V996" s="1"/>
      <c r="W996" s="1" t="s">
        <v>6993</v>
      </c>
      <c r="X996" s="1" t="s">
        <v>6994</v>
      </c>
      <c r="Y996" s="1"/>
      <c r="Z996" s="1"/>
      <c r="AA996" s="1"/>
      <c r="AB996" s="1"/>
      <c r="AC996" s="1"/>
      <c r="AD996" s="1"/>
      <c r="AE996" s="6" t="s">
        <v>7003</v>
      </c>
      <c r="AF996" s="1"/>
      <c r="AG996" s="1"/>
      <c r="AH996" s="1" t="s">
        <v>7013</v>
      </c>
      <c r="AI996" s="1"/>
      <c r="AJ996" s="1" t="s">
        <v>6451</v>
      </c>
      <c r="AK996" s="1" t="s">
        <v>6452</v>
      </c>
      <c r="AL996" s="1" t="s">
        <v>6453</v>
      </c>
      <c r="AM996" s="1" t="s">
        <v>6451</v>
      </c>
      <c r="AN996" s="1" t="s">
        <v>6452</v>
      </c>
      <c r="AO996" s="1" t="s">
        <v>6453</v>
      </c>
      <c r="AP996" s="2" t="s">
        <v>7014</v>
      </c>
      <c r="AQ996" s="2" t="s">
        <v>1077</v>
      </c>
      <c r="AR996" s="1" t="s">
        <v>286</v>
      </c>
      <c r="AS996" s="1"/>
      <c r="AT996" s="1" t="s">
        <v>5</v>
      </c>
    </row>
    <row r="997" spans="1:46" hidden="1" x14ac:dyDescent="0.4">
      <c r="A997" s="7" t="s">
        <v>7122</v>
      </c>
      <c r="B997" s="11"/>
      <c r="C997" s="1" t="s">
        <v>93</v>
      </c>
      <c r="D997" s="1" t="s">
        <v>2396</v>
      </c>
      <c r="E997" s="1" t="s">
        <v>2478</v>
      </c>
      <c r="F997" s="1" t="s">
        <v>14</v>
      </c>
      <c r="G997" s="1" t="s">
        <v>1</v>
      </c>
      <c r="H997" s="1" t="s">
        <v>6</v>
      </c>
      <c r="I997" s="1" t="s">
        <v>2</v>
      </c>
      <c r="J997" s="1" t="s">
        <v>3</v>
      </c>
      <c r="K997" s="1" t="s">
        <v>7123</v>
      </c>
      <c r="L997" s="1" t="s">
        <v>7</v>
      </c>
      <c r="M997" s="1"/>
      <c r="N997" s="1" t="s">
        <v>7124</v>
      </c>
      <c r="O997" s="1" t="s">
        <v>4840</v>
      </c>
      <c r="P997" s="1"/>
      <c r="Q997" s="1"/>
      <c r="R997" s="1" t="s">
        <v>11</v>
      </c>
      <c r="S997" s="1"/>
      <c r="T997" s="1"/>
      <c r="U997" s="1"/>
      <c r="V997" s="1"/>
      <c r="W997" s="1"/>
      <c r="X997" s="1"/>
      <c r="Y997" s="1"/>
      <c r="Z997" s="1"/>
      <c r="AA997" s="1"/>
      <c r="AB997" s="1"/>
      <c r="AC997" s="1"/>
      <c r="AD997" s="1"/>
      <c r="AE997" s="6" t="s">
        <v>7125</v>
      </c>
      <c r="AF997" s="1"/>
      <c r="AG997" s="1"/>
      <c r="AH997" s="1" t="s">
        <v>7126</v>
      </c>
      <c r="AI997" s="1"/>
      <c r="AJ997" s="1" t="s">
        <v>4386</v>
      </c>
      <c r="AK997" s="1" t="s">
        <v>3792</v>
      </c>
      <c r="AL997" s="1" t="s">
        <v>4387</v>
      </c>
      <c r="AM997" s="1" t="s">
        <v>4386</v>
      </c>
      <c r="AN997" s="1" t="s">
        <v>3792</v>
      </c>
      <c r="AO997" s="1" t="s">
        <v>4387</v>
      </c>
      <c r="AP997" s="2" t="s">
        <v>7127</v>
      </c>
      <c r="AQ997" s="2" t="s">
        <v>1077</v>
      </c>
      <c r="AR997" s="1" t="s">
        <v>286</v>
      </c>
      <c r="AS997" s="1" t="s">
        <v>7128</v>
      </c>
      <c r="AT997" s="1" t="s">
        <v>5</v>
      </c>
    </row>
    <row r="998" spans="1:46" hidden="1" x14ac:dyDescent="0.4">
      <c r="A998" s="7" t="s">
        <v>7138</v>
      </c>
      <c r="B998" s="11"/>
      <c r="C998" s="1" t="s">
        <v>0</v>
      </c>
      <c r="D998" s="1" t="s">
        <v>2220</v>
      </c>
      <c r="E998" s="1" t="s">
        <v>2078</v>
      </c>
      <c r="F998" s="1" t="s">
        <v>14</v>
      </c>
      <c r="G998" s="1" t="s">
        <v>1</v>
      </c>
      <c r="H998" s="1" t="s">
        <v>6</v>
      </c>
      <c r="I998" s="1" t="s">
        <v>2</v>
      </c>
      <c r="J998" s="1" t="s">
        <v>3</v>
      </c>
      <c r="K998" s="1" t="s">
        <v>7139</v>
      </c>
      <c r="L998" s="1" t="s">
        <v>7</v>
      </c>
      <c r="M998" s="1" t="s">
        <v>9</v>
      </c>
      <c r="N998" s="1" t="s">
        <v>7140</v>
      </c>
      <c r="O998" s="1" t="s">
        <v>2911</v>
      </c>
      <c r="P998" s="1"/>
      <c r="Q998" s="1"/>
      <c r="R998" s="1" t="s">
        <v>11</v>
      </c>
      <c r="S998" s="1"/>
      <c r="T998" s="1"/>
      <c r="U998" s="1"/>
      <c r="V998" s="1"/>
      <c r="W998" s="1"/>
      <c r="X998" s="1"/>
      <c r="Y998" s="1"/>
      <c r="Z998" s="1"/>
      <c r="AA998" s="1"/>
      <c r="AB998" s="1"/>
      <c r="AC998" s="1"/>
      <c r="AD998" s="1"/>
      <c r="AE998" s="6" t="s">
        <v>7141</v>
      </c>
      <c r="AF998" s="1"/>
      <c r="AG998" s="1"/>
      <c r="AH998" s="1" t="s">
        <v>7142</v>
      </c>
      <c r="AI998" s="1"/>
      <c r="AJ998" s="1" t="s">
        <v>7143</v>
      </c>
      <c r="AK998" s="1" t="s">
        <v>3826</v>
      </c>
      <c r="AL998" s="1"/>
      <c r="AM998" s="1" t="s">
        <v>7144</v>
      </c>
      <c r="AN998" s="1" t="s">
        <v>7145</v>
      </c>
      <c r="AO998" s="1"/>
      <c r="AP998" s="2" t="s">
        <v>7146</v>
      </c>
      <c r="AQ998" s="2" t="s">
        <v>1077</v>
      </c>
      <c r="AR998" s="1" t="s">
        <v>286</v>
      </c>
      <c r="AS998" s="1"/>
      <c r="AT998" s="1" t="s">
        <v>5</v>
      </c>
    </row>
    <row r="999" spans="1:46" hidden="1" x14ac:dyDescent="0.4">
      <c r="A999" s="7" t="s">
        <v>7210</v>
      </c>
      <c r="B999" s="11"/>
      <c r="C999" s="1" t="s">
        <v>93</v>
      </c>
      <c r="D999" s="1" t="s">
        <v>2290</v>
      </c>
      <c r="E999" s="1" t="s">
        <v>2291</v>
      </c>
      <c r="F999" s="1" t="s">
        <v>14</v>
      </c>
      <c r="G999" s="1" t="s">
        <v>1</v>
      </c>
      <c r="H999" s="1" t="s">
        <v>6</v>
      </c>
      <c r="I999" s="1" t="s">
        <v>2</v>
      </c>
      <c r="J999" s="1" t="s">
        <v>3</v>
      </c>
      <c r="K999" s="1" t="s">
        <v>7211</v>
      </c>
      <c r="L999" s="1" t="s">
        <v>7</v>
      </c>
      <c r="M999" s="1"/>
      <c r="N999" s="1" t="s">
        <v>7212</v>
      </c>
      <c r="O999" s="1" t="s">
        <v>3756</v>
      </c>
      <c r="P999" s="1"/>
      <c r="Q999" s="1"/>
      <c r="R999" s="1" t="s">
        <v>11</v>
      </c>
      <c r="S999" s="1"/>
      <c r="T999" s="1"/>
      <c r="U999" s="1"/>
      <c r="V999" s="1"/>
      <c r="W999" s="1" t="s">
        <v>6385</v>
      </c>
      <c r="X999" s="1"/>
      <c r="Y999" s="1"/>
      <c r="Z999" s="1"/>
      <c r="AA999" s="1"/>
      <c r="AB999" s="1"/>
      <c r="AC999" s="1"/>
      <c r="AD999" s="1"/>
      <c r="AE999" s="6" t="s">
        <v>7213</v>
      </c>
      <c r="AF999" s="1"/>
      <c r="AG999" s="1"/>
      <c r="AH999" s="1" t="s">
        <v>7214</v>
      </c>
      <c r="AI999" s="1"/>
      <c r="AJ999" s="1" t="s">
        <v>7215</v>
      </c>
      <c r="AK999" s="1" t="s">
        <v>6931</v>
      </c>
      <c r="AL999" s="1" t="s">
        <v>7216</v>
      </c>
      <c r="AM999" s="1" t="s">
        <v>7215</v>
      </c>
      <c r="AN999" s="1" t="s">
        <v>6931</v>
      </c>
      <c r="AO999" s="1" t="s">
        <v>7216</v>
      </c>
      <c r="AP999" s="2" t="s">
        <v>7217</v>
      </c>
      <c r="AQ999" s="2" t="s">
        <v>1077</v>
      </c>
      <c r="AR999" s="1" t="s">
        <v>286</v>
      </c>
      <c r="AS999" s="1"/>
      <c r="AT999" s="1" t="s">
        <v>5</v>
      </c>
    </row>
    <row r="1000" spans="1:46" hidden="1" x14ac:dyDescent="0.4">
      <c r="A1000" s="7" t="s">
        <v>7218</v>
      </c>
      <c r="B1000" s="11"/>
      <c r="C1000" s="1" t="s">
        <v>2675</v>
      </c>
      <c r="D1000" s="1" t="s">
        <v>2157</v>
      </c>
      <c r="E1000" s="1" t="s">
        <v>2078</v>
      </c>
      <c r="F1000" s="1" t="s">
        <v>14</v>
      </c>
      <c r="G1000" s="1" t="s">
        <v>1</v>
      </c>
      <c r="H1000" s="1" t="s">
        <v>6</v>
      </c>
      <c r="I1000" s="1" t="s">
        <v>2</v>
      </c>
      <c r="J1000" s="1" t="s">
        <v>2450</v>
      </c>
      <c r="K1000" s="1" t="s">
        <v>7219</v>
      </c>
      <c r="L1000" s="1" t="s">
        <v>7</v>
      </c>
      <c r="M1000" s="1"/>
      <c r="N1000" s="1" t="s">
        <v>7220</v>
      </c>
      <c r="O1000" s="1" t="s">
        <v>2160</v>
      </c>
      <c r="P1000" s="1"/>
      <c r="Q1000" s="1"/>
      <c r="R1000" s="1" t="s">
        <v>11</v>
      </c>
      <c r="S1000" s="1"/>
      <c r="T1000" s="1"/>
      <c r="U1000" s="1"/>
      <c r="V1000" s="1"/>
      <c r="W1000" s="1"/>
      <c r="X1000" s="1" t="s">
        <v>7221</v>
      </c>
      <c r="Y1000" s="1"/>
      <c r="Z1000" s="1"/>
      <c r="AA1000" s="1"/>
      <c r="AB1000" s="1"/>
      <c r="AC1000" s="1"/>
      <c r="AD1000" s="1"/>
      <c r="AE1000" s="6" t="s">
        <v>7222</v>
      </c>
      <c r="AF1000" s="1"/>
      <c r="AG1000" s="1"/>
      <c r="AH1000" s="1" t="s">
        <v>7223</v>
      </c>
      <c r="AI1000" s="1"/>
      <c r="AJ1000" s="1" t="s">
        <v>4871</v>
      </c>
      <c r="AK1000" s="1" t="s">
        <v>6788</v>
      </c>
      <c r="AL1000" s="1" t="s">
        <v>4873</v>
      </c>
      <c r="AM1000" s="1" t="s">
        <v>4874</v>
      </c>
      <c r="AN1000" s="1" t="s">
        <v>6788</v>
      </c>
      <c r="AO1000" s="1" t="s">
        <v>4875</v>
      </c>
      <c r="AP1000" s="2" t="s">
        <v>7224</v>
      </c>
      <c r="AQ1000" s="2" t="s">
        <v>1077</v>
      </c>
      <c r="AR1000" s="1" t="s">
        <v>286</v>
      </c>
      <c r="AS1000" s="1" t="s">
        <v>1282</v>
      </c>
      <c r="AT1000" s="1" t="s">
        <v>5</v>
      </c>
    </row>
    <row r="1001" spans="1:46" hidden="1" x14ac:dyDescent="0.4">
      <c r="A1001" s="7" t="s">
        <v>7381</v>
      </c>
      <c r="B1001" s="11"/>
      <c r="C1001" s="1" t="s">
        <v>0</v>
      </c>
      <c r="D1001" s="1" t="s">
        <v>2220</v>
      </c>
      <c r="E1001" s="1" t="s">
        <v>2078</v>
      </c>
      <c r="F1001" s="1" t="s">
        <v>14</v>
      </c>
      <c r="G1001" s="1" t="s">
        <v>1</v>
      </c>
      <c r="H1001" s="1" t="s">
        <v>6</v>
      </c>
      <c r="I1001" s="1" t="s">
        <v>2</v>
      </c>
      <c r="J1001" s="1" t="s">
        <v>3</v>
      </c>
      <c r="K1001" s="1" t="s">
        <v>7382</v>
      </c>
      <c r="L1001" s="1" t="s">
        <v>4</v>
      </c>
      <c r="M1001" s="1" t="s">
        <v>9</v>
      </c>
      <c r="N1001" s="1" t="s">
        <v>7383</v>
      </c>
      <c r="O1001" s="1" t="s">
        <v>7384</v>
      </c>
      <c r="P1001" s="1"/>
      <c r="Q1001" s="1"/>
      <c r="R1001" s="1" t="s">
        <v>11</v>
      </c>
      <c r="S1001" s="1"/>
      <c r="T1001" s="1"/>
      <c r="U1001" s="1"/>
      <c r="V1001" s="1"/>
      <c r="W1001" s="1" t="s">
        <v>7385</v>
      </c>
      <c r="X1001" s="1" t="s">
        <v>7386</v>
      </c>
      <c r="Y1001" s="1"/>
      <c r="Z1001" s="1"/>
      <c r="AA1001" s="1"/>
      <c r="AB1001" s="1"/>
      <c r="AC1001" s="1"/>
      <c r="AD1001" s="1"/>
      <c r="AE1001" s="6" t="s">
        <v>7387</v>
      </c>
      <c r="AF1001" s="1"/>
      <c r="AG1001" s="1"/>
      <c r="AH1001" s="1" t="s">
        <v>7388</v>
      </c>
      <c r="AI1001" s="1"/>
      <c r="AJ1001" s="1" t="s">
        <v>81</v>
      </c>
      <c r="AK1001" s="1" t="s">
        <v>279</v>
      </c>
      <c r="AL1001" s="1"/>
      <c r="AM1001" s="1" t="s">
        <v>7389</v>
      </c>
      <c r="AN1001" s="1" t="s">
        <v>279</v>
      </c>
      <c r="AO1001" s="1" t="s">
        <v>7390</v>
      </c>
      <c r="AP1001" s="2" t="s">
        <v>7391</v>
      </c>
      <c r="AQ1001" s="2" t="s">
        <v>1077</v>
      </c>
      <c r="AR1001" s="1" t="s">
        <v>286</v>
      </c>
      <c r="AS1001" s="1"/>
      <c r="AT1001" s="1" t="s">
        <v>5</v>
      </c>
    </row>
    <row r="1002" spans="1:46" hidden="1" x14ac:dyDescent="0.4">
      <c r="A1002" s="7" t="s">
        <v>7554</v>
      </c>
      <c r="B1002" s="11"/>
      <c r="C1002" s="1" t="s">
        <v>0</v>
      </c>
      <c r="D1002" s="1" t="s">
        <v>2076</v>
      </c>
      <c r="E1002" s="1" t="s">
        <v>2078</v>
      </c>
      <c r="F1002" s="1" t="s">
        <v>14</v>
      </c>
      <c r="G1002" s="1" t="s">
        <v>1</v>
      </c>
      <c r="H1002" s="1" t="s">
        <v>6</v>
      </c>
      <c r="I1002" s="1" t="s">
        <v>2</v>
      </c>
      <c r="J1002" s="1" t="s">
        <v>3</v>
      </c>
      <c r="K1002" s="1" t="s">
        <v>7555</v>
      </c>
      <c r="L1002" s="1" t="s">
        <v>4</v>
      </c>
      <c r="M1002" s="1" t="s">
        <v>9</v>
      </c>
      <c r="N1002" s="1" t="s">
        <v>7556</v>
      </c>
      <c r="O1002" s="1" t="s">
        <v>2911</v>
      </c>
      <c r="P1002" s="1"/>
      <c r="Q1002" s="1"/>
      <c r="R1002" s="1" t="s">
        <v>11</v>
      </c>
      <c r="S1002" s="1"/>
      <c r="T1002" s="1"/>
      <c r="U1002" s="1"/>
      <c r="V1002" s="1"/>
      <c r="W1002" s="1"/>
      <c r="X1002" s="1" t="s">
        <v>7557</v>
      </c>
      <c r="Y1002" s="1"/>
      <c r="Z1002" s="1"/>
      <c r="AA1002" s="1"/>
      <c r="AB1002" s="1"/>
      <c r="AC1002" s="1"/>
      <c r="AD1002" s="1"/>
      <c r="AE1002" s="6" t="s">
        <v>2089</v>
      </c>
      <c r="AF1002" s="1"/>
      <c r="AG1002" s="1"/>
      <c r="AH1002" s="1" t="s">
        <v>7558</v>
      </c>
      <c r="AI1002" s="1"/>
      <c r="AJ1002" s="1" t="s">
        <v>55</v>
      </c>
      <c r="AK1002" s="1" t="s">
        <v>476</v>
      </c>
      <c r="AL1002" s="1"/>
      <c r="AM1002" s="1" t="s">
        <v>7559</v>
      </c>
      <c r="AN1002" s="1" t="s">
        <v>476</v>
      </c>
      <c r="AO1002" s="1" t="s">
        <v>7560</v>
      </c>
      <c r="AP1002" s="2" t="s">
        <v>7561</v>
      </c>
      <c r="AQ1002" s="2" t="s">
        <v>1154</v>
      </c>
      <c r="AR1002" s="1" t="s">
        <v>286</v>
      </c>
      <c r="AS1002" s="1"/>
      <c r="AT1002" s="1" t="s">
        <v>5</v>
      </c>
    </row>
    <row r="1003" spans="1:46" hidden="1" x14ac:dyDescent="0.4">
      <c r="A1003" s="7" t="s">
        <v>7645</v>
      </c>
      <c r="B1003" s="11"/>
      <c r="C1003" s="1" t="s">
        <v>0</v>
      </c>
      <c r="D1003" s="1" t="s">
        <v>2290</v>
      </c>
      <c r="E1003" s="1" t="s">
        <v>2291</v>
      </c>
      <c r="F1003" s="1" t="s">
        <v>14</v>
      </c>
      <c r="G1003" s="1" t="s">
        <v>1</v>
      </c>
      <c r="H1003" s="1" t="s">
        <v>6</v>
      </c>
      <c r="I1003" s="1" t="s">
        <v>2</v>
      </c>
      <c r="J1003" s="1" t="s">
        <v>3</v>
      </c>
      <c r="K1003" s="1" t="s">
        <v>7646</v>
      </c>
      <c r="L1003" s="1" t="s">
        <v>7</v>
      </c>
      <c r="M1003" s="1" t="s">
        <v>9</v>
      </c>
      <c r="N1003" s="1" t="s">
        <v>7647</v>
      </c>
      <c r="O1003" s="1" t="s">
        <v>7648</v>
      </c>
      <c r="P1003" s="1"/>
      <c r="Q1003" s="1"/>
      <c r="R1003" s="1" t="s">
        <v>11</v>
      </c>
      <c r="S1003" s="1"/>
      <c r="T1003" s="1"/>
      <c r="U1003" s="1"/>
      <c r="V1003" s="1"/>
      <c r="W1003" s="1" t="s">
        <v>7649</v>
      </c>
      <c r="X1003" s="1"/>
      <c r="Y1003" s="1"/>
      <c r="Z1003" s="1"/>
      <c r="AA1003" s="1"/>
      <c r="AB1003" s="1"/>
      <c r="AC1003" s="1"/>
      <c r="AD1003" s="1"/>
      <c r="AE1003" s="6" t="s">
        <v>7650</v>
      </c>
      <c r="AF1003" s="1"/>
      <c r="AG1003" s="1"/>
      <c r="AH1003" s="1" t="s">
        <v>7651</v>
      </c>
      <c r="AI1003" s="1"/>
      <c r="AJ1003" s="1" t="s">
        <v>1431</v>
      </c>
      <c r="AK1003" s="1" t="s">
        <v>515</v>
      </c>
      <c r="AL1003" s="1" t="s">
        <v>1432</v>
      </c>
      <c r="AM1003" s="1" t="s">
        <v>7652</v>
      </c>
      <c r="AN1003" s="1" t="s">
        <v>515</v>
      </c>
      <c r="AO1003" s="1" t="s">
        <v>7653</v>
      </c>
      <c r="AP1003" s="2" t="s">
        <v>7654</v>
      </c>
      <c r="AQ1003" s="2" t="s">
        <v>1154</v>
      </c>
      <c r="AR1003" s="1" t="s">
        <v>286</v>
      </c>
      <c r="AS1003" s="1"/>
      <c r="AT1003" s="1" t="s">
        <v>5</v>
      </c>
    </row>
    <row r="1004" spans="1:46" hidden="1" x14ac:dyDescent="0.4">
      <c r="A1004" s="7" t="s">
        <v>7823</v>
      </c>
      <c r="B1004" s="11"/>
      <c r="C1004" s="1" t="s">
        <v>0</v>
      </c>
      <c r="D1004" s="1" t="s">
        <v>2157</v>
      </c>
      <c r="E1004" s="1" t="s">
        <v>7824</v>
      </c>
      <c r="F1004" s="1" t="s">
        <v>14</v>
      </c>
      <c r="G1004" s="1" t="s">
        <v>1</v>
      </c>
      <c r="H1004" s="1" t="s">
        <v>6</v>
      </c>
      <c r="I1004" s="1" t="s">
        <v>2</v>
      </c>
      <c r="J1004" s="1" t="s">
        <v>3</v>
      </c>
      <c r="K1004" s="1" t="s">
        <v>7825</v>
      </c>
      <c r="L1004" s="1" t="s">
        <v>7</v>
      </c>
      <c r="M1004" s="1" t="s">
        <v>9</v>
      </c>
      <c r="N1004" s="1" t="s">
        <v>7826</v>
      </c>
      <c r="O1004" s="1" t="s">
        <v>7827</v>
      </c>
      <c r="P1004" s="1"/>
      <c r="Q1004" s="1"/>
      <c r="R1004" s="1" t="s">
        <v>11</v>
      </c>
      <c r="S1004" s="1"/>
      <c r="T1004" s="1"/>
      <c r="U1004" s="1"/>
      <c r="V1004" s="1"/>
      <c r="W1004" s="1"/>
      <c r="X1004" s="1" t="s">
        <v>7828</v>
      </c>
      <c r="Y1004" s="1"/>
      <c r="Z1004" s="1"/>
      <c r="AA1004" s="1"/>
      <c r="AB1004" s="1"/>
      <c r="AC1004" s="1"/>
      <c r="AD1004" s="1"/>
      <c r="AE1004" s="6" t="s">
        <v>7829</v>
      </c>
      <c r="AF1004" s="1"/>
      <c r="AG1004" s="1"/>
      <c r="AH1004" s="1" t="s">
        <v>7830</v>
      </c>
      <c r="AI1004" s="1"/>
      <c r="AJ1004" s="1" t="s">
        <v>7831</v>
      </c>
      <c r="AK1004" s="1" t="s">
        <v>7832</v>
      </c>
      <c r="AL1004" s="1" t="s">
        <v>7833</v>
      </c>
      <c r="AM1004" s="1" t="s">
        <v>2120</v>
      </c>
      <c r="AN1004" s="1" t="s">
        <v>7834</v>
      </c>
      <c r="AO1004" s="1" t="s">
        <v>7835</v>
      </c>
      <c r="AP1004" s="2" t="s">
        <v>7836</v>
      </c>
      <c r="AQ1004" s="2" t="s">
        <v>1154</v>
      </c>
      <c r="AR1004" s="1" t="s">
        <v>286</v>
      </c>
      <c r="AS1004" s="1" t="s">
        <v>7837</v>
      </c>
      <c r="AT1004" s="1" t="s">
        <v>5</v>
      </c>
    </row>
    <row r="1005" spans="1:46" hidden="1" x14ac:dyDescent="0.4">
      <c r="A1005" s="7" t="s">
        <v>7917</v>
      </c>
      <c r="B1005" s="11"/>
      <c r="C1005" s="1" t="s">
        <v>2675</v>
      </c>
      <c r="D1005" s="1" t="s">
        <v>2157</v>
      </c>
      <c r="E1005" s="1" t="s">
        <v>2078</v>
      </c>
      <c r="F1005" s="1" t="s">
        <v>14</v>
      </c>
      <c r="G1005" s="1" t="s">
        <v>1</v>
      </c>
      <c r="H1005" s="1" t="s">
        <v>6</v>
      </c>
      <c r="I1005" s="1" t="s">
        <v>2</v>
      </c>
      <c r="J1005" s="1" t="s">
        <v>2450</v>
      </c>
      <c r="K1005" s="1" t="s">
        <v>7918</v>
      </c>
      <c r="L1005" s="1" t="s">
        <v>7</v>
      </c>
      <c r="M1005" s="1" t="s">
        <v>9</v>
      </c>
      <c r="N1005" s="1" t="s">
        <v>7919</v>
      </c>
      <c r="O1005" s="1" t="s">
        <v>6784</v>
      </c>
      <c r="P1005" s="1"/>
      <c r="Q1005" s="1"/>
      <c r="R1005" s="1" t="s">
        <v>11</v>
      </c>
      <c r="S1005" s="1"/>
      <c r="T1005" s="1"/>
      <c r="U1005" s="1"/>
      <c r="V1005" s="1"/>
      <c r="W1005" s="1"/>
      <c r="X1005" s="1" t="s">
        <v>7920</v>
      </c>
      <c r="Y1005" s="1"/>
      <c r="Z1005" s="1"/>
      <c r="AA1005" s="1"/>
      <c r="AB1005" s="1"/>
      <c r="AC1005" s="1"/>
      <c r="AD1005" s="1"/>
      <c r="AE1005" s="6" t="s">
        <v>7921</v>
      </c>
      <c r="AF1005" s="1"/>
      <c r="AG1005" s="1"/>
      <c r="AH1005" s="1" t="s">
        <v>7922</v>
      </c>
      <c r="AI1005" s="1"/>
      <c r="AJ1005" s="1" t="s">
        <v>4871</v>
      </c>
      <c r="AK1005" s="1" t="s">
        <v>6788</v>
      </c>
      <c r="AL1005" s="1" t="s">
        <v>4873</v>
      </c>
      <c r="AM1005" s="1" t="s">
        <v>4874</v>
      </c>
      <c r="AN1005" s="1" t="s">
        <v>6788</v>
      </c>
      <c r="AO1005" s="1" t="s">
        <v>4875</v>
      </c>
      <c r="AP1005" s="2" t="s">
        <v>7923</v>
      </c>
      <c r="AQ1005" s="2" t="s">
        <v>1154</v>
      </c>
      <c r="AR1005" s="1" t="s">
        <v>286</v>
      </c>
      <c r="AS1005" s="1" t="s">
        <v>7924</v>
      </c>
      <c r="AT1005" s="1" t="s">
        <v>5</v>
      </c>
    </row>
    <row r="1006" spans="1:46" hidden="1" x14ac:dyDescent="0.4">
      <c r="A1006" s="7" t="s">
        <v>8242</v>
      </c>
      <c r="B1006" s="11"/>
      <c r="C1006" s="1" t="s">
        <v>0</v>
      </c>
      <c r="D1006" s="1" t="s">
        <v>2211</v>
      </c>
      <c r="E1006" s="1" t="s">
        <v>2078</v>
      </c>
      <c r="F1006" s="1" t="s">
        <v>14</v>
      </c>
      <c r="G1006" s="1" t="s">
        <v>1</v>
      </c>
      <c r="H1006" s="1" t="s">
        <v>6</v>
      </c>
      <c r="I1006" s="1" t="s">
        <v>2</v>
      </c>
      <c r="J1006" s="1" t="s">
        <v>3</v>
      </c>
      <c r="K1006" s="1" t="s">
        <v>8243</v>
      </c>
      <c r="L1006" s="1" t="s">
        <v>7</v>
      </c>
      <c r="M1006" s="1" t="s">
        <v>9</v>
      </c>
      <c r="N1006" s="1" t="s">
        <v>8244</v>
      </c>
      <c r="O1006" s="1" t="s">
        <v>8245</v>
      </c>
      <c r="P1006" s="1"/>
      <c r="Q1006" s="1"/>
      <c r="R1006" s="1" t="s">
        <v>11</v>
      </c>
      <c r="S1006" s="1"/>
      <c r="T1006" s="1"/>
      <c r="U1006" s="1"/>
      <c r="V1006" s="1"/>
      <c r="W1006" s="1"/>
      <c r="X1006" s="1" t="s">
        <v>8246</v>
      </c>
      <c r="Y1006" s="1"/>
      <c r="Z1006" s="1"/>
      <c r="AA1006" s="1"/>
      <c r="AB1006" s="1"/>
      <c r="AC1006" s="1"/>
      <c r="AD1006" s="1"/>
      <c r="AE1006" s="6" t="s">
        <v>8247</v>
      </c>
      <c r="AF1006" s="1"/>
      <c r="AG1006" s="1"/>
      <c r="AH1006" s="1" t="s">
        <v>8248</v>
      </c>
      <c r="AI1006" s="1"/>
      <c r="AJ1006" s="1" t="s">
        <v>8249</v>
      </c>
      <c r="AK1006" s="1" t="s">
        <v>8250</v>
      </c>
      <c r="AL1006" s="1" t="s">
        <v>8251</v>
      </c>
      <c r="AM1006" s="1" t="s">
        <v>8252</v>
      </c>
      <c r="AN1006" s="1" t="s">
        <v>8250</v>
      </c>
      <c r="AO1006" s="1" t="s">
        <v>8253</v>
      </c>
      <c r="AP1006" s="2" t="s">
        <v>8254</v>
      </c>
      <c r="AQ1006" s="2" t="s">
        <v>1154</v>
      </c>
      <c r="AR1006" s="1" t="s">
        <v>286</v>
      </c>
      <c r="AS1006" s="1"/>
      <c r="AT1006" s="1" t="s">
        <v>5</v>
      </c>
    </row>
    <row r="1007" spans="1:46" hidden="1" x14ac:dyDescent="0.4">
      <c r="A1007" s="7" t="s">
        <v>8359</v>
      </c>
      <c r="B1007" s="11"/>
      <c r="C1007" s="1" t="s">
        <v>92</v>
      </c>
      <c r="D1007" s="1" t="s">
        <v>2220</v>
      </c>
      <c r="E1007" s="1" t="s">
        <v>2078</v>
      </c>
      <c r="F1007" s="1" t="s">
        <v>14</v>
      </c>
      <c r="G1007" s="1" t="s">
        <v>1</v>
      </c>
      <c r="H1007" s="1" t="s">
        <v>6</v>
      </c>
      <c r="I1007" s="1" t="s">
        <v>2</v>
      </c>
      <c r="J1007" s="1" t="s">
        <v>3</v>
      </c>
      <c r="K1007" s="1" t="s">
        <v>8360</v>
      </c>
      <c r="L1007" s="1" t="s">
        <v>7</v>
      </c>
      <c r="M1007" s="1" t="s">
        <v>9</v>
      </c>
      <c r="N1007" s="1" t="s">
        <v>8361</v>
      </c>
      <c r="O1007" s="1" t="s">
        <v>8362</v>
      </c>
      <c r="P1007" s="1"/>
      <c r="Q1007" s="1"/>
      <c r="R1007" s="1" t="s">
        <v>11</v>
      </c>
      <c r="S1007" s="1"/>
      <c r="T1007" s="1"/>
      <c r="U1007" s="1"/>
      <c r="V1007" s="1"/>
      <c r="W1007" s="1"/>
      <c r="X1007" s="1"/>
      <c r="Y1007" s="1"/>
      <c r="Z1007" s="1"/>
      <c r="AA1007" s="1"/>
      <c r="AB1007" s="1"/>
      <c r="AC1007" s="1"/>
      <c r="AD1007" s="1"/>
      <c r="AE1007" s="6" t="s">
        <v>8363</v>
      </c>
      <c r="AF1007" s="1"/>
      <c r="AG1007" s="1"/>
      <c r="AH1007" s="1" t="s">
        <v>8364</v>
      </c>
      <c r="AI1007" s="1"/>
      <c r="AJ1007" s="1" t="s">
        <v>117</v>
      </c>
      <c r="AK1007" s="1" t="s">
        <v>8365</v>
      </c>
      <c r="AL1007" s="1" t="s">
        <v>118</v>
      </c>
      <c r="AM1007" s="1" t="s">
        <v>8366</v>
      </c>
      <c r="AN1007" s="1" t="s">
        <v>8367</v>
      </c>
      <c r="AO1007" s="1"/>
      <c r="AP1007" s="2" t="s">
        <v>8368</v>
      </c>
      <c r="AQ1007" s="2" t="s">
        <v>1154</v>
      </c>
      <c r="AR1007" s="1" t="s">
        <v>286</v>
      </c>
      <c r="AS1007" s="1"/>
      <c r="AT1007" s="1" t="s">
        <v>5</v>
      </c>
    </row>
    <row r="1008" spans="1:46" hidden="1" x14ac:dyDescent="0.4">
      <c r="A1008" s="7" t="s">
        <v>8369</v>
      </c>
      <c r="B1008" s="11"/>
      <c r="C1008" s="1" t="s">
        <v>92</v>
      </c>
      <c r="D1008" s="1" t="s">
        <v>2220</v>
      </c>
      <c r="E1008" s="1" t="s">
        <v>2078</v>
      </c>
      <c r="F1008" s="1" t="s">
        <v>14</v>
      </c>
      <c r="G1008" s="1" t="s">
        <v>1</v>
      </c>
      <c r="H1008" s="1" t="s">
        <v>6</v>
      </c>
      <c r="I1008" s="1" t="s">
        <v>2</v>
      </c>
      <c r="J1008" s="1" t="s">
        <v>3</v>
      </c>
      <c r="K1008" s="1" t="s">
        <v>8370</v>
      </c>
      <c r="L1008" s="1" t="s">
        <v>4</v>
      </c>
      <c r="M1008" s="1" t="s">
        <v>9</v>
      </c>
      <c r="N1008" s="1" t="s">
        <v>8371</v>
      </c>
      <c r="O1008" s="1" t="s">
        <v>8362</v>
      </c>
      <c r="P1008" s="1"/>
      <c r="Q1008" s="1"/>
      <c r="R1008" s="1" t="s">
        <v>11</v>
      </c>
      <c r="S1008" s="1"/>
      <c r="T1008" s="1"/>
      <c r="U1008" s="1"/>
      <c r="V1008" s="1"/>
      <c r="W1008" s="1" t="s">
        <v>8372</v>
      </c>
      <c r="X1008" s="1" t="s">
        <v>8373</v>
      </c>
      <c r="Y1008" s="1"/>
      <c r="Z1008" s="1"/>
      <c r="AA1008" s="1"/>
      <c r="AB1008" s="1"/>
      <c r="AC1008" s="1"/>
      <c r="AD1008" s="1"/>
      <c r="AE1008" s="6" t="s">
        <v>8374</v>
      </c>
      <c r="AF1008" s="1"/>
      <c r="AG1008" s="1"/>
      <c r="AH1008" s="1" t="s">
        <v>8375</v>
      </c>
      <c r="AI1008" s="1"/>
      <c r="AJ1008" s="1" t="s">
        <v>117</v>
      </c>
      <c r="AK1008" s="1" t="s">
        <v>8365</v>
      </c>
      <c r="AL1008" s="1" t="s">
        <v>118</v>
      </c>
      <c r="AM1008" s="1" t="s">
        <v>8366</v>
      </c>
      <c r="AN1008" s="1" t="s">
        <v>8367</v>
      </c>
      <c r="AO1008" s="1"/>
      <c r="AP1008" s="2" t="s">
        <v>8376</v>
      </c>
      <c r="AQ1008" s="2" t="s">
        <v>1154</v>
      </c>
      <c r="AR1008" s="1" t="s">
        <v>286</v>
      </c>
      <c r="AS1008" s="1"/>
      <c r="AT1008" s="1" t="s">
        <v>5</v>
      </c>
    </row>
    <row r="1009" spans="1:46" hidden="1" x14ac:dyDescent="0.4">
      <c r="A1009" s="7" t="s">
        <v>8400</v>
      </c>
      <c r="B1009" s="11"/>
      <c r="C1009" s="1" t="s">
        <v>93</v>
      </c>
      <c r="D1009" s="1" t="s">
        <v>2396</v>
      </c>
      <c r="E1009" s="1" t="s">
        <v>2078</v>
      </c>
      <c r="F1009" s="1" t="s">
        <v>14</v>
      </c>
      <c r="G1009" s="1" t="s">
        <v>1</v>
      </c>
      <c r="H1009" s="1" t="s">
        <v>6</v>
      </c>
      <c r="I1009" s="1" t="s">
        <v>2</v>
      </c>
      <c r="J1009" s="1" t="s">
        <v>3</v>
      </c>
      <c r="K1009" s="1" t="s">
        <v>8401</v>
      </c>
      <c r="L1009" s="1" t="s">
        <v>7</v>
      </c>
      <c r="M1009" s="1"/>
      <c r="N1009" s="1" t="s">
        <v>8402</v>
      </c>
      <c r="O1009" s="1" t="s">
        <v>7507</v>
      </c>
      <c r="P1009" s="1"/>
      <c r="Q1009" s="1"/>
      <c r="R1009" s="1" t="s">
        <v>11</v>
      </c>
      <c r="S1009" s="1"/>
      <c r="T1009" s="1"/>
      <c r="U1009" s="1"/>
      <c r="V1009" s="1"/>
      <c r="W1009" s="1"/>
      <c r="X1009" s="1"/>
      <c r="Y1009" s="1"/>
      <c r="Z1009" s="1"/>
      <c r="AA1009" s="1"/>
      <c r="AB1009" s="1"/>
      <c r="AC1009" s="1"/>
      <c r="AD1009" s="1"/>
      <c r="AE1009" s="6" t="s">
        <v>8403</v>
      </c>
      <c r="AF1009" s="1"/>
      <c r="AG1009" s="1"/>
      <c r="AH1009" s="1" t="s">
        <v>8404</v>
      </c>
      <c r="AI1009" s="1"/>
      <c r="AJ1009" s="1" t="s">
        <v>8383</v>
      </c>
      <c r="AK1009" s="1" t="s">
        <v>1787</v>
      </c>
      <c r="AL1009" s="1" t="s">
        <v>8384</v>
      </c>
      <c r="AM1009" s="1" t="s">
        <v>8405</v>
      </c>
      <c r="AN1009" s="1" t="s">
        <v>1787</v>
      </c>
      <c r="AO1009" s="1" t="s">
        <v>8406</v>
      </c>
      <c r="AP1009" s="2" t="s">
        <v>8407</v>
      </c>
      <c r="AQ1009" s="2" t="s">
        <v>1154</v>
      </c>
      <c r="AR1009" s="1" t="s">
        <v>286</v>
      </c>
      <c r="AS1009" s="1" t="s">
        <v>8408</v>
      </c>
      <c r="AT1009" s="1" t="s">
        <v>5</v>
      </c>
    </row>
    <row r="1010" spans="1:46" hidden="1" x14ac:dyDescent="0.4">
      <c r="A1010" s="7" t="s">
        <v>8564</v>
      </c>
      <c r="B1010" s="11"/>
      <c r="C1010" s="1" t="s">
        <v>2841</v>
      </c>
      <c r="D1010" s="1" t="s">
        <v>2211</v>
      </c>
      <c r="E1010" s="1" t="s">
        <v>2078</v>
      </c>
      <c r="F1010" s="1" t="s">
        <v>14</v>
      </c>
      <c r="G1010" s="1" t="s">
        <v>1</v>
      </c>
      <c r="H1010" s="1" t="s">
        <v>6</v>
      </c>
      <c r="I1010" s="1" t="s">
        <v>2</v>
      </c>
      <c r="J1010" s="1" t="s">
        <v>2842</v>
      </c>
      <c r="K1010" s="1" t="s">
        <v>8565</v>
      </c>
      <c r="L1010" s="1" t="s">
        <v>4</v>
      </c>
      <c r="M1010" s="1"/>
      <c r="N1010" s="1" t="s">
        <v>8566</v>
      </c>
      <c r="O1010" s="1" t="s">
        <v>8567</v>
      </c>
      <c r="P1010" s="1" t="s">
        <v>8568</v>
      </c>
      <c r="Q1010" s="1"/>
      <c r="R1010" s="1" t="s">
        <v>11</v>
      </c>
      <c r="S1010" s="1"/>
      <c r="T1010" s="1"/>
      <c r="U1010" s="1"/>
      <c r="V1010" s="1"/>
      <c r="W1010" s="1" t="s">
        <v>8569</v>
      </c>
      <c r="X1010" s="1" t="s">
        <v>8469</v>
      </c>
      <c r="Y1010" s="1"/>
      <c r="Z1010" s="1"/>
      <c r="AA1010" s="1"/>
      <c r="AB1010" s="1"/>
      <c r="AC1010" s="1"/>
      <c r="AD1010" s="1"/>
      <c r="AE1010" s="6" t="s">
        <v>8570</v>
      </c>
      <c r="AF1010" s="1"/>
      <c r="AG1010" s="1"/>
      <c r="AH1010" s="1" t="s">
        <v>8571</v>
      </c>
      <c r="AI1010" s="1"/>
      <c r="AJ1010" s="1" t="s">
        <v>4327</v>
      </c>
      <c r="AK1010" s="1" t="s">
        <v>8473</v>
      </c>
      <c r="AL1010" s="1" t="s">
        <v>4328</v>
      </c>
      <c r="AM1010" s="1" t="s">
        <v>4327</v>
      </c>
      <c r="AN1010" s="1" t="s">
        <v>8473</v>
      </c>
      <c r="AO1010" s="1" t="s">
        <v>4328</v>
      </c>
      <c r="AP1010" s="2" t="s">
        <v>8572</v>
      </c>
      <c r="AQ1010" s="2" t="s">
        <v>1154</v>
      </c>
      <c r="AR1010" s="1" t="s">
        <v>286</v>
      </c>
      <c r="AS1010" s="1" t="s">
        <v>8573</v>
      </c>
      <c r="AT1010" s="1" t="s">
        <v>5</v>
      </c>
    </row>
    <row r="1011" spans="1:46" hidden="1" x14ac:dyDescent="0.4">
      <c r="A1011" s="7" t="s">
        <v>8581</v>
      </c>
      <c r="B1011" s="11"/>
      <c r="C1011" s="1" t="s">
        <v>0</v>
      </c>
      <c r="D1011" s="1" t="s">
        <v>2157</v>
      </c>
      <c r="E1011" s="1" t="s">
        <v>2078</v>
      </c>
      <c r="F1011" s="1" t="s">
        <v>14</v>
      </c>
      <c r="G1011" s="1" t="s">
        <v>1</v>
      </c>
      <c r="H1011" s="1" t="s">
        <v>6</v>
      </c>
      <c r="I1011" s="1" t="s">
        <v>2</v>
      </c>
      <c r="J1011" s="1" t="s">
        <v>3</v>
      </c>
      <c r="K1011" s="1" t="s">
        <v>8582</v>
      </c>
      <c r="L1011" s="1" t="s">
        <v>7</v>
      </c>
      <c r="M1011" s="1" t="s">
        <v>9</v>
      </c>
      <c r="N1011" s="1" t="s">
        <v>8583</v>
      </c>
      <c r="O1011" s="1" t="s">
        <v>2238</v>
      </c>
      <c r="P1011" s="1"/>
      <c r="Q1011" s="1"/>
      <c r="R1011" s="1" t="s">
        <v>11</v>
      </c>
      <c r="S1011" s="1"/>
      <c r="T1011" s="1"/>
      <c r="U1011" s="1"/>
      <c r="V1011" s="1"/>
      <c r="W1011" s="1"/>
      <c r="X1011" s="1" t="s">
        <v>8584</v>
      </c>
      <c r="Y1011" s="1"/>
      <c r="Z1011" s="1"/>
      <c r="AA1011" s="1"/>
      <c r="AB1011" s="1"/>
      <c r="AC1011" s="1"/>
      <c r="AD1011" s="1"/>
      <c r="AE1011" s="6" t="s">
        <v>8585</v>
      </c>
      <c r="AF1011" s="1"/>
      <c r="AG1011" s="1"/>
      <c r="AH1011" s="1" t="s">
        <v>8586</v>
      </c>
      <c r="AI1011" s="1"/>
      <c r="AJ1011" s="1" t="s">
        <v>55</v>
      </c>
      <c r="AK1011" s="1" t="s">
        <v>476</v>
      </c>
      <c r="AL1011" s="1"/>
      <c r="AM1011" s="1" t="s">
        <v>8587</v>
      </c>
      <c r="AN1011" s="1" t="s">
        <v>476</v>
      </c>
      <c r="AO1011" s="1" t="s">
        <v>8588</v>
      </c>
      <c r="AP1011" s="2" t="s">
        <v>8589</v>
      </c>
      <c r="AQ1011" s="2" t="s">
        <v>1154</v>
      </c>
      <c r="AR1011" s="1" t="s">
        <v>286</v>
      </c>
      <c r="AS1011" s="1" t="s">
        <v>8590</v>
      </c>
      <c r="AT1011" s="1" t="s">
        <v>5</v>
      </c>
    </row>
    <row r="1012" spans="1:46" hidden="1" x14ac:dyDescent="0.4">
      <c r="A1012" s="7" t="s">
        <v>8605</v>
      </c>
      <c r="B1012" s="11"/>
      <c r="C1012" s="1" t="s">
        <v>2675</v>
      </c>
      <c r="D1012" s="1" t="s">
        <v>2157</v>
      </c>
      <c r="E1012" s="1" t="s">
        <v>2078</v>
      </c>
      <c r="F1012" s="1" t="s">
        <v>14</v>
      </c>
      <c r="G1012" s="1" t="s">
        <v>1</v>
      </c>
      <c r="H1012" s="1" t="s">
        <v>6</v>
      </c>
      <c r="I1012" s="1" t="s">
        <v>2</v>
      </c>
      <c r="J1012" s="1" t="s">
        <v>2450</v>
      </c>
      <c r="K1012" s="1" t="s">
        <v>8606</v>
      </c>
      <c r="L1012" s="1" t="s">
        <v>7</v>
      </c>
      <c r="M1012" s="1" t="s">
        <v>9</v>
      </c>
      <c r="N1012" s="1" t="s">
        <v>8607</v>
      </c>
      <c r="O1012" s="1" t="s">
        <v>8608</v>
      </c>
      <c r="P1012" s="1"/>
      <c r="Q1012" s="1"/>
      <c r="R1012" s="1" t="s">
        <v>11</v>
      </c>
      <c r="S1012" s="1"/>
      <c r="T1012" s="1"/>
      <c r="U1012" s="1"/>
      <c r="V1012" s="1"/>
      <c r="W1012" s="1"/>
      <c r="X1012" s="1" t="s">
        <v>8609</v>
      </c>
      <c r="Y1012" s="1"/>
      <c r="Z1012" s="1"/>
      <c r="AA1012" s="1"/>
      <c r="AB1012" s="1"/>
      <c r="AC1012" s="1"/>
      <c r="AD1012" s="1"/>
      <c r="AE1012" s="6" t="s">
        <v>8610</v>
      </c>
      <c r="AF1012" s="1"/>
      <c r="AG1012" s="1"/>
      <c r="AH1012" s="1" t="s">
        <v>8611</v>
      </c>
      <c r="AI1012" s="1"/>
      <c r="AJ1012" s="1" t="s">
        <v>4871</v>
      </c>
      <c r="AK1012" s="1" t="s">
        <v>6788</v>
      </c>
      <c r="AL1012" s="1" t="s">
        <v>4873</v>
      </c>
      <c r="AM1012" s="1" t="s">
        <v>4874</v>
      </c>
      <c r="AN1012" s="1" t="s">
        <v>6788</v>
      </c>
      <c r="AO1012" s="1" t="s">
        <v>4875</v>
      </c>
      <c r="AP1012" s="2" t="s">
        <v>8612</v>
      </c>
      <c r="AQ1012" s="2" t="s">
        <v>1154</v>
      </c>
      <c r="AR1012" s="1" t="s">
        <v>286</v>
      </c>
      <c r="AS1012" s="1"/>
      <c r="AT1012" s="1" t="s">
        <v>5</v>
      </c>
    </row>
    <row r="1013" spans="1:46" hidden="1" x14ac:dyDescent="0.4">
      <c r="A1013" s="7" t="s">
        <v>8859</v>
      </c>
      <c r="B1013" s="11"/>
      <c r="C1013" s="1" t="s">
        <v>2494</v>
      </c>
      <c r="D1013" s="1" t="s">
        <v>2076</v>
      </c>
      <c r="E1013" s="1" t="s">
        <v>2078</v>
      </c>
      <c r="F1013" s="1" t="s">
        <v>14</v>
      </c>
      <c r="G1013" s="1" t="s">
        <v>1</v>
      </c>
      <c r="H1013" s="1" t="s">
        <v>6</v>
      </c>
      <c r="I1013" s="1" t="s">
        <v>2</v>
      </c>
      <c r="J1013" s="1" t="s">
        <v>2450</v>
      </c>
      <c r="K1013" s="1" t="s">
        <v>8860</v>
      </c>
      <c r="L1013" s="1" t="s">
        <v>7</v>
      </c>
      <c r="M1013" s="1" t="s">
        <v>9</v>
      </c>
      <c r="N1013" s="1" t="s">
        <v>8861</v>
      </c>
      <c r="O1013" s="1" t="s">
        <v>2238</v>
      </c>
      <c r="P1013" s="1"/>
      <c r="Q1013" s="1"/>
      <c r="R1013" s="1" t="s">
        <v>11</v>
      </c>
      <c r="S1013" s="1"/>
      <c r="T1013" s="1"/>
      <c r="U1013" s="1"/>
      <c r="V1013" s="1"/>
      <c r="W1013" s="1"/>
      <c r="X1013" s="1" t="s">
        <v>8862</v>
      </c>
      <c r="Y1013" s="1"/>
      <c r="Z1013" s="1"/>
      <c r="AA1013" s="1" t="s">
        <v>8863</v>
      </c>
      <c r="AB1013" s="1"/>
      <c r="AC1013" s="1"/>
      <c r="AD1013" s="1"/>
      <c r="AE1013" s="6" t="s">
        <v>8864</v>
      </c>
      <c r="AF1013" s="1"/>
      <c r="AG1013" s="1"/>
      <c r="AH1013" s="1" t="s">
        <v>8865</v>
      </c>
      <c r="AI1013" s="1"/>
      <c r="AJ1013" s="1" t="s">
        <v>5502</v>
      </c>
      <c r="AK1013" s="1" t="s">
        <v>3575</v>
      </c>
      <c r="AL1013" s="1" t="s">
        <v>5503</v>
      </c>
      <c r="AM1013" s="1" t="s">
        <v>3577</v>
      </c>
      <c r="AN1013" s="1" t="s">
        <v>3575</v>
      </c>
      <c r="AO1013" s="1" t="s">
        <v>3578</v>
      </c>
      <c r="AP1013" s="2" t="s">
        <v>8866</v>
      </c>
      <c r="AQ1013" s="2" t="s">
        <v>1154</v>
      </c>
      <c r="AR1013" s="1" t="s">
        <v>286</v>
      </c>
      <c r="AS1013" s="1"/>
      <c r="AT1013" s="1" t="s">
        <v>5</v>
      </c>
    </row>
    <row r="1014" spans="1:46" hidden="1" x14ac:dyDescent="0.4">
      <c r="A1014" s="7" t="s">
        <v>8892</v>
      </c>
      <c r="B1014" s="11"/>
      <c r="C1014" s="1" t="s">
        <v>0</v>
      </c>
      <c r="D1014" s="1" t="s">
        <v>2157</v>
      </c>
      <c r="E1014" s="1" t="s">
        <v>2078</v>
      </c>
      <c r="F1014" s="1" t="s">
        <v>14</v>
      </c>
      <c r="G1014" s="1" t="s">
        <v>1</v>
      </c>
      <c r="H1014" s="1" t="s">
        <v>6</v>
      </c>
      <c r="I1014" s="1" t="s">
        <v>2</v>
      </c>
      <c r="J1014" s="1" t="s">
        <v>3</v>
      </c>
      <c r="K1014" s="1" t="s">
        <v>8893</v>
      </c>
      <c r="L1014" s="1" t="s">
        <v>7</v>
      </c>
      <c r="M1014" s="1" t="s">
        <v>9</v>
      </c>
      <c r="N1014" s="1" t="s">
        <v>8894</v>
      </c>
      <c r="O1014" s="1" t="s">
        <v>5309</v>
      </c>
      <c r="P1014" s="1"/>
      <c r="Q1014" s="1"/>
      <c r="R1014" s="1" t="s">
        <v>11</v>
      </c>
      <c r="S1014" s="1"/>
      <c r="T1014" s="1"/>
      <c r="U1014" s="1"/>
      <c r="V1014" s="1"/>
      <c r="W1014" s="1" t="s">
        <v>8895</v>
      </c>
      <c r="X1014" s="1"/>
      <c r="Y1014" s="1"/>
      <c r="Z1014" s="1"/>
      <c r="AA1014" s="1"/>
      <c r="AB1014" s="1"/>
      <c r="AC1014" s="1"/>
      <c r="AD1014" s="1"/>
      <c r="AE1014" s="6" t="s">
        <v>8896</v>
      </c>
      <c r="AF1014" s="1"/>
      <c r="AG1014" s="1"/>
      <c r="AH1014" s="1" t="s">
        <v>8897</v>
      </c>
      <c r="AI1014" s="1"/>
      <c r="AJ1014" s="1" t="s">
        <v>8898</v>
      </c>
      <c r="AK1014" s="1" t="s">
        <v>8899</v>
      </c>
      <c r="AL1014" s="1" t="s">
        <v>8900</v>
      </c>
      <c r="AM1014" s="1" t="s">
        <v>8901</v>
      </c>
      <c r="AN1014" s="1" t="s">
        <v>8899</v>
      </c>
      <c r="AO1014" s="1" t="s">
        <v>8902</v>
      </c>
      <c r="AP1014" s="2" t="s">
        <v>8903</v>
      </c>
      <c r="AQ1014" s="2" t="s">
        <v>1154</v>
      </c>
      <c r="AR1014" s="1" t="s">
        <v>286</v>
      </c>
      <c r="AS1014" s="1"/>
      <c r="AT1014" s="1" t="s">
        <v>5</v>
      </c>
    </row>
    <row r="1015" spans="1:46" hidden="1" x14ac:dyDescent="0.4">
      <c r="A1015" s="7" t="s">
        <v>8923</v>
      </c>
      <c r="B1015" s="11"/>
      <c r="C1015" s="1" t="s">
        <v>0</v>
      </c>
      <c r="D1015" s="1" t="s">
        <v>2157</v>
      </c>
      <c r="E1015" s="1" t="s">
        <v>2078</v>
      </c>
      <c r="F1015" s="1" t="s">
        <v>14</v>
      </c>
      <c r="G1015" s="1" t="s">
        <v>1</v>
      </c>
      <c r="H1015" s="1" t="s">
        <v>6</v>
      </c>
      <c r="I1015" s="1" t="s">
        <v>2</v>
      </c>
      <c r="J1015" s="1" t="s">
        <v>3</v>
      </c>
      <c r="K1015" s="1" t="s">
        <v>8924</v>
      </c>
      <c r="L1015" s="1" t="s">
        <v>7</v>
      </c>
      <c r="M1015" s="1" t="s">
        <v>9</v>
      </c>
      <c r="N1015" s="1" t="s">
        <v>8925</v>
      </c>
      <c r="O1015" s="1" t="s">
        <v>5309</v>
      </c>
      <c r="P1015" s="1"/>
      <c r="Q1015" s="1"/>
      <c r="R1015" s="1" t="s">
        <v>11</v>
      </c>
      <c r="S1015" s="1"/>
      <c r="T1015" s="1"/>
      <c r="U1015" s="1"/>
      <c r="V1015" s="1"/>
      <c r="W1015" s="1"/>
      <c r="X1015" s="1"/>
      <c r="Y1015" s="1"/>
      <c r="Z1015" s="1"/>
      <c r="AA1015" s="1"/>
      <c r="AB1015" s="1"/>
      <c r="AC1015" s="1"/>
      <c r="AD1015" s="1"/>
      <c r="AE1015" s="6" t="s">
        <v>8926</v>
      </c>
      <c r="AF1015" s="1"/>
      <c r="AG1015" s="1"/>
      <c r="AH1015" s="1" t="s">
        <v>8927</v>
      </c>
      <c r="AI1015" s="1"/>
      <c r="AJ1015" s="1" t="s">
        <v>2085</v>
      </c>
      <c r="AK1015" s="1" t="s">
        <v>5322</v>
      </c>
      <c r="AL1015" s="1"/>
      <c r="AM1015" s="1" t="s">
        <v>8928</v>
      </c>
      <c r="AN1015" s="1" t="s">
        <v>5322</v>
      </c>
      <c r="AO1015" s="1" t="s">
        <v>8929</v>
      </c>
      <c r="AP1015" s="2" t="s">
        <v>8930</v>
      </c>
      <c r="AQ1015" s="2" t="s">
        <v>1154</v>
      </c>
      <c r="AR1015" s="1" t="s">
        <v>286</v>
      </c>
      <c r="AS1015" s="1"/>
      <c r="AT1015" s="1" t="s">
        <v>5</v>
      </c>
    </row>
    <row r="1016" spans="1:46" hidden="1" x14ac:dyDescent="0.4">
      <c r="A1016" s="7" t="s">
        <v>8960</v>
      </c>
      <c r="B1016" s="11"/>
      <c r="C1016" s="1" t="s">
        <v>2841</v>
      </c>
      <c r="D1016" s="1" t="s">
        <v>2211</v>
      </c>
      <c r="E1016" s="1" t="s">
        <v>2078</v>
      </c>
      <c r="F1016" s="1" t="s">
        <v>14</v>
      </c>
      <c r="G1016" s="1" t="s">
        <v>1</v>
      </c>
      <c r="H1016" s="1" t="s">
        <v>6</v>
      </c>
      <c r="I1016" s="1" t="s">
        <v>2</v>
      </c>
      <c r="J1016" s="1" t="s">
        <v>2842</v>
      </c>
      <c r="K1016" s="1" t="s">
        <v>8961</v>
      </c>
      <c r="L1016" s="1" t="s">
        <v>7</v>
      </c>
      <c r="M1016" s="1"/>
      <c r="N1016" s="1" t="s">
        <v>8962</v>
      </c>
      <c r="O1016" s="1" t="s">
        <v>8963</v>
      </c>
      <c r="P1016" s="1"/>
      <c r="Q1016" s="1"/>
      <c r="R1016" s="1" t="s">
        <v>11</v>
      </c>
      <c r="S1016" s="1"/>
      <c r="T1016" s="1"/>
      <c r="U1016" s="1"/>
      <c r="V1016" s="1"/>
      <c r="W1016" s="1" t="s">
        <v>8964</v>
      </c>
      <c r="X1016" s="1" t="s">
        <v>8965</v>
      </c>
      <c r="Y1016" s="1"/>
      <c r="Z1016" s="1"/>
      <c r="AA1016" s="1"/>
      <c r="AB1016" s="1"/>
      <c r="AC1016" s="1"/>
      <c r="AD1016" s="1"/>
      <c r="AE1016" s="6" t="s">
        <v>8966</v>
      </c>
      <c r="AF1016" s="1"/>
      <c r="AG1016" s="1"/>
      <c r="AH1016" s="1" t="s">
        <v>8967</v>
      </c>
      <c r="AI1016" s="1"/>
      <c r="AJ1016" s="1" t="s">
        <v>4327</v>
      </c>
      <c r="AK1016" s="1" t="s">
        <v>8473</v>
      </c>
      <c r="AL1016" s="1" t="s">
        <v>4328</v>
      </c>
      <c r="AM1016" s="1" t="s">
        <v>4327</v>
      </c>
      <c r="AN1016" s="1" t="s">
        <v>8473</v>
      </c>
      <c r="AO1016" s="1" t="s">
        <v>4328</v>
      </c>
      <c r="AP1016" s="2" t="s">
        <v>8968</v>
      </c>
      <c r="AQ1016" s="2" t="s">
        <v>1154</v>
      </c>
      <c r="AR1016" s="1" t="s">
        <v>286</v>
      </c>
      <c r="AS1016" s="1"/>
      <c r="AT1016" s="1" t="s">
        <v>5</v>
      </c>
    </row>
    <row r="1017" spans="1:46" hidden="1" x14ac:dyDescent="0.4">
      <c r="A1017" s="7" t="s">
        <v>9034</v>
      </c>
      <c r="B1017" s="11"/>
      <c r="C1017" s="1" t="s">
        <v>2091</v>
      </c>
      <c r="D1017" s="1" t="s">
        <v>2076</v>
      </c>
      <c r="E1017" s="1" t="s">
        <v>2078</v>
      </c>
      <c r="F1017" s="1" t="s">
        <v>14</v>
      </c>
      <c r="G1017" s="1" t="s">
        <v>1</v>
      </c>
      <c r="H1017" s="1" t="s">
        <v>6</v>
      </c>
      <c r="I1017" s="1" t="s">
        <v>2</v>
      </c>
      <c r="J1017" s="1" t="s">
        <v>3</v>
      </c>
      <c r="K1017" s="1" t="s">
        <v>9035</v>
      </c>
      <c r="L1017" s="1" t="s">
        <v>7</v>
      </c>
      <c r="M1017" s="1"/>
      <c r="N1017" s="1" t="s">
        <v>9036</v>
      </c>
      <c r="O1017" s="1" t="s">
        <v>9037</v>
      </c>
      <c r="P1017" s="1"/>
      <c r="Q1017" s="1"/>
      <c r="R1017" s="1" t="s">
        <v>11</v>
      </c>
      <c r="S1017" s="1"/>
      <c r="T1017" s="1"/>
      <c r="U1017" s="1"/>
      <c r="V1017" s="1"/>
      <c r="W1017" s="1"/>
      <c r="X1017" s="1" t="s">
        <v>9038</v>
      </c>
      <c r="Y1017" s="1"/>
      <c r="Z1017" s="1"/>
      <c r="AA1017" s="1"/>
      <c r="AB1017" s="1"/>
      <c r="AC1017" s="1"/>
      <c r="AD1017" s="1"/>
      <c r="AE1017" s="6" t="s">
        <v>9039</v>
      </c>
      <c r="AF1017" s="1"/>
      <c r="AG1017" s="1"/>
      <c r="AH1017" s="1" t="s">
        <v>9040</v>
      </c>
      <c r="AI1017" s="1"/>
      <c r="AJ1017" s="1" t="s">
        <v>4885</v>
      </c>
      <c r="AK1017" s="1" t="s">
        <v>4886</v>
      </c>
      <c r="AL1017" s="1" t="s">
        <v>9041</v>
      </c>
      <c r="AM1017" s="1" t="s">
        <v>9042</v>
      </c>
      <c r="AN1017" s="1" t="s">
        <v>4886</v>
      </c>
      <c r="AO1017" s="1" t="s">
        <v>9043</v>
      </c>
      <c r="AP1017" s="2" t="s">
        <v>9044</v>
      </c>
      <c r="AQ1017" s="2" t="s">
        <v>1154</v>
      </c>
      <c r="AR1017" s="1" t="s">
        <v>286</v>
      </c>
      <c r="AS1017" s="1" t="s">
        <v>9045</v>
      </c>
      <c r="AT1017" s="1" t="s">
        <v>5</v>
      </c>
    </row>
    <row r="1018" spans="1:46" hidden="1" x14ac:dyDescent="0.4">
      <c r="A1018" s="7" t="s">
        <v>9056</v>
      </c>
      <c r="B1018" s="11"/>
      <c r="C1018" s="1" t="s">
        <v>0</v>
      </c>
      <c r="D1018" s="1" t="s">
        <v>2157</v>
      </c>
      <c r="E1018" s="1" t="s">
        <v>2078</v>
      </c>
      <c r="F1018" s="1" t="s">
        <v>14</v>
      </c>
      <c r="G1018" s="1" t="s">
        <v>1</v>
      </c>
      <c r="H1018" s="1" t="s">
        <v>6</v>
      </c>
      <c r="I1018" s="1" t="s">
        <v>2</v>
      </c>
      <c r="J1018" s="1" t="s">
        <v>3</v>
      </c>
      <c r="K1018" s="1" t="s">
        <v>9057</v>
      </c>
      <c r="L1018" s="1" t="s">
        <v>7</v>
      </c>
      <c r="M1018" s="1" t="s">
        <v>9</v>
      </c>
      <c r="N1018" s="1" t="s">
        <v>4614</v>
      </c>
      <c r="O1018" s="1" t="s">
        <v>2238</v>
      </c>
      <c r="P1018" s="1"/>
      <c r="Q1018" s="1"/>
      <c r="R1018" s="1" t="s">
        <v>11</v>
      </c>
      <c r="S1018" s="1"/>
      <c r="T1018" s="1"/>
      <c r="U1018" s="1"/>
      <c r="V1018" s="1"/>
      <c r="W1018" s="1"/>
      <c r="X1018" s="1" t="s">
        <v>9058</v>
      </c>
      <c r="Y1018" s="1"/>
      <c r="Z1018" s="1"/>
      <c r="AA1018" s="1"/>
      <c r="AB1018" s="1"/>
      <c r="AC1018" s="1"/>
      <c r="AD1018" s="1"/>
      <c r="AE1018" s="6" t="s">
        <v>9059</v>
      </c>
      <c r="AF1018" s="1"/>
      <c r="AG1018" s="1"/>
      <c r="AH1018" s="1" t="s">
        <v>9060</v>
      </c>
      <c r="AI1018" s="1"/>
      <c r="AJ1018" s="1" t="s">
        <v>1549</v>
      </c>
      <c r="AK1018" s="1" t="s">
        <v>281</v>
      </c>
      <c r="AL1018" s="1" t="s">
        <v>1550</v>
      </c>
      <c r="AM1018" s="1" t="s">
        <v>9061</v>
      </c>
      <c r="AN1018" s="1" t="s">
        <v>281</v>
      </c>
      <c r="AO1018" s="1" t="s">
        <v>9062</v>
      </c>
      <c r="AP1018" s="2" t="s">
        <v>9063</v>
      </c>
      <c r="AQ1018" s="2" t="s">
        <v>1154</v>
      </c>
      <c r="AR1018" s="1" t="s">
        <v>286</v>
      </c>
      <c r="AS1018" s="1" t="s">
        <v>9064</v>
      </c>
      <c r="AT1018" s="1" t="s">
        <v>5</v>
      </c>
    </row>
    <row r="1019" spans="1:46" hidden="1" x14ac:dyDescent="0.4">
      <c r="A1019" s="7" t="s">
        <v>9253</v>
      </c>
      <c r="B1019" s="11"/>
      <c r="C1019" s="1" t="s">
        <v>2544</v>
      </c>
      <c r="D1019" s="1" t="s">
        <v>2211</v>
      </c>
      <c r="E1019" s="1" t="s">
        <v>2078</v>
      </c>
      <c r="F1019" s="1" t="s">
        <v>14</v>
      </c>
      <c r="G1019" s="1" t="s">
        <v>1</v>
      </c>
      <c r="H1019" s="1" t="s">
        <v>6</v>
      </c>
      <c r="I1019" s="1" t="s">
        <v>2</v>
      </c>
      <c r="J1019" s="1" t="s">
        <v>3</v>
      </c>
      <c r="K1019" s="1" t="s">
        <v>9254</v>
      </c>
      <c r="L1019" s="1" t="s">
        <v>4</v>
      </c>
      <c r="M1019" s="1" t="s">
        <v>9</v>
      </c>
      <c r="N1019" s="1" t="s">
        <v>9255</v>
      </c>
      <c r="O1019" s="1" t="s">
        <v>15</v>
      </c>
      <c r="P1019" s="1"/>
      <c r="Q1019" s="1"/>
      <c r="R1019" s="1" t="s">
        <v>11</v>
      </c>
      <c r="S1019" s="1"/>
      <c r="T1019" s="1"/>
      <c r="U1019" s="1"/>
      <c r="V1019" s="1"/>
      <c r="W1019" s="1"/>
      <c r="X1019" s="1" t="s">
        <v>9256</v>
      </c>
      <c r="Y1019" s="1"/>
      <c r="Z1019" s="1"/>
      <c r="AA1019" s="1"/>
      <c r="AB1019" s="1"/>
      <c r="AC1019" s="1"/>
      <c r="AD1019" s="1"/>
      <c r="AE1019" s="6" t="s">
        <v>9257</v>
      </c>
      <c r="AF1019" s="1"/>
      <c r="AG1019" s="1"/>
      <c r="AH1019" s="1" t="s">
        <v>9258</v>
      </c>
      <c r="AI1019" s="1"/>
      <c r="AJ1019" s="1" t="s">
        <v>9259</v>
      </c>
      <c r="AK1019" s="1" t="s">
        <v>9260</v>
      </c>
      <c r="AL1019" s="1" t="s">
        <v>9261</v>
      </c>
      <c r="AM1019" s="1" t="s">
        <v>9262</v>
      </c>
      <c r="AN1019" s="1" t="s">
        <v>9263</v>
      </c>
      <c r="AO1019" s="1" t="s">
        <v>9264</v>
      </c>
      <c r="AP1019" s="2" t="s">
        <v>9265</v>
      </c>
      <c r="AQ1019" s="2" t="s">
        <v>1154</v>
      </c>
      <c r="AR1019" s="1" t="s">
        <v>286</v>
      </c>
      <c r="AS1019" s="1"/>
      <c r="AT1019" s="1" t="s">
        <v>5</v>
      </c>
    </row>
    <row r="1020" spans="1:46" hidden="1" x14ac:dyDescent="0.4">
      <c r="A1020" s="7" t="s">
        <v>9266</v>
      </c>
      <c r="B1020" s="11"/>
      <c r="C1020" s="1" t="s">
        <v>93</v>
      </c>
      <c r="D1020" s="1" t="s">
        <v>2827</v>
      </c>
      <c r="E1020" s="1" t="s">
        <v>2078</v>
      </c>
      <c r="F1020" s="1" t="s">
        <v>14</v>
      </c>
      <c r="G1020" s="1" t="s">
        <v>1</v>
      </c>
      <c r="H1020" s="1" t="s">
        <v>6</v>
      </c>
      <c r="I1020" s="1" t="s">
        <v>2</v>
      </c>
      <c r="J1020" s="1" t="s">
        <v>3</v>
      </c>
      <c r="K1020" s="1" t="s">
        <v>9267</v>
      </c>
      <c r="L1020" s="1" t="s">
        <v>7</v>
      </c>
      <c r="M1020" s="1"/>
      <c r="N1020" s="1" t="s">
        <v>9268</v>
      </c>
      <c r="O1020" s="1" t="s">
        <v>6641</v>
      </c>
      <c r="P1020" s="1"/>
      <c r="Q1020" s="1"/>
      <c r="R1020" s="1" t="s">
        <v>11</v>
      </c>
      <c r="S1020" s="1"/>
      <c r="T1020" s="1"/>
      <c r="U1020" s="1"/>
      <c r="V1020" s="1"/>
      <c r="W1020" s="1" t="s">
        <v>9269</v>
      </c>
      <c r="X1020" s="1"/>
      <c r="Y1020" s="1"/>
      <c r="Z1020" s="1"/>
      <c r="AA1020" s="1"/>
      <c r="AB1020" s="1"/>
      <c r="AC1020" s="1"/>
      <c r="AD1020" s="1"/>
      <c r="AE1020" s="6" t="s">
        <v>9270</v>
      </c>
      <c r="AF1020" s="1"/>
      <c r="AG1020" s="1"/>
      <c r="AH1020" s="1" t="s">
        <v>9271</v>
      </c>
      <c r="AI1020" s="1"/>
      <c r="AJ1020" s="1" t="s">
        <v>4386</v>
      </c>
      <c r="AK1020" s="1" t="s">
        <v>3792</v>
      </c>
      <c r="AL1020" s="1" t="s">
        <v>4387</v>
      </c>
      <c r="AM1020" s="1" t="s">
        <v>4386</v>
      </c>
      <c r="AN1020" s="1" t="s">
        <v>3792</v>
      </c>
      <c r="AO1020" s="1" t="s">
        <v>4387</v>
      </c>
      <c r="AP1020" s="2" t="s">
        <v>9272</v>
      </c>
      <c r="AQ1020" s="2" t="s">
        <v>1154</v>
      </c>
      <c r="AR1020" s="1" t="s">
        <v>286</v>
      </c>
      <c r="AS1020" s="1"/>
      <c r="AT1020" s="1" t="s">
        <v>5</v>
      </c>
    </row>
    <row r="1021" spans="1:46" hidden="1" x14ac:dyDescent="0.4">
      <c r="A1021" s="7" t="s">
        <v>9305</v>
      </c>
      <c r="B1021" s="11"/>
      <c r="C1021" s="1" t="s">
        <v>2705</v>
      </c>
      <c r="D1021" s="1" t="s">
        <v>2220</v>
      </c>
      <c r="E1021" s="1" t="s">
        <v>2078</v>
      </c>
      <c r="F1021" s="1" t="s">
        <v>14</v>
      </c>
      <c r="G1021" s="1" t="s">
        <v>1</v>
      </c>
      <c r="H1021" s="1" t="s">
        <v>6</v>
      </c>
      <c r="I1021" s="1" t="s">
        <v>2</v>
      </c>
      <c r="J1021" s="1" t="s">
        <v>2813</v>
      </c>
      <c r="K1021" s="1" t="s">
        <v>9306</v>
      </c>
      <c r="L1021" s="1" t="s">
        <v>7</v>
      </c>
      <c r="M1021" s="1" t="s">
        <v>9</v>
      </c>
      <c r="N1021" s="1" t="s">
        <v>9307</v>
      </c>
      <c r="O1021" s="1" t="s">
        <v>2603</v>
      </c>
      <c r="P1021" s="1"/>
      <c r="Q1021" s="1"/>
      <c r="R1021" s="1" t="s">
        <v>11</v>
      </c>
      <c r="S1021" s="1"/>
      <c r="T1021" s="1"/>
      <c r="U1021" s="1"/>
      <c r="V1021" s="1"/>
      <c r="W1021" s="1" t="s">
        <v>9308</v>
      </c>
      <c r="X1021" s="1"/>
      <c r="Y1021" s="1"/>
      <c r="Z1021" s="1"/>
      <c r="AA1021" s="1" t="s">
        <v>9309</v>
      </c>
      <c r="AB1021" s="1"/>
      <c r="AC1021" s="1"/>
      <c r="AD1021" s="1"/>
      <c r="AE1021" s="6" t="s">
        <v>9310</v>
      </c>
      <c r="AF1021" s="1"/>
      <c r="AG1021" s="1"/>
      <c r="AH1021" s="1" t="s">
        <v>9311</v>
      </c>
      <c r="AI1021" s="1"/>
      <c r="AJ1021" s="1" t="s">
        <v>9312</v>
      </c>
      <c r="AK1021" s="1" t="s">
        <v>3139</v>
      </c>
      <c r="AL1021" s="1" t="s">
        <v>9313</v>
      </c>
      <c r="AM1021" s="1" t="s">
        <v>9314</v>
      </c>
      <c r="AN1021" s="1" t="s">
        <v>3139</v>
      </c>
      <c r="AO1021" s="1" t="s">
        <v>9315</v>
      </c>
      <c r="AP1021" s="2" t="s">
        <v>9316</v>
      </c>
      <c r="AQ1021" s="2" t="s">
        <v>1154</v>
      </c>
      <c r="AR1021" s="1" t="s">
        <v>286</v>
      </c>
      <c r="AS1021" s="1"/>
      <c r="AT1021" s="1" t="s">
        <v>5</v>
      </c>
    </row>
    <row r="1022" spans="1:46" hidden="1" x14ac:dyDescent="0.4">
      <c r="A1022" s="7" t="s">
        <v>9377</v>
      </c>
      <c r="B1022" s="11"/>
      <c r="C1022" s="1" t="s">
        <v>2705</v>
      </c>
      <c r="D1022" s="1" t="s">
        <v>2688</v>
      </c>
      <c r="E1022" s="1" t="s">
        <v>3289</v>
      </c>
      <c r="F1022" s="1" t="s">
        <v>2690</v>
      </c>
      <c r="G1022" s="1" t="s">
        <v>1</v>
      </c>
      <c r="H1022" s="1" t="s">
        <v>6</v>
      </c>
      <c r="I1022" s="1" t="s">
        <v>2</v>
      </c>
      <c r="J1022" s="1" t="s">
        <v>2813</v>
      </c>
      <c r="K1022" s="1" t="s">
        <v>9378</v>
      </c>
      <c r="L1022" s="1" t="s">
        <v>4</v>
      </c>
      <c r="M1022" s="1" t="s">
        <v>9</v>
      </c>
      <c r="N1022" s="1" t="s">
        <v>9379</v>
      </c>
      <c r="O1022" s="1" t="s">
        <v>9380</v>
      </c>
      <c r="P1022" s="1"/>
      <c r="Q1022" s="1"/>
      <c r="R1022" s="1" t="s">
        <v>11</v>
      </c>
      <c r="S1022" s="1"/>
      <c r="T1022" s="1"/>
      <c r="U1022" s="1"/>
      <c r="V1022" s="1"/>
      <c r="W1022" s="1"/>
      <c r="X1022" s="1" t="s">
        <v>9381</v>
      </c>
      <c r="Y1022" s="1"/>
      <c r="Z1022" s="1"/>
      <c r="AA1022" s="1"/>
      <c r="AB1022" s="1"/>
      <c r="AC1022" s="1"/>
      <c r="AD1022" s="1"/>
      <c r="AE1022" s="6" t="s">
        <v>9382</v>
      </c>
      <c r="AF1022" s="1"/>
      <c r="AG1022" s="1"/>
      <c r="AH1022" s="1" t="s">
        <v>9383</v>
      </c>
      <c r="AI1022" s="1"/>
      <c r="AJ1022" s="1" t="s">
        <v>9384</v>
      </c>
      <c r="AK1022" s="1" t="s">
        <v>9385</v>
      </c>
      <c r="AL1022" s="1" t="s">
        <v>9386</v>
      </c>
      <c r="AM1022" s="1" t="s">
        <v>9384</v>
      </c>
      <c r="AN1022" s="1" t="s">
        <v>9385</v>
      </c>
      <c r="AO1022" s="1" t="s">
        <v>9386</v>
      </c>
      <c r="AP1022" s="2" t="s">
        <v>9387</v>
      </c>
      <c r="AQ1022" s="2" t="s">
        <v>1154</v>
      </c>
      <c r="AR1022" s="1" t="s">
        <v>287</v>
      </c>
      <c r="AS1022" s="1"/>
      <c r="AT1022" s="1" t="s">
        <v>5</v>
      </c>
    </row>
    <row r="1023" spans="1:46" hidden="1" x14ac:dyDescent="0.4">
      <c r="A1023" s="7" t="s">
        <v>9633</v>
      </c>
      <c r="B1023" s="11"/>
      <c r="C1023" s="1" t="s">
        <v>4640</v>
      </c>
      <c r="D1023" s="1" t="s">
        <v>2076</v>
      </c>
      <c r="E1023" s="1" t="s">
        <v>13</v>
      </c>
      <c r="F1023" s="1" t="s">
        <v>14</v>
      </c>
      <c r="G1023" s="1" t="s">
        <v>1</v>
      </c>
      <c r="H1023" s="1" t="s">
        <v>6</v>
      </c>
      <c r="I1023" s="1" t="s">
        <v>2</v>
      </c>
      <c r="J1023" s="1" t="s">
        <v>3514</v>
      </c>
      <c r="K1023" s="1" t="s">
        <v>9634</v>
      </c>
      <c r="L1023" s="1" t="s">
        <v>7</v>
      </c>
      <c r="M1023" s="1"/>
      <c r="N1023" s="1" t="s">
        <v>9635</v>
      </c>
      <c r="O1023" s="1" t="s">
        <v>9636</v>
      </c>
      <c r="P1023" s="1"/>
      <c r="Q1023" s="1"/>
      <c r="R1023" s="1" t="s">
        <v>11</v>
      </c>
      <c r="S1023" s="1"/>
      <c r="T1023" s="1"/>
      <c r="U1023" s="1"/>
      <c r="V1023" s="1"/>
      <c r="W1023" s="1" t="s">
        <v>9637</v>
      </c>
      <c r="X1023" s="1"/>
      <c r="Y1023" s="1"/>
      <c r="Z1023" s="1"/>
      <c r="AA1023" s="1"/>
      <c r="AB1023" s="1"/>
      <c r="AC1023" s="1"/>
      <c r="AD1023" s="1"/>
      <c r="AE1023" s="6" t="s">
        <v>9638</v>
      </c>
      <c r="AF1023" s="1"/>
      <c r="AG1023" s="1"/>
      <c r="AH1023" s="1" t="s">
        <v>9639</v>
      </c>
      <c r="AI1023" s="1"/>
      <c r="AJ1023" s="1" t="s">
        <v>9640</v>
      </c>
      <c r="AK1023" s="1" t="s">
        <v>9641</v>
      </c>
      <c r="AL1023" s="1" t="s">
        <v>9642</v>
      </c>
      <c r="AM1023" s="1" t="s">
        <v>9640</v>
      </c>
      <c r="AN1023" s="1" t="s">
        <v>9641</v>
      </c>
      <c r="AO1023" s="1" t="s">
        <v>9642</v>
      </c>
      <c r="AP1023" s="2" t="s">
        <v>9643</v>
      </c>
      <c r="AQ1023" s="2" t="s">
        <v>1155</v>
      </c>
      <c r="AR1023" s="1" t="s">
        <v>286</v>
      </c>
      <c r="AS1023" s="1"/>
      <c r="AT1023" s="1" t="s">
        <v>5</v>
      </c>
    </row>
    <row r="1024" spans="1:46" hidden="1" x14ac:dyDescent="0.4">
      <c r="A1024" s="7" t="s">
        <v>9644</v>
      </c>
      <c r="B1024" s="11"/>
      <c r="C1024" s="1" t="s">
        <v>4640</v>
      </c>
      <c r="D1024" s="1" t="s">
        <v>2157</v>
      </c>
      <c r="E1024" s="1" t="s">
        <v>2078</v>
      </c>
      <c r="F1024" s="1" t="s">
        <v>14</v>
      </c>
      <c r="G1024" s="1" t="s">
        <v>1</v>
      </c>
      <c r="H1024" s="1" t="s">
        <v>6</v>
      </c>
      <c r="I1024" s="1" t="s">
        <v>2</v>
      </c>
      <c r="J1024" s="1" t="s">
        <v>3514</v>
      </c>
      <c r="K1024" s="1" t="s">
        <v>9645</v>
      </c>
      <c r="L1024" s="1" t="s">
        <v>7</v>
      </c>
      <c r="M1024" s="1"/>
      <c r="N1024" s="1" t="s">
        <v>9646</v>
      </c>
      <c r="O1024" s="1" t="s">
        <v>9636</v>
      </c>
      <c r="P1024" s="1"/>
      <c r="Q1024" s="1"/>
      <c r="R1024" s="1" t="s">
        <v>11</v>
      </c>
      <c r="S1024" s="1"/>
      <c r="T1024" s="1"/>
      <c r="U1024" s="1"/>
      <c r="V1024" s="1"/>
      <c r="W1024" s="1" t="s">
        <v>9647</v>
      </c>
      <c r="X1024" s="1"/>
      <c r="Y1024" s="1"/>
      <c r="Z1024" s="1"/>
      <c r="AA1024" s="1"/>
      <c r="AB1024" s="1"/>
      <c r="AC1024" s="1"/>
      <c r="AD1024" s="1"/>
      <c r="AE1024" s="6" t="s">
        <v>9648</v>
      </c>
      <c r="AF1024" s="1"/>
      <c r="AG1024" s="1"/>
      <c r="AH1024" s="1" t="s">
        <v>9649</v>
      </c>
      <c r="AI1024" s="1"/>
      <c r="AJ1024" s="1" t="s">
        <v>9640</v>
      </c>
      <c r="AK1024" s="1" t="s">
        <v>9641</v>
      </c>
      <c r="AL1024" s="1" t="s">
        <v>9642</v>
      </c>
      <c r="AM1024" s="1" t="s">
        <v>9640</v>
      </c>
      <c r="AN1024" s="1" t="s">
        <v>9641</v>
      </c>
      <c r="AO1024" s="1" t="s">
        <v>9642</v>
      </c>
      <c r="AP1024" s="2" t="s">
        <v>9650</v>
      </c>
      <c r="AQ1024" s="2" t="s">
        <v>1155</v>
      </c>
      <c r="AR1024" s="1" t="s">
        <v>286</v>
      </c>
      <c r="AS1024" s="1"/>
      <c r="AT1024" s="1" t="s">
        <v>5</v>
      </c>
    </row>
    <row r="1025" spans="1:46" hidden="1" x14ac:dyDescent="0.4">
      <c r="A1025" s="7" t="s">
        <v>9734</v>
      </c>
      <c r="B1025" s="11"/>
      <c r="C1025" s="1" t="s">
        <v>93</v>
      </c>
      <c r="D1025" s="1" t="s">
        <v>2211</v>
      </c>
      <c r="E1025" s="1" t="s">
        <v>2078</v>
      </c>
      <c r="F1025" s="1" t="s">
        <v>14</v>
      </c>
      <c r="G1025" s="1" t="s">
        <v>1</v>
      </c>
      <c r="H1025" s="1" t="s">
        <v>6</v>
      </c>
      <c r="I1025" s="1" t="s">
        <v>2</v>
      </c>
      <c r="J1025" s="1" t="s">
        <v>3</v>
      </c>
      <c r="K1025" s="1" t="s">
        <v>9735</v>
      </c>
      <c r="L1025" s="1" t="s">
        <v>7</v>
      </c>
      <c r="M1025" s="1"/>
      <c r="N1025" s="1" t="s">
        <v>9736</v>
      </c>
      <c r="O1025" s="1" t="s">
        <v>9737</v>
      </c>
      <c r="P1025" s="1"/>
      <c r="Q1025" s="1"/>
      <c r="R1025" s="1" t="s">
        <v>11</v>
      </c>
      <c r="S1025" s="1"/>
      <c r="T1025" s="1"/>
      <c r="U1025" s="1"/>
      <c r="V1025" s="1"/>
      <c r="W1025" s="1" t="s">
        <v>9738</v>
      </c>
      <c r="X1025" s="1" t="s">
        <v>9739</v>
      </c>
      <c r="Y1025" s="1"/>
      <c r="Z1025" s="1"/>
      <c r="AA1025" s="1"/>
      <c r="AB1025" s="1"/>
      <c r="AC1025" s="1"/>
      <c r="AD1025" s="1"/>
      <c r="AE1025" s="6" t="s">
        <v>9740</v>
      </c>
      <c r="AF1025" s="1"/>
      <c r="AG1025" s="1"/>
      <c r="AH1025" s="1" t="s">
        <v>9741</v>
      </c>
      <c r="AI1025" s="1"/>
      <c r="AJ1025" s="1" t="s">
        <v>5474</v>
      </c>
      <c r="AK1025" s="1" t="s">
        <v>3792</v>
      </c>
      <c r="AL1025" s="1" t="s">
        <v>5475</v>
      </c>
      <c r="AM1025" s="1" t="s">
        <v>5474</v>
      </c>
      <c r="AN1025" s="1" t="s">
        <v>3792</v>
      </c>
      <c r="AO1025" s="1" t="s">
        <v>5475</v>
      </c>
      <c r="AP1025" s="2" t="s">
        <v>9742</v>
      </c>
      <c r="AQ1025" s="2" t="s">
        <v>1155</v>
      </c>
      <c r="AR1025" s="1" t="s">
        <v>286</v>
      </c>
      <c r="AS1025" s="1" t="s">
        <v>9743</v>
      </c>
      <c r="AT1025" s="1" t="s">
        <v>5</v>
      </c>
    </row>
    <row r="1026" spans="1:46" hidden="1" x14ac:dyDescent="0.4">
      <c r="A1026" s="7" t="s">
        <v>9744</v>
      </c>
      <c r="B1026" s="11"/>
      <c r="C1026" s="1" t="s">
        <v>1664</v>
      </c>
      <c r="D1026" s="1" t="s">
        <v>2290</v>
      </c>
      <c r="E1026" s="1" t="s">
        <v>2291</v>
      </c>
      <c r="F1026" s="1" t="s">
        <v>14</v>
      </c>
      <c r="G1026" s="1" t="s">
        <v>1</v>
      </c>
      <c r="H1026" s="1" t="s">
        <v>6</v>
      </c>
      <c r="I1026" s="1" t="s">
        <v>2</v>
      </c>
      <c r="J1026" s="1" t="s">
        <v>3</v>
      </c>
      <c r="K1026" s="1" t="s">
        <v>9745</v>
      </c>
      <c r="L1026" s="1" t="s">
        <v>7</v>
      </c>
      <c r="M1026" s="1"/>
      <c r="N1026" s="1" t="s">
        <v>9746</v>
      </c>
      <c r="O1026" s="1" t="s">
        <v>9747</v>
      </c>
      <c r="P1026" s="1"/>
      <c r="Q1026" s="1"/>
      <c r="R1026" s="1" t="s">
        <v>11</v>
      </c>
      <c r="S1026" s="1"/>
      <c r="T1026" s="1"/>
      <c r="U1026" s="1"/>
      <c r="V1026" s="1"/>
      <c r="W1026" s="1"/>
      <c r="X1026" s="1"/>
      <c r="Y1026" s="1"/>
      <c r="Z1026" s="1"/>
      <c r="AA1026" s="1"/>
      <c r="AB1026" s="1"/>
      <c r="AC1026" s="1"/>
      <c r="AD1026" s="1"/>
      <c r="AE1026" s="6" t="s">
        <v>9748</v>
      </c>
      <c r="AF1026" s="1"/>
      <c r="AG1026" s="1"/>
      <c r="AH1026" s="1" t="s">
        <v>9749</v>
      </c>
      <c r="AI1026" s="1"/>
      <c r="AJ1026" s="1" t="s">
        <v>1671</v>
      </c>
      <c r="AK1026" s="1" t="s">
        <v>1672</v>
      </c>
      <c r="AL1026" s="1" t="s">
        <v>1673</v>
      </c>
      <c r="AM1026" s="1" t="s">
        <v>1671</v>
      </c>
      <c r="AN1026" s="1" t="s">
        <v>1672</v>
      </c>
      <c r="AO1026" s="1" t="s">
        <v>1673</v>
      </c>
      <c r="AP1026" s="2" t="s">
        <v>9750</v>
      </c>
      <c r="AQ1026" s="2" t="s">
        <v>1155</v>
      </c>
      <c r="AR1026" s="1" t="s">
        <v>286</v>
      </c>
      <c r="AS1026" s="1" t="s">
        <v>9751</v>
      </c>
      <c r="AT1026" s="1" t="s">
        <v>5</v>
      </c>
    </row>
    <row r="1027" spans="1:46" hidden="1" x14ac:dyDescent="0.4">
      <c r="A1027" s="7" t="s">
        <v>9752</v>
      </c>
      <c r="B1027" s="11"/>
      <c r="C1027" s="1" t="s">
        <v>1664</v>
      </c>
      <c r="D1027" s="1" t="s">
        <v>2290</v>
      </c>
      <c r="E1027" s="1" t="s">
        <v>2291</v>
      </c>
      <c r="F1027" s="1" t="s">
        <v>14</v>
      </c>
      <c r="G1027" s="1" t="s">
        <v>1</v>
      </c>
      <c r="H1027" s="1" t="s">
        <v>6</v>
      </c>
      <c r="I1027" s="1" t="s">
        <v>2</v>
      </c>
      <c r="J1027" s="1" t="s">
        <v>3</v>
      </c>
      <c r="K1027" s="1" t="s">
        <v>9753</v>
      </c>
      <c r="L1027" s="1" t="s">
        <v>7</v>
      </c>
      <c r="M1027" s="1"/>
      <c r="N1027" s="1" t="s">
        <v>9754</v>
      </c>
      <c r="O1027" s="1" t="s">
        <v>9747</v>
      </c>
      <c r="P1027" s="1"/>
      <c r="Q1027" s="1"/>
      <c r="R1027" s="1" t="s">
        <v>11</v>
      </c>
      <c r="S1027" s="1"/>
      <c r="T1027" s="1"/>
      <c r="U1027" s="1"/>
      <c r="V1027" s="1"/>
      <c r="W1027" s="1"/>
      <c r="X1027" s="1"/>
      <c r="Y1027" s="1"/>
      <c r="Z1027" s="1"/>
      <c r="AA1027" s="1"/>
      <c r="AB1027" s="1"/>
      <c r="AC1027" s="1"/>
      <c r="AD1027" s="1"/>
      <c r="AE1027" s="6" t="s">
        <v>9755</v>
      </c>
      <c r="AF1027" s="1"/>
      <c r="AG1027" s="1"/>
      <c r="AH1027" s="1" t="s">
        <v>9756</v>
      </c>
      <c r="AI1027" s="1"/>
      <c r="AJ1027" s="1" t="s">
        <v>1671</v>
      </c>
      <c r="AK1027" s="1" t="s">
        <v>1672</v>
      </c>
      <c r="AL1027" s="1" t="s">
        <v>1673</v>
      </c>
      <c r="AM1027" s="1" t="s">
        <v>1671</v>
      </c>
      <c r="AN1027" s="1" t="s">
        <v>1672</v>
      </c>
      <c r="AO1027" s="1" t="s">
        <v>1673</v>
      </c>
      <c r="AP1027" s="2" t="s">
        <v>9757</v>
      </c>
      <c r="AQ1027" s="2" t="s">
        <v>1155</v>
      </c>
      <c r="AR1027" s="1" t="s">
        <v>286</v>
      </c>
      <c r="AS1027" s="1" t="s">
        <v>9758</v>
      </c>
      <c r="AT1027" s="1" t="s">
        <v>5</v>
      </c>
    </row>
    <row r="1028" spans="1:46" hidden="1" x14ac:dyDescent="0.4">
      <c r="A1028" s="7" t="s">
        <v>9771</v>
      </c>
      <c r="B1028" s="11"/>
      <c r="C1028" s="1" t="s">
        <v>2841</v>
      </c>
      <c r="D1028" s="1" t="s">
        <v>2076</v>
      </c>
      <c r="E1028" s="1" t="s">
        <v>2078</v>
      </c>
      <c r="F1028" s="1" t="s">
        <v>14</v>
      </c>
      <c r="G1028" s="1" t="s">
        <v>1</v>
      </c>
      <c r="H1028" s="1" t="s">
        <v>6</v>
      </c>
      <c r="I1028" s="1" t="s">
        <v>2</v>
      </c>
      <c r="J1028" s="1" t="s">
        <v>2842</v>
      </c>
      <c r="K1028" s="1" t="s">
        <v>9772</v>
      </c>
      <c r="L1028" s="1" t="s">
        <v>7</v>
      </c>
      <c r="M1028" s="1"/>
      <c r="N1028" s="1" t="s">
        <v>9773</v>
      </c>
      <c r="O1028" s="1" t="s">
        <v>2258</v>
      </c>
      <c r="P1028" s="1"/>
      <c r="Q1028" s="1"/>
      <c r="R1028" s="1" t="s">
        <v>11</v>
      </c>
      <c r="S1028" s="1"/>
      <c r="T1028" s="1"/>
      <c r="U1028" s="1"/>
      <c r="V1028" s="1"/>
      <c r="W1028" s="1" t="s">
        <v>9774</v>
      </c>
      <c r="X1028" s="1" t="s">
        <v>9775</v>
      </c>
      <c r="Y1028" s="1"/>
      <c r="Z1028" s="1"/>
      <c r="AA1028" s="1"/>
      <c r="AB1028" s="1"/>
      <c r="AC1028" s="1"/>
      <c r="AD1028" s="1"/>
      <c r="AE1028" s="6" t="s">
        <v>9776</v>
      </c>
      <c r="AF1028" s="1"/>
      <c r="AG1028" s="1"/>
      <c r="AH1028" s="1" t="s">
        <v>9777</v>
      </c>
      <c r="AI1028" s="1" t="s">
        <v>9778</v>
      </c>
      <c r="AJ1028" s="1" t="s">
        <v>4327</v>
      </c>
      <c r="AK1028" s="1" t="s">
        <v>8473</v>
      </c>
      <c r="AL1028" s="1" t="s">
        <v>4328</v>
      </c>
      <c r="AM1028" s="1" t="s">
        <v>4327</v>
      </c>
      <c r="AN1028" s="1" t="s">
        <v>8473</v>
      </c>
      <c r="AO1028" s="1" t="s">
        <v>4328</v>
      </c>
      <c r="AP1028" s="2" t="s">
        <v>9779</v>
      </c>
      <c r="AQ1028" s="2" t="s">
        <v>1155</v>
      </c>
      <c r="AR1028" s="1" t="s">
        <v>286</v>
      </c>
      <c r="AS1028" s="1" t="s">
        <v>9780</v>
      </c>
      <c r="AT1028" s="1" t="s">
        <v>5</v>
      </c>
    </row>
    <row r="1029" spans="1:46" hidden="1" x14ac:dyDescent="0.4">
      <c r="A1029" s="7" t="s">
        <v>9789</v>
      </c>
      <c r="B1029" s="11"/>
      <c r="C1029" s="1" t="s">
        <v>0</v>
      </c>
      <c r="D1029" s="1" t="s">
        <v>2827</v>
      </c>
      <c r="E1029" s="1" t="s">
        <v>2078</v>
      </c>
      <c r="F1029" s="1" t="s">
        <v>14</v>
      </c>
      <c r="G1029" s="1" t="s">
        <v>1</v>
      </c>
      <c r="H1029" s="1" t="s">
        <v>6</v>
      </c>
      <c r="I1029" s="1" t="s">
        <v>2</v>
      </c>
      <c r="J1029" s="1" t="s">
        <v>3</v>
      </c>
      <c r="K1029" s="1" t="s">
        <v>9790</v>
      </c>
      <c r="L1029" s="1" t="s">
        <v>7</v>
      </c>
      <c r="M1029" s="1" t="s">
        <v>9</v>
      </c>
      <c r="N1029" s="1" t="s">
        <v>9791</v>
      </c>
      <c r="O1029" s="1" t="s">
        <v>2238</v>
      </c>
      <c r="P1029" s="1"/>
      <c r="Q1029" s="1"/>
      <c r="R1029" s="1" t="s">
        <v>11</v>
      </c>
      <c r="S1029" s="1"/>
      <c r="T1029" s="1"/>
      <c r="U1029" s="1"/>
      <c r="V1029" s="1"/>
      <c r="W1029" s="1"/>
      <c r="X1029" s="1" t="s">
        <v>9792</v>
      </c>
      <c r="Y1029" s="1"/>
      <c r="Z1029" s="1"/>
      <c r="AA1029" s="1"/>
      <c r="AB1029" s="1"/>
      <c r="AC1029" s="1"/>
      <c r="AD1029" s="1"/>
      <c r="AE1029" s="6" t="s">
        <v>9793</v>
      </c>
      <c r="AF1029" s="1"/>
      <c r="AG1029" s="1"/>
      <c r="AH1029" s="1" t="s">
        <v>9794</v>
      </c>
      <c r="AI1029" s="1"/>
      <c r="AJ1029" s="1" t="s">
        <v>1528</v>
      </c>
      <c r="AK1029" s="1" t="s">
        <v>279</v>
      </c>
      <c r="AL1029" s="1" t="s">
        <v>1529</v>
      </c>
      <c r="AM1029" s="1" t="s">
        <v>9795</v>
      </c>
      <c r="AN1029" s="1" t="s">
        <v>279</v>
      </c>
      <c r="AO1029" s="1" t="s">
        <v>9796</v>
      </c>
      <c r="AP1029" s="2" t="s">
        <v>9797</v>
      </c>
      <c r="AQ1029" s="2" t="s">
        <v>1155</v>
      </c>
      <c r="AR1029" s="1" t="s">
        <v>286</v>
      </c>
      <c r="AS1029" s="1" t="s">
        <v>9798</v>
      </c>
      <c r="AT1029" s="1" t="s">
        <v>5</v>
      </c>
    </row>
    <row r="1030" spans="1:46" hidden="1" x14ac:dyDescent="0.4">
      <c r="A1030" s="7" t="s">
        <v>9842</v>
      </c>
      <c r="B1030" s="11"/>
      <c r="C1030" s="1" t="s">
        <v>2494</v>
      </c>
      <c r="D1030" s="1" t="s">
        <v>2076</v>
      </c>
      <c r="E1030" s="1" t="s">
        <v>2078</v>
      </c>
      <c r="F1030" s="1" t="s">
        <v>14</v>
      </c>
      <c r="G1030" s="1" t="s">
        <v>1</v>
      </c>
      <c r="H1030" s="1" t="s">
        <v>6</v>
      </c>
      <c r="I1030" s="1" t="s">
        <v>2</v>
      </c>
      <c r="J1030" s="1" t="s">
        <v>2450</v>
      </c>
      <c r="K1030" s="1" t="s">
        <v>9843</v>
      </c>
      <c r="L1030" s="1" t="s">
        <v>4</v>
      </c>
      <c r="M1030" s="1" t="s">
        <v>9</v>
      </c>
      <c r="N1030" s="1" t="s">
        <v>9844</v>
      </c>
      <c r="O1030" s="1" t="s">
        <v>2238</v>
      </c>
      <c r="P1030" s="1"/>
      <c r="Q1030" s="1"/>
      <c r="R1030" s="1" t="s">
        <v>11</v>
      </c>
      <c r="S1030" s="1"/>
      <c r="T1030" s="1"/>
      <c r="U1030" s="1"/>
      <c r="V1030" s="1"/>
      <c r="W1030" s="1" t="s">
        <v>9845</v>
      </c>
      <c r="X1030" s="1" t="s">
        <v>9846</v>
      </c>
      <c r="Y1030" s="1"/>
      <c r="Z1030" s="1"/>
      <c r="AA1030" s="1" t="s">
        <v>9847</v>
      </c>
      <c r="AB1030" s="1"/>
      <c r="AC1030" s="1"/>
      <c r="AD1030" s="1"/>
      <c r="AE1030" s="6" t="s">
        <v>9848</v>
      </c>
      <c r="AF1030" s="1"/>
      <c r="AG1030" s="1"/>
      <c r="AH1030" s="1" t="s">
        <v>9849</v>
      </c>
      <c r="AI1030" s="1"/>
      <c r="AJ1030" s="1" t="s">
        <v>3557</v>
      </c>
      <c r="AK1030" s="1" t="s">
        <v>3558</v>
      </c>
      <c r="AL1030" s="1" t="s">
        <v>3559</v>
      </c>
      <c r="AM1030" s="1" t="s">
        <v>3557</v>
      </c>
      <c r="AN1030" s="1" t="s">
        <v>3558</v>
      </c>
      <c r="AO1030" s="1" t="s">
        <v>3559</v>
      </c>
      <c r="AP1030" s="2" t="s">
        <v>9850</v>
      </c>
      <c r="AQ1030" s="2" t="s">
        <v>1155</v>
      </c>
      <c r="AR1030" s="1" t="s">
        <v>286</v>
      </c>
      <c r="AS1030" s="1" t="s">
        <v>9851</v>
      </c>
      <c r="AT1030" s="1" t="s">
        <v>5</v>
      </c>
    </row>
    <row r="1031" spans="1:46" hidden="1" x14ac:dyDescent="0.4">
      <c r="A1031" s="7" t="s">
        <v>9876</v>
      </c>
      <c r="B1031" s="11"/>
      <c r="C1031" s="1" t="s">
        <v>0</v>
      </c>
      <c r="D1031" s="1" t="s">
        <v>2157</v>
      </c>
      <c r="E1031" s="1" t="s">
        <v>2078</v>
      </c>
      <c r="F1031" s="1" t="s">
        <v>14</v>
      </c>
      <c r="G1031" s="1" t="s">
        <v>1</v>
      </c>
      <c r="H1031" s="1" t="s">
        <v>6</v>
      </c>
      <c r="I1031" s="1" t="s">
        <v>2</v>
      </c>
      <c r="J1031" s="1" t="s">
        <v>3</v>
      </c>
      <c r="K1031" s="1" t="s">
        <v>9877</v>
      </c>
      <c r="L1031" s="1" t="s">
        <v>7</v>
      </c>
      <c r="M1031" s="1" t="s">
        <v>9</v>
      </c>
      <c r="N1031" s="1" t="s">
        <v>9878</v>
      </c>
      <c r="O1031" s="1" t="s">
        <v>9879</v>
      </c>
      <c r="P1031" s="1"/>
      <c r="Q1031" s="1"/>
      <c r="R1031" s="1" t="s">
        <v>11</v>
      </c>
      <c r="S1031" s="1"/>
      <c r="T1031" s="1"/>
      <c r="U1031" s="1"/>
      <c r="V1031" s="1"/>
      <c r="W1031" s="1"/>
      <c r="X1031" s="1" t="s">
        <v>9880</v>
      </c>
      <c r="Y1031" s="1"/>
      <c r="Z1031" s="1"/>
      <c r="AA1031" s="1"/>
      <c r="AB1031" s="1"/>
      <c r="AC1031" s="1"/>
      <c r="AD1031" s="1"/>
      <c r="AE1031" s="6" t="s">
        <v>9881</v>
      </c>
      <c r="AF1031" s="1"/>
      <c r="AG1031" s="1"/>
      <c r="AH1031" s="1" t="s">
        <v>9882</v>
      </c>
      <c r="AI1031" s="1"/>
      <c r="AJ1031" s="1" t="s">
        <v>127</v>
      </c>
      <c r="AK1031" s="1" t="s">
        <v>281</v>
      </c>
      <c r="AL1031" s="1" t="s">
        <v>128</v>
      </c>
      <c r="AM1031" s="1" t="s">
        <v>9883</v>
      </c>
      <c r="AN1031" s="1" t="s">
        <v>281</v>
      </c>
      <c r="AO1031" s="1" t="s">
        <v>9884</v>
      </c>
      <c r="AP1031" s="2" t="s">
        <v>9885</v>
      </c>
      <c r="AQ1031" s="2" t="s">
        <v>1155</v>
      </c>
      <c r="AR1031" s="1" t="s">
        <v>286</v>
      </c>
      <c r="AS1031" s="1" t="s">
        <v>9886</v>
      </c>
      <c r="AT1031" s="1" t="s">
        <v>5</v>
      </c>
    </row>
    <row r="1032" spans="1:46" x14ac:dyDescent="0.4">
      <c r="A1032" s="7" t="s">
        <v>9887</v>
      </c>
      <c r="B1032" s="11">
        <v>0</v>
      </c>
      <c r="C1032" s="1" t="s">
        <v>0</v>
      </c>
      <c r="D1032" s="1" t="s">
        <v>2157</v>
      </c>
      <c r="E1032" s="1" t="s">
        <v>2078</v>
      </c>
      <c r="F1032" s="1" t="s">
        <v>14</v>
      </c>
      <c r="G1032" s="1" t="s">
        <v>1</v>
      </c>
      <c r="H1032" s="1" t="s">
        <v>6</v>
      </c>
      <c r="I1032" s="1" t="s">
        <v>2</v>
      </c>
      <c r="J1032" s="1" t="s">
        <v>3</v>
      </c>
      <c r="K1032" s="1" t="s">
        <v>9888</v>
      </c>
      <c r="L1032" s="1" t="s">
        <v>7</v>
      </c>
      <c r="M1032" s="1" t="s">
        <v>9</v>
      </c>
      <c r="N1032" s="1" t="s">
        <v>9889</v>
      </c>
      <c r="O1032" s="1" t="s">
        <v>9879</v>
      </c>
      <c r="P1032" s="1"/>
      <c r="Q1032" s="1"/>
      <c r="R1032" s="1" t="s">
        <v>11</v>
      </c>
      <c r="S1032" s="1"/>
      <c r="T1032" s="1"/>
      <c r="U1032" s="1"/>
      <c r="V1032" s="1"/>
      <c r="W1032" s="1"/>
      <c r="X1032" s="1" t="s">
        <v>9890</v>
      </c>
      <c r="Y1032" s="1"/>
      <c r="Z1032" s="1"/>
      <c r="AA1032" s="1"/>
      <c r="AB1032" s="1"/>
      <c r="AC1032" s="1"/>
      <c r="AD1032" s="1"/>
      <c r="AE1032" s="6" t="s">
        <v>9891</v>
      </c>
      <c r="AF1032" s="1"/>
      <c r="AG1032" s="1"/>
      <c r="AH1032" s="1" t="s">
        <v>9892</v>
      </c>
      <c r="AI1032" s="1"/>
      <c r="AJ1032" s="1" t="s">
        <v>127</v>
      </c>
      <c r="AK1032" s="1" t="s">
        <v>281</v>
      </c>
      <c r="AL1032" s="1" t="s">
        <v>128</v>
      </c>
      <c r="AM1032" s="1" t="s">
        <v>9883</v>
      </c>
      <c r="AN1032" s="1" t="s">
        <v>281</v>
      </c>
      <c r="AO1032" s="1" t="s">
        <v>9884</v>
      </c>
      <c r="AP1032" s="2" t="s">
        <v>9893</v>
      </c>
      <c r="AQ1032" s="2" t="s">
        <v>1155</v>
      </c>
      <c r="AR1032" s="1" t="s">
        <v>286</v>
      </c>
      <c r="AS1032" s="1" t="s">
        <v>9894</v>
      </c>
      <c r="AT1032" s="1" t="s">
        <v>5</v>
      </c>
    </row>
    <row r="1033" spans="1:46" x14ac:dyDescent="0.4">
      <c r="A1033" s="7" t="s">
        <v>2083</v>
      </c>
      <c r="B1033" s="11">
        <v>0</v>
      </c>
      <c r="C1033" s="1" t="s">
        <v>0</v>
      </c>
      <c r="D1033" s="1" t="s">
        <v>2076</v>
      </c>
      <c r="E1033" s="1" t="s">
        <v>2078</v>
      </c>
      <c r="F1033" s="1" t="s">
        <v>14</v>
      </c>
      <c r="G1033" s="1" t="s">
        <v>1</v>
      </c>
      <c r="H1033" s="1" t="s">
        <v>6</v>
      </c>
      <c r="I1033" s="1" t="s">
        <v>2</v>
      </c>
      <c r="J1033" s="1" t="s">
        <v>3</v>
      </c>
      <c r="K1033" s="1" t="s">
        <v>2084</v>
      </c>
      <c r="L1033" s="1" t="s">
        <v>4</v>
      </c>
      <c r="M1033" s="1" t="s">
        <v>9</v>
      </c>
      <c r="N1033" s="1" t="s">
        <v>9919</v>
      </c>
      <c r="O1033" s="1" t="s">
        <v>5309</v>
      </c>
      <c r="P1033" s="1"/>
      <c r="Q1033" s="1"/>
      <c r="R1033" s="1" t="s">
        <v>11</v>
      </c>
      <c r="S1033" s="1"/>
      <c r="T1033" s="1"/>
      <c r="U1033" s="1"/>
      <c r="V1033" s="1"/>
      <c r="W1033" s="1"/>
      <c r="X1033" s="1"/>
      <c r="Y1033" s="1"/>
      <c r="Z1033" s="1"/>
      <c r="AA1033" s="1"/>
      <c r="AB1033" s="1"/>
      <c r="AC1033" s="1"/>
      <c r="AD1033" s="1"/>
      <c r="AE1033" s="6" t="s">
        <v>2086</v>
      </c>
      <c r="AF1033" s="1"/>
      <c r="AG1033" s="1"/>
      <c r="AH1033" s="1" t="s">
        <v>9920</v>
      </c>
      <c r="AI1033" s="1"/>
      <c r="AJ1033" s="1" t="s">
        <v>2085</v>
      </c>
      <c r="AK1033" s="1" t="s">
        <v>5322</v>
      </c>
      <c r="AL1033" s="1"/>
      <c r="AM1033" s="1" t="s">
        <v>9921</v>
      </c>
      <c r="AN1033" s="1" t="s">
        <v>5322</v>
      </c>
      <c r="AO1033" s="1" t="s">
        <v>9922</v>
      </c>
      <c r="AP1033" s="2" t="s">
        <v>9923</v>
      </c>
      <c r="AQ1033" s="2" t="s">
        <v>1155</v>
      </c>
      <c r="AR1033" s="1" t="s">
        <v>286</v>
      </c>
      <c r="AS1033" s="1" t="s">
        <v>9924</v>
      </c>
      <c r="AT1033" s="1" t="s">
        <v>5</v>
      </c>
    </row>
    <row r="1034" spans="1:46" x14ac:dyDescent="0.4">
      <c r="A1034" s="7" t="s">
        <v>9925</v>
      </c>
      <c r="B1034" s="11">
        <v>0</v>
      </c>
      <c r="C1034" s="1" t="s">
        <v>0</v>
      </c>
      <c r="D1034" s="1" t="s">
        <v>2157</v>
      </c>
      <c r="E1034" s="1" t="s">
        <v>2078</v>
      </c>
      <c r="F1034" s="1" t="s">
        <v>14</v>
      </c>
      <c r="G1034" s="1" t="s">
        <v>1</v>
      </c>
      <c r="H1034" s="1" t="s">
        <v>6</v>
      </c>
      <c r="I1034" s="1" t="s">
        <v>2</v>
      </c>
      <c r="J1034" s="1" t="s">
        <v>3</v>
      </c>
      <c r="K1034" s="1" t="s">
        <v>9926</v>
      </c>
      <c r="L1034" s="1" t="s">
        <v>7</v>
      </c>
      <c r="M1034" s="1" t="s">
        <v>9</v>
      </c>
      <c r="N1034" s="1" t="s">
        <v>9927</v>
      </c>
      <c r="O1034" s="1" t="s">
        <v>9928</v>
      </c>
      <c r="P1034" s="1"/>
      <c r="Q1034" s="1"/>
      <c r="R1034" s="1" t="s">
        <v>11</v>
      </c>
      <c r="S1034" s="1"/>
      <c r="T1034" s="1"/>
      <c r="U1034" s="1"/>
      <c r="V1034" s="1"/>
      <c r="W1034" s="1"/>
      <c r="X1034" s="1"/>
      <c r="Y1034" s="1"/>
      <c r="Z1034" s="1"/>
      <c r="AA1034" s="1"/>
      <c r="AB1034" s="1"/>
      <c r="AC1034" s="1"/>
      <c r="AD1034" s="1"/>
      <c r="AE1034" s="6" t="s">
        <v>9929</v>
      </c>
      <c r="AF1034" s="1"/>
      <c r="AG1034" s="1"/>
      <c r="AH1034" s="1" t="s">
        <v>9930</v>
      </c>
      <c r="AI1034" s="1"/>
      <c r="AJ1034" s="1" t="s">
        <v>9931</v>
      </c>
      <c r="AK1034" s="1" t="s">
        <v>5436</v>
      </c>
      <c r="AL1034" s="1" t="s">
        <v>9932</v>
      </c>
      <c r="AM1034" s="1" t="s">
        <v>9933</v>
      </c>
      <c r="AN1034" s="1" t="s">
        <v>5438</v>
      </c>
      <c r="AO1034" s="1" t="s">
        <v>9934</v>
      </c>
      <c r="AP1034" s="2" t="s">
        <v>9935</v>
      </c>
      <c r="AQ1034" s="2" t="s">
        <v>1155</v>
      </c>
      <c r="AR1034" s="1" t="s">
        <v>286</v>
      </c>
      <c r="AS1034" s="1" t="s">
        <v>9936</v>
      </c>
      <c r="AT1034" s="1" t="s">
        <v>5</v>
      </c>
    </row>
    <row r="1035" spans="1:46" x14ac:dyDescent="0.4">
      <c r="A1035" s="7" t="s">
        <v>9947</v>
      </c>
      <c r="B1035" s="11">
        <v>0</v>
      </c>
      <c r="C1035" s="1" t="s">
        <v>0</v>
      </c>
      <c r="D1035" s="1" t="s">
        <v>2157</v>
      </c>
      <c r="E1035" s="1" t="s">
        <v>2078</v>
      </c>
      <c r="F1035" s="1" t="s">
        <v>14</v>
      </c>
      <c r="G1035" s="1" t="s">
        <v>1</v>
      </c>
      <c r="H1035" s="1" t="s">
        <v>6</v>
      </c>
      <c r="I1035" s="1" t="s">
        <v>2</v>
      </c>
      <c r="J1035" s="1" t="s">
        <v>3</v>
      </c>
      <c r="K1035" s="1" t="s">
        <v>9948</v>
      </c>
      <c r="L1035" s="1" t="s">
        <v>2231</v>
      </c>
      <c r="M1035" s="1" t="s">
        <v>9</v>
      </c>
      <c r="N1035" s="1" t="s">
        <v>9949</v>
      </c>
      <c r="O1035" s="1" t="s">
        <v>2258</v>
      </c>
      <c r="P1035" s="1"/>
      <c r="Q1035" s="1"/>
      <c r="R1035" s="1" t="s">
        <v>11</v>
      </c>
      <c r="S1035" s="1"/>
      <c r="T1035" s="1"/>
      <c r="U1035" s="1"/>
      <c r="V1035" s="1"/>
      <c r="W1035" s="1"/>
      <c r="X1035" s="1"/>
      <c r="Y1035" s="1"/>
      <c r="Z1035" s="1"/>
      <c r="AA1035" s="1"/>
      <c r="AB1035" s="1"/>
      <c r="AC1035" s="1"/>
      <c r="AD1035" s="1"/>
      <c r="AE1035" s="6" t="s">
        <v>9950</v>
      </c>
      <c r="AF1035" s="1"/>
      <c r="AG1035" s="1"/>
      <c r="AH1035" s="1" t="s">
        <v>9951</v>
      </c>
      <c r="AI1035" s="1"/>
      <c r="AJ1035" s="1" t="s">
        <v>4947</v>
      </c>
      <c r="AK1035" s="1" t="s">
        <v>4283</v>
      </c>
      <c r="AL1035" s="1" t="s">
        <v>4948</v>
      </c>
      <c r="AM1035" s="1" t="s">
        <v>9952</v>
      </c>
      <c r="AN1035" s="1" t="s">
        <v>4283</v>
      </c>
      <c r="AO1035" s="1"/>
      <c r="AP1035" s="2" t="s">
        <v>9953</v>
      </c>
      <c r="AQ1035" s="2" t="s">
        <v>1155</v>
      </c>
      <c r="AR1035" s="1" t="s">
        <v>286</v>
      </c>
      <c r="AS1035" s="1" t="s">
        <v>9954</v>
      </c>
      <c r="AT1035" s="1" t="s">
        <v>5</v>
      </c>
    </row>
    <row r="1036" spans="1:46" x14ac:dyDescent="0.4">
      <c r="A1036" s="7" t="s">
        <v>9955</v>
      </c>
      <c r="B1036" s="11">
        <v>0</v>
      </c>
      <c r="C1036" s="1" t="s">
        <v>0</v>
      </c>
      <c r="D1036" s="1" t="s">
        <v>2157</v>
      </c>
      <c r="E1036" s="1" t="s">
        <v>2078</v>
      </c>
      <c r="F1036" s="1" t="s">
        <v>14</v>
      </c>
      <c r="G1036" s="1" t="s">
        <v>1</v>
      </c>
      <c r="H1036" s="1" t="s">
        <v>6</v>
      </c>
      <c r="I1036" s="1" t="s">
        <v>2</v>
      </c>
      <c r="J1036" s="1" t="s">
        <v>3</v>
      </c>
      <c r="K1036" s="1" t="s">
        <v>9956</v>
      </c>
      <c r="L1036" s="1" t="s">
        <v>7</v>
      </c>
      <c r="M1036" s="1" t="s">
        <v>9</v>
      </c>
      <c r="N1036" s="1" t="s">
        <v>9957</v>
      </c>
      <c r="O1036" s="1" t="s">
        <v>9958</v>
      </c>
      <c r="P1036" s="1"/>
      <c r="Q1036" s="1"/>
      <c r="R1036" s="1" t="s">
        <v>11</v>
      </c>
      <c r="S1036" s="1"/>
      <c r="T1036" s="1"/>
      <c r="U1036" s="1"/>
      <c r="V1036" s="1"/>
      <c r="W1036" s="1"/>
      <c r="X1036" s="1"/>
      <c r="Y1036" s="1"/>
      <c r="Z1036" s="1"/>
      <c r="AA1036" s="1"/>
      <c r="AB1036" s="1"/>
      <c r="AC1036" s="1"/>
      <c r="AD1036" s="1"/>
      <c r="AE1036" s="6" t="s">
        <v>9959</v>
      </c>
      <c r="AF1036" s="1"/>
      <c r="AG1036" s="1"/>
      <c r="AH1036" s="1" t="s">
        <v>9960</v>
      </c>
      <c r="AI1036" s="1"/>
      <c r="AJ1036" s="1" t="s">
        <v>4947</v>
      </c>
      <c r="AK1036" s="1" t="s">
        <v>4283</v>
      </c>
      <c r="AL1036" s="1" t="s">
        <v>4948</v>
      </c>
      <c r="AM1036" s="1" t="s">
        <v>9952</v>
      </c>
      <c r="AN1036" s="1" t="s">
        <v>4283</v>
      </c>
      <c r="AO1036" s="1"/>
      <c r="AP1036" s="2" t="s">
        <v>9961</v>
      </c>
      <c r="AQ1036" s="2" t="s">
        <v>1155</v>
      </c>
      <c r="AR1036" s="1" t="s">
        <v>286</v>
      </c>
      <c r="AS1036" s="1" t="s">
        <v>9954</v>
      </c>
      <c r="AT1036" s="1" t="s">
        <v>5</v>
      </c>
    </row>
    <row r="1037" spans="1:46" x14ac:dyDescent="0.4">
      <c r="A1037" s="7" t="s">
        <v>9962</v>
      </c>
      <c r="B1037" s="11">
        <v>0</v>
      </c>
      <c r="C1037" s="1" t="s">
        <v>0</v>
      </c>
      <c r="D1037" s="1" t="s">
        <v>2157</v>
      </c>
      <c r="E1037" s="1" t="s">
        <v>2078</v>
      </c>
      <c r="F1037" s="1" t="s">
        <v>14</v>
      </c>
      <c r="G1037" s="1" t="s">
        <v>1</v>
      </c>
      <c r="H1037" s="1" t="s">
        <v>6</v>
      </c>
      <c r="I1037" s="1" t="s">
        <v>2</v>
      </c>
      <c r="J1037" s="1" t="s">
        <v>3</v>
      </c>
      <c r="K1037" s="1" t="s">
        <v>9963</v>
      </c>
      <c r="L1037" s="1" t="s">
        <v>2231</v>
      </c>
      <c r="M1037" s="1" t="s">
        <v>9</v>
      </c>
      <c r="N1037" s="1" t="s">
        <v>9964</v>
      </c>
      <c r="O1037" s="1" t="s">
        <v>2258</v>
      </c>
      <c r="P1037" s="1"/>
      <c r="Q1037" s="1"/>
      <c r="R1037" s="1" t="s">
        <v>11</v>
      </c>
      <c r="S1037" s="1"/>
      <c r="T1037" s="1"/>
      <c r="U1037" s="1"/>
      <c r="V1037" s="1"/>
      <c r="W1037" s="1"/>
      <c r="X1037" s="1"/>
      <c r="Y1037" s="1"/>
      <c r="Z1037" s="1"/>
      <c r="AA1037" s="1"/>
      <c r="AB1037" s="1"/>
      <c r="AC1037" s="1"/>
      <c r="AD1037" s="1"/>
      <c r="AE1037" s="6" t="s">
        <v>9965</v>
      </c>
      <c r="AF1037" s="1"/>
      <c r="AG1037" s="1"/>
      <c r="AH1037" s="1" t="s">
        <v>9966</v>
      </c>
      <c r="AI1037" s="1"/>
      <c r="AJ1037" s="1" t="s">
        <v>4947</v>
      </c>
      <c r="AK1037" s="1" t="s">
        <v>4283</v>
      </c>
      <c r="AL1037" s="1" t="s">
        <v>4948</v>
      </c>
      <c r="AM1037" s="1" t="s">
        <v>9952</v>
      </c>
      <c r="AN1037" s="1" t="s">
        <v>4283</v>
      </c>
      <c r="AO1037" s="1"/>
      <c r="AP1037" s="2" t="s">
        <v>9967</v>
      </c>
      <c r="AQ1037" s="2" t="s">
        <v>1155</v>
      </c>
      <c r="AR1037" s="1" t="s">
        <v>286</v>
      </c>
      <c r="AS1037" s="1" t="s">
        <v>9954</v>
      </c>
      <c r="AT1037" s="1" t="s">
        <v>5</v>
      </c>
    </row>
    <row r="1038" spans="1:46" x14ac:dyDescent="0.4">
      <c r="A1038" s="7" t="s">
        <v>9968</v>
      </c>
      <c r="B1038" s="11">
        <v>0</v>
      </c>
      <c r="C1038" s="1" t="s">
        <v>0</v>
      </c>
      <c r="D1038" s="1" t="s">
        <v>2157</v>
      </c>
      <c r="E1038" s="1" t="s">
        <v>2078</v>
      </c>
      <c r="F1038" s="1" t="s">
        <v>14</v>
      </c>
      <c r="G1038" s="1" t="s">
        <v>1</v>
      </c>
      <c r="H1038" s="1" t="s">
        <v>6</v>
      </c>
      <c r="I1038" s="1" t="s">
        <v>2</v>
      </c>
      <c r="J1038" s="1" t="s">
        <v>3</v>
      </c>
      <c r="K1038" s="1" t="s">
        <v>9969</v>
      </c>
      <c r="L1038" s="1" t="s">
        <v>7</v>
      </c>
      <c r="M1038" s="1" t="s">
        <v>9</v>
      </c>
      <c r="N1038" s="1" t="s">
        <v>9970</v>
      </c>
      <c r="O1038" s="1" t="s">
        <v>9958</v>
      </c>
      <c r="P1038" s="1"/>
      <c r="Q1038" s="1"/>
      <c r="R1038" s="1" t="s">
        <v>11</v>
      </c>
      <c r="S1038" s="1"/>
      <c r="T1038" s="1"/>
      <c r="U1038" s="1"/>
      <c r="V1038" s="1"/>
      <c r="W1038" s="1"/>
      <c r="X1038" s="1"/>
      <c r="Y1038" s="1"/>
      <c r="Z1038" s="1"/>
      <c r="AA1038" s="1"/>
      <c r="AB1038" s="1"/>
      <c r="AC1038" s="1"/>
      <c r="AD1038" s="1"/>
      <c r="AE1038" s="6" t="s">
        <v>9971</v>
      </c>
      <c r="AF1038" s="1"/>
      <c r="AG1038" s="1"/>
      <c r="AH1038" s="1" t="s">
        <v>9972</v>
      </c>
      <c r="AI1038" s="1"/>
      <c r="AJ1038" s="1" t="s">
        <v>4947</v>
      </c>
      <c r="AK1038" s="1" t="s">
        <v>4283</v>
      </c>
      <c r="AL1038" s="1" t="s">
        <v>4948</v>
      </c>
      <c r="AM1038" s="1" t="s">
        <v>9952</v>
      </c>
      <c r="AN1038" s="1" t="s">
        <v>4283</v>
      </c>
      <c r="AO1038" s="1"/>
      <c r="AP1038" s="2" t="s">
        <v>9973</v>
      </c>
      <c r="AQ1038" s="2" t="s">
        <v>1155</v>
      </c>
      <c r="AR1038" s="1" t="s">
        <v>286</v>
      </c>
      <c r="AS1038" s="1" t="s">
        <v>9954</v>
      </c>
      <c r="AT1038" s="1" t="s">
        <v>5</v>
      </c>
    </row>
    <row r="1039" spans="1:46" x14ac:dyDescent="0.4">
      <c r="A1039" s="7" t="s">
        <v>10017</v>
      </c>
      <c r="B1039" s="11">
        <v>0</v>
      </c>
      <c r="C1039" s="1" t="s">
        <v>0</v>
      </c>
      <c r="D1039" s="1" t="s">
        <v>2211</v>
      </c>
      <c r="E1039" s="1" t="s">
        <v>2078</v>
      </c>
      <c r="F1039" s="1" t="s">
        <v>14</v>
      </c>
      <c r="G1039" s="1" t="s">
        <v>1</v>
      </c>
      <c r="H1039" s="1" t="s">
        <v>6</v>
      </c>
      <c r="I1039" s="1" t="s">
        <v>2</v>
      </c>
      <c r="J1039" s="1" t="s">
        <v>3</v>
      </c>
      <c r="K1039" s="1" t="s">
        <v>10018</v>
      </c>
      <c r="L1039" s="1" t="s">
        <v>7</v>
      </c>
      <c r="M1039" s="1" t="s">
        <v>9</v>
      </c>
      <c r="N1039" s="1" t="s">
        <v>10019</v>
      </c>
      <c r="O1039" s="1" t="s">
        <v>10020</v>
      </c>
      <c r="P1039" s="1"/>
      <c r="Q1039" s="1"/>
      <c r="R1039" s="1" t="s">
        <v>11</v>
      </c>
      <c r="S1039" s="1"/>
      <c r="T1039" s="1"/>
      <c r="U1039" s="1"/>
      <c r="V1039" s="1"/>
      <c r="W1039" s="1" t="s">
        <v>10021</v>
      </c>
      <c r="X1039" s="1" t="s">
        <v>10022</v>
      </c>
      <c r="Y1039" s="1"/>
      <c r="Z1039" s="1"/>
      <c r="AA1039" s="1"/>
      <c r="AB1039" s="1"/>
      <c r="AC1039" s="1"/>
      <c r="AD1039" s="1"/>
      <c r="AE1039" s="6" t="s">
        <v>10023</v>
      </c>
      <c r="AF1039" s="1"/>
      <c r="AG1039" s="1"/>
      <c r="AH1039" s="1" t="s">
        <v>10024</v>
      </c>
      <c r="AI1039" s="1"/>
      <c r="AJ1039" s="1" t="s">
        <v>8061</v>
      </c>
      <c r="AK1039" s="1" t="s">
        <v>8062</v>
      </c>
      <c r="AL1039" s="1" t="s">
        <v>8063</v>
      </c>
      <c r="AM1039" s="1" t="s">
        <v>10025</v>
      </c>
      <c r="AN1039" s="1" t="s">
        <v>10026</v>
      </c>
      <c r="AO1039" s="1" t="s">
        <v>10027</v>
      </c>
      <c r="AP1039" s="2" t="s">
        <v>10028</v>
      </c>
      <c r="AQ1039" s="2" t="s">
        <v>1155</v>
      </c>
      <c r="AR1039" s="1" t="s">
        <v>286</v>
      </c>
      <c r="AS1039" s="1" t="s">
        <v>10029</v>
      </c>
      <c r="AT1039" s="1" t="s">
        <v>5</v>
      </c>
    </row>
    <row r="1040" spans="1:46" x14ac:dyDescent="0.4">
      <c r="A1040" s="7" t="s">
        <v>10143</v>
      </c>
      <c r="B1040" s="11">
        <v>0</v>
      </c>
      <c r="C1040" s="1" t="s">
        <v>0</v>
      </c>
      <c r="D1040" s="1" t="s">
        <v>2220</v>
      </c>
      <c r="E1040" s="1" t="s">
        <v>2078</v>
      </c>
      <c r="F1040" s="1" t="s">
        <v>14</v>
      </c>
      <c r="G1040" s="1" t="s">
        <v>1</v>
      </c>
      <c r="H1040" s="1" t="s">
        <v>6</v>
      </c>
      <c r="I1040" s="1" t="s">
        <v>2</v>
      </c>
      <c r="J1040" s="1" t="s">
        <v>3</v>
      </c>
      <c r="K1040" s="1" t="s">
        <v>10144</v>
      </c>
      <c r="L1040" s="1" t="s">
        <v>7</v>
      </c>
      <c r="M1040" s="1"/>
      <c r="N1040" s="1" t="s">
        <v>10145</v>
      </c>
      <c r="O1040" s="1" t="s">
        <v>5061</v>
      </c>
      <c r="P1040" s="1"/>
      <c r="Q1040" s="1"/>
      <c r="R1040" s="1" t="s">
        <v>11</v>
      </c>
      <c r="S1040" s="1"/>
      <c r="T1040" s="1"/>
      <c r="U1040" s="1"/>
      <c r="V1040" s="1"/>
      <c r="W1040" s="1"/>
      <c r="X1040" s="1"/>
      <c r="Y1040" s="1"/>
      <c r="Z1040" s="1"/>
      <c r="AA1040" s="1"/>
      <c r="AB1040" s="1"/>
      <c r="AC1040" s="1"/>
      <c r="AD1040" s="1"/>
      <c r="AE1040" s="6" t="s">
        <v>10146</v>
      </c>
      <c r="AF1040" s="1"/>
      <c r="AG1040" s="1"/>
      <c r="AH1040" s="1" t="s">
        <v>10147</v>
      </c>
      <c r="AI1040" s="1"/>
      <c r="AJ1040" s="1" t="s">
        <v>10148</v>
      </c>
      <c r="AK1040" s="1" t="s">
        <v>7246</v>
      </c>
      <c r="AL1040" s="1" t="s">
        <v>10149</v>
      </c>
      <c r="AM1040" s="1" t="s">
        <v>10150</v>
      </c>
      <c r="AN1040" s="1" t="s">
        <v>7246</v>
      </c>
      <c r="AO1040" s="1" t="s">
        <v>10151</v>
      </c>
      <c r="AP1040" s="2" t="s">
        <v>10152</v>
      </c>
      <c r="AQ1040" s="2" t="s">
        <v>1155</v>
      </c>
      <c r="AR1040" s="1" t="s">
        <v>286</v>
      </c>
      <c r="AS1040" s="1" t="s">
        <v>10153</v>
      </c>
      <c r="AT1040" s="1" t="s">
        <v>5</v>
      </c>
    </row>
    <row r="1041" spans="1:46" x14ac:dyDescent="0.4">
      <c r="A1041" s="7" t="s">
        <v>10154</v>
      </c>
      <c r="B1041" s="11">
        <v>0</v>
      </c>
      <c r="C1041" s="1" t="s">
        <v>0</v>
      </c>
      <c r="D1041" s="1" t="s">
        <v>2220</v>
      </c>
      <c r="E1041" s="1" t="s">
        <v>2078</v>
      </c>
      <c r="F1041" s="1" t="s">
        <v>14</v>
      </c>
      <c r="G1041" s="1" t="s">
        <v>1</v>
      </c>
      <c r="H1041" s="1" t="s">
        <v>6</v>
      </c>
      <c r="I1041" s="1" t="s">
        <v>2</v>
      </c>
      <c r="J1041" s="1" t="s">
        <v>3</v>
      </c>
      <c r="K1041" s="1" t="s">
        <v>10155</v>
      </c>
      <c r="L1041" s="1" t="s">
        <v>7</v>
      </c>
      <c r="M1041" s="1"/>
      <c r="N1041" s="1" t="s">
        <v>10156</v>
      </c>
      <c r="O1041" s="1" t="s">
        <v>5061</v>
      </c>
      <c r="P1041" s="1"/>
      <c r="Q1041" s="1"/>
      <c r="R1041" s="1" t="s">
        <v>11</v>
      </c>
      <c r="S1041" s="1"/>
      <c r="T1041" s="1"/>
      <c r="U1041" s="1"/>
      <c r="V1041" s="1"/>
      <c r="W1041" s="1"/>
      <c r="X1041" s="1"/>
      <c r="Y1041" s="1"/>
      <c r="Z1041" s="1"/>
      <c r="AA1041" s="1"/>
      <c r="AB1041" s="1"/>
      <c r="AC1041" s="1"/>
      <c r="AD1041" s="1"/>
      <c r="AE1041" s="6" t="s">
        <v>10146</v>
      </c>
      <c r="AF1041" s="1"/>
      <c r="AG1041" s="1"/>
      <c r="AH1041" s="1" t="s">
        <v>10157</v>
      </c>
      <c r="AI1041" s="1"/>
      <c r="AJ1041" s="1" t="s">
        <v>10148</v>
      </c>
      <c r="AK1041" s="1" t="s">
        <v>7246</v>
      </c>
      <c r="AL1041" s="1" t="s">
        <v>10149</v>
      </c>
      <c r="AM1041" s="1" t="s">
        <v>10150</v>
      </c>
      <c r="AN1041" s="1" t="s">
        <v>7246</v>
      </c>
      <c r="AO1041" s="1" t="s">
        <v>10151</v>
      </c>
      <c r="AP1041" s="2" t="s">
        <v>10158</v>
      </c>
      <c r="AQ1041" s="2" t="s">
        <v>1155</v>
      </c>
      <c r="AR1041" s="1" t="s">
        <v>286</v>
      </c>
      <c r="AS1041" s="1" t="s">
        <v>10159</v>
      </c>
      <c r="AT1041" s="1" t="s">
        <v>5</v>
      </c>
    </row>
    <row r="1042" spans="1:46" x14ac:dyDescent="0.4">
      <c r="A1042" s="7" t="s">
        <v>10214</v>
      </c>
      <c r="B1042" s="11">
        <v>0</v>
      </c>
      <c r="C1042" s="1" t="s">
        <v>0</v>
      </c>
      <c r="D1042" s="1" t="s">
        <v>2220</v>
      </c>
      <c r="E1042" s="1" t="s">
        <v>2078</v>
      </c>
      <c r="F1042" s="1" t="s">
        <v>14</v>
      </c>
      <c r="G1042" s="1" t="s">
        <v>1</v>
      </c>
      <c r="H1042" s="1" t="s">
        <v>6</v>
      </c>
      <c r="I1042" s="1" t="s">
        <v>2</v>
      </c>
      <c r="J1042" s="1" t="s">
        <v>3</v>
      </c>
      <c r="K1042" s="1" t="s">
        <v>10215</v>
      </c>
      <c r="L1042" s="1" t="s">
        <v>7</v>
      </c>
      <c r="M1042" s="1" t="s">
        <v>9</v>
      </c>
      <c r="N1042" s="1" t="s">
        <v>10216</v>
      </c>
      <c r="O1042" s="1" t="s">
        <v>5061</v>
      </c>
      <c r="P1042" s="1"/>
      <c r="Q1042" s="1"/>
      <c r="R1042" s="1" t="s">
        <v>11</v>
      </c>
      <c r="S1042" s="1"/>
      <c r="T1042" s="1"/>
      <c r="U1042" s="1"/>
      <c r="V1042" s="1"/>
      <c r="W1042" s="1"/>
      <c r="X1042" s="1"/>
      <c r="Y1042" s="1"/>
      <c r="Z1042" s="1"/>
      <c r="AA1042" s="1"/>
      <c r="AB1042" s="1"/>
      <c r="AC1042" s="1"/>
      <c r="AD1042" s="1"/>
      <c r="AE1042" s="6" t="s">
        <v>10146</v>
      </c>
      <c r="AF1042" s="1"/>
      <c r="AG1042" s="1"/>
      <c r="AH1042" s="1" t="s">
        <v>10217</v>
      </c>
      <c r="AI1042" s="1"/>
      <c r="AJ1042" s="1" t="s">
        <v>10148</v>
      </c>
      <c r="AK1042" s="1" t="s">
        <v>7246</v>
      </c>
      <c r="AL1042" s="1" t="s">
        <v>10149</v>
      </c>
      <c r="AM1042" s="1" t="s">
        <v>10150</v>
      </c>
      <c r="AN1042" s="1" t="s">
        <v>7246</v>
      </c>
      <c r="AO1042" s="1" t="s">
        <v>10151</v>
      </c>
      <c r="AP1042" s="2" t="s">
        <v>10218</v>
      </c>
      <c r="AQ1042" s="2" t="s">
        <v>1155</v>
      </c>
      <c r="AR1042" s="1" t="s">
        <v>286</v>
      </c>
      <c r="AS1042" s="1" t="s">
        <v>10219</v>
      </c>
      <c r="AT1042" s="1" t="s">
        <v>5</v>
      </c>
    </row>
    <row r="1043" spans="1:46" hidden="1" x14ac:dyDescent="0.4">
      <c r="A1043" s="7" t="s">
        <v>10220</v>
      </c>
      <c r="B1043" s="11"/>
      <c r="C1043" s="1" t="s">
        <v>2705</v>
      </c>
      <c r="D1043" s="1" t="s">
        <v>2220</v>
      </c>
      <c r="E1043" s="1" t="s">
        <v>2078</v>
      </c>
      <c r="F1043" s="1" t="s">
        <v>14</v>
      </c>
      <c r="G1043" s="1" t="s">
        <v>1</v>
      </c>
      <c r="H1043" s="1" t="s">
        <v>6</v>
      </c>
      <c r="I1043" s="1" t="s">
        <v>2</v>
      </c>
      <c r="J1043" s="1" t="s">
        <v>2813</v>
      </c>
      <c r="K1043" s="1" t="s">
        <v>10221</v>
      </c>
      <c r="L1043" s="1" t="s">
        <v>7</v>
      </c>
      <c r="M1043" s="1"/>
      <c r="N1043" s="1" t="s">
        <v>10222</v>
      </c>
      <c r="O1043" s="1" t="s">
        <v>2603</v>
      </c>
      <c r="P1043" s="1"/>
      <c r="Q1043" s="1"/>
      <c r="R1043" s="1" t="s">
        <v>11</v>
      </c>
      <c r="S1043" s="1"/>
      <c r="T1043" s="1"/>
      <c r="U1043" s="1"/>
      <c r="V1043" s="1"/>
      <c r="W1043" s="1" t="s">
        <v>10223</v>
      </c>
      <c r="X1043" s="1"/>
      <c r="Y1043" s="1"/>
      <c r="Z1043" s="1"/>
      <c r="AA1043" s="1" t="s">
        <v>10224</v>
      </c>
      <c r="AB1043" s="1"/>
      <c r="AC1043" s="1"/>
      <c r="AD1043" s="1"/>
      <c r="AE1043" s="6" t="s">
        <v>9310</v>
      </c>
      <c r="AF1043" s="1"/>
      <c r="AG1043" s="1"/>
      <c r="AH1043" s="1" t="s">
        <v>10225</v>
      </c>
      <c r="AI1043" s="1"/>
      <c r="AJ1043" s="1" t="s">
        <v>9312</v>
      </c>
      <c r="AK1043" s="1" t="s">
        <v>3139</v>
      </c>
      <c r="AL1043" s="1" t="s">
        <v>9313</v>
      </c>
      <c r="AM1043" s="1" t="s">
        <v>9314</v>
      </c>
      <c r="AN1043" s="1" t="s">
        <v>3139</v>
      </c>
      <c r="AO1043" s="1" t="s">
        <v>9315</v>
      </c>
      <c r="AP1043" s="2" t="s">
        <v>10226</v>
      </c>
      <c r="AQ1043" s="2" t="s">
        <v>1155</v>
      </c>
      <c r="AR1043" s="1" t="s">
        <v>286</v>
      </c>
      <c r="AS1043" s="1" t="s">
        <v>10227</v>
      </c>
      <c r="AT1043" s="1" t="s">
        <v>5</v>
      </c>
    </row>
    <row r="1044" spans="1:46" x14ac:dyDescent="0.4">
      <c r="A1044" s="7" t="s">
        <v>10228</v>
      </c>
      <c r="B1044" s="10">
        <v>0</v>
      </c>
      <c r="C1044" s="1" t="s">
        <v>0</v>
      </c>
      <c r="D1044" s="1" t="s">
        <v>2157</v>
      </c>
      <c r="E1044" s="1" t="s">
        <v>2078</v>
      </c>
      <c r="F1044" s="1" t="s">
        <v>14</v>
      </c>
      <c r="G1044" s="1" t="s">
        <v>1</v>
      </c>
      <c r="H1044" s="1" t="s">
        <v>6</v>
      </c>
      <c r="I1044" s="1" t="s">
        <v>2</v>
      </c>
      <c r="J1044" s="1" t="s">
        <v>3</v>
      </c>
      <c r="K1044" s="1" t="s">
        <v>10229</v>
      </c>
      <c r="L1044" s="1" t="s">
        <v>4</v>
      </c>
      <c r="M1044" s="1" t="s">
        <v>9</v>
      </c>
      <c r="N1044" s="1" t="s">
        <v>10230</v>
      </c>
      <c r="O1044" s="1" t="s">
        <v>10231</v>
      </c>
      <c r="P1044" s="1"/>
      <c r="Q1044" s="1"/>
      <c r="R1044" s="1" t="s">
        <v>11</v>
      </c>
      <c r="S1044" s="1"/>
      <c r="T1044" s="1"/>
      <c r="U1044" s="1"/>
      <c r="V1044" s="1"/>
      <c r="W1044" s="1" t="s">
        <v>3145</v>
      </c>
      <c r="X1044" s="1" t="s">
        <v>2947</v>
      </c>
      <c r="Y1044" s="1"/>
      <c r="Z1044" s="1"/>
      <c r="AA1044" s="1"/>
      <c r="AB1044" s="1"/>
      <c r="AC1044" s="1"/>
      <c r="AD1044" s="1"/>
      <c r="AE1044" s="6" t="s">
        <v>10232</v>
      </c>
      <c r="AF1044" s="1"/>
      <c r="AG1044" s="1"/>
      <c r="AH1044" s="1" t="s">
        <v>10233</v>
      </c>
      <c r="AI1044" s="1"/>
      <c r="AJ1044" s="1" t="s">
        <v>4947</v>
      </c>
      <c r="AK1044" s="1" t="s">
        <v>4283</v>
      </c>
      <c r="AL1044" s="1" t="s">
        <v>4948</v>
      </c>
      <c r="AM1044" s="1" t="s">
        <v>10234</v>
      </c>
      <c r="AN1044" s="1" t="s">
        <v>4283</v>
      </c>
      <c r="AO1044" s="1" t="s">
        <v>10235</v>
      </c>
      <c r="AP1044" s="2" t="s">
        <v>10236</v>
      </c>
      <c r="AQ1044" s="2" t="s">
        <v>1155</v>
      </c>
      <c r="AR1044" s="1" t="s">
        <v>286</v>
      </c>
      <c r="AS1044" s="1" t="s">
        <v>10237</v>
      </c>
      <c r="AT1044" s="1" t="s">
        <v>5</v>
      </c>
    </row>
    <row r="1045" spans="1:46" x14ac:dyDescent="0.4">
      <c r="A1045" s="7" t="s">
        <v>10238</v>
      </c>
      <c r="B1045" s="10">
        <v>0</v>
      </c>
      <c r="C1045" s="1" t="s">
        <v>0</v>
      </c>
      <c r="D1045" s="1" t="s">
        <v>2157</v>
      </c>
      <c r="E1045" s="1" t="s">
        <v>2078</v>
      </c>
      <c r="F1045" s="1" t="s">
        <v>14</v>
      </c>
      <c r="G1045" s="1" t="s">
        <v>1</v>
      </c>
      <c r="H1045" s="1" t="s">
        <v>6</v>
      </c>
      <c r="I1045" s="1" t="s">
        <v>2</v>
      </c>
      <c r="J1045" s="1" t="s">
        <v>3</v>
      </c>
      <c r="K1045" s="1" t="s">
        <v>10239</v>
      </c>
      <c r="L1045" s="1" t="s">
        <v>4</v>
      </c>
      <c r="M1045" s="1" t="s">
        <v>9</v>
      </c>
      <c r="N1045" s="1" t="s">
        <v>10240</v>
      </c>
      <c r="O1045" s="1" t="s">
        <v>10231</v>
      </c>
      <c r="P1045" s="1"/>
      <c r="Q1045" s="1"/>
      <c r="R1045" s="1" t="s">
        <v>11</v>
      </c>
      <c r="S1045" s="1"/>
      <c r="T1045" s="1"/>
      <c r="U1045" s="1"/>
      <c r="V1045" s="1"/>
      <c r="W1045" s="1" t="s">
        <v>3145</v>
      </c>
      <c r="X1045" s="1" t="s">
        <v>2947</v>
      </c>
      <c r="Y1045" s="1"/>
      <c r="Z1045" s="1"/>
      <c r="AA1045" s="1"/>
      <c r="AB1045" s="1"/>
      <c r="AC1045" s="1"/>
      <c r="AD1045" s="1"/>
      <c r="AE1045" s="6" t="s">
        <v>10232</v>
      </c>
      <c r="AF1045" s="1"/>
      <c r="AG1045" s="1"/>
      <c r="AH1045" s="1" t="s">
        <v>10241</v>
      </c>
      <c r="AI1045" s="1"/>
      <c r="AJ1045" s="1" t="s">
        <v>4947</v>
      </c>
      <c r="AK1045" s="1" t="s">
        <v>4283</v>
      </c>
      <c r="AL1045" s="1" t="s">
        <v>4948</v>
      </c>
      <c r="AM1045" s="1" t="s">
        <v>10234</v>
      </c>
      <c r="AN1045" s="1" t="s">
        <v>4283</v>
      </c>
      <c r="AO1045" s="1" t="s">
        <v>10235</v>
      </c>
      <c r="AP1045" s="2" t="s">
        <v>10242</v>
      </c>
      <c r="AQ1045" s="2" t="s">
        <v>1155</v>
      </c>
      <c r="AR1045" s="1" t="s">
        <v>286</v>
      </c>
      <c r="AS1045" s="1" t="s">
        <v>10243</v>
      </c>
      <c r="AT1045" s="1" t="s">
        <v>5</v>
      </c>
    </row>
    <row r="1046" spans="1:46" x14ac:dyDescent="0.4">
      <c r="A1046" s="7" t="s">
        <v>10334</v>
      </c>
      <c r="B1046" s="10">
        <v>0</v>
      </c>
      <c r="C1046" s="1" t="s">
        <v>0</v>
      </c>
      <c r="D1046" s="1" t="s">
        <v>2220</v>
      </c>
      <c r="E1046" s="1" t="s">
        <v>2078</v>
      </c>
      <c r="F1046" s="1" t="s">
        <v>14</v>
      </c>
      <c r="G1046" s="1" t="s">
        <v>1</v>
      </c>
      <c r="H1046" s="1" t="s">
        <v>6</v>
      </c>
      <c r="I1046" s="1" t="s">
        <v>2</v>
      </c>
      <c r="J1046" s="1" t="s">
        <v>3</v>
      </c>
      <c r="K1046" s="1" t="s">
        <v>10335</v>
      </c>
      <c r="L1046" s="1" t="s">
        <v>7</v>
      </c>
      <c r="M1046" s="1" t="s">
        <v>9</v>
      </c>
      <c r="N1046" s="1" t="s">
        <v>10336</v>
      </c>
      <c r="O1046" s="1" t="s">
        <v>10337</v>
      </c>
      <c r="P1046" s="1"/>
      <c r="Q1046" s="1"/>
      <c r="R1046" s="1" t="s">
        <v>11</v>
      </c>
      <c r="S1046" s="1"/>
      <c r="T1046" s="1"/>
      <c r="U1046" s="1"/>
      <c r="V1046" s="1"/>
      <c r="W1046" s="1"/>
      <c r="X1046" s="1" t="s">
        <v>10338</v>
      </c>
      <c r="Y1046" s="1"/>
      <c r="Z1046" s="1"/>
      <c r="AA1046" s="1"/>
      <c r="AB1046" s="1"/>
      <c r="AC1046" s="1"/>
      <c r="AD1046" s="1"/>
      <c r="AE1046" s="6" t="s">
        <v>10339</v>
      </c>
      <c r="AF1046" s="1"/>
      <c r="AG1046" s="1"/>
      <c r="AH1046" s="1" t="s">
        <v>10340</v>
      </c>
      <c r="AI1046" s="1"/>
      <c r="AJ1046" s="1" t="s">
        <v>3248</v>
      </c>
      <c r="AK1046" s="1" t="s">
        <v>10341</v>
      </c>
      <c r="AL1046" s="1" t="s">
        <v>10342</v>
      </c>
      <c r="AM1046" s="1" t="s">
        <v>10343</v>
      </c>
      <c r="AN1046" s="1" t="s">
        <v>10341</v>
      </c>
      <c r="AO1046" s="1" t="s">
        <v>10344</v>
      </c>
      <c r="AP1046" s="2" t="s">
        <v>10345</v>
      </c>
      <c r="AQ1046" s="2" t="s">
        <v>1155</v>
      </c>
      <c r="AR1046" s="1" t="s">
        <v>286</v>
      </c>
      <c r="AS1046" s="1" t="s">
        <v>10346</v>
      </c>
      <c r="AT1046" s="1" t="s">
        <v>5</v>
      </c>
    </row>
    <row r="1047" spans="1:46" x14ac:dyDescent="0.4">
      <c r="A1047" s="7" t="s">
        <v>10347</v>
      </c>
      <c r="B1047" s="10">
        <v>0</v>
      </c>
      <c r="C1047" s="1" t="s">
        <v>0</v>
      </c>
      <c r="D1047" s="1" t="s">
        <v>2220</v>
      </c>
      <c r="E1047" s="1" t="s">
        <v>2078</v>
      </c>
      <c r="F1047" s="1" t="s">
        <v>14</v>
      </c>
      <c r="G1047" s="1" t="s">
        <v>1</v>
      </c>
      <c r="H1047" s="1" t="s">
        <v>6</v>
      </c>
      <c r="I1047" s="1" t="s">
        <v>2</v>
      </c>
      <c r="J1047" s="1" t="s">
        <v>3</v>
      </c>
      <c r="K1047" s="1" t="s">
        <v>10348</v>
      </c>
      <c r="L1047" s="1" t="s">
        <v>7</v>
      </c>
      <c r="M1047" s="1" t="s">
        <v>9</v>
      </c>
      <c r="N1047" s="1" t="s">
        <v>10349</v>
      </c>
      <c r="O1047" s="1" t="s">
        <v>3616</v>
      </c>
      <c r="P1047" s="1"/>
      <c r="Q1047" s="1"/>
      <c r="R1047" s="1" t="s">
        <v>11</v>
      </c>
      <c r="S1047" s="1"/>
      <c r="T1047" s="1"/>
      <c r="U1047" s="1"/>
      <c r="V1047" s="1"/>
      <c r="W1047" s="1" t="s">
        <v>2604</v>
      </c>
      <c r="X1047" s="1" t="s">
        <v>10350</v>
      </c>
      <c r="Y1047" s="1"/>
      <c r="Z1047" s="1"/>
      <c r="AA1047" s="1"/>
      <c r="AB1047" s="1"/>
      <c r="AC1047" s="1"/>
      <c r="AD1047" s="1"/>
      <c r="AE1047" s="6" t="s">
        <v>10351</v>
      </c>
      <c r="AF1047" s="1"/>
      <c r="AG1047" s="1"/>
      <c r="AH1047" s="1" t="s">
        <v>10352</v>
      </c>
      <c r="AI1047" s="1"/>
      <c r="AJ1047" s="1" t="s">
        <v>498</v>
      </c>
      <c r="AK1047" s="1" t="s">
        <v>218</v>
      </c>
      <c r="AL1047" s="1" t="s">
        <v>499</v>
      </c>
      <c r="AM1047" s="1" t="s">
        <v>498</v>
      </c>
      <c r="AN1047" s="1" t="s">
        <v>218</v>
      </c>
      <c r="AO1047" s="1" t="s">
        <v>499</v>
      </c>
      <c r="AP1047" s="2" t="s">
        <v>10353</v>
      </c>
      <c r="AQ1047" s="2" t="s">
        <v>1155</v>
      </c>
      <c r="AR1047" s="1" t="s">
        <v>286</v>
      </c>
      <c r="AS1047" s="1" t="s">
        <v>10354</v>
      </c>
      <c r="AT1047" s="1" t="s">
        <v>5</v>
      </c>
    </row>
    <row r="1048" spans="1:46" x14ac:dyDescent="0.4">
      <c r="A1048" s="7" t="s">
        <v>10355</v>
      </c>
      <c r="B1048" s="10">
        <v>0</v>
      </c>
      <c r="C1048" s="1" t="s">
        <v>0</v>
      </c>
      <c r="D1048" s="1" t="s">
        <v>2220</v>
      </c>
      <c r="E1048" s="1" t="s">
        <v>2078</v>
      </c>
      <c r="F1048" s="1" t="s">
        <v>14</v>
      </c>
      <c r="G1048" s="1" t="s">
        <v>1</v>
      </c>
      <c r="H1048" s="1" t="s">
        <v>6</v>
      </c>
      <c r="I1048" s="1" t="s">
        <v>2</v>
      </c>
      <c r="J1048" s="1" t="s">
        <v>3</v>
      </c>
      <c r="K1048" s="1" t="s">
        <v>10356</v>
      </c>
      <c r="L1048" s="1" t="s">
        <v>7</v>
      </c>
      <c r="M1048" s="1" t="s">
        <v>9</v>
      </c>
      <c r="N1048" s="1" t="s">
        <v>10357</v>
      </c>
      <c r="O1048" s="1" t="s">
        <v>3616</v>
      </c>
      <c r="P1048" s="1"/>
      <c r="Q1048" s="1"/>
      <c r="R1048" s="1" t="s">
        <v>11</v>
      </c>
      <c r="S1048" s="1"/>
      <c r="T1048" s="1"/>
      <c r="U1048" s="1"/>
      <c r="V1048" s="1"/>
      <c r="W1048" s="1" t="s">
        <v>10358</v>
      </c>
      <c r="X1048" s="1" t="s">
        <v>10350</v>
      </c>
      <c r="Y1048" s="1"/>
      <c r="Z1048" s="1"/>
      <c r="AA1048" s="1"/>
      <c r="AB1048" s="1"/>
      <c r="AC1048" s="1"/>
      <c r="AD1048" s="1"/>
      <c r="AE1048" s="6" t="s">
        <v>10359</v>
      </c>
      <c r="AF1048" s="1"/>
      <c r="AG1048" s="1"/>
      <c r="AH1048" s="1" t="s">
        <v>10360</v>
      </c>
      <c r="AI1048" s="1"/>
      <c r="AJ1048" s="1" t="s">
        <v>498</v>
      </c>
      <c r="AK1048" s="1" t="s">
        <v>218</v>
      </c>
      <c r="AL1048" s="1" t="s">
        <v>499</v>
      </c>
      <c r="AM1048" s="1" t="s">
        <v>498</v>
      </c>
      <c r="AN1048" s="1" t="s">
        <v>218</v>
      </c>
      <c r="AO1048" s="1" t="s">
        <v>499</v>
      </c>
      <c r="AP1048" s="2" t="s">
        <v>10361</v>
      </c>
      <c r="AQ1048" s="2" t="s">
        <v>1155</v>
      </c>
      <c r="AR1048" s="1" t="s">
        <v>286</v>
      </c>
      <c r="AS1048" s="1" t="s">
        <v>10362</v>
      </c>
      <c r="AT1048" s="1" t="s">
        <v>5</v>
      </c>
    </row>
    <row r="1049" spans="1:46" x14ac:dyDescent="0.4">
      <c r="A1049" s="7" t="s">
        <v>10363</v>
      </c>
      <c r="B1049" s="10">
        <v>0</v>
      </c>
      <c r="C1049" s="1" t="s">
        <v>0</v>
      </c>
      <c r="D1049" s="1" t="s">
        <v>2220</v>
      </c>
      <c r="E1049" s="1" t="s">
        <v>2078</v>
      </c>
      <c r="F1049" s="1" t="s">
        <v>14</v>
      </c>
      <c r="G1049" s="1" t="s">
        <v>1</v>
      </c>
      <c r="H1049" s="1" t="s">
        <v>6</v>
      </c>
      <c r="I1049" s="1" t="s">
        <v>2</v>
      </c>
      <c r="J1049" s="1" t="s">
        <v>3</v>
      </c>
      <c r="K1049" s="1" t="s">
        <v>10364</v>
      </c>
      <c r="L1049" s="1" t="s">
        <v>4</v>
      </c>
      <c r="M1049" s="1" t="s">
        <v>9</v>
      </c>
      <c r="N1049" s="1" t="s">
        <v>10365</v>
      </c>
      <c r="O1049" s="1" t="s">
        <v>3616</v>
      </c>
      <c r="P1049" s="1" t="s">
        <v>10366</v>
      </c>
      <c r="Q1049" s="1"/>
      <c r="R1049" s="1" t="s">
        <v>11</v>
      </c>
      <c r="S1049" s="1"/>
      <c r="T1049" s="1"/>
      <c r="U1049" s="1"/>
      <c r="V1049" s="1"/>
      <c r="W1049" s="1" t="s">
        <v>2604</v>
      </c>
      <c r="X1049" s="1" t="s">
        <v>10350</v>
      </c>
      <c r="Y1049" s="1"/>
      <c r="Z1049" s="1"/>
      <c r="AA1049" s="1"/>
      <c r="AB1049" s="1"/>
      <c r="AC1049" s="1"/>
      <c r="AD1049" s="1"/>
      <c r="AE1049" s="6" t="s">
        <v>10359</v>
      </c>
      <c r="AF1049" s="1"/>
      <c r="AG1049" s="1"/>
      <c r="AH1049" s="1" t="s">
        <v>10367</v>
      </c>
      <c r="AI1049" s="1"/>
      <c r="AJ1049" s="1" t="s">
        <v>498</v>
      </c>
      <c r="AK1049" s="1" t="s">
        <v>218</v>
      </c>
      <c r="AL1049" s="1" t="s">
        <v>499</v>
      </c>
      <c r="AM1049" s="1" t="s">
        <v>498</v>
      </c>
      <c r="AN1049" s="1" t="s">
        <v>218</v>
      </c>
      <c r="AO1049" s="1" t="s">
        <v>499</v>
      </c>
      <c r="AP1049" s="2" t="s">
        <v>10368</v>
      </c>
      <c r="AQ1049" s="2" t="s">
        <v>1155</v>
      </c>
      <c r="AR1049" s="1" t="s">
        <v>286</v>
      </c>
      <c r="AS1049" s="1" t="s">
        <v>10369</v>
      </c>
      <c r="AT1049" s="1" t="s">
        <v>5</v>
      </c>
    </row>
    <row r="1050" spans="1:46" hidden="1" x14ac:dyDescent="0.4">
      <c r="A1050" s="7" t="s">
        <v>10514</v>
      </c>
      <c r="B1050" s="11"/>
      <c r="C1050" s="1" t="s">
        <v>2544</v>
      </c>
      <c r="D1050" s="1" t="s">
        <v>2396</v>
      </c>
      <c r="E1050" s="1" t="s">
        <v>2078</v>
      </c>
      <c r="F1050" s="1" t="s">
        <v>14</v>
      </c>
      <c r="G1050" s="1" t="s">
        <v>1</v>
      </c>
      <c r="H1050" s="1" t="s">
        <v>6</v>
      </c>
      <c r="I1050" s="1" t="s">
        <v>2</v>
      </c>
      <c r="J1050" s="1" t="s">
        <v>2451</v>
      </c>
      <c r="K1050" s="1" t="s">
        <v>10515</v>
      </c>
      <c r="L1050" s="1" t="s">
        <v>7</v>
      </c>
      <c r="M1050" s="1" t="s">
        <v>9</v>
      </c>
      <c r="N1050" s="1" t="s">
        <v>10516</v>
      </c>
      <c r="O1050" s="1" t="s">
        <v>10517</v>
      </c>
      <c r="P1050" s="1"/>
      <c r="Q1050" s="1"/>
      <c r="R1050" s="1" t="s">
        <v>11</v>
      </c>
      <c r="S1050" s="1"/>
      <c r="T1050" s="1"/>
      <c r="U1050" s="1"/>
      <c r="V1050" s="1"/>
      <c r="W1050" s="1"/>
      <c r="X1050" s="1"/>
      <c r="Y1050" s="1"/>
      <c r="Z1050" s="1"/>
      <c r="AA1050" s="1"/>
      <c r="AB1050" s="1"/>
      <c r="AC1050" s="1"/>
      <c r="AD1050" s="1"/>
      <c r="AE1050" s="6" t="s">
        <v>2089</v>
      </c>
      <c r="AF1050" s="1"/>
      <c r="AG1050" s="1"/>
      <c r="AH1050" s="1" t="s">
        <v>10518</v>
      </c>
      <c r="AI1050" s="1"/>
      <c r="AJ1050" s="1" t="s">
        <v>9259</v>
      </c>
      <c r="AK1050" s="1" t="s">
        <v>9260</v>
      </c>
      <c r="AL1050" s="1" t="s">
        <v>9261</v>
      </c>
      <c r="AM1050" s="1" t="s">
        <v>10510</v>
      </c>
      <c r="AN1050" s="1" t="s">
        <v>9263</v>
      </c>
      <c r="AO1050" s="1" t="s">
        <v>10511</v>
      </c>
      <c r="AP1050" s="2" t="s">
        <v>10519</v>
      </c>
      <c r="AQ1050" s="2" t="s">
        <v>1155</v>
      </c>
      <c r="AR1050" s="1" t="s">
        <v>286</v>
      </c>
      <c r="AS1050" s="1" t="s">
        <v>10227</v>
      </c>
      <c r="AT1050" s="1" t="s">
        <v>5</v>
      </c>
    </row>
    <row r="1051" spans="1:46" x14ac:dyDescent="0.4">
      <c r="A1051" s="7" t="s">
        <v>10620</v>
      </c>
      <c r="B1051" s="10">
        <v>0</v>
      </c>
      <c r="C1051" s="1" t="s">
        <v>0</v>
      </c>
      <c r="D1051" s="1" t="s">
        <v>2290</v>
      </c>
      <c r="E1051" s="1" t="s">
        <v>2291</v>
      </c>
      <c r="F1051" s="1" t="s">
        <v>14</v>
      </c>
      <c r="G1051" s="1" t="s">
        <v>1</v>
      </c>
      <c r="H1051" s="1" t="s">
        <v>6</v>
      </c>
      <c r="I1051" s="1" t="s">
        <v>2</v>
      </c>
      <c r="J1051" s="1" t="s">
        <v>3</v>
      </c>
      <c r="K1051" s="1" t="s">
        <v>10621</v>
      </c>
      <c r="L1051" s="1" t="s">
        <v>7</v>
      </c>
      <c r="M1051" s="1"/>
      <c r="N1051" s="1" t="s">
        <v>10622</v>
      </c>
      <c r="O1051" s="1" t="s">
        <v>3756</v>
      </c>
      <c r="P1051" s="1"/>
      <c r="Q1051" s="1"/>
      <c r="R1051" s="1" t="s">
        <v>11</v>
      </c>
      <c r="S1051" s="1"/>
      <c r="T1051" s="1"/>
      <c r="U1051" s="1"/>
      <c r="V1051" s="1"/>
      <c r="W1051" s="1"/>
      <c r="X1051" s="1"/>
      <c r="Y1051" s="1"/>
      <c r="Z1051" s="1"/>
      <c r="AA1051" s="1"/>
      <c r="AB1051" s="1"/>
      <c r="AC1051" s="1"/>
      <c r="AD1051" s="1"/>
      <c r="AE1051" s="6" t="s">
        <v>10623</v>
      </c>
      <c r="AF1051" s="1"/>
      <c r="AG1051" s="1"/>
      <c r="AH1051" s="1" t="s">
        <v>10624</v>
      </c>
      <c r="AI1051" s="1"/>
      <c r="AJ1051" s="1" t="s">
        <v>10625</v>
      </c>
      <c r="AK1051" s="1" t="s">
        <v>4227</v>
      </c>
      <c r="AL1051" s="1" t="s">
        <v>10626</v>
      </c>
      <c r="AM1051" s="1" t="s">
        <v>10627</v>
      </c>
      <c r="AN1051" s="1" t="s">
        <v>4227</v>
      </c>
      <c r="AO1051" s="1" t="s">
        <v>10628</v>
      </c>
      <c r="AP1051" s="2" t="s">
        <v>10629</v>
      </c>
      <c r="AQ1051" s="2" t="s">
        <v>1155</v>
      </c>
      <c r="AR1051" s="1" t="s">
        <v>286</v>
      </c>
      <c r="AS1051" s="1" t="s">
        <v>10630</v>
      </c>
      <c r="AT1051" s="1" t="s">
        <v>5</v>
      </c>
    </row>
    <row r="1052" spans="1:46" x14ac:dyDescent="0.4">
      <c r="A1052" s="7" t="s">
        <v>10719</v>
      </c>
      <c r="B1052" s="10">
        <v>0</v>
      </c>
      <c r="C1052" s="1" t="s">
        <v>0</v>
      </c>
      <c r="D1052" s="1" t="s">
        <v>2211</v>
      </c>
      <c r="E1052" s="1" t="s">
        <v>2078</v>
      </c>
      <c r="F1052" s="1" t="s">
        <v>14</v>
      </c>
      <c r="G1052" s="1" t="s">
        <v>1</v>
      </c>
      <c r="H1052" s="1" t="s">
        <v>6</v>
      </c>
      <c r="I1052" s="1" t="s">
        <v>2</v>
      </c>
      <c r="J1052" s="1" t="s">
        <v>3</v>
      </c>
      <c r="K1052" s="1" t="s">
        <v>10720</v>
      </c>
      <c r="L1052" s="1" t="s">
        <v>4</v>
      </c>
      <c r="M1052" s="1" t="s">
        <v>9</v>
      </c>
      <c r="N1052" s="1" t="s">
        <v>10721</v>
      </c>
      <c r="O1052" s="1" t="s">
        <v>2295</v>
      </c>
      <c r="P1052" s="1"/>
      <c r="Q1052" s="1"/>
      <c r="R1052" s="1" t="s">
        <v>11</v>
      </c>
      <c r="S1052" s="1"/>
      <c r="T1052" s="1"/>
      <c r="U1052" s="1"/>
      <c r="V1052" s="1"/>
      <c r="W1052" s="1" t="s">
        <v>10722</v>
      </c>
      <c r="X1052" s="1"/>
      <c r="Y1052" s="1"/>
      <c r="Z1052" s="1"/>
      <c r="AA1052" s="1"/>
      <c r="AB1052" s="1"/>
      <c r="AC1052" s="1"/>
      <c r="AD1052" s="1"/>
      <c r="AE1052" s="6" t="s">
        <v>2570</v>
      </c>
      <c r="AF1052" s="1"/>
      <c r="AG1052" s="1"/>
      <c r="AH1052" s="1" t="s">
        <v>10723</v>
      </c>
      <c r="AI1052" s="1"/>
      <c r="AJ1052" s="1" t="s">
        <v>83</v>
      </c>
      <c r="AK1052" s="1" t="s">
        <v>504</v>
      </c>
      <c r="AL1052" s="1" t="s">
        <v>94</v>
      </c>
      <c r="AM1052" s="1" t="s">
        <v>204</v>
      </c>
      <c r="AN1052" s="1" t="s">
        <v>504</v>
      </c>
      <c r="AO1052" s="1" t="s">
        <v>205</v>
      </c>
      <c r="AP1052" s="2" t="s">
        <v>10724</v>
      </c>
      <c r="AQ1052" s="2" t="s">
        <v>1155</v>
      </c>
      <c r="AR1052" s="1" t="s">
        <v>286</v>
      </c>
      <c r="AS1052" s="1" t="s">
        <v>10725</v>
      </c>
      <c r="AT1052" s="1" t="s">
        <v>5</v>
      </c>
    </row>
    <row r="1053" spans="1:46" x14ac:dyDescent="0.4">
      <c r="A1053" s="7" t="s">
        <v>10726</v>
      </c>
      <c r="B1053" s="10">
        <v>0</v>
      </c>
      <c r="C1053" s="1" t="s">
        <v>0</v>
      </c>
      <c r="D1053" s="1" t="s">
        <v>2211</v>
      </c>
      <c r="E1053" s="1" t="s">
        <v>2078</v>
      </c>
      <c r="F1053" s="1" t="s">
        <v>14</v>
      </c>
      <c r="G1053" s="1" t="s">
        <v>1</v>
      </c>
      <c r="H1053" s="1" t="s">
        <v>6</v>
      </c>
      <c r="I1053" s="1" t="s">
        <v>2</v>
      </c>
      <c r="J1053" s="1" t="s">
        <v>3</v>
      </c>
      <c r="K1053" s="1" t="s">
        <v>10727</v>
      </c>
      <c r="L1053" s="1" t="s">
        <v>4</v>
      </c>
      <c r="M1053" s="1" t="s">
        <v>9</v>
      </c>
      <c r="N1053" s="1" t="s">
        <v>10728</v>
      </c>
      <c r="O1053" s="1" t="s">
        <v>2295</v>
      </c>
      <c r="P1053" s="1"/>
      <c r="Q1053" s="1"/>
      <c r="R1053" s="1" t="s">
        <v>11</v>
      </c>
      <c r="S1053" s="1"/>
      <c r="T1053" s="1"/>
      <c r="U1053" s="1"/>
      <c r="V1053" s="1"/>
      <c r="W1053" s="1" t="s">
        <v>10722</v>
      </c>
      <c r="X1053" s="1"/>
      <c r="Y1053" s="1"/>
      <c r="Z1053" s="1"/>
      <c r="AA1053" s="1"/>
      <c r="AB1053" s="1"/>
      <c r="AC1053" s="1"/>
      <c r="AD1053" s="1"/>
      <c r="AE1053" s="6" t="s">
        <v>2570</v>
      </c>
      <c r="AF1053" s="1"/>
      <c r="AG1053" s="1"/>
      <c r="AH1053" s="1" t="s">
        <v>10729</v>
      </c>
      <c r="AI1053" s="1"/>
      <c r="AJ1053" s="1" t="s">
        <v>83</v>
      </c>
      <c r="AK1053" s="1" t="s">
        <v>504</v>
      </c>
      <c r="AL1053" s="1" t="s">
        <v>94</v>
      </c>
      <c r="AM1053" s="1" t="s">
        <v>204</v>
      </c>
      <c r="AN1053" s="1" t="s">
        <v>504</v>
      </c>
      <c r="AO1053" s="1" t="s">
        <v>205</v>
      </c>
      <c r="AP1053" s="2" t="s">
        <v>10730</v>
      </c>
      <c r="AQ1053" s="2" t="s">
        <v>1155</v>
      </c>
      <c r="AR1053" s="1" t="s">
        <v>286</v>
      </c>
      <c r="AS1053" s="1" t="s">
        <v>10731</v>
      </c>
      <c r="AT1053" s="1" t="s">
        <v>5</v>
      </c>
    </row>
    <row r="1054" spans="1:46" x14ac:dyDescent="0.4">
      <c r="A1054" s="7" t="s">
        <v>10732</v>
      </c>
      <c r="B1054" s="10">
        <v>0</v>
      </c>
      <c r="C1054" s="1" t="s">
        <v>0</v>
      </c>
      <c r="D1054" s="1" t="s">
        <v>2211</v>
      </c>
      <c r="E1054" s="1" t="s">
        <v>2078</v>
      </c>
      <c r="F1054" s="1" t="s">
        <v>14</v>
      </c>
      <c r="G1054" s="1" t="s">
        <v>1</v>
      </c>
      <c r="H1054" s="1" t="s">
        <v>6</v>
      </c>
      <c r="I1054" s="1" t="s">
        <v>2</v>
      </c>
      <c r="J1054" s="1" t="s">
        <v>3</v>
      </c>
      <c r="K1054" s="1" t="s">
        <v>10733</v>
      </c>
      <c r="L1054" s="1" t="s">
        <v>4</v>
      </c>
      <c r="M1054" s="1" t="s">
        <v>9</v>
      </c>
      <c r="N1054" s="1" t="s">
        <v>2567</v>
      </c>
      <c r="O1054" s="1" t="s">
        <v>2295</v>
      </c>
      <c r="P1054" s="1"/>
      <c r="Q1054" s="1"/>
      <c r="R1054" s="1" t="s">
        <v>11</v>
      </c>
      <c r="S1054" s="1"/>
      <c r="T1054" s="1"/>
      <c r="U1054" s="1"/>
      <c r="V1054" s="1"/>
      <c r="W1054" s="1" t="s">
        <v>10722</v>
      </c>
      <c r="X1054" s="1"/>
      <c r="Y1054" s="1"/>
      <c r="Z1054" s="1"/>
      <c r="AA1054" s="1"/>
      <c r="AB1054" s="1"/>
      <c r="AC1054" s="1"/>
      <c r="AD1054" s="1"/>
      <c r="AE1054" s="6" t="s">
        <v>2570</v>
      </c>
      <c r="AF1054" s="1"/>
      <c r="AG1054" s="1"/>
      <c r="AH1054" s="1" t="s">
        <v>10734</v>
      </c>
      <c r="AI1054" s="1"/>
      <c r="AJ1054" s="1" t="s">
        <v>83</v>
      </c>
      <c r="AK1054" s="1" t="s">
        <v>504</v>
      </c>
      <c r="AL1054" s="1" t="s">
        <v>94</v>
      </c>
      <c r="AM1054" s="1" t="s">
        <v>204</v>
      </c>
      <c r="AN1054" s="1" t="s">
        <v>504</v>
      </c>
      <c r="AO1054" s="1" t="s">
        <v>205</v>
      </c>
      <c r="AP1054" s="2" t="s">
        <v>10735</v>
      </c>
      <c r="AQ1054" s="2" t="s">
        <v>1155</v>
      </c>
      <c r="AR1054" s="1" t="s">
        <v>286</v>
      </c>
      <c r="AS1054" s="1" t="s">
        <v>10736</v>
      </c>
      <c r="AT1054" s="1" t="s">
        <v>5</v>
      </c>
    </row>
    <row r="1055" spans="1:46" x14ac:dyDescent="0.4">
      <c r="A1055" s="7" t="s">
        <v>10797</v>
      </c>
      <c r="B1055" s="10">
        <v>0</v>
      </c>
      <c r="C1055" s="1" t="s">
        <v>0</v>
      </c>
      <c r="D1055" s="1" t="s">
        <v>2827</v>
      </c>
      <c r="E1055" s="1" t="s">
        <v>2078</v>
      </c>
      <c r="F1055" s="1" t="s">
        <v>14</v>
      </c>
      <c r="G1055" s="1" t="s">
        <v>1</v>
      </c>
      <c r="H1055" s="1" t="s">
        <v>6</v>
      </c>
      <c r="I1055" s="1" t="s">
        <v>2</v>
      </c>
      <c r="J1055" s="1" t="s">
        <v>3</v>
      </c>
      <c r="K1055" s="1" t="s">
        <v>10798</v>
      </c>
      <c r="L1055" s="1" t="s">
        <v>7</v>
      </c>
      <c r="M1055" s="1" t="s">
        <v>9</v>
      </c>
      <c r="N1055" s="1" t="s">
        <v>10799</v>
      </c>
      <c r="O1055" s="1" t="s">
        <v>10800</v>
      </c>
      <c r="P1055" s="1"/>
      <c r="Q1055" s="1"/>
      <c r="R1055" s="1" t="s">
        <v>11</v>
      </c>
      <c r="S1055" s="1"/>
      <c r="T1055" s="1"/>
      <c r="U1055" s="1"/>
      <c r="V1055" s="1"/>
      <c r="W1055" s="1" t="s">
        <v>10801</v>
      </c>
      <c r="X1055" s="1"/>
      <c r="Y1055" s="1"/>
      <c r="Z1055" s="1"/>
      <c r="AA1055" s="1"/>
      <c r="AB1055" s="1"/>
      <c r="AC1055" s="1"/>
      <c r="AD1055" s="1"/>
      <c r="AE1055" s="6" t="s">
        <v>10802</v>
      </c>
      <c r="AF1055" s="1"/>
      <c r="AG1055" s="1"/>
      <c r="AH1055" s="1" t="s">
        <v>10803</v>
      </c>
      <c r="AI1055" s="1"/>
      <c r="AJ1055" s="1" t="s">
        <v>2115</v>
      </c>
      <c r="AK1055" s="1" t="s">
        <v>4227</v>
      </c>
      <c r="AL1055" s="1" t="s">
        <v>7234</v>
      </c>
      <c r="AM1055" s="1" t="s">
        <v>4226</v>
      </c>
      <c r="AN1055" s="1" t="s">
        <v>4227</v>
      </c>
      <c r="AO1055" s="1" t="s">
        <v>10804</v>
      </c>
      <c r="AP1055" s="2" t="s">
        <v>10805</v>
      </c>
      <c r="AQ1055" s="2" t="s">
        <v>1155</v>
      </c>
      <c r="AR1055" s="1" t="s">
        <v>286</v>
      </c>
      <c r="AS1055" s="1" t="s">
        <v>10806</v>
      </c>
      <c r="AT1055" s="1" t="s">
        <v>5</v>
      </c>
    </row>
    <row r="1056" spans="1:46" x14ac:dyDescent="0.4">
      <c r="A1056" s="7" t="s">
        <v>10829</v>
      </c>
      <c r="B1056" s="10">
        <v>0</v>
      </c>
      <c r="C1056" s="1" t="s">
        <v>0</v>
      </c>
      <c r="D1056" s="1" t="s">
        <v>2211</v>
      </c>
      <c r="E1056" s="1" t="s">
        <v>2078</v>
      </c>
      <c r="F1056" s="1" t="s">
        <v>14</v>
      </c>
      <c r="G1056" s="1" t="s">
        <v>1</v>
      </c>
      <c r="H1056" s="1" t="s">
        <v>6</v>
      </c>
      <c r="I1056" s="1" t="s">
        <v>2</v>
      </c>
      <c r="J1056" s="1" t="s">
        <v>3</v>
      </c>
      <c r="K1056" s="1" t="s">
        <v>10830</v>
      </c>
      <c r="L1056" s="1" t="s">
        <v>7</v>
      </c>
      <c r="M1056" s="1" t="s">
        <v>9</v>
      </c>
      <c r="N1056" s="1" t="s">
        <v>10831</v>
      </c>
      <c r="O1056" s="1" t="s">
        <v>10832</v>
      </c>
      <c r="P1056" s="1"/>
      <c r="Q1056" s="1"/>
      <c r="R1056" s="1" t="s">
        <v>11</v>
      </c>
      <c r="S1056" s="1"/>
      <c r="T1056" s="1"/>
      <c r="U1056" s="1"/>
      <c r="V1056" s="1"/>
      <c r="W1056" s="1"/>
      <c r="X1056" s="1" t="s">
        <v>10833</v>
      </c>
      <c r="Y1056" s="1"/>
      <c r="Z1056" s="1"/>
      <c r="AA1056" s="1"/>
      <c r="AB1056" s="1"/>
      <c r="AC1056" s="1"/>
      <c r="AD1056" s="1"/>
      <c r="AE1056" s="6" t="s">
        <v>10834</v>
      </c>
      <c r="AF1056" s="1"/>
      <c r="AG1056" s="1"/>
      <c r="AH1056" s="1" t="s">
        <v>10835</v>
      </c>
      <c r="AI1056" s="1"/>
      <c r="AJ1056" s="1" t="s">
        <v>228</v>
      </c>
      <c r="AK1056" s="1" t="s">
        <v>281</v>
      </c>
      <c r="AL1056" s="1" t="s">
        <v>229</v>
      </c>
      <c r="AM1056" s="1" t="s">
        <v>1549</v>
      </c>
      <c r="AN1056" s="1" t="s">
        <v>281</v>
      </c>
      <c r="AO1056" s="1" t="s">
        <v>1550</v>
      </c>
      <c r="AP1056" s="2" t="s">
        <v>10836</v>
      </c>
      <c r="AQ1056" s="2" t="s">
        <v>1155</v>
      </c>
      <c r="AR1056" s="1" t="s">
        <v>286</v>
      </c>
      <c r="AS1056" s="1" t="s">
        <v>10837</v>
      </c>
      <c r="AT1056" s="1" t="s">
        <v>5</v>
      </c>
    </row>
    <row r="1057" spans="1:46" x14ac:dyDescent="0.4">
      <c r="A1057" s="7" t="s">
        <v>10931</v>
      </c>
      <c r="B1057" s="10">
        <v>0</v>
      </c>
      <c r="C1057" s="1" t="s">
        <v>0</v>
      </c>
      <c r="D1057" s="1" t="s">
        <v>2211</v>
      </c>
      <c r="E1057" s="1" t="s">
        <v>2078</v>
      </c>
      <c r="F1057" s="1" t="s">
        <v>14</v>
      </c>
      <c r="G1057" s="1" t="s">
        <v>1</v>
      </c>
      <c r="H1057" s="1" t="s">
        <v>6</v>
      </c>
      <c r="I1057" s="1" t="s">
        <v>2</v>
      </c>
      <c r="J1057" s="1" t="s">
        <v>3</v>
      </c>
      <c r="K1057" s="1" t="s">
        <v>10932</v>
      </c>
      <c r="L1057" s="1" t="s">
        <v>4</v>
      </c>
      <c r="M1057" s="1" t="s">
        <v>9</v>
      </c>
      <c r="N1057" s="1" t="s">
        <v>10933</v>
      </c>
      <c r="O1057" s="1" t="s">
        <v>8741</v>
      </c>
      <c r="P1057" s="1"/>
      <c r="Q1057" s="1"/>
      <c r="R1057" s="1" t="s">
        <v>11</v>
      </c>
      <c r="S1057" s="1"/>
      <c r="T1057" s="1"/>
      <c r="U1057" s="1"/>
      <c r="V1057" s="1"/>
      <c r="W1057" s="1"/>
      <c r="X1057" s="1" t="s">
        <v>10934</v>
      </c>
      <c r="Y1057" s="1"/>
      <c r="Z1057" s="1"/>
      <c r="AA1057" s="1"/>
      <c r="AB1057" s="1"/>
      <c r="AC1057" s="1"/>
      <c r="AD1057" s="1"/>
      <c r="AE1057" s="6" t="s">
        <v>10935</v>
      </c>
      <c r="AF1057" s="1"/>
      <c r="AG1057" s="1"/>
      <c r="AH1057" s="1" t="s">
        <v>10936</v>
      </c>
      <c r="AI1057" s="1"/>
      <c r="AJ1057" s="1" t="s">
        <v>363</v>
      </c>
      <c r="AK1057" s="1" t="s">
        <v>517</v>
      </c>
      <c r="AL1057" s="1" t="s">
        <v>364</v>
      </c>
      <c r="AM1057" s="1" t="s">
        <v>10937</v>
      </c>
      <c r="AN1057" s="1" t="s">
        <v>517</v>
      </c>
      <c r="AO1057" s="1" t="s">
        <v>10938</v>
      </c>
      <c r="AP1057" s="2" t="s">
        <v>10939</v>
      </c>
      <c r="AQ1057" s="2" t="s">
        <v>1155</v>
      </c>
      <c r="AR1057" s="1" t="s">
        <v>286</v>
      </c>
      <c r="AS1057" s="1" t="s">
        <v>1017</v>
      </c>
      <c r="AT1057" s="1" t="s">
        <v>5</v>
      </c>
    </row>
    <row r="1058" spans="1:46" x14ac:dyDescent="0.4">
      <c r="A1058" s="7" t="s">
        <v>10940</v>
      </c>
      <c r="B1058" s="10">
        <v>0</v>
      </c>
      <c r="C1058" s="1" t="s">
        <v>0</v>
      </c>
      <c r="D1058" s="1" t="s">
        <v>2157</v>
      </c>
      <c r="E1058" s="1" t="s">
        <v>2078</v>
      </c>
      <c r="F1058" s="1" t="s">
        <v>14</v>
      </c>
      <c r="G1058" s="1" t="s">
        <v>1</v>
      </c>
      <c r="H1058" s="1" t="s">
        <v>6</v>
      </c>
      <c r="I1058" s="1" t="s">
        <v>2</v>
      </c>
      <c r="J1058" s="1" t="s">
        <v>3</v>
      </c>
      <c r="K1058" s="1" t="s">
        <v>10941</v>
      </c>
      <c r="L1058" s="1" t="s">
        <v>7</v>
      </c>
      <c r="M1058" s="1" t="s">
        <v>9</v>
      </c>
      <c r="N1058" s="1" t="s">
        <v>10942</v>
      </c>
      <c r="O1058" s="1" t="s">
        <v>4279</v>
      </c>
      <c r="P1058" s="1"/>
      <c r="Q1058" s="1"/>
      <c r="R1058" s="1" t="s">
        <v>11</v>
      </c>
      <c r="S1058" s="1"/>
      <c r="T1058" s="1"/>
      <c r="U1058" s="1"/>
      <c r="V1058" s="1"/>
      <c r="W1058" s="1"/>
      <c r="X1058" s="1" t="s">
        <v>10943</v>
      </c>
      <c r="Y1058" s="1"/>
      <c r="Z1058" s="1"/>
      <c r="AA1058" s="1"/>
      <c r="AB1058" s="1"/>
      <c r="AC1058" s="1"/>
      <c r="AD1058" s="1"/>
      <c r="AE1058" s="6" t="s">
        <v>10944</v>
      </c>
      <c r="AF1058" s="1"/>
      <c r="AG1058" s="1"/>
      <c r="AH1058" s="1" t="s">
        <v>10945</v>
      </c>
      <c r="AI1058" s="1"/>
      <c r="AJ1058" s="1" t="s">
        <v>4947</v>
      </c>
      <c r="AK1058" s="1" t="s">
        <v>4283</v>
      </c>
      <c r="AL1058" s="1" t="s">
        <v>4948</v>
      </c>
      <c r="AM1058" s="1" t="s">
        <v>5250</v>
      </c>
      <c r="AN1058" s="1" t="s">
        <v>4283</v>
      </c>
      <c r="AO1058" s="1" t="s">
        <v>5251</v>
      </c>
      <c r="AP1058" s="2" t="s">
        <v>10946</v>
      </c>
      <c r="AQ1058" s="2" t="s">
        <v>1155</v>
      </c>
      <c r="AR1058" s="1" t="s">
        <v>286</v>
      </c>
      <c r="AS1058" s="1" t="s">
        <v>1861</v>
      </c>
      <c r="AT1058" s="1" t="s">
        <v>5</v>
      </c>
    </row>
    <row r="1059" spans="1:46" x14ac:dyDescent="0.4">
      <c r="A1059" s="7" t="s">
        <v>10978</v>
      </c>
      <c r="B1059" s="10">
        <v>0</v>
      </c>
      <c r="C1059" s="1" t="s">
        <v>0</v>
      </c>
      <c r="D1059" s="1" t="s">
        <v>2688</v>
      </c>
      <c r="E1059" s="1" t="s">
        <v>3289</v>
      </c>
      <c r="F1059" s="1" t="s">
        <v>2690</v>
      </c>
      <c r="G1059" s="1" t="s">
        <v>1</v>
      </c>
      <c r="H1059" s="1" t="s">
        <v>6</v>
      </c>
      <c r="I1059" s="1" t="s">
        <v>2</v>
      </c>
      <c r="J1059" s="1" t="s">
        <v>3</v>
      </c>
      <c r="K1059" s="1" t="s">
        <v>10979</v>
      </c>
      <c r="L1059" s="1" t="s">
        <v>4</v>
      </c>
      <c r="M1059" s="1" t="s">
        <v>9</v>
      </c>
      <c r="N1059" s="1" t="s">
        <v>10980</v>
      </c>
      <c r="O1059" s="1" t="s">
        <v>10981</v>
      </c>
      <c r="P1059" s="1" t="s">
        <v>10982</v>
      </c>
      <c r="Q1059" s="1"/>
      <c r="R1059" s="1" t="s">
        <v>11</v>
      </c>
      <c r="S1059" s="1"/>
      <c r="T1059" s="1"/>
      <c r="U1059" s="1"/>
      <c r="V1059" s="1"/>
      <c r="W1059" s="1"/>
      <c r="X1059" s="1"/>
      <c r="Y1059" s="1"/>
      <c r="Z1059" s="1"/>
      <c r="AA1059" s="1"/>
      <c r="AB1059" s="1"/>
      <c r="AC1059" s="1"/>
      <c r="AD1059" s="1"/>
      <c r="AE1059" s="6" t="s">
        <v>10983</v>
      </c>
      <c r="AF1059" s="1"/>
      <c r="AG1059" s="1"/>
      <c r="AH1059" s="1" t="s">
        <v>10984</v>
      </c>
      <c r="AI1059" s="1"/>
      <c r="AJ1059" s="1" t="s">
        <v>10985</v>
      </c>
      <c r="AK1059" s="1" t="s">
        <v>7300</v>
      </c>
      <c r="AL1059" s="1" t="s">
        <v>10986</v>
      </c>
      <c r="AM1059" s="1" t="s">
        <v>10987</v>
      </c>
      <c r="AN1059" s="1" t="s">
        <v>7300</v>
      </c>
      <c r="AO1059" s="1" t="s">
        <v>10988</v>
      </c>
      <c r="AP1059" s="2" t="s">
        <v>10989</v>
      </c>
      <c r="AQ1059" s="2" t="s">
        <v>1155</v>
      </c>
      <c r="AR1059" s="1" t="s">
        <v>286</v>
      </c>
      <c r="AS1059" s="1" t="s">
        <v>10990</v>
      </c>
      <c r="AT1059" s="1" t="s">
        <v>5</v>
      </c>
    </row>
    <row r="1060" spans="1:46" x14ac:dyDescent="0.4">
      <c r="A1060" s="7" t="s">
        <v>11040</v>
      </c>
      <c r="B1060" s="10">
        <v>0</v>
      </c>
      <c r="C1060" s="1" t="s">
        <v>0</v>
      </c>
      <c r="D1060" s="1" t="s">
        <v>2211</v>
      </c>
      <c r="E1060" s="1" t="s">
        <v>2078</v>
      </c>
      <c r="F1060" s="1" t="s">
        <v>14</v>
      </c>
      <c r="G1060" s="1" t="s">
        <v>1</v>
      </c>
      <c r="H1060" s="1" t="s">
        <v>6</v>
      </c>
      <c r="I1060" s="1" t="s">
        <v>2</v>
      </c>
      <c r="J1060" s="1" t="s">
        <v>3</v>
      </c>
      <c r="K1060" s="1" t="s">
        <v>11041</v>
      </c>
      <c r="L1060" s="1" t="s">
        <v>7</v>
      </c>
      <c r="M1060" s="1" t="s">
        <v>9</v>
      </c>
      <c r="N1060" s="1" t="s">
        <v>11042</v>
      </c>
      <c r="O1060" s="1" t="s">
        <v>3426</v>
      </c>
      <c r="P1060" s="1"/>
      <c r="Q1060" s="1"/>
      <c r="R1060" s="1" t="s">
        <v>11</v>
      </c>
      <c r="S1060" s="1"/>
      <c r="T1060" s="1"/>
      <c r="U1060" s="1"/>
      <c r="V1060" s="1"/>
      <c r="W1060" s="1"/>
      <c r="X1060" s="1" t="s">
        <v>11043</v>
      </c>
      <c r="Y1060" s="1"/>
      <c r="Z1060" s="1"/>
      <c r="AA1060" s="1"/>
      <c r="AB1060" s="1"/>
      <c r="AC1060" s="1"/>
      <c r="AD1060" s="1"/>
      <c r="AE1060" s="6" t="s">
        <v>11044</v>
      </c>
      <c r="AF1060" s="1"/>
      <c r="AG1060" s="1"/>
      <c r="AH1060" s="1" t="s">
        <v>11045</v>
      </c>
      <c r="AI1060" s="1"/>
      <c r="AJ1060" s="1" t="s">
        <v>363</v>
      </c>
      <c r="AK1060" s="1" t="s">
        <v>517</v>
      </c>
      <c r="AL1060" s="1" t="s">
        <v>364</v>
      </c>
      <c r="AM1060" s="1" t="s">
        <v>11046</v>
      </c>
      <c r="AN1060" s="1" t="s">
        <v>517</v>
      </c>
      <c r="AO1060" s="1" t="s">
        <v>11047</v>
      </c>
      <c r="AP1060" s="2" t="s">
        <v>11048</v>
      </c>
      <c r="AQ1060" s="2" t="s">
        <v>1155</v>
      </c>
      <c r="AR1060" s="1" t="s">
        <v>286</v>
      </c>
      <c r="AS1060" s="1"/>
      <c r="AT1060" s="1" t="s">
        <v>5</v>
      </c>
    </row>
    <row r="1061" spans="1:46" x14ac:dyDescent="0.4">
      <c r="A1061" s="7" t="s">
        <v>11049</v>
      </c>
      <c r="B1061" s="10">
        <v>0</v>
      </c>
      <c r="C1061" s="1" t="s">
        <v>0</v>
      </c>
      <c r="D1061" s="1" t="s">
        <v>2211</v>
      </c>
      <c r="E1061" s="1" t="s">
        <v>2078</v>
      </c>
      <c r="F1061" s="1" t="s">
        <v>14</v>
      </c>
      <c r="G1061" s="1" t="s">
        <v>1</v>
      </c>
      <c r="H1061" s="1" t="s">
        <v>6</v>
      </c>
      <c r="I1061" s="1" t="s">
        <v>2</v>
      </c>
      <c r="J1061" s="1" t="s">
        <v>3</v>
      </c>
      <c r="K1061" s="1" t="s">
        <v>11050</v>
      </c>
      <c r="L1061" s="1" t="s">
        <v>7</v>
      </c>
      <c r="M1061" s="1" t="s">
        <v>9</v>
      </c>
      <c r="N1061" s="1" t="s">
        <v>11051</v>
      </c>
      <c r="O1061" s="1" t="s">
        <v>3426</v>
      </c>
      <c r="P1061" s="1"/>
      <c r="Q1061" s="1"/>
      <c r="R1061" s="1" t="s">
        <v>11</v>
      </c>
      <c r="S1061" s="1"/>
      <c r="T1061" s="1"/>
      <c r="U1061" s="1"/>
      <c r="V1061" s="1"/>
      <c r="W1061" s="1"/>
      <c r="X1061" s="1" t="s">
        <v>11043</v>
      </c>
      <c r="Y1061" s="1"/>
      <c r="Z1061" s="1"/>
      <c r="AA1061" s="1"/>
      <c r="AB1061" s="1"/>
      <c r="AC1061" s="1"/>
      <c r="AD1061" s="1"/>
      <c r="AE1061" s="6" t="s">
        <v>11052</v>
      </c>
      <c r="AF1061" s="1"/>
      <c r="AG1061" s="1"/>
      <c r="AH1061" s="1" t="s">
        <v>11053</v>
      </c>
      <c r="AI1061" s="1"/>
      <c r="AJ1061" s="1" t="s">
        <v>363</v>
      </c>
      <c r="AK1061" s="1" t="s">
        <v>517</v>
      </c>
      <c r="AL1061" s="1" t="s">
        <v>364</v>
      </c>
      <c r="AM1061" s="1" t="s">
        <v>11046</v>
      </c>
      <c r="AN1061" s="1" t="s">
        <v>517</v>
      </c>
      <c r="AO1061" s="1" t="s">
        <v>11047</v>
      </c>
      <c r="AP1061" s="2" t="s">
        <v>11054</v>
      </c>
      <c r="AQ1061" s="2" t="s">
        <v>1155</v>
      </c>
      <c r="AR1061" s="1" t="s">
        <v>286</v>
      </c>
      <c r="AS1061" s="1"/>
      <c r="AT1061" s="1" t="s">
        <v>5</v>
      </c>
    </row>
    <row r="1062" spans="1:46" x14ac:dyDescent="0.4">
      <c r="A1062" s="7" t="s">
        <v>11055</v>
      </c>
      <c r="B1062" s="10">
        <v>0</v>
      </c>
      <c r="C1062" s="1" t="s">
        <v>0</v>
      </c>
      <c r="D1062" s="1" t="s">
        <v>2211</v>
      </c>
      <c r="E1062" s="1" t="s">
        <v>2078</v>
      </c>
      <c r="F1062" s="1" t="s">
        <v>14</v>
      </c>
      <c r="G1062" s="1" t="s">
        <v>1</v>
      </c>
      <c r="H1062" s="1" t="s">
        <v>6</v>
      </c>
      <c r="I1062" s="1" t="s">
        <v>2</v>
      </c>
      <c r="J1062" s="1" t="s">
        <v>3</v>
      </c>
      <c r="K1062" s="1" t="s">
        <v>11056</v>
      </c>
      <c r="L1062" s="1" t="s">
        <v>7</v>
      </c>
      <c r="M1062" s="1" t="s">
        <v>9</v>
      </c>
      <c r="N1062" s="1" t="s">
        <v>11057</v>
      </c>
      <c r="O1062" s="1" t="s">
        <v>3426</v>
      </c>
      <c r="P1062" s="1"/>
      <c r="Q1062" s="1"/>
      <c r="R1062" s="1" t="s">
        <v>11</v>
      </c>
      <c r="S1062" s="1"/>
      <c r="T1062" s="1"/>
      <c r="U1062" s="1"/>
      <c r="V1062" s="1"/>
      <c r="W1062" s="1"/>
      <c r="X1062" s="1" t="s">
        <v>11043</v>
      </c>
      <c r="Y1062" s="1"/>
      <c r="Z1062" s="1"/>
      <c r="AA1062" s="1"/>
      <c r="AB1062" s="1"/>
      <c r="AC1062" s="1"/>
      <c r="AD1062" s="1"/>
      <c r="AE1062" s="6" t="s">
        <v>11058</v>
      </c>
      <c r="AF1062" s="1"/>
      <c r="AG1062" s="1"/>
      <c r="AH1062" s="1" t="s">
        <v>11059</v>
      </c>
      <c r="AI1062" s="1"/>
      <c r="AJ1062" s="1" t="s">
        <v>363</v>
      </c>
      <c r="AK1062" s="1" t="s">
        <v>517</v>
      </c>
      <c r="AL1062" s="1" t="s">
        <v>364</v>
      </c>
      <c r="AM1062" s="1" t="s">
        <v>11046</v>
      </c>
      <c r="AN1062" s="1" t="s">
        <v>517</v>
      </c>
      <c r="AO1062" s="1" t="s">
        <v>11047</v>
      </c>
      <c r="AP1062" s="2" t="s">
        <v>11060</v>
      </c>
      <c r="AQ1062" s="2" t="s">
        <v>1155</v>
      </c>
      <c r="AR1062" s="1" t="s">
        <v>286</v>
      </c>
      <c r="AS1062" s="1"/>
      <c r="AT1062" s="1" t="s">
        <v>5</v>
      </c>
    </row>
    <row r="1063" spans="1:46" x14ac:dyDescent="0.4">
      <c r="A1063" s="7" t="s">
        <v>11139</v>
      </c>
      <c r="B1063" s="10">
        <v>0</v>
      </c>
      <c r="C1063" s="1" t="s">
        <v>0</v>
      </c>
      <c r="D1063" s="1" t="s">
        <v>2211</v>
      </c>
      <c r="E1063" s="1" t="s">
        <v>2078</v>
      </c>
      <c r="F1063" s="1" t="s">
        <v>14</v>
      </c>
      <c r="G1063" s="1" t="s">
        <v>1</v>
      </c>
      <c r="H1063" s="1" t="s">
        <v>6</v>
      </c>
      <c r="I1063" s="1" t="s">
        <v>2</v>
      </c>
      <c r="J1063" s="1" t="s">
        <v>3</v>
      </c>
      <c r="K1063" s="1" t="s">
        <v>11140</v>
      </c>
      <c r="L1063" s="1" t="s">
        <v>4</v>
      </c>
      <c r="M1063" s="1" t="s">
        <v>9</v>
      </c>
      <c r="N1063" s="1" t="s">
        <v>11141</v>
      </c>
      <c r="O1063" s="1" t="s">
        <v>2911</v>
      </c>
      <c r="P1063" s="1"/>
      <c r="Q1063" s="1"/>
      <c r="R1063" s="1" t="s">
        <v>11</v>
      </c>
      <c r="S1063" s="1"/>
      <c r="T1063" s="1"/>
      <c r="U1063" s="1"/>
      <c r="V1063" s="1"/>
      <c r="W1063" s="1"/>
      <c r="X1063" s="1"/>
      <c r="Y1063" s="1"/>
      <c r="Z1063" s="1"/>
      <c r="AA1063" s="1"/>
      <c r="AB1063" s="1"/>
      <c r="AC1063" s="1"/>
      <c r="AD1063" s="1"/>
      <c r="AE1063" s="6" t="s">
        <v>11142</v>
      </c>
      <c r="AF1063" s="1"/>
      <c r="AG1063" s="1"/>
      <c r="AH1063" s="1" t="s">
        <v>11143</v>
      </c>
      <c r="AI1063" s="1"/>
      <c r="AJ1063" s="1" t="s">
        <v>848</v>
      </c>
      <c r="AK1063" s="1" t="s">
        <v>476</v>
      </c>
      <c r="AL1063" s="1" t="s">
        <v>849</v>
      </c>
      <c r="AM1063" s="1" t="s">
        <v>848</v>
      </c>
      <c r="AN1063" s="1" t="s">
        <v>476</v>
      </c>
      <c r="AO1063" s="1" t="s">
        <v>849</v>
      </c>
      <c r="AP1063" s="2" t="s">
        <v>11144</v>
      </c>
      <c r="AQ1063" s="2" t="s">
        <v>1155</v>
      </c>
      <c r="AR1063" s="1" t="s">
        <v>286</v>
      </c>
      <c r="AS1063" s="1" t="s">
        <v>11145</v>
      </c>
      <c r="AT1063" s="1" t="s">
        <v>5</v>
      </c>
    </row>
    <row r="1064" spans="1:46" hidden="1" x14ac:dyDescent="0.4">
      <c r="A1064" s="7" t="s">
        <v>11146</v>
      </c>
      <c r="B1064" s="11"/>
      <c r="C1064" s="1" t="s">
        <v>2544</v>
      </c>
      <c r="D1064" s="1" t="s">
        <v>2827</v>
      </c>
      <c r="E1064" s="1" t="s">
        <v>2078</v>
      </c>
      <c r="F1064" s="1" t="s">
        <v>14</v>
      </c>
      <c r="G1064" s="1" t="s">
        <v>1</v>
      </c>
      <c r="H1064" s="1" t="s">
        <v>6</v>
      </c>
      <c r="I1064" s="1" t="s">
        <v>2</v>
      </c>
      <c r="J1064" s="1" t="s">
        <v>2451</v>
      </c>
      <c r="K1064" s="1" t="s">
        <v>11147</v>
      </c>
      <c r="L1064" s="1" t="s">
        <v>7</v>
      </c>
      <c r="M1064" s="1" t="s">
        <v>9</v>
      </c>
      <c r="N1064" s="1" t="s">
        <v>11148</v>
      </c>
      <c r="O1064" s="1" t="s">
        <v>9855</v>
      </c>
      <c r="P1064" s="1"/>
      <c r="Q1064" s="1"/>
      <c r="R1064" s="1" t="s">
        <v>11</v>
      </c>
      <c r="S1064" s="1"/>
      <c r="T1064" s="1"/>
      <c r="U1064" s="1"/>
      <c r="V1064" s="1"/>
      <c r="W1064" s="1" t="s">
        <v>11149</v>
      </c>
      <c r="X1064" s="1"/>
      <c r="Y1064" s="1"/>
      <c r="Z1064" s="1"/>
      <c r="AA1064" s="1"/>
      <c r="AB1064" s="1"/>
      <c r="AC1064" s="1"/>
      <c r="AD1064" s="1"/>
      <c r="AE1064" s="6" t="s">
        <v>11150</v>
      </c>
      <c r="AF1064" s="1"/>
      <c r="AG1064" s="1"/>
      <c r="AH1064" s="1" t="s">
        <v>11151</v>
      </c>
      <c r="AI1064" s="1"/>
      <c r="AJ1064" s="1" t="s">
        <v>9259</v>
      </c>
      <c r="AK1064" s="1" t="s">
        <v>9260</v>
      </c>
      <c r="AL1064" s="1" t="s">
        <v>9261</v>
      </c>
      <c r="AM1064" s="1" t="s">
        <v>11152</v>
      </c>
      <c r="AN1064" s="1" t="s">
        <v>9263</v>
      </c>
      <c r="AO1064" s="1" t="s">
        <v>11153</v>
      </c>
      <c r="AP1064" s="2" t="s">
        <v>11154</v>
      </c>
      <c r="AQ1064" s="2" t="s">
        <v>1155</v>
      </c>
      <c r="AR1064" s="1" t="s">
        <v>286</v>
      </c>
      <c r="AS1064" s="1" t="s">
        <v>11155</v>
      </c>
      <c r="AT1064" s="1" t="s">
        <v>5</v>
      </c>
    </row>
    <row r="1065" spans="1:46" hidden="1" x14ac:dyDescent="0.4">
      <c r="A1065" s="7" t="s">
        <v>2110</v>
      </c>
      <c r="B1065" s="11"/>
      <c r="C1065" s="1" t="s">
        <v>0</v>
      </c>
      <c r="D1065" s="1" t="s">
        <v>2076</v>
      </c>
      <c r="E1065" s="1" t="s">
        <v>2078</v>
      </c>
      <c r="F1065" s="1" t="s">
        <v>14</v>
      </c>
      <c r="G1065" s="1" t="s">
        <v>1</v>
      </c>
      <c r="H1065" s="1" t="s">
        <v>6</v>
      </c>
      <c r="I1065" s="1" t="s">
        <v>2</v>
      </c>
      <c r="J1065" s="1" t="s">
        <v>3</v>
      </c>
      <c r="K1065" s="1" t="s">
        <v>2111</v>
      </c>
      <c r="L1065" s="1" t="s">
        <v>4</v>
      </c>
      <c r="M1065" s="1" t="s">
        <v>9</v>
      </c>
      <c r="N1065" s="1" t="s">
        <v>11174</v>
      </c>
      <c r="O1065" s="1" t="s">
        <v>11175</v>
      </c>
      <c r="P1065" s="1"/>
      <c r="Q1065" s="1"/>
      <c r="R1065" s="1" t="s">
        <v>11</v>
      </c>
      <c r="S1065" s="1"/>
      <c r="T1065" s="1"/>
      <c r="U1065" s="1"/>
      <c r="V1065" s="1"/>
      <c r="W1065" s="1"/>
      <c r="X1065" s="1" t="s">
        <v>11176</v>
      </c>
      <c r="Y1065" s="1"/>
      <c r="Z1065" s="1"/>
      <c r="AA1065" s="1"/>
      <c r="AB1065" s="1"/>
      <c r="AC1065" s="1"/>
      <c r="AD1065" s="1"/>
      <c r="AE1065" s="6" t="s">
        <v>2112</v>
      </c>
      <c r="AF1065" s="1"/>
      <c r="AG1065" s="1"/>
      <c r="AH1065" s="1" t="s">
        <v>11177</v>
      </c>
      <c r="AI1065" s="1"/>
      <c r="AJ1065" s="1" t="s">
        <v>78</v>
      </c>
      <c r="AK1065" s="1" t="s">
        <v>519</v>
      </c>
      <c r="AL1065" s="1" t="s">
        <v>130</v>
      </c>
      <c r="AM1065" s="1" t="s">
        <v>11178</v>
      </c>
      <c r="AN1065" s="1" t="s">
        <v>519</v>
      </c>
      <c r="AO1065" s="1" t="s">
        <v>11179</v>
      </c>
      <c r="AP1065" s="2" t="s">
        <v>11180</v>
      </c>
      <c r="AQ1065" s="2" t="s">
        <v>1155</v>
      </c>
      <c r="AR1065" s="1" t="s">
        <v>286</v>
      </c>
      <c r="AS1065" s="1" t="s">
        <v>1882</v>
      </c>
      <c r="AT1065" s="1" t="s">
        <v>5</v>
      </c>
    </row>
    <row r="1066" spans="1:46" hidden="1" x14ac:dyDescent="0.4">
      <c r="A1066" s="7" t="s">
        <v>11207</v>
      </c>
      <c r="B1066" s="11"/>
      <c r="C1066" s="1" t="s">
        <v>0</v>
      </c>
      <c r="D1066" s="1" t="s">
        <v>2220</v>
      </c>
      <c r="E1066" s="1" t="s">
        <v>2078</v>
      </c>
      <c r="F1066" s="1" t="s">
        <v>14</v>
      </c>
      <c r="G1066" s="1" t="s">
        <v>1</v>
      </c>
      <c r="H1066" s="1" t="s">
        <v>6</v>
      </c>
      <c r="I1066" s="1" t="s">
        <v>2</v>
      </c>
      <c r="J1066" s="1" t="s">
        <v>3</v>
      </c>
      <c r="K1066" s="1" t="s">
        <v>11208</v>
      </c>
      <c r="L1066" s="1" t="s">
        <v>7</v>
      </c>
      <c r="M1066" s="1" t="s">
        <v>9</v>
      </c>
      <c r="N1066" s="1" t="s">
        <v>11209</v>
      </c>
      <c r="O1066" s="1" t="s">
        <v>11210</v>
      </c>
      <c r="P1066" s="1"/>
      <c r="Q1066" s="1"/>
      <c r="R1066" s="1" t="s">
        <v>11</v>
      </c>
      <c r="S1066" s="1"/>
      <c r="T1066" s="1"/>
      <c r="U1066" s="1"/>
      <c r="V1066" s="1"/>
      <c r="W1066" s="1"/>
      <c r="X1066" s="1" t="s">
        <v>11211</v>
      </c>
      <c r="Y1066" s="1"/>
      <c r="Z1066" s="1"/>
      <c r="AA1066" s="1"/>
      <c r="AB1066" s="1"/>
      <c r="AC1066" s="1"/>
      <c r="AD1066" s="1"/>
      <c r="AE1066" s="6" t="s">
        <v>11212</v>
      </c>
      <c r="AF1066" s="1"/>
      <c r="AG1066" s="1"/>
      <c r="AH1066" s="1" t="s">
        <v>11213</v>
      </c>
      <c r="AI1066" s="1"/>
      <c r="AJ1066" s="1" t="s">
        <v>11214</v>
      </c>
      <c r="AK1066" s="1" t="s">
        <v>3005</v>
      </c>
      <c r="AL1066" s="1" t="s">
        <v>11215</v>
      </c>
      <c r="AM1066" s="1" t="s">
        <v>6361</v>
      </c>
      <c r="AN1066" s="1" t="s">
        <v>3005</v>
      </c>
      <c r="AO1066" s="1" t="s">
        <v>6362</v>
      </c>
      <c r="AP1066" s="2" t="s">
        <v>11216</v>
      </c>
      <c r="AQ1066" s="2" t="s">
        <v>1155</v>
      </c>
      <c r="AR1066" s="1" t="s">
        <v>286</v>
      </c>
      <c r="AS1066" s="1" t="s">
        <v>11217</v>
      </c>
      <c r="AT1066" s="1" t="s">
        <v>5</v>
      </c>
    </row>
    <row r="1067" spans="1:46" hidden="1" x14ac:dyDescent="0.4">
      <c r="A1067" s="7" t="s">
        <v>11218</v>
      </c>
      <c r="B1067" s="11"/>
      <c r="C1067" s="1" t="s">
        <v>11219</v>
      </c>
      <c r="D1067" s="1" t="s">
        <v>2220</v>
      </c>
      <c r="E1067" s="1" t="s">
        <v>2078</v>
      </c>
      <c r="F1067" s="1" t="s">
        <v>14</v>
      </c>
      <c r="G1067" s="1" t="s">
        <v>1</v>
      </c>
      <c r="H1067" s="1" t="s">
        <v>6</v>
      </c>
      <c r="I1067" s="1" t="s">
        <v>2</v>
      </c>
      <c r="J1067" s="1" t="s">
        <v>3</v>
      </c>
      <c r="K1067" s="1" t="s">
        <v>11220</v>
      </c>
      <c r="L1067" s="1" t="s">
        <v>2231</v>
      </c>
      <c r="M1067" s="1"/>
      <c r="N1067" s="1" t="s">
        <v>11221</v>
      </c>
      <c r="O1067" s="1" t="s">
        <v>11222</v>
      </c>
      <c r="P1067" s="1"/>
      <c r="Q1067" s="1"/>
      <c r="R1067" s="1" t="s">
        <v>11</v>
      </c>
      <c r="S1067" s="1"/>
      <c r="T1067" s="1"/>
      <c r="U1067" s="1"/>
      <c r="V1067" s="1"/>
      <c r="W1067" s="1" t="s">
        <v>11223</v>
      </c>
      <c r="X1067" s="1"/>
      <c r="Y1067" s="1"/>
      <c r="Z1067" s="1"/>
      <c r="AA1067" s="1"/>
      <c r="AB1067" s="1"/>
      <c r="AC1067" s="1"/>
      <c r="AD1067" s="1"/>
      <c r="AE1067" s="6" t="s">
        <v>11224</v>
      </c>
      <c r="AF1067" s="1"/>
      <c r="AG1067" s="1"/>
      <c r="AH1067" s="1" t="s">
        <v>11225</v>
      </c>
      <c r="AI1067" s="1"/>
      <c r="AJ1067" s="1" t="s">
        <v>11226</v>
      </c>
      <c r="AK1067" s="1" t="s">
        <v>11227</v>
      </c>
      <c r="AL1067" s="1" t="s">
        <v>11228</v>
      </c>
      <c r="AM1067" s="1" t="s">
        <v>11229</v>
      </c>
      <c r="AN1067" s="1" t="s">
        <v>11227</v>
      </c>
      <c r="AO1067" s="1" t="s">
        <v>11230</v>
      </c>
      <c r="AP1067" s="2" t="s">
        <v>11231</v>
      </c>
      <c r="AQ1067" s="2" t="s">
        <v>1155</v>
      </c>
      <c r="AR1067" s="1" t="s">
        <v>286</v>
      </c>
      <c r="AS1067" s="1" t="s">
        <v>11232</v>
      </c>
      <c r="AT1067" s="1" t="s">
        <v>5</v>
      </c>
    </row>
    <row r="1068" spans="1:46" hidden="1" x14ac:dyDescent="0.4">
      <c r="A1068" s="7" t="s">
        <v>11295</v>
      </c>
      <c r="B1068" s="11"/>
      <c r="C1068" s="1" t="s">
        <v>2705</v>
      </c>
      <c r="D1068" s="1" t="s">
        <v>2211</v>
      </c>
      <c r="E1068" s="1" t="s">
        <v>2078</v>
      </c>
      <c r="F1068" s="1" t="s">
        <v>14</v>
      </c>
      <c r="G1068" s="1" t="s">
        <v>1</v>
      </c>
      <c r="H1068" s="1" t="s">
        <v>6</v>
      </c>
      <c r="I1068" s="1" t="s">
        <v>2</v>
      </c>
      <c r="J1068" s="1" t="s">
        <v>2813</v>
      </c>
      <c r="K1068" s="1" t="s">
        <v>11296</v>
      </c>
      <c r="L1068" s="1" t="s">
        <v>4</v>
      </c>
      <c r="M1068" s="1" t="s">
        <v>9</v>
      </c>
      <c r="N1068" s="1" t="s">
        <v>11297</v>
      </c>
      <c r="O1068" s="1" t="s">
        <v>15</v>
      </c>
      <c r="P1068" s="1" t="s">
        <v>11298</v>
      </c>
      <c r="Q1068" s="1"/>
      <c r="R1068" s="1" t="s">
        <v>11</v>
      </c>
      <c r="S1068" s="1"/>
      <c r="T1068" s="1"/>
      <c r="U1068" s="1"/>
      <c r="V1068" s="1"/>
      <c r="W1068" s="1"/>
      <c r="X1068" s="1" t="s">
        <v>11299</v>
      </c>
      <c r="Y1068" s="1"/>
      <c r="Z1068" s="1"/>
      <c r="AA1068" s="1"/>
      <c r="AB1068" s="1"/>
      <c r="AC1068" s="1"/>
      <c r="AD1068" s="1"/>
      <c r="AE1068" s="6" t="s">
        <v>11300</v>
      </c>
      <c r="AF1068" s="1"/>
      <c r="AG1068" s="1"/>
      <c r="AH1068" s="1" t="s">
        <v>11301</v>
      </c>
      <c r="AI1068" s="1"/>
      <c r="AJ1068" s="1" t="s">
        <v>11302</v>
      </c>
      <c r="AK1068" s="1" t="s">
        <v>11303</v>
      </c>
      <c r="AL1068" s="1" t="s">
        <v>11304</v>
      </c>
      <c r="AM1068" s="1" t="s">
        <v>11302</v>
      </c>
      <c r="AN1068" s="1" t="s">
        <v>11303</v>
      </c>
      <c r="AO1068" s="1" t="s">
        <v>11304</v>
      </c>
      <c r="AP1068" s="2" t="s">
        <v>11305</v>
      </c>
      <c r="AQ1068" s="2" t="s">
        <v>1155</v>
      </c>
      <c r="AR1068" s="1" t="s">
        <v>286</v>
      </c>
      <c r="AS1068" s="1" t="s">
        <v>11265</v>
      </c>
      <c r="AT1068" s="1" t="s">
        <v>5</v>
      </c>
    </row>
    <row r="1069" spans="1:46" hidden="1" x14ac:dyDescent="0.4">
      <c r="A1069" s="7" t="s">
        <v>2118</v>
      </c>
      <c r="B1069" s="11"/>
      <c r="C1069" s="1" t="s">
        <v>0</v>
      </c>
      <c r="D1069" s="1" t="s">
        <v>2076</v>
      </c>
      <c r="E1069" s="1" t="s">
        <v>13</v>
      </c>
      <c r="F1069" s="1" t="s">
        <v>14</v>
      </c>
      <c r="G1069" s="1" t="s">
        <v>1</v>
      </c>
      <c r="H1069" s="1" t="s">
        <v>6</v>
      </c>
      <c r="I1069" s="1" t="s">
        <v>2</v>
      </c>
      <c r="J1069" s="1" t="s">
        <v>3</v>
      </c>
      <c r="K1069" s="1" t="s">
        <v>2119</v>
      </c>
      <c r="L1069" s="1" t="s">
        <v>4</v>
      </c>
      <c r="M1069" s="1" t="s">
        <v>9</v>
      </c>
      <c r="N1069" s="1" t="s">
        <v>11315</v>
      </c>
      <c r="O1069" s="1" t="s">
        <v>11316</v>
      </c>
      <c r="P1069" s="1"/>
      <c r="Q1069" s="1"/>
      <c r="R1069" s="1" t="s">
        <v>11</v>
      </c>
      <c r="S1069" s="1"/>
      <c r="T1069" s="1"/>
      <c r="U1069" s="1"/>
      <c r="V1069" s="1"/>
      <c r="W1069" s="1"/>
      <c r="X1069" s="1"/>
      <c r="Y1069" s="1"/>
      <c r="Z1069" s="1"/>
      <c r="AA1069" s="1"/>
      <c r="AB1069" s="1"/>
      <c r="AC1069" s="1"/>
      <c r="AD1069" s="1"/>
      <c r="AE1069" s="6" t="s">
        <v>2121</v>
      </c>
      <c r="AF1069" s="1"/>
      <c r="AG1069" s="1"/>
      <c r="AH1069" s="1" t="s">
        <v>11317</v>
      </c>
      <c r="AI1069" s="1" t="s">
        <v>11318</v>
      </c>
      <c r="AJ1069" s="1" t="s">
        <v>2120</v>
      </c>
      <c r="AK1069" s="1" t="s">
        <v>7834</v>
      </c>
      <c r="AL1069" s="1" t="s">
        <v>7835</v>
      </c>
      <c r="AM1069" s="1" t="s">
        <v>11319</v>
      </c>
      <c r="AN1069" s="1" t="s">
        <v>7834</v>
      </c>
      <c r="AO1069" s="1" t="s">
        <v>11320</v>
      </c>
      <c r="AP1069" s="2" t="s">
        <v>11321</v>
      </c>
      <c r="AQ1069" s="2" t="s">
        <v>1155</v>
      </c>
      <c r="AR1069" s="1" t="s">
        <v>286</v>
      </c>
      <c r="AS1069" s="1" t="s">
        <v>11322</v>
      </c>
      <c r="AT1069" s="1" t="s">
        <v>5</v>
      </c>
    </row>
    <row r="1070" spans="1:46" hidden="1" x14ac:dyDescent="0.4">
      <c r="A1070" s="7" t="s">
        <v>11348</v>
      </c>
      <c r="B1070" s="11"/>
      <c r="C1070" s="1" t="s">
        <v>93</v>
      </c>
      <c r="D1070" s="1" t="s">
        <v>2157</v>
      </c>
      <c r="E1070" s="1" t="s">
        <v>2078</v>
      </c>
      <c r="F1070" s="1" t="s">
        <v>14</v>
      </c>
      <c r="G1070" s="1" t="s">
        <v>1</v>
      </c>
      <c r="H1070" s="1" t="s">
        <v>6</v>
      </c>
      <c r="I1070" s="1" t="s">
        <v>2</v>
      </c>
      <c r="J1070" s="1" t="s">
        <v>3</v>
      </c>
      <c r="K1070" s="1" t="s">
        <v>11349</v>
      </c>
      <c r="L1070" s="1" t="s">
        <v>7</v>
      </c>
      <c r="M1070" s="1"/>
      <c r="N1070" s="1" t="s">
        <v>11350</v>
      </c>
      <c r="O1070" s="1" t="s">
        <v>11351</v>
      </c>
      <c r="P1070" s="1"/>
      <c r="Q1070" s="1"/>
      <c r="R1070" s="1" t="s">
        <v>11</v>
      </c>
      <c r="S1070" s="1"/>
      <c r="T1070" s="1"/>
      <c r="U1070" s="1"/>
      <c r="V1070" s="1"/>
      <c r="W1070" s="1"/>
      <c r="X1070" s="1"/>
      <c r="Y1070" s="1"/>
      <c r="Z1070" s="1"/>
      <c r="AA1070" s="1"/>
      <c r="AB1070" s="1"/>
      <c r="AC1070" s="1"/>
      <c r="AD1070" s="1"/>
      <c r="AE1070" s="6" t="s">
        <v>11352</v>
      </c>
      <c r="AF1070" s="1"/>
      <c r="AG1070" s="1"/>
      <c r="AH1070" s="1" t="s">
        <v>11353</v>
      </c>
      <c r="AI1070" s="1"/>
      <c r="AJ1070" s="1" t="s">
        <v>11354</v>
      </c>
      <c r="AK1070" s="1" t="s">
        <v>11355</v>
      </c>
      <c r="AL1070" s="1" t="s">
        <v>11356</v>
      </c>
      <c r="AM1070" s="1" t="s">
        <v>11354</v>
      </c>
      <c r="AN1070" s="1" t="s">
        <v>11355</v>
      </c>
      <c r="AO1070" s="1" t="s">
        <v>11356</v>
      </c>
      <c r="AP1070" s="2" t="s">
        <v>11357</v>
      </c>
      <c r="AQ1070" s="2" t="s">
        <v>1155</v>
      </c>
      <c r="AR1070" s="1" t="s">
        <v>286</v>
      </c>
      <c r="AS1070" s="1" t="s">
        <v>1068</v>
      </c>
      <c r="AT1070" s="1" t="s">
        <v>5</v>
      </c>
    </row>
    <row r="1071" spans="1:46" hidden="1" x14ac:dyDescent="0.4">
      <c r="A1071" s="7" t="s">
        <v>11358</v>
      </c>
      <c r="B1071" s="11"/>
      <c r="C1071" s="1" t="s">
        <v>93</v>
      </c>
      <c r="D1071" s="1" t="s">
        <v>2157</v>
      </c>
      <c r="E1071" s="1" t="s">
        <v>2078</v>
      </c>
      <c r="F1071" s="1" t="s">
        <v>14</v>
      </c>
      <c r="G1071" s="1" t="s">
        <v>1</v>
      </c>
      <c r="H1071" s="1" t="s">
        <v>6</v>
      </c>
      <c r="I1071" s="1" t="s">
        <v>2</v>
      </c>
      <c r="J1071" s="1" t="s">
        <v>3</v>
      </c>
      <c r="K1071" s="1" t="s">
        <v>11359</v>
      </c>
      <c r="L1071" s="1" t="s">
        <v>7</v>
      </c>
      <c r="M1071" s="1"/>
      <c r="N1071" s="1" t="s">
        <v>11360</v>
      </c>
      <c r="O1071" s="1" t="s">
        <v>11351</v>
      </c>
      <c r="P1071" s="1"/>
      <c r="Q1071" s="1"/>
      <c r="R1071" s="1" t="s">
        <v>11</v>
      </c>
      <c r="S1071" s="1"/>
      <c r="T1071" s="1"/>
      <c r="U1071" s="1"/>
      <c r="V1071" s="1"/>
      <c r="W1071" s="1"/>
      <c r="X1071" s="1"/>
      <c r="Y1071" s="1"/>
      <c r="Z1071" s="1"/>
      <c r="AA1071" s="1"/>
      <c r="AB1071" s="1"/>
      <c r="AC1071" s="1"/>
      <c r="AD1071" s="1"/>
      <c r="AE1071" s="6" t="s">
        <v>11361</v>
      </c>
      <c r="AF1071" s="1"/>
      <c r="AG1071" s="1"/>
      <c r="AH1071" s="1" t="s">
        <v>11362</v>
      </c>
      <c r="AI1071" s="1"/>
      <c r="AJ1071" s="1" t="s">
        <v>11354</v>
      </c>
      <c r="AK1071" s="1" t="s">
        <v>11355</v>
      </c>
      <c r="AL1071" s="1" t="s">
        <v>11356</v>
      </c>
      <c r="AM1071" s="1" t="s">
        <v>11354</v>
      </c>
      <c r="AN1071" s="1" t="s">
        <v>11355</v>
      </c>
      <c r="AO1071" s="1" t="s">
        <v>11356</v>
      </c>
      <c r="AP1071" s="2" t="s">
        <v>11357</v>
      </c>
      <c r="AQ1071" s="2" t="s">
        <v>1155</v>
      </c>
      <c r="AR1071" s="1" t="s">
        <v>286</v>
      </c>
      <c r="AS1071" s="1" t="s">
        <v>1068</v>
      </c>
      <c r="AT1071" s="1" t="s">
        <v>5</v>
      </c>
    </row>
    <row r="1072" spans="1:46" hidden="1" x14ac:dyDescent="0.4">
      <c r="A1072" s="7" t="s">
        <v>11363</v>
      </c>
      <c r="B1072" s="11"/>
      <c r="C1072" s="1" t="s">
        <v>93</v>
      </c>
      <c r="D1072" s="1" t="s">
        <v>2157</v>
      </c>
      <c r="E1072" s="1" t="s">
        <v>2078</v>
      </c>
      <c r="F1072" s="1" t="s">
        <v>14</v>
      </c>
      <c r="G1072" s="1" t="s">
        <v>1</v>
      </c>
      <c r="H1072" s="1" t="s">
        <v>6</v>
      </c>
      <c r="I1072" s="1" t="s">
        <v>2</v>
      </c>
      <c r="J1072" s="1" t="s">
        <v>3</v>
      </c>
      <c r="K1072" s="1" t="s">
        <v>11364</v>
      </c>
      <c r="L1072" s="1" t="s">
        <v>7</v>
      </c>
      <c r="M1072" s="1"/>
      <c r="N1072" s="1" t="s">
        <v>11365</v>
      </c>
      <c r="O1072" s="1" t="s">
        <v>11351</v>
      </c>
      <c r="P1072" s="1"/>
      <c r="Q1072" s="1"/>
      <c r="R1072" s="1" t="s">
        <v>11</v>
      </c>
      <c r="S1072" s="1"/>
      <c r="T1072" s="1"/>
      <c r="U1072" s="1"/>
      <c r="V1072" s="1"/>
      <c r="W1072" s="1"/>
      <c r="X1072" s="1"/>
      <c r="Y1072" s="1"/>
      <c r="Z1072" s="1"/>
      <c r="AA1072" s="1"/>
      <c r="AB1072" s="1"/>
      <c r="AC1072" s="1"/>
      <c r="AD1072" s="1"/>
      <c r="AE1072" s="6" t="s">
        <v>11366</v>
      </c>
      <c r="AF1072" s="1"/>
      <c r="AG1072" s="1"/>
      <c r="AH1072" s="1" t="s">
        <v>11367</v>
      </c>
      <c r="AI1072" s="1"/>
      <c r="AJ1072" s="1" t="s">
        <v>11354</v>
      </c>
      <c r="AK1072" s="1" t="s">
        <v>11355</v>
      </c>
      <c r="AL1072" s="1" t="s">
        <v>11356</v>
      </c>
      <c r="AM1072" s="1" t="s">
        <v>11354</v>
      </c>
      <c r="AN1072" s="1" t="s">
        <v>11355</v>
      </c>
      <c r="AO1072" s="1" t="s">
        <v>11356</v>
      </c>
      <c r="AP1072" s="2" t="s">
        <v>11368</v>
      </c>
      <c r="AQ1072" s="2" t="s">
        <v>1155</v>
      </c>
      <c r="AR1072" s="1" t="s">
        <v>286</v>
      </c>
      <c r="AS1072" s="1" t="s">
        <v>2015</v>
      </c>
      <c r="AT1072" s="1" t="s">
        <v>5</v>
      </c>
    </row>
    <row r="1073" spans="1:46" hidden="1" x14ac:dyDescent="0.4">
      <c r="A1073" s="7" t="s">
        <v>11420</v>
      </c>
      <c r="B1073" s="11"/>
      <c r="C1073" s="1" t="s">
        <v>2480</v>
      </c>
      <c r="D1073" s="1" t="s">
        <v>2157</v>
      </c>
      <c r="E1073" s="1" t="s">
        <v>2078</v>
      </c>
      <c r="F1073" s="1" t="s">
        <v>14</v>
      </c>
      <c r="G1073" s="1" t="s">
        <v>1</v>
      </c>
      <c r="H1073" s="1" t="s">
        <v>6</v>
      </c>
      <c r="I1073" s="1" t="s">
        <v>2</v>
      </c>
      <c r="J1073" s="1" t="s">
        <v>3</v>
      </c>
      <c r="K1073" s="1" t="s">
        <v>11421</v>
      </c>
      <c r="L1073" s="1" t="s">
        <v>7</v>
      </c>
      <c r="M1073" s="1"/>
      <c r="N1073" s="1" t="s">
        <v>11422</v>
      </c>
      <c r="O1073" s="1" t="s">
        <v>4208</v>
      </c>
      <c r="P1073" s="1"/>
      <c r="Q1073" s="1"/>
      <c r="R1073" s="1" t="s">
        <v>11</v>
      </c>
      <c r="S1073" s="1"/>
      <c r="T1073" s="1"/>
      <c r="U1073" s="1"/>
      <c r="V1073" s="1"/>
      <c r="W1073" s="1"/>
      <c r="X1073" s="1" t="s">
        <v>11423</v>
      </c>
      <c r="Y1073" s="1"/>
      <c r="Z1073" s="1"/>
      <c r="AA1073" s="1"/>
      <c r="AB1073" s="1"/>
      <c r="AC1073" s="1"/>
      <c r="AD1073" s="1"/>
      <c r="AE1073" s="6" t="s">
        <v>11424</v>
      </c>
      <c r="AF1073" s="1"/>
      <c r="AG1073" s="1"/>
      <c r="AH1073" s="1" t="s">
        <v>11425</v>
      </c>
      <c r="AI1073" s="1"/>
      <c r="AJ1073" s="1" t="s">
        <v>11426</v>
      </c>
      <c r="AK1073" s="1" t="s">
        <v>11427</v>
      </c>
      <c r="AL1073" s="1" t="s">
        <v>11428</v>
      </c>
      <c r="AM1073" s="1" t="s">
        <v>11429</v>
      </c>
      <c r="AN1073" s="1" t="s">
        <v>11430</v>
      </c>
      <c r="AO1073" s="1" t="s">
        <v>11431</v>
      </c>
      <c r="AP1073" s="2" t="s">
        <v>11432</v>
      </c>
      <c r="AQ1073" s="2" t="s">
        <v>1155</v>
      </c>
      <c r="AR1073" s="1" t="s">
        <v>286</v>
      </c>
      <c r="AS1073" s="1" t="s">
        <v>11433</v>
      </c>
      <c r="AT1073" s="1" t="s">
        <v>5</v>
      </c>
    </row>
    <row r="1074" spans="1:46" hidden="1" x14ac:dyDescent="0.4">
      <c r="A1074" s="7" t="s">
        <v>11499</v>
      </c>
      <c r="B1074" s="11"/>
      <c r="C1074" s="1" t="s">
        <v>2675</v>
      </c>
      <c r="D1074" s="1" t="s">
        <v>2157</v>
      </c>
      <c r="E1074" s="1" t="s">
        <v>2078</v>
      </c>
      <c r="F1074" s="1" t="s">
        <v>14</v>
      </c>
      <c r="G1074" s="1" t="s">
        <v>1</v>
      </c>
      <c r="H1074" s="1" t="s">
        <v>6</v>
      </c>
      <c r="I1074" s="1" t="s">
        <v>2</v>
      </c>
      <c r="J1074" s="1" t="s">
        <v>2450</v>
      </c>
      <c r="K1074" s="1" t="s">
        <v>11500</v>
      </c>
      <c r="L1074" s="1" t="s">
        <v>7</v>
      </c>
      <c r="M1074" s="1"/>
      <c r="N1074" s="1" t="s">
        <v>11501</v>
      </c>
      <c r="O1074" s="1" t="s">
        <v>7422</v>
      </c>
      <c r="P1074" s="1"/>
      <c r="Q1074" s="1" t="s">
        <v>12</v>
      </c>
      <c r="R1074" s="1" t="s">
        <v>11</v>
      </c>
      <c r="S1074" s="1"/>
      <c r="T1074" s="1" t="s">
        <v>12</v>
      </c>
      <c r="U1074" s="1" t="s">
        <v>11</v>
      </c>
      <c r="V1074" s="1"/>
      <c r="W1074" s="1" t="s">
        <v>11502</v>
      </c>
      <c r="X1074" s="1"/>
      <c r="Y1074" s="1"/>
      <c r="Z1074" s="1"/>
      <c r="AA1074" s="1"/>
      <c r="AB1074" s="1"/>
      <c r="AC1074" s="1"/>
      <c r="AD1074" s="1"/>
      <c r="AE1074" s="6" t="s">
        <v>11503</v>
      </c>
      <c r="AF1074" s="1"/>
      <c r="AG1074" s="1"/>
      <c r="AH1074" s="1" t="s">
        <v>11504</v>
      </c>
      <c r="AI1074" s="1" t="s">
        <v>11505</v>
      </c>
      <c r="AJ1074" s="1" t="s">
        <v>11506</v>
      </c>
      <c r="AK1074" s="1" t="s">
        <v>6788</v>
      </c>
      <c r="AL1074" s="1" t="s">
        <v>11507</v>
      </c>
      <c r="AM1074" s="1" t="s">
        <v>4874</v>
      </c>
      <c r="AN1074" s="1" t="s">
        <v>6788</v>
      </c>
      <c r="AO1074" s="1" t="s">
        <v>4875</v>
      </c>
      <c r="AP1074" s="2" t="s">
        <v>11508</v>
      </c>
      <c r="AQ1074" s="2" t="s">
        <v>1155</v>
      </c>
      <c r="AR1074" s="1" t="s">
        <v>286</v>
      </c>
      <c r="AS1074" s="1" t="s">
        <v>11509</v>
      </c>
      <c r="AT1074" s="1" t="s">
        <v>5</v>
      </c>
    </row>
    <row r="1075" spans="1:46" hidden="1" x14ac:dyDescent="0.4">
      <c r="A1075" s="7" t="s">
        <v>11518</v>
      </c>
      <c r="B1075" s="11"/>
      <c r="C1075" s="1" t="s">
        <v>0</v>
      </c>
      <c r="D1075" s="1" t="s">
        <v>2157</v>
      </c>
      <c r="E1075" s="1" t="s">
        <v>2078</v>
      </c>
      <c r="F1075" s="1" t="s">
        <v>14</v>
      </c>
      <c r="G1075" s="1" t="s">
        <v>1</v>
      </c>
      <c r="H1075" s="1" t="s">
        <v>6</v>
      </c>
      <c r="I1075" s="1" t="s">
        <v>2</v>
      </c>
      <c r="J1075" s="1" t="s">
        <v>3</v>
      </c>
      <c r="K1075" s="1" t="s">
        <v>11519</v>
      </c>
      <c r="L1075" s="1" t="s">
        <v>7</v>
      </c>
      <c r="M1075" s="1"/>
      <c r="N1075" s="1" t="s">
        <v>11520</v>
      </c>
      <c r="O1075" s="1" t="s">
        <v>3055</v>
      </c>
      <c r="P1075" s="1"/>
      <c r="Q1075" s="1" t="s">
        <v>12</v>
      </c>
      <c r="R1075" s="1" t="s">
        <v>11</v>
      </c>
      <c r="S1075" s="1"/>
      <c r="T1075" s="1" t="s">
        <v>12</v>
      </c>
      <c r="U1075" s="1" t="s">
        <v>11</v>
      </c>
      <c r="V1075" s="1"/>
      <c r="W1075" s="1"/>
      <c r="X1075" s="1"/>
      <c r="Y1075" s="1"/>
      <c r="Z1075" s="1"/>
      <c r="AA1075" s="1"/>
      <c r="AB1075" s="1"/>
      <c r="AC1075" s="1"/>
      <c r="AD1075" s="1"/>
      <c r="AE1075" s="6" t="s">
        <v>11521</v>
      </c>
      <c r="AF1075" s="1"/>
      <c r="AG1075" s="1"/>
      <c r="AH1075" s="1" t="s">
        <v>11522</v>
      </c>
      <c r="AI1075" s="1" t="s">
        <v>11523</v>
      </c>
      <c r="AJ1075" s="1" t="s">
        <v>11524</v>
      </c>
      <c r="AK1075" s="1" t="s">
        <v>4085</v>
      </c>
      <c r="AL1075" s="1" t="s">
        <v>11525</v>
      </c>
      <c r="AM1075" s="1" t="s">
        <v>11526</v>
      </c>
      <c r="AN1075" s="1" t="s">
        <v>11527</v>
      </c>
      <c r="AO1075" s="1"/>
      <c r="AP1075" s="2" t="s">
        <v>11528</v>
      </c>
      <c r="AQ1075" s="2" t="s">
        <v>1155</v>
      </c>
      <c r="AR1075" s="1" t="s">
        <v>286</v>
      </c>
      <c r="AS1075" s="1" t="s">
        <v>11529</v>
      </c>
      <c r="AT1075" s="1" t="s">
        <v>5</v>
      </c>
    </row>
    <row r="1076" spans="1:46" hidden="1" x14ac:dyDescent="0.4">
      <c r="A1076" s="7" t="s">
        <v>11560</v>
      </c>
      <c r="B1076" s="11"/>
      <c r="C1076" s="1" t="s">
        <v>3626</v>
      </c>
      <c r="D1076" s="1" t="s">
        <v>2076</v>
      </c>
      <c r="E1076" s="1" t="s">
        <v>2078</v>
      </c>
      <c r="F1076" s="1" t="s">
        <v>14</v>
      </c>
      <c r="G1076" s="1" t="s">
        <v>1</v>
      </c>
      <c r="H1076" s="1" t="s">
        <v>6</v>
      </c>
      <c r="I1076" s="1" t="s">
        <v>2</v>
      </c>
      <c r="J1076" s="1" t="s">
        <v>3514</v>
      </c>
      <c r="K1076" s="1" t="s">
        <v>11561</v>
      </c>
      <c r="L1076" s="1" t="s">
        <v>7</v>
      </c>
      <c r="M1076" s="1" t="s">
        <v>9</v>
      </c>
      <c r="N1076" s="1" t="s">
        <v>11562</v>
      </c>
      <c r="O1076" s="1" t="s">
        <v>2238</v>
      </c>
      <c r="P1076" s="1"/>
      <c r="Q1076" s="1" t="s">
        <v>12</v>
      </c>
      <c r="R1076" s="1" t="s">
        <v>11</v>
      </c>
      <c r="S1076" s="1"/>
      <c r="T1076" s="1" t="s">
        <v>12</v>
      </c>
      <c r="U1076" s="1" t="s">
        <v>11</v>
      </c>
      <c r="V1076" s="1"/>
      <c r="W1076" s="1" t="s">
        <v>11563</v>
      </c>
      <c r="X1076" s="1" t="s">
        <v>11564</v>
      </c>
      <c r="Y1076" s="1"/>
      <c r="Z1076" s="1"/>
      <c r="AA1076" s="1"/>
      <c r="AB1076" s="1"/>
      <c r="AC1076" s="1"/>
      <c r="AD1076" s="1"/>
      <c r="AE1076" s="6" t="s">
        <v>11565</v>
      </c>
      <c r="AF1076" s="1"/>
      <c r="AG1076" s="1"/>
      <c r="AH1076" s="1" t="s">
        <v>11566</v>
      </c>
      <c r="AI1076" s="1"/>
      <c r="AJ1076" s="1" t="s">
        <v>8555</v>
      </c>
      <c r="AK1076" s="1" t="s">
        <v>11567</v>
      </c>
      <c r="AL1076" s="1" t="s">
        <v>8556</v>
      </c>
      <c r="AM1076" s="1" t="s">
        <v>8555</v>
      </c>
      <c r="AN1076" s="1" t="s">
        <v>11567</v>
      </c>
      <c r="AO1076" s="1" t="s">
        <v>8556</v>
      </c>
      <c r="AP1076" s="2" t="s">
        <v>11568</v>
      </c>
      <c r="AQ1076" s="2" t="s">
        <v>1155</v>
      </c>
      <c r="AR1076" s="1" t="s">
        <v>286</v>
      </c>
      <c r="AS1076" s="1" t="s">
        <v>11569</v>
      </c>
      <c r="AT1076" s="1" t="s">
        <v>5</v>
      </c>
    </row>
    <row r="1077" spans="1:46" hidden="1" x14ac:dyDescent="0.4">
      <c r="A1077" s="7" t="s">
        <v>11623</v>
      </c>
      <c r="B1077" s="11"/>
      <c r="C1077" s="1" t="s">
        <v>0</v>
      </c>
      <c r="D1077" s="1" t="s">
        <v>2211</v>
      </c>
      <c r="E1077" s="1" t="s">
        <v>2078</v>
      </c>
      <c r="F1077" s="1" t="s">
        <v>14</v>
      </c>
      <c r="G1077" s="1" t="s">
        <v>1</v>
      </c>
      <c r="H1077" s="1" t="s">
        <v>6</v>
      </c>
      <c r="I1077" s="1" t="s">
        <v>2</v>
      </c>
      <c r="J1077" s="1" t="s">
        <v>3</v>
      </c>
      <c r="K1077" s="1" t="s">
        <v>11624</v>
      </c>
      <c r="L1077" s="1" t="s">
        <v>7</v>
      </c>
      <c r="M1077" s="1"/>
      <c r="N1077" s="1" t="s">
        <v>11625</v>
      </c>
      <c r="O1077" s="1" t="s">
        <v>11626</v>
      </c>
      <c r="P1077" s="1"/>
      <c r="Q1077" s="1" t="s">
        <v>12</v>
      </c>
      <c r="R1077" s="1" t="s">
        <v>11</v>
      </c>
      <c r="S1077" s="1"/>
      <c r="T1077" s="1" t="s">
        <v>12</v>
      </c>
      <c r="U1077" s="1" t="s">
        <v>11</v>
      </c>
      <c r="V1077" s="1"/>
      <c r="W1077" s="1"/>
      <c r="X1077" s="1" t="s">
        <v>11627</v>
      </c>
      <c r="Y1077" s="1"/>
      <c r="Z1077" s="1"/>
      <c r="AA1077" s="1"/>
      <c r="AB1077" s="1"/>
      <c r="AC1077" s="1"/>
      <c r="AD1077" s="1"/>
      <c r="AE1077" s="6" t="s">
        <v>11628</v>
      </c>
      <c r="AF1077" s="1"/>
      <c r="AG1077" s="1"/>
      <c r="AH1077" s="1" t="s">
        <v>11629</v>
      </c>
      <c r="AI1077" s="1" t="s">
        <v>11630</v>
      </c>
      <c r="AJ1077" s="1" t="s">
        <v>11524</v>
      </c>
      <c r="AK1077" s="1" t="s">
        <v>4085</v>
      </c>
      <c r="AL1077" s="1" t="s">
        <v>11525</v>
      </c>
      <c r="AM1077" s="1" t="s">
        <v>11631</v>
      </c>
      <c r="AN1077" s="1" t="s">
        <v>4698</v>
      </c>
      <c r="AO1077" s="1" t="s">
        <v>11632</v>
      </c>
      <c r="AP1077" s="2" t="s">
        <v>11633</v>
      </c>
      <c r="AQ1077" s="2" t="s">
        <v>1155</v>
      </c>
      <c r="AR1077" s="1" t="s">
        <v>286</v>
      </c>
      <c r="AS1077" s="1" t="s">
        <v>11634</v>
      </c>
      <c r="AT1077" s="1" t="s">
        <v>5</v>
      </c>
    </row>
    <row r="1078" spans="1:46" hidden="1" x14ac:dyDescent="0.4">
      <c r="A1078" s="7" t="s">
        <v>11723</v>
      </c>
      <c r="B1078" s="11"/>
      <c r="C1078" s="1" t="s">
        <v>2841</v>
      </c>
      <c r="D1078" s="1" t="s">
        <v>2076</v>
      </c>
      <c r="E1078" s="1" t="s">
        <v>2078</v>
      </c>
      <c r="F1078" s="1" t="s">
        <v>14</v>
      </c>
      <c r="G1078" s="1" t="s">
        <v>1</v>
      </c>
      <c r="H1078" s="1" t="s">
        <v>6</v>
      </c>
      <c r="I1078" s="1" t="s">
        <v>2</v>
      </c>
      <c r="J1078" s="1" t="s">
        <v>2842</v>
      </c>
      <c r="K1078" s="1" t="s">
        <v>11724</v>
      </c>
      <c r="L1078" s="1" t="s">
        <v>7</v>
      </c>
      <c r="M1078" s="1"/>
      <c r="N1078" s="1" t="s">
        <v>11725</v>
      </c>
      <c r="O1078" s="1" t="s">
        <v>2845</v>
      </c>
      <c r="P1078" s="1"/>
      <c r="Q1078" s="1" t="s">
        <v>12</v>
      </c>
      <c r="R1078" s="1" t="s">
        <v>11</v>
      </c>
      <c r="S1078" s="1"/>
      <c r="T1078" s="1" t="s">
        <v>12</v>
      </c>
      <c r="U1078" s="1" t="s">
        <v>11</v>
      </c>
      <c r="V1078" s="1"/>
      <c r="W1078" s="1" t="s">
        <v>11726</v>
      </c>
      <c r="X1078" s="1" t="s">
        <v>11727</v>
      </c>
      <c r="Y1078" s="1"/>
      <c r="Z1078" s="1"/>
      <c r="AA1078" s="1"/>
      <c r="AB1078" s="1"/>
      <c r="AC1078" s="1"/>
      <c r="AD1078" s="1"/>
      <c r="AE1078" s="6" t="s">
        <v>11728</v>
      </c>
      <c r="AF1078" s="1"/>
      <c r="AG1078" s="1"/>
      <c r="AH1078" s="1" t="s">
        <v>11729</v>
      </c>
      <c r="AI1078" s="1"/>
      <c r="AJ1078" s="1" t="s">
        <v>4327</v>
      </c>
      <c r="AK1078" s="1" t="s">
        <v>8473</v>
      </c>
      <c r="AL1078" s="1" t="s">
        <v>4328</v>
      </c>
      <c r="AM1078" s="1" t="s">
        <v>4327</v>
      </c>
      <c r="AN1078" s="1" t="s">
        <v>8473</v>
      </c>
      <c r="AO1078" s="1" t="s">
        <v>4328</v>
      </c>
      <c r="AP1078" s="2" t="s">
        <v>11730</v>
      </c>
      <c r="AQ1078" s="2" t="s">
        <v>1156</v>
      </c>
      <c r="AR1078" s="1" t="s">
        <v>286</v>
      </c>
      <c r="AS1078" s="1" t="s">
        <v>11731</v>
      </c>
      <c r="AT1078" s="1" t="s">
        <v>5</v>
      </c>
    </row>
    <row r="1079" spans="1:46" hidden="1" x14ac:dyDescent="0.4">
      <c r="A1079" s="7" t="s">
        <v>11857</v>
      </c>
      <c r="B1079" s="11"/>
      <c r="C1079" s="1" t="s">
        <v>0</v>
      </c>
      <c r="D1079" s="1" t="s">
        <v>2220</v>
      </c>
      <c r="E1079" s="1" t="s">
        <v>2078</v>
      </c>
      <c r="F1079" s="1" t="s">
        <v>14</v>
      </c>
      <c r="G1079" s="1" t="s">
        <v>1</v>
      </c>
      <c r="H1079" s="1" t="s">
        <v>6</v>
      </c>
      <c r="I1079" s="1" t="s">
        <v>2</v>
      </c>
      <c r="J1079" s="1" t="s">
        <v>3</v>
      </c>
      <c r="K1079" s="1" t="s">
        <v>11858</v>
      </c>
      <c r="L1079" s="1" t="s">
        <v>7</v>
      </c>
      <c r="M1079" s="1"/>
      <c r="N1079" s="1" t="s">
        <v>11859</v>
      </c>
      <c r="O1079" s="1" t="s">
        <v>3616</v>
      </c>
      <c r="P1079" s="1"/>
      <c r="Q1079" s="1" t="s">
        <v>12</v>
      </c>
      <c r="R1079" s="1" t="s">
        <v>11</v>
      </c>
      <c r="S1079" s="1"/>
      <c r="T1079" s="1" t="s">
        <v>12</v>
      </c>
      <c r="U1079" s="1" t="s">
        <v>11</v>
      </c>
      <c r="V1079" s="1"/>
      <c r="W1079" s="1" t="s">
        <v>11860</v>
      </c>
      <c r="X1079" s="1" t="s">
        <v>11861</v>
      </c>
      <c r="Y1079" s="1"/>
      <c r="Z1079" s="1"/>
      <c r="AA1079" s="1"/>
      <c r="AB1079" s="1"/>
      <c r="AC1079" s="1"/>
      <c r="AD1079" s="1"/>
      <c r="AE1079" s="6" t="s">
        <v>10359</v>
      </c>
      <c r="AF1079" s="1"/>
      <c r="AG1079" s="1"/>
      <c r="AH1079" s="1" t="s">
        <v>11862</v>
      </c>
      <c r="AI1079" s="1"/>
      <c r="AJ1079" s="1" t="s">
        <v>498</v>
      </c>
      <c r="AK1079" s="1" t="s">
        <v>218</v>
      </c>
      <c r="AL1079" s="1" t="s">
        <v>499</v>
      </c>
      <c r="AM1079" s="1" t="s">
        <v>619</v>
      </c>
      <c r="AN1079" s="1" t="s">
        <v>218</v>
      </c>
      <c r="AO1079" s="1" t="s">
        <v>620</v>
      </c>
      <c r="AP1079" s="2" t="s">
        <v>11863</v>
      </c>
      <c r="AQ1079" s="2" t="s">
        <v>1156</v>
      </c>
      <c r="AR1079" s="1" t="s">
        <v>286</v>
      </c>
      <c r="AS1079" s="1" t="s">
        <v>11864</v>
      </c>
      <c r="AT1079" s="1" t="s">
        <v>5</v>
      </c>
    </row>
    <row r="1080" spans="1:46" hidden="1" x14ac:dyDescent="0.4">
      <c r="A1080" s="7" t="s">
        <v>11865</v>
      </c>
      <c r="B1080" s="11"/>
      <c r="C1080" s="1" t="s">
        <v>0</v>
      </c>
      <c r="D1080" s="1" t="s">
        <v>2220</v>
      </c>
      <c r="E1080" s="1" t="s">
        <v>2078</v>
      </c>
      <c r="F1080" s="1" t="s">
        <v>14</v>
      </c>
      <c r="G1080" s="1" t="s">
        <v>1</v>
      </c>
      <c r="H1080" s="1" t="s">
        <v>6</v>
      </c>
      <c r="I1080" s="1" t="s">
        <v>2</v>
      </c>
      <c r="J1080" s="1" t="s">
        <v>3</v>
      </c>
      <c r="K1080" s="1" t="s">
        <v>11866</v>
      </c>
      <c r="L1080" s="1" t="s">
        <v>7</v>
      </c>
      <c r="M1080" s="1"/>
      <c r="N1080" s="1" t="s">
        <v>11867</v>
      </c>
      <c r="O1080" s="1" t="s">
        <v>3616</v>
      </c>
      <c r="P1080" s="1"/>
      <c r="Q1080" s="1" t="s">
        <v>12</v>
      </c>
      <c r="R1080" s="1" t="s">
        <v>11</v>
      </c>
      <c r="S1080" s="1"/>
      <c r="T1080" s="1" t="s">
        <v>12</v>
      </c>
      <c r="U1080" s="1" t="s">
        <v>11</v>
      </c>
      <c r="V1080" s="1"/>
      <c r="W1080" s="1" t="s">
        <v>11868</v>
      </c>
      <c r="X1080" s="1" t="s">
        <v>11869</v>
      </c>
      <c r="Y1080" s="1"/>
      <c r="Z1080" s="1"/>
      <c r="AA1080" s="1"/>
      <c r="AB1080" s="1"/>
      <c r="AC1080" s="1"/>
      <c r="AD1080" s="1"/>
      <c r="AE1080" s="6" t="s">
        <v>11870</v>
      </c>
      <c r="AF1080" s="1"/>
      <c r="AG1080" s="1"/>
      <c r="AH1080" s="1" t="s">
        <v>11871</v>
      </c>
      <c r="AI1080" s="1"/>
      <c r="AJ1080" s="1" t="s">
        <v>498</v>
      </c>
      <c r="AK1080" s="1" t="s">
        <v>218</v>
      </c>
      <c r="AL1080" s="1" t="s">
        <v>499</v>
      </c>
      <c r="AM1080" s="1" t="s">
        <v>619</v>
      </c>
      <c r="AN1080" s="1" t="s">
        <v>218</v>
      </c>
      <c r="AO1080" s="1" t="s">
        <v>620</v>
      </c>
      <c r="AP1080" s="2" t="s">
        <v>11872</v>
      </c>
      <c r="AQ1080" s="2" t="s">
        <v>1156</v>
      </c>
      <c r="AR1080" s="1" t="s">
        <v>286</v>
      </c>
      <c r="AS1080" s="1" t="s">
        <v>11873</v>
      </c>
      <c r="AT1080" s="1" t="s">
        <v>5</v>
      </c>
    </row>
    <row r="1081" spans="1:46" hidden="1" x14ac:dyDescent="0.4">
      <c r="A1081" s="7" t="s">
        <v>11926</v>
      </c>
      <c r="B1081" s="11"/>
      <c r="C1081" s="1" t="s">
        <v>2705</v>
      </c>
      <c r="D1081" s="1" t="s">
        <v>2157</v>
      </c>
      <c r="E1081" s="1" t="s">
        <v>2078</v>
      </c>
      <c r="F1081" s="1" t="s">
        <v>14</v>
      </c>
      <c r="G1081" s="1" t="s">
        <v>1</v>
      </c>
      <c r="H1081" s="1" t="s">
        <v>6</v>
      </c>
      <c r="I1081" s="1" t="s">
        <v>2</v>
      </c>
      <c r="J1081" s="1" t="s">
        <v>2813</v>
      </c>
      <c r="K1081" s="1" t="s">
        <v>11927</v>
      </c>
      <c r="L1081" s="1" t="s">
        <v>7</v>
      </c>
      <c r="M1081" s="1"/>
      <c r="N1081" s="1" t="s">
        <v>11928</v>
      </c>
      <c r="O1081" s="1" t="s">
        <v>11929</v>
      </c>
      <c r="P1081" s="1"/>
      <c r="Q1081" s="1" t="s">
        <v>12</v>
      </c>
      <c r="R1081" s="1" t="s">
        <v>11</v>
      </c>
      <c r="S1081" s="1"/>
      <c r="T1081" s="1" t="s">
        <v>12</v>
      </c>
      <c r="U1081" s="1" t="s">
        <v>11</v>
      </c>
      <c r="V1081" s="1"/>
      <c r="W1081" s="1"/>
      <c r="X1081" s="1" t="s">
        <v>11930</v>
      </c>
      <c r="Y1081" s="1"/>
      <c r="Z1081" s="1"/>
      <c r="AA1081" s="1"/>
      <c r="AB1081" s="1"/>
      <c r="AC1081" s="1"/>
      <c r="AD1081" s="1"/>
      <c r="AE1081" s="6" t="s">
        <v>11931</v>
      </c>
      <c r="AF1081" s="1"/>
      <c r="AG1081" s="1"/>
      <c r="AH1081" s="1" t="s">
        <v>11932</v>
      </c>
      <c r="AI1081" s="1"/>
      <c r="AJ1081" s="1" t="s">
        <v>11302</v>
      </c>
      <c r="AK1081" s="1" t="s">
        <v>11303</v>
      </c>
      <c r="AL1081" s="1" t="s">
        <v>11304</v>
      </c>
      <c r="AM1081" s="1" t="s">
        <v>11302</v>
      </c>
      <c r="AN1081" s="1" t="s">
        <v>11303</v>
      </c>
      <c r="AO1081" s="1" t="s">
        <v>11304</v>
      </c>
      <c r="AP1081" s="2" t="s">
        <v>11933</v>
      </c>
      <c r="AQ1081" s="2" t="s">
        <v>1156</v>
      </c>
      <c r="AR1081" s="1" t="s">
        <v>286</v>
      </c>
      <c r="AS1081" s="1" t="s">
        <v>11934</v>
      </c>
      <c r="AT1081" s="1" t="s">
        <v>5</v>
      </c>
    </row>
  </sheetData>
  <autoFilter ref="A1:AT1081" xr:uid="{530247F1-4A94-426A-941C-5BC520767B69}">
    <filterColumn colId="1">
      <customFilters>
        <customFilter operator="notEqual" val=" "/>
      </customFilters>
    </filterColumn>
  </autoFilter>
  <sortState xmlns:xlrd2="http://schemas.microsoft.com/office/spreadsheetml/2017/richdata2" ref="A2:AT1081">
    <sortCondition ref="AB2:AB1081"/>
  </sortState>
  <phoneticPr fontId="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F279D-E632-48AB-9810-81FB1A90DFD8}">
  <dimension ref="A1:CG56"/>
  <sheetViews>
    <sheetView workbookViewId="0">
      <selection activeCell="H13" sqref="H13"/>
    </sheetView>
  </sheetViews>
  <sheetFormatPr defaultRowHeight="17.399999999999999" x14ac:dyDescent="0.4"/>
  <cols>
    <col min="2" max="2" width="22.796875" customWidth="1"/>
  </cols>
  <sheetData>
    <row r="1" spans="1:85" x14ac:dyDescent="0.4">
      <c r="A1" s="37"/>
      <c r="B1" s="35"/>
    </row>
    <row r="2" spans="1:85" x14ac:dyDescent="0.4">
      <c r="A2" s="37"/>
      <c r="B2" s="35"/>
    </row>
    <row r="3" spans="1:85" x14ac:dyDescent="0.4">
      <c r="A3" s="27" t="s">
        <v>14285</v>
      </c>
      <c r="B3" s="27" t="s">
        <v>1113</v>
      </c>
      <c r="C3" s="27" t="s">
        <v>1112</v>
      </c>
      <c r="D3" s="27" t="s">
        <v>14287</v>
      </c>
      <c r="E3" s="27" t="s">
        <v>1108</v>
      </c>
      <c r="F3" s="27" t="s">
        <v>14288</v>
      </c>
      <c r="G3" s="27" t="s">
        <v>14289</v>
      </c>
      <c r="H3" s="27" t="s">
        <v>1117</v>
      </c>
      <c r="I3" s="27" t="s">
        <v>14290</v>
      </c>
      <c r="J3" s="27" t="s">
        <v>14291</v>
      </c>
      <c r="K3" s="27" t="s">
        <v>14292</v>
      </c>
      <c r="L3" s="27" t="s">
        <v>14293</v>
      </c>
      <c r="M3" s="27" t="s">
        <v>14294</v>
      </c>
      <c r="N3" s="27" t="s">
        <v>14295</v>
      </c>
      <c r="O3" s="27" t="s">
        <v>14296</v>
      </c>
      <c r="P3" s="27" t="s">
        <v>14297</v>
      </c>
      <c r="Q3" s="27" t="s">
        <v>14298</v>
      </c>
      <c r="R3" s="27" t="s">
        <v>14299</v>
      </c>
      <c r="S3" s="27" t="s">
        <v>14300</v>
      </c>
      <c r="T3" s="27" t="s">
        <v>14301</v>
      </c>
      <c r="U3" s="27" t="s">
        <v>14302</v>
      </c>
      <c r="V3" s="27" t="s">
        <v>14303</v>
      </c>
      <c r="W3" s="27" t="s">
        <v>14304</v>
      </c>
      <c r="X3" s="27" t="s">
        <v>14305</v>
      </c>
      <c r="Y3" s="27" t="s">
        <v>14306</v>
      </c>
      <c r="Z3" s="27" t="s">
        <v>14307</v>
      </c>
      <c r="AA3" s="27" t="s">
        <v>14308</v>
      </c>
      <c r="AB3" s="27" t="s">
        <v>14309</v>
      </c>
      <c r="AC3" s="28" t="s">
        <v>14310</v>
      </c>
      <c r="AD3" s="27" t="s">
        <v>14311</v>
      </c>
      <c r="AE3" s="28" t="s">
        <v>14312</v>
      </c>
      <c r="AF3" s="27" t="s">
        <v>14313</v>
      </c>
      <c r="AG3" s="28" t="s">
        <v>14314</v>
      </c>
      <c r="AH3" s="27" t="s">
        <v>14315</v>
      </c>
      <c r="AI3" s="28" t="s">
        <v>14316</v>
      </c>
      <c r="AJ3" s="27" t="s">
        <v>14317</v>
      </c>
      <c r="AK3" s="28" t="s">
        <v>14318</v>
      </c>
      <c r="AL3" s="27" t="s">
        <v>14319</v>
      </c>
      <c r="AM3" s="28" t="s">
        <v>14320</v>
      </c>
      <c r="AN3" s="27" t="s">
        <v>14321</v>
      </c>
      <c r="AO3" s="27" t="s">
        <v>14322</v>
      </c>
      <c r="AP3" s="27" t="s">
        <v>14323</v>
      </c>
      <c r="AQ3" s="27" t="s">
        <v>14324</v>
      </c>
      <c r="AR3" s="27" t="s">
        <v>14325</v>
      </c>
      <c r="AS3" s="27" t="s">
        <v>14326</v>
      </c>
      <c r="AT3" s="27" t="s">
        <v>14327</v>
      </c>
      <c r="AU3" s="27" t="s">
        <v>14328</v>
      </c>
      <c r="AV3" s="27" t="s">
        <v>14329</v>
      </c>
      <c r="AW3" s="27" t="s">
        <v>14330</v>
      </c>
      <c r="AX3" s="27" t="s">
        <v>14331</v>
      </c>
      <c r="AY3" s="27" t="s">
        <v>14332</v>
      </c>
      <c r="AZ3" s="27" t="s">
        <v>14333</v>
      </c>
      <c r="BA3" s="27" t="s">
        <v>14334</v>
      </c>
      <c r="BB3" s="27" t="s">
        <v>14335</v>
      </c>
      <c r="BC3" s="27" t="s">
        <v>14336</v>
      </c>
      <c r="BD3" s="27" t="s">
        <v>14337</v>
      </c>
      <c r="BE3" s="27" t="s">
        <v>14338</v>
      </c>
      <c r="BF3" s="27" t="s">
        <v>14339</v>
      </c>
      <c r="BG3" s="27" t="s">
        <v>14340</v>
      </c>
      <c r="BH3" s="27" t="s">
        <v>14341</v>
      </c>
      <c r="BI3" s="27" t="s">
        <v>14342</v>
      </c>
      <c r="BJ3" s="27" t="s">
        <v>14343</v>
      </c>
      <c r="BK3" s="27" t="s">
        <v>14344</v>
      </c>
      <c r="BL3" s="27" t="s">
        <v>14345</v>
      </c>
      <c r="BM3" s="27" t="s">
        <v>14346</v>
      </c>
      <c r="BN3" s="27" t="s">
        <v>14347</v>
      </c>
      <c r="BO3" s="27" t="s">
        <v>14348</v>
      </c>
      <c r="BP3" s="27" t="s">
        <v>14349</v>
      </c>
      <c r="BQ3" s="27" t="s">
        <v>14350</v>
      </c>
      <c r="BR3" s="27" t="s">
        <v>14351</v>
      </c>
      <c r="BS3" s="27" t="s">
        <v>14352</v>
      </c>
      <c r="BT3" s="27" t="s">
        <v>14353</v>
      </c>
      <c r="BU3" s="27" t="s">
        <v>14354</v>
      </c>
      <c r="BV3" s="27" t="s">
        <v>14355</v>
      </c>
      <c r="BW3" s="27" t="s">
        <v>14356</v>
      </c>
      <c r="BX3" s="27" t="s">
        <v>14357</v>
      </c>
      <c r="BY3" s="27" t="s">
        <v>14358</v>
      </c>
      <c r="BZ3" s="27" t="s">
        <v>14359</v>
      </c>
      <c r="CA3" s="27" t="s">
        <v>14360</v>
      </c>
      <c r="CB3" s="27" t="s">
        <v>14361</v>
      </c>
      <c r="CC3" s="27" t="s">
        <v>14362</v>
      </c>
      <c r="CD3" s="27" t="s">
        <v>14363</v>
      </c>
      <c r="CE3" s="27" t="s">
        <v>14364</v>
      </c>
      <c r="CF3" s="27" t="s">
        <v>14364</v>
      </c>
      <c r="CG3" s="27" t="s">
        <v>14364</v>
      </c>
    </row>
    <row r="4" spans="1:85" x14ac:dyDescent="0.4">
      <c r="A4" s="29" t="s">
        <v>10797</v>
      </c>
      <c r="B4" s="29" t="s">
        <v>6</v>
      </c>
      <c r="C4" s="29" t="s">
        <v>1</v>
      </c>
      <c r="D4" s="20" t="s">
        <v>2827</v>
      </c>
      <c r="E4" s="29" t="s">
        <v>0</v>
      </c>
      <c r="F4" s="29" t="s">
        <v>10797</v>
      </c>
      <c r="G4" s="29" t="s">
        <v>14365</v>
      </c>
      <c r="H4" s="29" t="s">
        <v>7</v>
      </c>
      <c r="I4" s="29" t="s">
        <v>2</v>
      </c>
      <c r="J4" s="29" t="s">
        <v>2115</v>
      </c>
      <c r="K4" s="29"/>
      <c r="L4" s="29"/>
      <c r="M4" s="29" t="s">
        <v>10802</v>
      </c>
      <c r="N4" s="29"/>
      <c r="O4" s="29"/>
      <c r="P4" s="29" t="s">
        <v>13845</v>
      </c>
      <c r="Q4" s="29"/>
      <c r="R4" s="29" t="s">
        <v>14366</v>
      </c>
      <c r="S4" s="29" t="s">
        <v>11</v>
      </c>
      <c r="T4" s="29" t="s">
        <v>14367</v>
      </c>
      <c r="U4" s="29"/>
      <c r="V4" s="29" t="s">
        <v>14368</v>
      </c>
      <c r="W4" s="29"/>
      <c r="X4" s="29" t="s">
        <v>14369</v>
      </c>
      <c r="Y4" s="29" t="s">
        <v>14370</v>
      </c>
      <c r="Z4" s="29" t="s">
        <v>14628</v>
      </c>
      <c r="AA4" s="29" t="s">
        <v>14629</v>
      </c>
      <c r="AB4" s="29" t="s">
        <v>1119</v>
      </c>
      <c r="AC4" s="29" t="s">
        <v>10799</v>
      </c>
      <c r="AD4" s="29" t="s">
        <v>14383</v>
      </c>
      <c r="AE4" s="29" t="s">
        <v>10800</v>
      </c>
      <c r="AF4" s="29" t="s">
        <v>1121</v>
      </c>
      <c r="AG4" s="29"/>
      <c r="AH4" s="29" t="s">
        <v>1122</v>
      </c>
      <c r="AI4" s="29"/>
      <c r="AJ4" s="29" t="s">
        <v>14384</v>
      </c>
      <c r="AK4" s="29" t="s">
        <v>11</v>
      </c>
      <c r="AL4" s="29" t="s">
        <v>1124</v>
      </c>
      <c r="AM4" s="29"/>
      <c r="AN4" s="29" t="s">
        <v>1125</v>
      </c>
      <c r="AO4" s="29"/>
      <c r="AP4" s="29" t="s">
        <v>14385</v>
      </c>
      <c r="AQ4" s="29"/>
      <c r="AR4" s="29" t="s">
        <v>1127</v>
      </c>
      <c r="AS4" s="29"/>
      <c r="AT4" s="29" t="s">
        <v>14630</v>
      </c>
      <c r="AU4" s="29" t="s">
        <v>14378</v>
      </c>
      <c r="AV4" s="29" t="s">
        <v>14631</v>
      </c>
      <c r="AW4" s="29" t="s">
        <v>14632</v>
      </c>
      <c r="AX4" s="29" t="s">
        <v>14633</v>
      </c>
      <c r="AY4" s="29" t="s">
        <v>14634</v>
      </c>
      <c r="AZ4" s="29" t="s">
        <v>14635</v>
      </c>
      <c r="BA4" s="29"/>
      <c r="BB4" s="29" t="s">
        <v>14636</v>
      </c>
      <c r="BC4" s="29"/>
      <c r="BD4" s="29" t="s">
        <v>14637</v>
      </c>
      <c r="BE4" s="29" t="s">
        <v>14390</v>
      </c>
      <c r="BF4" s="29" t="s">
        <v>14638</v>
      </c>
      <c r="BG4" s="29" t="s">
        <v>14639</v>
      </c>
      <c r="BH4" s="29" t="s">
        <v>14640</v>
      </c>
      <c r="BI4" s="29" t="s">
        <v>13326</v>
      </c>
      <c r="BJ4" s="29" t="s">
        <v>1129</v>
      </c>
      <c r="BK4" s="29"/>
      <c r="BL4" s="29" t="s">
        <v>14641</v>
      </c>
      <c r="BM4" s="29"/>
      <c r="BN4" s="29" t="s">
        <v>1128</v>
      </c>
      <c r="BO4" s="29" t="s">
        <v>10801</v>
      </c>
      <c r="BP4" s="29"/>
      <c r="BQ4" s="29"/>
      <c r="BR4" s="29"/>
      <c r="BS4" s="29"/>
      <c r="BT4" s="29"/>
      <c r="BU4" s="29"/>
      <c r="BV4" s="29"/>
      <c r="BW4" s="29"/>
      <c r="BX4" s="29"/>
      <c r="BY4" s="29"/>
      <c r="BZ4" s="29"/>
      <c r="CA4" s="29"/>
      <c r="CB4" s="29"/>
      <c r="CC4" s="29"/>
      <c r="CD4" s="29"/>
      <c r="CE4" s="29"/>
      <c r="CF4" s="29"/>
      <c r="CG4" s="29"/>
    </row>
    <row r="5" spans="1:85" x14ac:dyDescent="0.4">
      <c r="A5" s="29" t="s">
        <v>11949</v>
      </c>
      <c r="B5" s="29" t="s">
        <v>6</v>
      </c>
      <c r="C5" s="29" t="s">
        <v>1</v>
      </c>
      <c r="D5" s="20" t="s">
        <v>2827</v>
      </c>
      <c r="E5" s="29" t="s">
        <v>0</v>
      </c>
      <c r="F5" s="29" t="s">
        <v>11949</v>
      </c>
      <c r="G5" s="29" t="s">
        <v>14365</v>
      </c>
      <c r="H5" s="29" t="s">
        <v>7</v>
      </c>
      <c r="I5" s="29" t="s">
        <v>2</v>
      </c>
      <c r="J5" s="29" t="s">
        <v>11921</v>
      </c>
      <c r="K5" s="29"/>
      <c r="L5" s="29"/>
      <c r="M5" s="29" t="s">
        <v>11919</v>
      </c>
      <c r="N5" s="29"/>
      <c r="O5" s="29"/>
      <c r="P5" s="29" t="s">
        <v>13845</v>
      </c>
      <c r="Q5" s="29"/>
      <c r="R5" s="29" t="s">
        <v>14366</v>
      </c>
      <c r="S5" s="29" t="s">
        <v>11</v>
      </c>
      <c r="T5" s="29" t="s">
        <v>14367</v>
      </c>
      <c r="U5" s="29"/>
      <c r="V5" s="29" t="s">
        <v>14368</v>
      </c>
      <c r="W5" s="29"/>
      <c r="X5" s="29" t="s">
        <v>14369</v>
      </c>
      <c r="Y5" s="29" t="s">
        <v>14370</v>
      </c>
      <c r="Z5" s="29" t="s">
        <v>14628</v>
      </c>
      <c r="AA5" s="29" t="s">
        <v>14642</v>
      </c>
      <c r="AB5" s="29" t="s">
        <v>1119</v>
      </c>
      <c r="AC5" s="29" t="s">
        <v>11951</v>
      </c>
      <c r="AD5" s="29" t="s">
        <v>14383</v>
      </c>
      <c r="AE5" s="29" t="s">
        <v>11915</v>
      </c>
      <c r="AF5" s="29" t="s">
        <v>1121</v>
      </c>
      <c r="AG5" s="29"/>
      <c r="AH5" s="29" t="s">
        <v>1122</v>
      </c>
      <c r="AI5" s="29" t="s">
        <v>12</v>
      </c>
      <c r="AJ5" s="29" t="s">
        <v>14384</v>
      </c>
      <c r="AK5" s="29" t="s">
        <v>11</v>
      </c>
      <c r="AL5" s="29" t="s">
        <v>1124</v>
      </c>
      <c r="AM5" s="29"/>
      <c r="AN5" s="29" t="s">
        <v>1125</v>
      </c>
      <c r="AO5" s="29" t="s">
        <v>12</v>
      </c>
      <c r="AP5" s="29" t="s">
        <v>14385</v>
      </c>
      <c r="AQ5" s="29" t="s">
        <v>11</v>
      </c>
      <c r="AR5" s="29" t="s">
        <v>1127</v>
      </c>
      <c r="AS5" s="29"/>
      <c r="AT5" s="29" t="s">
        <v>14630</v>
      </c>
      <c r="AU5" s="29" t="s">
        <v>13326</v>
      </c>
      <c r="AV5" s="29" t="s">
        <v>14631</v>
      </c>
      <c r="AW5" s="29" t="s">
        <v>13326</v>
      </c>
      <c r="AX5" s="29" t="s">
        <v>14633</v>
      </c>
      <c r="AY5" s="29" t="s">
        <v>14643</v>
      </c>
      <c r="AZ5" s="29" t="s">
        <v>14635</v>
      </c>
      <c r="BA5" s="29"/>
      <c r="BB5" s="29" t="s">
        <v>14636</v>
      </c>
      <c r="BC5" s="29"/>
      <c r="BD5" s="29" t="s">
        <v>14637</v>
      </c>
      <c r="BE5" s="29"/>
      <c r="BF5" s="29" t="s">
        <v>14638</v>
      </c>
      <c r="BG5" s="29" t="s">
        <v>12</v>
      </c>
      <c r="BH5" s="29" t="s">
        <v>14640</v>
      </c>
      <c r="BI5" s="29" t="s">
        <v>13326</v>
      </c>
      <c r="BJ5" s="29" t="s">
        <v>1129</v>
      </c>
      <c r="BK5" s="29" t="s">
        <v>11917</v>
      </c>
      <c r="BL5" s="29" t="s">
        <v>14641</v>
      </c>
      <c r="BM5" s="29"/>
      <c r="BN5" s="29" t="s">
        <v>1128</v>
      </c>
      <c r="BO5" s="29" t="s">
        <v>11952</v>
      </c>
      <c r="BP5" s="29"/>
      <c r="BQ5" s="29"/>
      <c r="BR5" s="29"/>
      <c r="BS5" s="29"/>
      <c r="BT5" s="29"/>
      <c r="BU5" s="29"/>
      <c r="BV5" s="29"/>
      <c r="BW5" s="29"/>
      <c r="BX5" s="29"/>
      <c r="BY5" s="29"/>
      <c r="BZ5" s="29"/>
      <c r="CA5" s="29"/>
      <c r="CB5" s="29"/>
      <c r="CC5" s="29"/>
      <c r="CD5" s="29"/>
      <c r="CE5" s="29"/>
      <c r="CF5" s="29"/>
      <c r="CG5" s="29"/>
    </row>
    <row r="6" spans="1:85" x14ac:dyDescent="0.4">
      <c r="A6" s="29" t="s">
        <v>11935</v>
      </c>
      <c r="B6" s="29" t="s">
        <v>6</v>
      </c>
      <c r="C6" s="29" t="s">
        <v>1</v>
      </c>
      <c r="D6" s="20" t="s">
        <v>2827</v>
      </c>
      <c r="E6" s="29" t="s">
        <v>0</v>
      </c>
      <c r="F6" s="29" t="s">
        <v>11935</v>
      </c>
      <c r="G6" s="29" t="s">
        <v>14365</v>
      </c>
      <c r="H6" s="29" t="s">
        <v>7</v>
      </c>
      <c r="I6" s="29" t="s">
        <v>2</v>
      </c>
      <c r="J6" s="29" t="s">
        <v>11921</v>
      </c>
      <c r="K6" s="29"/>
      <c r="L6" s="29"/>
      <c r="M6" s="29" t="s">
        <v>11919</v>
      </c>
      <c r="N6" s="29"/>
      <c r="O6" s="29"/>
      <c r="P6" s="29" t="s">
        <v>13845</v>
      </c>
      <c r="Q6" s="29"/>
      <c r="R6" s="29" t="s">
        <v>14366</v>
      </c>
      <c r="S6" s="29" t="s">
        <v>11</v>
      </c>
      <c r="T6" s="29" t="s">
        <v>14367</v>
      </c>
      <c r="U6" s="29"/>
      <c r="V6" s="29" t="s">
        <v>14368</v>
      </c>
      <c r="W6" s="29"/>
      <c r="X6" s="29" t="s">
        <v>14369</v>
      </c>
      <c r="Y6" s="29" t="s">
        <v>14370</v>
      </c>
      <c r="Z6" s="29" t="s">
        <v>14628</v>
      </c>
      <c r="AA6" s="29" t="s">
        <v>11</v>
      </c>
      <c r="AB6" s="29" t="s">
        <v>1119</v>
      </c>
      <c r="AC6" s="29" t="s">
        <v>11937</v>
      </c>
      <c r="AD6" s="29" t="s">
        <v>14383</v>
      </c>
      <c r="AE6" s="29" t="s">
        <v>11915</v>
      </c>
      <c r="AF6" s="29" t="s">
        <v>1121</v>
      </c>
      <c r="AG6" s="29"/>
      <c r="AH6" s="29" t="s">
        <v>1122</v>
      </c>
      <c r="AI6" s="29" t="s">
        <v>12</v>
      </c>
      <c r="AJ6" s="29" t="s">
        <v>14384</v>
      </c>
      <c r="AK6" s="29" t="s">
        <v>11</v>
      </c>
      <c r="AL6" s="29" t="s">
        <v>1124</v>
      </c>
      <c r="AM6" s="29"/>
      <c r="AN6" s="29" t="s">
        <v>1125</v>
      </c>
      <c r="AO6" s="29" t="s">
        <v>12</v>
      </c>
      <c r="AP6" s="29" t="s">
        <v>14385</v>
      </c>
      <c r="AQ6" s="29" t="s">
        <v>11</v>
      </c>
      <c r="AR6" s="29" t="s">
        <v>1127</v>
      </c>
      <c r="AS6" s="29"/>
      <c r="AT6" s="29" t="s">
        <v>14630</v>
      </c>
      <c r="AU6" s="29" t="s">
        <v>13326</v>
      </c>
      <c r="AV6" s="29" t="s">
        <v>14631</v>
      </c>
      <c r="AW6" s="29" t="s">
        <v>13326</v>
      </c>
      <c r="AX6" s="29" t="s">
        <v>14633</v>
      </c>
      <c r="AY6" s="29" t="s">
        <v>14643</v>
      </c>
      <c r="AZ6" s="29" t="s">
        <v>14635</v>
      </c>
      <c r="BA6" s="29"/>
      <c r="BB6" s="29" t="s">
        <v>14636</v>
      </c>
      <c r="BC6" s="29"/>
      <c r="BD6" s="29" t="s">
        <v>14637</v>
      </c>
      <c r="BE6" s="29"/>
      <c r="BF6" s="29" t="s">
        <v>14638</v>
      </c>
      <c r="BG6" s="29" t="s">
        <v>12</v>
      </c>
      <c r="BH6" s="29" t="s">
        <v>14640</v>
      </c>
      <c r="BI6" s="29" t="s">
        <v>13326</v>
      </c>
      <c r="BJ6" s="29" t="s">
        <v>1129</v>
      </c>
      <c r="BK6" s="29" t="s">
        <v>11917</v>
      </c>
      <c r="BL6" s="29" t="s">
        <v>14641</v>
      </c>
      <c r="BM6" s="29"/>
      <c r="BN6" s="29" t="s">
        <v>1128</v>
      </c>
      <c r="BO6" s="29" t="s">
        <v>11938</v>
      </c>
      <c r="BP6" s="29"/>
      <c r="BQ6" s="29"/>
      <c r="BR6" s="29"/>
      <c r="BS6" s="29"/>
      <c r="BT6" s="29"/>
      <c r="BU6" s="29"/>
      <c r="BV6" s="29"/>
      <c r="BW6" s="29"/>
      <c r="BX6" s="29"/>
      <c r="BY6" s="29"/>
      <c r="BZ6" s="29"/>
      <c r="CA6" s="29"/>
      <c r="CB6" s="29"/>
      <c r="CC6" s="29"/>
      <c r="CD6" s="29"/>
      <c r="CE6" s="29"/>
      <c r="CF6" s="29"/>
      <c r="CG6" s="29"/>
    </row>
    <row r="8" spans="1:85" x14ac:dyDescent="0.4">
      <c r="A8" s="30" t="s">
        <v>14285</v>
      </c>
      <c r="B8" s="30" t="s">
        <v>1113</v>
      </c>
      <c r="C8" s="30" t="s">
        <v>1112</v>
      </c>
      <c r="D8" s="30" t="s">
        <v>14287</v>
      </c>
      <c r="E8" s="30" t="s">
        <v>1108</v>
      </c>
      <c r="F8" s="30" t="s">
        <v>14288</v>
      </c>
      <c r="G8" s="30" t="s">
        <v>14289</v>
      </c>
      <c r="H8" s="30" t="s">
        <v>1117</v>
      </c>
      <c r="I8" s="30" t="s">
        <v>14290</v>
      </c>
      <c r="J8" s="30" t="s">
        <v>14291</v>
      </c>
      <c r="K8" s="30" t="s">
        <v>14292</v>
      </c>
      <c r="L8" s="30" t="s">
        <v>14293</v>
      </c>
      <c r="M8" s="30" t="s">
        <v>14294</v>
      </c>
      <c r="N8" s="30" t="s">
        <v>14295</v>
      </c>
      <c r="O8" s="30" t="s">
        <v>14296</v>
      </c>
      <c r="P8" s="30" t="s">
        <v>14297</v>
      </c>
      <c r="Q8" s="30" t="s">
        <v>14298</v>
      </c>
      <c r="R8" s="30" t="s">
        <v>14299</v>
      </c>
      <c r="S8" s="30" t="s">
        <v>14300</v>
      </c>
      <c r="T8" s="30" t="s">
        <v>14301</v>
      </c>
      <c r="U8" s="30" t="s">
        <v>14302</v>
      </c>
      <c r="V8" s="30" t="s">
        <v>14303</v>
      </c>
      <c r="W8" s="30" t="s">
        <v>14304</v>
      </c>
      <c r="X8" s="30" t="s">
        <v>14305</v>
      </c>
      <c r="Y8" s="30" t="s">
        <v>14306</v>
      </c>
      <c r="Z8" s="30" t="s">
        <v>14307</v>
      </c>
      <c r="AA8" s="30" t="s">
        <v>14308</v>
      </c>
      <c r="AB8" s="30" t="s">
        <v>14309</v>
      </c>
      <c r="AC8" s="31" t="s">
        <v>14310</v>
      </c>
      <c r="AD8" s="30" t="s">
        <v>14311</v>
      </c>
      <c r="AE8" s="31" t="s">
        <v>14312</v>
      </c>
      <c r="AF8" s="30" t="s">
        <v>14313</v>
      </c>
      <c r="AG8" s="31" t="s">
        <v>14314</v>
      </c>
      <c r="AH8" s="30" t="s">
        <v>14315</v>
      </c>
      <c r="AI8" s="31" t="s">
        <v>14316</v>
      </c>
      <c r="AJ8" s="30" t="s">
        <v>14317</v>
      </c>
      <c r="AK8" s="31" t="s">
        <v>14318</v>
      </c>
      <c r="AL8" s="30" t="s">
        <v>14319</v>
      </c>
      <c r="AM8" s="31" t="s">
        <v>14320</v>
      </c>
      <c r="AN8" s="30" t="s">
        <v>14321</v>
      </c>
      <c r="AO8" s="30" t="s">
        <v>14322</v>
      </c>
      <c r="AP8" s="30" t="s">
        <v>14323</v>
      </c>
      <c r="AQ8" s="30" t="s">
        <v>14324</v>
      </c>
      <c r="AR8" s="30" t="s">
        <v>14325</v>
      </c>
      <c r="AS8" s="30" t="s">
        <v>14326</v>
      </c>
      <c r="AT8" s="30" t="s">
        <v>14327</v>
      </c>
      <c r="AU8" s="30" t="s">
        <v>14328</v>
      </c>
      <c r="AV8" s="30" t="s">
        <v>14329</v>
      </c>
      <c r="AW8" s="30" t="s">
        <v>14330</v>
      </c>
      <c r="AX8" s="30" t="s">
        <v>14331</v>
      </c>
      <c r="AY8" s="30" t="s">
        <v>14332</v>
      </c>
      <c r="AZ8" s="30" t="s">
        <v>14333</v>
      </c>
      <c r="BA8" s="30" t="s">
        <v>14334</v>
      </c>
      <c r="BB8" s="30" t="s">
        <v>14335</v>
      </c>
      <c r="BC8" s="30" t="s">
        <v>14336</v>
      </c>
      <c r="BD8" s="30" t="s">
        <v>14337</v>
      </c>
      <c r="BE8" s="30" t="s">
        <v>14338</v>
      </c>
      <c r="BF8" s="30" t="s">
        <v>14339</v>
      </c>
      <c r="BG8" s="30" t="s">
        <v>14340</v>
      </c>
      <c r="BH8" s="30" t="s">
        <v>14341</v>
      </c>
      <c r="BI8" s="30" t="s">
        <v>14342</v>
      </c>
      <c r="BJ8" s="30" t="s">
        <v>14343</v>
      </c>
      <c r="BK8" s="30" t="s">
        <v>14344</v>
      </c>
      <c r="BL8" s="30" t="s">
        <v>14345</v>
      </c>
      <c r="BM8" s="30" t="s">
        <v>14346</v>
      </c>
      <c r="BN8" s="30" t="s">
        <v>14347</v>
      </c>
      <c r="BO8" s="30" t="s">
        <v>14348</v>
      </c>
      <c r="BP8" s="30" t="s">
        <v>14349</v>
      </c>
      <c r="BQ8" s="30" t="s">
        <v>14350</v>
      </c>
      <c r="BR8" s="30" t="s">
        <v>14351</v>
      </c>
      <c r="BS8" s="30" t="s">
        <v>14352</v>
      </c>
      <c r="BT8" s="30" t="s">
        <v>14353</v>
      </c>
      <c r="BU8" s="30" t="s">
        <v>14354</v>
      </c>
      <c r="BV8" s="30" t="s">
        <v>14355</v>
      </c>
      <c r="BW8" s="30" t="s">
        <v>14356</v>
      </c>
      <c r="BX8" s="30" t="s">
        <v>14357</v>
      </c>
      <c r="BY8" s="30" t="s">
        <v>14358</v>
      </c>
      <c r="BZ8" s="30" t="s">
        <v>14359</v>
      </c>
      <c r="CA8" s="30" t="s">
        <v>14360</v>
      </c>
      <c r="CB8" s="30" t="s">
        <v>14361</v>
      </c>
      <c r="CC8" s="30" t="s">
        <v>14362</v>
      </c>
      <c r="CD8" s="30" t="s">
        <v>14363</v>
      </c>
      <c r="CE8" s="30" t="s">
        <v>14364</v>
      </c>
      <c r="CF8" s="30" t="s">
        <v>14364</v>
      </c>
      <c r="CG8" s="30" t="s">
        <v>14364</v>
      </c>
    </row>
    <row r="9" spans="1:85" x14ac:dyDescent="0.4">
      <c r="A9" s="32" t="s">
        <v>10143</v>
      </c>
      <c r="B9" s="32" t="s">
        <v>6</v>
      </c>
      <c r="C9" s="32" t="s">
        <v>1</v>
      </c>
      <c r="D9" s="20" t="s">
        <v>2220</v>
      </c>
      <c r="E9" s="32" t="s">
        <v>0</v>
      </c>
      <c r="F9" s="32" t="s">
        <v>10143</v>
      </c>
      <c r="G9" s="32" t="s">
        <v>14365</v>
      </c>
      <c r="H9" s="32" t="s">
        <v>7</v>
      </c>
      <c r="I9" s="32" t="s">
        <v>2</v>
      </c>
      <c r="J9" s="32" t="s">
        <v>10148</v>
      </c>
      <c r="K9" s="32"/>
      <c r="L9" s="32"/>
      <c r="M9" s="32" t="s">
        <v>10146</v>
      </c>
      <c r="N9" s="32"/>
      <c r="O9" s="32"/>
      <c r="P9" s="32" t="s">
        <v>13845</v>
      </c>
      <c r="Q9" s="32"/>
      <c r="R9" s="32" t="s">
        <v>14366</v>
      </c>
      <c r="S9" s="32" t="s">
        <v>11</v>
      </c>
      <c r="T9" s="32" t="s">
        <v>14367</v>
      </c>
      <c r="U9" s="32"/>
      <c r="V9" s="32" t="s">
        <v>14368</v>
      </c>
      <c r="W9" s="32"/>
      <c r="X9" s="32" t="s">
        <v>14369</v>
      </c>
      <c r="Y9" s="32" t="s">
        <v>14370</v>
      </c>
      <c r="Z9" s="32" t="s">
        <v>14628</v>
      </c>
      <c r="AA9" s="32" t="s">
        <v>14644</v>
      </c>
      <c r="AB9" s="32" t="s">
        <v>1119</v>
      </c>
      <c r="AC9" s="32" t="s">
        <v>10145</v>
      </c>
      <c r="AD9" s="32" t="s">
        <v>14383</v>
      </c>
      <c r="AE9" s="32" t="s">
        <v>5061</v>
      </c>
      <c r="AF9" s="32" t="s">
        <v>1121</v>
      </c>
      <c r="AG9" s="32"/>
      <c r="AH9" s="32" t="s">
        <v>1122</v>
      </c>
      <c r="AI9" s="32"/>
      <c r="AJ9" s="32" t="s">
        <v>14384</v>
      </c>
      <c r="AK9" s="32" t="s">
        <v>11</v>
      </c>
      <c r="AL9" s="32" t="s">
        <v>1124</v>
      </c>
      <c r="AM9" s="32"/>
      <c r="AN9" s="32" t="s">
        <v>1125</v>
      </c>
      <c r="AO9" s="32"/>
      <c r="AP9" s="32" t="s">
        <v>14385</v>
      </c>
      <c r="AQ9" s="32"/>
      <c r="AR9" s="32" t="s">
        <v>1127</v>
      </c>
      <c r="AS9" s="32"/>
      <c r="AT9" s="32" t="s">
        <v>14630</v>
      </c>
      <c r="AU9" s="32"/>
      <c r="AV9" s="32" t="s">
        <v>14631</v>
      </c>
      <c r="AW9" s="32"/>
      <c r="AX9" s="32" t="s">
        <v>14633</v>
      </c>
      <c r="AY9" s="32" t="s">
        <v>13326</v>
      </c>
      <c r="AZ9" s="32" t="s">
        <v>14635</v>
      </c>
      <c r="BA9" s="32" t="s">
        <v>13326</v>
      </c>
      <c r="BB9" s="32" t="s">
        <v>14636</v>
      </c>
      <c r="BC9" s="32"/>
      <c r="BD9" s="32" t="s">
        <v>14637</v>
      </c>
      <c r="BE9" s="32" t="s">
        <v>13326</v>
      </c>
      <c r="BF9" s="32" t="s">
        <v>14640</v>
      </c>
      <c r="BG9" s="32"/>
      <c r="BH9" s="32" t="s">
        <v>14645</v>
      </c>
      <c r="BI9" s="32"/>
      <c r="BJ9" s="32" t="s">
        <v>14641</v>
      </c>
      <c r="BK9" s="32"/>
      <c r="BL9" s="32" t="s">
        <v>1128</v>
      </c>
      <c r="BM9" s="32"/>
      <c r="BN9" s="32" t="s">
        <v>1129</v>
      </c>
      <c r="BO9" s="32"/>
      <c r="BP9" s="32"/>
      <c r="BQ9" s="32"/>
      <c r="BR9" s="32"/>
      <c r="BS9" s="32"/>
      <c r="BT9" s="32"/>
      <c r="BU9" s="32"/>
      <c r="BV9" s="32"/>
      <c r="BW9" s="32"/>
      <c r="BX9" s="32"/>
      <c r="BY9" s="32"/>
      <c r="BZ9" s="32"/>
      <c r="CA9" s="32"/>
      <c r="CB9" s="32"/>
      <c r="CC9" s="32"/>
      <c r="CD9" s="32"/>
      <c r="CE9" s="32"/>
      <c r="CF9" s="32"/>
      <c r="CG9" s="32"/>
    </row>
    <row r="10" spans="1:85" x14ac:dyDescent="0.4">
      <c r="A10" s="32" t="s">
        <v>10154</v>
      </c>
      <c r="B10" s="32" t="s">
        <v>6</v>
      </c>
      <c r="C10" s="32" t="s">
        <v>1</v>
      </c>
      <c r="D10" s="20" t="s">
        <v>2220</v>
      </c>
      <c r="E10" s="32" t="s">
        <v>0</v>
      </c>
      <c r="F10" s="32" t="s">
        <v>10154</v>
      </c>
      <c r="G10" s="32" t="s">
        <v>14365</v>
      </c>
      <c r="H10" s="32" t="s">
        <v>7</v>
      </c>
      <c r="I10" s="32" t="s">
        <v>2</v>
      </c>
      <c r="J10" s="32" t="s">
        <v>10148</v>
      </c>
      <c r="K10" s="32"/>
      <c r="L10" s="32"/>
      <c r="M10" s="32" t="s">
        <v>10146</v>
      </c>
      <c r="N10" s="32"/>
      <c r="O10" s="32"/>
      <c r="P10" s="32" t="s">
        <v>13845</v>
      </c>
      <c r="Q10" s="32"/>
      <c r="R10" s="32" t="s">
        <v>14366</v>
      </c>
      <c r="S10" s="32" t="s">
        <v>11</v>
      </c>
      <c r="T10" s="32" t="s">
        <v>14367</v>
      </c>
      <c r="U10" s="32"/>
      <c r="V10" s="32" t="s">
        <v>14368</v>
      </c>
      <c r="W10" s="32"/>
      <c r="X10" s="32" t="s">
        <v>14369</v>
      </c>
      <c r="Y10" s="32" t="s">
        <v>14370</v>
      </c>
      <c r="Z10" s="32" t="s">
        <v>14628</v>
      </c>
      <c r="AA10" s="32" t="s">
        <v>14644</v>
      </c>
      <c r="AB10" s="32" t="s">
        <v>1119</v>
      </c>
      <c r="AC10" s="32" t="s">
        <v>10156</v>
      </c>
      <c r="AD10" s="32" t="s">
        <v>14383</v>
      </c>
      <c r="AE10" s="32" t="s">
        <v>5061</v>
      </c>
      <c r="AF10" s="32" t="s">
        <v>1121</v>
      </c>
      <c r="AG10" s="32"/>
      <c r="AH10" s="32" t="s">
        <v>1122</v>
      </c>
      <c r="AI10" s="32"/>
      <c r="AJ10" s="32" t="s">
        <v>14384</v>
      </c>
      <c r="AK10" s="32" t="s">
        <v>11</v>
      </c>
      <c r="AL10" s="32" t="s">
        <v>1124</v>
      </c>
      <c r="AM10" s="32"/>
      <c r="AN10" s="32" t="s">
        <v>1125</v>
      </c>
      <c r="AO10" s="32"/>
      <c r="AP10" s="32" t="s">
        <v>14385</v>
      </c>
      <c r="AQ10" s="32"/>
      <c r="AR10" s="32" t="s">
        <v>1127</v>
      </c>
      <c r="AS10" s="32"/>
      <c r="AT10" s="32" t="s">
        <v>14630</v>
      </c>
      <c r="AU10" s="32"/>
      <c r="AV10" s="32" t="s">
        <v>14631</v>
      </c>
      <c r="AW10" s="32"/>
      <c r="AX10" s="32" t="s">
        <v>14633</v>
      </c>
      <c r="AY10" s="32" t="s">
        <v>14646</v>
      </c>
      <c r="AZ10" s="32" t="s">
        <v>14635</v>
      </c>
      <c r="BA10" s="32" t="s">
        <v>14485</v>
      </c>
      <c r="BB10" s="32" t="s">
        <v>14636</v>
      </c>
      <c r="BC10" s="32"/>
      <c r="BD10" s="32" t="s">
        <v>14637</v>
      </c>
      <c r="BE10" s="32" t="s">
        <v>14392</v>
      </c>
      <c r="BF10" s="32" t="s">
        <v>14640</v>
      </c>
      <c r="BG10" s="32"/>
      <c r="BH10" s="32" t="s">
        <v>14645</v>
      </c>
      <c r="BI10" s="32"/>
      <c r="BJ10" s="32" t="s">
        <v>14641</v>
      </c>
      <c r="BK10" s="32"/>
      <c r="BL10" s="32" t="s">
        <v>1128</v>
      </c>
      <c r="BM10" s="32"/>
      <c r="BN10" s="32" t="s">
        <v>1129</v>
      </c>
      <c r="BO10" s="32"/>
      <c r="BP10" s="32"/>
      <c r="BQ10" s="32"/>
      <c r="BR10" s="32"/>
      <c r="BS10" s="32"/>
      <c r="BT10" s="32"/>
      <c r="BU10" s="32"/>
      <c r="BV10" s="32"/>
      <c r="BW10" s="32"/>
      <c r="BX10" s="32"/>
      <c r="BY10" s="32"/>
      <c r="BZ10" s="32"/>
      <c r="CA10" s="32"/>
      <c r="CB10" s="32"/>
      <c r="CC10" s="32"/>
      <c r="CD10" s="32"/>
      <c r="CE10" s="32"/>
      <c r="CF10" s="32"/>
      <c r="CG10" s="32"/>
    </row>
    <row r="11" spans="1:85" x14ac:dyDescent="0.4">
      <c r="A11" s="32" t="s">
        <v>10214</v>
      </c>
      <c r="B11" s="32" t="s">
        <v>6</v>
      </c>
      <c r="C11" s="32" t="s">
        <v>1</v>
      </c>
      <c r="D11" s="20" t="s">
        <v>2220</v>
      </c>
      <c r="E11" s="32" t="s">
        <v>0</v>
      </c>
      <c r="F11" s="32" t="s">
        <v>10214</v>
      </c>
      <c r="G11" s="32" t="s">
        <v>14365</v>
      </c>
      <c r="H11" s="32" t="s">
        <v>7</v>
      </c>
      <c r="I11" s="32" t="s">
        <v>2</v>
      </c>
      <c r="J11" s="32" t="s">
        <v>10148</v>
      </c>
      <c r="K11" s="32"/>
      <c r="L11" s="32"/>
      <c r="M11" s="32" t="s">
        <v>10146</v>
      </c>
      <c r="N11" s="32"/>
      <c r="O11" s="32"/>
      <c r="P11" s="32" t="s">
        <v>13845</v>
      </c>
      <c r="Q11" s="32"/>
      <c r="R11" s="32" t="s">
        <v>14366</v>
      </c>
      <c r="S11" s="32" t="s">
        <v>11</v>
      </c>
      <c r="T11" s="32" t="s">
        <v>14367</v>
      </c>
      <c r="U11" s="32"/>
      <c r="V11" s="32" t="s">
        <v>14368</v>
      </c>
      <c r="W11" s="32"/>
      <c r="X11" s="32" t="s">
        <v>14369</v>
      </c>
      <c r="Y11" s="32" t="s">
        <v>14370</v>
      </c>
      <c r="Z11" s="32" t="s">
        <v>14628</v>
      </c>
      <c r="AA11" s="32" t="s">
        <v>14644</v>
      </c>
      <c r="AB11" s="32" t="s">
        <v>1119</v>
      </c>
      <c r="AC11" s="32" t="s">
        <v>10216</v>
      </c>
      <c r="AD11" s="32" t="s">
        <v>14383</v>
      </c>
      <c r="AE11" s="32" t="s">
        <v>5061</v>
      </c>
      <c r="AF11" s="32" t="s">
        <v>1121</v>
      </c>
      <c r="AG11" s="32"/>
      <c r="AH11" s="32" t="s">
        <v>1122</v>
      </c>
      <c r="AI11" s="32"/>
      <c r="AJ11" s="32" t="s">
        <v>14384</v>
      </c>
      <c r="AK11" s="32" t="s">
        <v>11</v>
      </c>
      <c r="AL11" s="32" t="s">
        <v>1124</v>
      </c>
      <c r="AM11" s="32"/>
      <c r="AN11" s="32" t="s">
        <v>1125</v>
      </c>
      <c r="AO11" s="32"/>
      <c r="AP11" s="32" t="s">
        <v>14385</v>
      </c>
      <c r="AQ11" s="32"/>
      <c r="AR11" s="32" t="s">
        <v>1127</v>
      </c>
      <c r="AS11" s="32"/>
      <c r="AT11" s="32" t="s">
        <v>14630</v>
      </c>
      <c r="AU11" s="32"/>
      <c r="AV11" s="32" t="s">
        <v>14631</v>
      </c>
      <c r="AW11" s="32"/>
      <c r="AX11" s="32" t="s">
        <v>14633</v>
      </c>
      <c r="AY11" s="32" t="s">
        <v>14646</v>
      </c>
      <c r="AZ11" s="32" t="s">
        <v>14635</v>
      </c>
      <c r="BA11" s="32" t="s">
        <v>14459</v>
      </c>
      <c r="BB11" s="32" t="s">
        <v>14636</v>
      </c>
      <c r="BC11" s="32"/>
      <c r="BD11" s="32" t="s">
        <v>14637</v>
      </c>
      <c r="BE11" s="32" t="s">
        <v>14398</v>
      </c>
      <c r="BF11" s="32" t="s">
        <v>14640</v>
      </c>
      <c r="BG11" s="32"/>
      <c r="BH11" s="32" t="s">
        <v>14645</v>
      </c>
      <c r="BI11" s="32"/>
      <c r="BJ11" s="32" t="s">
        <v>14641</v>
      </c>
      <c r="BK11" s="32"/>
      <c r="BL11" s="32" t="s">
        <v>1128</v>
      </c>
      <c r="BM11" s="32"/>
      <c r="BN11" s="32" t="s">
        <v>1129</v>
      </c>
      <c r="BO11" s="32"/>
      <c r="BP11" s="32"/>
      <c r="BQ11" s="32"/>
      <c r="BR11" s="32"/>
      <c r="BS11" s="32"/>
      <c r="BT11" s="32"/>
      <c r="BU11" s="32"/>
      <c r="BV11" s="32"/>
      <c r="BW11" s="32"/>
      <c r="BX11" s="32"/>
      <c r="BY11" s="32"/>
      <c r="BZ11" s="32"/>
      <c r="CA11" s="32"/>
      <c r="CB11" s="32"/>
      <c r="CC11" s="32"/>
      <c r="CD11" s="32"/>
      <c r="CE11" s="32"/>
      <c r="CF11" s="32"/>
      <c r="CG11" s="32"/>
    </row>
    <row r="12" spans="1:85" x14ac:dyDescent="0.4">
      <c r="A12" s="32" t="s">
        <v>10334</v>
      </c>
      <c r="B12" s="32" t="s">
        <v>6</v>
      </c>
      <c r="C12" s="32" t="s">
        <v>1</v>
      </c>
      <c r="D12" s="20" t="s">
        <v>2220</v>
      </c>
      <c r="E12" s="32" t="s">
        <v>0</v>
      </c>
      <c r="F12" s="32" t="s">
        <v>10334</v>
      </c>
      <c r="G12" s="32" t="s">
        <v>14365</v>
      </c>
      <c r="H12" s="32" t="s">
        <v>7</v>
      </c>
      <c r="I12" s="32" t="s">
        <v>2</v>
      </c>
      <c r="J12" s="32" t="s">
        <v>3248</v>
      </c>
      <c r="K12" s="32"/>
      <c r="L12" s="32"/>
      <c r="M12" s="32" t="s">
        <v>10339</v>
      </c>
      <c r="N12" s="32"/>
      <c r="O12" s="32"/>
      <c r="P12" s="32" t="s">
        <v>13845</v>
      </c>
      <c r="Q12" s="32"/>
      <c r="R12" s="32" t="s">
        <v>14366</v>
      </c>
      <c r="S12" s="32" t="s">
        <v>11</v>
      </c>
      <c r="T12" s="32" t="s">
        <v>14367</v>
      </c>
      <c r="U12" s="32"/>
      <c r="V12" s="32" t="s">
        <v>14368</v>
      </c>
      <c r="W12" s="32"/>
      <c r="X12" s="32" t="s">
        <v>14369</v>
      </c>
      <c r="Y12" s="32" t="s">
        <v>14370</v>
      </c>
      <c r="Z12" s="32" t="s">
        <v>14628</v>
      </c>
      <c r="AA12" s="32" t="s">
        <v>11</v>
      </c>
      <c r="AB12" s="32" t="s">
        <v>1119</v>
      </c>
      <c r="AC12" s="32" t="s">
        <v>10336</v>
      </c>
      <c r="AD12" s="32" t="s">
        <v>14383</v>
      </c>
      <c r="AE12" s="32" t="s">
        <v>10337</v>
      </c>
      <c r="AF12" s="32" t="s">
        <v>1121</v>
      </c>
      <c r="AG12" s="32"/>
      <c r="AH12" s="32" t="s">
        <v>1122</v>
      </c>
      <c r="AI12" s="32"/>
      <c r="AJ12" s="32" t="s">
        <v>14384</v>
      </c>
      <c r="AK12" s="32" t="s">
        <v>11</v>
      </c>
      <c r="AL12" s="32" t="s">
        <v>1124</v>
      </c>
      <c r="AM12" s="32"/>
      <c r="AN12" s="32" t="s">
        <v>1125</v>
      </c>
      <c r="AO12" s="32"/>
      <c r="AP12" s="32" t="s">
        <v>14385</v>
      </c>
      <c r="AQ12" s="32"/>
      <c r="AR12" s="32" t="s">
        <v>1127</v>
      </c>
      <c r="AS12" s="32"/>
      <c r="AT12" s="32" t="s">
        <v>14630</v>
      </c>
      <c r="AU12" s="32"/>
      <c r="AV12" s="32" t="s">
        <v>14631</v>
      </c>
      <c r="AW12" s="32"/>
      <c r="AX12" s="32" t="s">
        <v>14633</v>
      </c>
      <c r="AY12" s="32" t="s">
        <v>14647</v>
      </c>
      <c r="AZ12" s="32" t="s">
        <v>14635</v>
      </c>
      <c r="BA12" s="32" t="s">
        <v>14648</v>
      </c>
      <c r="BB12" s="32" t="s">
        <v>14636</v>
      </c>
      <c r="BC12" s="32" t="s">
        <v>14426</v>
      </c>
      <c r="BD12" s="32" t="s">
        <v>14637</v>
      </c>
      <c r="BE12" s="32" t="s">
        <v>13326</v>
      </c>
      <c r="BF12" s="32" t="s">
        <v>14640</v>
      </c>
      <c r="BG12" s="32"/>
      <c r="BH12" s="32" t="s">
        <v>14645</v>
      </c>
      <c r="BI12" s="32" t="s">
        <v>14649</v>
      </c>
      <c r="BJ12" s="32" t="s">
        <v>14641</v>
      </c>
      <c r="BK12" s="32"/>
      <c r="BL12" s="32" t="s">
        <v>1128</v>
      </c>
      <c r="BM12" s="32"/>
      <c r="BN12" s="32" t="s">
        <v>1129</v>
      </c>
      <c r="BO12" s="32" t="s">
        <v>10338</v>
      </c>
      <c r="BP12" s="32"/>
      <c r="BQ12" s="32"/>
      <c r="BR12" s="32"/>
      <c r="BS12" s="32"/>
      <c r="BT12" s="32"/>
      <c r="BU12" s="32"/>
      <c r="BV12" s="32"/>
      <c r="BW12" s="32"/>
      <c r="BX12" s="32"/>
      <c r="BY12" s="32"/>
      <c r="BZ12" s="32"/>
      <c r="CA12" s="32"/>
      <c r="CB12" s="32"/>
      <c r="CC12" s="32"/>
      <c r="CD12" s="32"/>
      <c r="CE12" s="32"/>
      <c r="CF12" s="32"/>
      <c r="CG12" s="32"/>
    </row>
    <row r="13" spans="1:85" x14ac:dyDescent="0.4">
      <c r="A13" s="32" t="s">
        <v>10347</v>
      </c>
      <c r="B13" s="32" t="s">
        <v>6</v>
      </c>
      <c r="C13" s="32" t="s">
        <v>1</v>
      </c>
      <c r="D13" s="20" t="s">
        <v>2220</v>
      </c>
      <c r="E13" s="32" t="s">
        <v>0</v>
      </c>
      <c r="F13" s="32" t="s">
        <v>10347</v>
      </c>
      <c r="G13" s="32" t="s">
        <v>14365</v>
      </c>
      <c r="H13" s="32" t="s">
        <v>7</v>
      </c>
      <c r="I13" s="32" t="s">
        <v>2</v>
      </c>
      <c r="J13" s="32" t="s">
        <v>498</v>
      </c>
      <c r="K13" s="32"/>
      <c r="L13" s="32"/>
      <c r="M13" s="32" t="s">
        <v>10351</v>
      </c>
      <c r="N13" s="32"/>
      <c r="O13" s="32"/>
      <c r="P13" s="32" t="s">
        <v>13845</v>
      </c>
      <c r="Q13" s="32"/>
      <c r="R13" s="32" t="s">
        <v>14366</v>
      </c>
      <c r="S13" s="32" t="s">
        <v>11</v>
      </c>
      <c r="T13" s="32" t="s">
        <v>14367</v>
      </c>
      <c r="U13" s="32"/>
      <c r="V13" s="32" t="s">
        <v>14368</v>
      </c>
      <c r="W13" s="32"/>
      <c r="X13" s="32" t="s">
        <v>14369</v>
      </c>
      <c r="Y13" s="32" t="s">
        <v>14370</v>
      </c>
      <c r="Z13" s="32" t="s">
        <v>14628</v>
      </c>
      <c r="AA13" s="32" t="s">
        <v>14650</v>
      </c>
      <c r="AB13" s="32" t="s">
        <v>1119</v>
      </c>
      <c r="AC13" s="32" t="s">
        <v>10349</v>
      </c>
      <c r="AD13" s="32" t="s">
        <v>14383</v>
      </c>
      <c r="AE13" s="32" t="s">
        <v>3616</v>
      </c>
      <c r="AF13" s="32" t="s">
        <v>1121</v>
      </c>
      <c r="AG13" s="32"/>
      <c r="AH13" s="32" t="s">
        <v>1122</v>
      </c>
      <c r="AI13" s="32"/>
      <c r="AJ13" s="32" t="s">
        <v>14384</v>
      </c>
      <c r="AK13" s="32" t="s">
        <v>11</v>
      </c>
      <c r="AL13" s="32" t="s">
        <v>1124</v>
      </c>
      <c r="AM13" s="32"/>
      <c r="AN13" s="32" t="s">
        <v>1125</v>
      </c>
      <c r="AO13" s="32"/>
      <c r="AP13" s="32" t="s">
        <v>14385</v>
      </c>
      <c r="AQ13" s="32"/>
      <c r="AR13" s="32" t="s">
        <v>1127</v>
      </c>
      <c r="AS13" s="32"/>
      <c r="AT13" s="32" t="s">
        <v>14630</v>
      </c>
      <c r="AU13" s="32"/>
      <c r="AV13" s="32" t="s">
        <v>14631</v>
      </c>
      <c r="AW13" s="32" t="s">
        <v>14539</v>
      </c>
      <c r="AX13" s="32" t="s">
        <v>14633</v>
      </c>
      <c r="AY13" s="32" t="s">
        <v>14539</v>
      </c>
      <c r="AZ13" s="32" t="s">
        <v>14635</v>
      </c>
      <c r="BA13" s="32" t="s">
        <v>14648</v>
      </c>
      <c r="BB13" s="32" t="s">
        <v>14636</v>
      </c>
      <c r="BC13" s="32" t="s">
        <v>14423</v>
      </c>
      <c r="BD13" s="32" t="s">
        <v>14637</v>
      </c>
      <c r="BE13" s="32" t="s">
        <v>13326</v>
      </c>
      <c r="BF13" s="32" t="s">
        <v>14640</v>
      </c>
      <c r="BG13" s="32"/>
      <c r="BH13" s="32" t="s">
        <v>14645</v>
      </c>
      <c r="BI13" s="32"/>
      <c r="BJ13" s="32" t="s">
        <v>14641</v>
      </c>
      <c r="BK13" s="32"/>
      <c r="BL13" s="32" t="s">
        <v>1128</v>
      </c>
      <c r="BM13" s="32" t="s">
        <v>2604</v>
      </c>
      <c r="BN13" s="32" t="s">
        <v>1129</v>
      </c>
      <c r="BO13" s="32" t="s">
        <v>10350</v>
      </c>
      <c r="BP13" s="32"/>
      <c r="BQ13" s="32"/>
      <c r="BR13" s="32"/>
      <c r="BS13" s="32"/>
      <c r="BT13" s="32"/>
      <c r="BU13" s="32"/>
      <c r="BV13" s="32"/>
      <c r="BW13" s="32"/>
      <c r="BX13" s="32"/>
      <c r="BY13" s="32"/>
      <c r="BZ13" s="32"/>
      <c r="CA13" s="32"/>
      <c r="CB13" s="32"/>
      <c r="CC13" s="32"/>
      <c r="CD13" s="32"/>
      <c r="CE13" s="32"/>
      <c r="CF13" s="32"/>
      <c r="CG13" s="32"/>
    </row>
    <row r="14" spans="1:85" x14ac:dyDescent="0.4">
      <c r="A14" s="32" t="s">
        <v>10355</v>
      </c>
      <c r="B14" s="32" t="s">
        <v>6</v>
      </c>
      <c r="C14" s="32" t="s">
        <v>1</v>
      </c>
      <c r="D14" s="20" t="s">
        <v>2220</v>
      </c>
      <c r="E14" s="32" t="s">
        <v>0</v>
      </c>
      <c r="F14" s="32" t="s">
        <v>10355</v>
      </c>
      <c r="G14" s="32" t="s">
        <v>14365</v>
      </c>
      <c r="H14" s="32" t="s">
        <v>7</v>
      </c>
      <c r="I14" s="32" t="s">
        <v>2</v>
      </c>
      <c r="J14" s="32" t="s">
        <v>498</v>
      </c>
      <c r="K14" s="32"/>
      <c r="L14" s="32"/>
      <c r="M14" s="32" t="s">
        <v>10359</v>
      </c>
      <c r="N14" s="32"/>
      <c r="O14" s="32"/>
      <c r="P14" s="32" t="s">
        <v>13845</v>
      </c>
      <c r="Q14" s="32"/>
      <c r="R14" s="32" t="s">
        <v>14366</v>
      </c>
      <c r="S14" s="32" t="s">
        <v>11</v>
      </c>
      <c r="T14" s="32" t="s">
        <v>14367</v>
      </c>
      <c r="U14" s="32"/>
      <c r="V14" s="32" t="s">
        <v>14368</v>
      </c>
      <c r="W14" s="32"/>
      <c r="X14" s="32" t="s">
        <v>14369</v>
      </c>
      <c r="Y14" s="32" t="s">
        <v>14370</v>
      </c>
      <c r="Z14" s="32" t="s">
        <v>14628</v>
      </c>
      <c r="AA14" s="32" t="s">
        <v>14650</v>
      </c>
      <c r="AB14" s="32" t="s">
        <v>1119</v>
      </c>
      <c r="AC14" s="32" t="s">
        <v>10357</v>
      </c>
      <c r="AD14" s="32" t="s">
        <v>14383</v>
      </c>
      <c r="AE14" s="32" t="s">
        <v>3616</v>
      </c>
      <c r="AF14" s="32" t="s">
        <v>1121</v>
      </c>
      <c r="AG14" s="32"/>
      <c r="AH14" s="32" t="s">
        <v>1122</v>
      </c>
      <c r="AI14" s="32"/>
      <c r="AJ14" s="32" t="s">
        <v>14384</v>
      </c>
      <c r="AK14" s="32" t="s">
        <v>11</v>
      </c>
      <c r="AL14" s="32" t="s">
        <v>1124</v>
      </c>
      <c r="AM14" s="32"/>
      <c r="AN14" s="32" t="s">
        <v>1125</v>
      </c>
      <c r="AO14" s="32"/>
      <c r="AP14" s="32" t="s">
        <v>14385</v>
      </c>
      <c r="AQ14" s="32"/>
      <c r="AR14" s="32" t="s">
        <v>1127</v>
      </c>
      <c r="AS14" s="32"/>
      <c r="AT14" s="32" t="s">
        <v>14630</v>
      </c>
      <c r="AU14" s="32"/>
      <c r="AV14" s="32" t="s">
        <v>14631</v>
      </c>
      <c r="AW14" s="32"/>
      <c r="AX14" s="32" t="s">
        <v>14633</v>
      </c>
      <c r="AY14" s="32" t="s">
        <v>14651</v>
      </c>
      <c r="AZ14" s="32" t="s">
        <v>14635</v>
      </c>
      <c r="BA14" s="32" t="s">
        <v>14652</v>
      </c>
      <c r="BB14" s="32" t="s">
        <v>14636</v>
      </c>
      <c r="BC14" s="32" t="s">
        <v>14387</v>
      </c>
      <c r="BD14" s="32" t="s">
        <v>14637</v>
      </c>
      <c r="BE14" s="32" t="s">
        <v>13326</v>
      </c>
      <c r="BF14" s="32" t="s">
        <v>14640</v>
      </c>
      <c r="BG14" s="32"/>
      <c r="BH14" s="32" t="s">
        <v>14645</v>
      </c>
      <c r="BI14" s="32"/>
      <c r="BJ14" s="32" t="s">
        <v>14641</v>
      </c>
      <c r="BK14" s="32"/>
      <c r="BL14" s="32" t="s">
        <v>1128</v>
      </c>
      <c r="BM14" s="32" t="s">
        <v>10358</v>
      </c>
      <c r="BN14" s="32" t="s">
        <v>1129</v>
      </c>
      <c r="BO14" s="32" t="s">
        <v>10350</v>
      </c>
      <c r="BP14" s="32"/>
      <c r="BQ14" s="32"/>
      <c r="BR14" s="32"/>
      <c r="BS14" s="32"/>
      <c r="BT14" s="32"/>
      <c r="BU14" s="32"/>
      <c r="BV14" s="32"/>
      <c r="BW14" s="32"/>
      <c r="BX14" s="32"/>
      <c r="BY14" s="32"/>
      <c r="BZ14" s="32"/>
      <c r="CA14" s="32"/>
      <c r="CB14" s="32"/>
      <c r="CC14" s="32"/>
      <c r="CD14" s="32"/>
      <c r="CE14" s="32"/>
      <c r="CF14" s="32"/>
      <c r="CG14" s="32"/>
    </row>
    <row r="15" spans="1:85" x14ac:dyDescent="0.4">
      <c r="A15" s="32" t="s">
        <v>10363</v>
      </c>
      <c r="B15" s="32" t="s">
        <v>6</v>
      </c>
      <c r="C15" s="32" t="s">
        <v>1</v>
      </c>
      <c r="D15" s="20" t="s">
        <v>2220</v>
      </c>
      <c r="E15" s="32" t="s">
        <v>0</v>
      </c>
      <c r="F15" s="32" t="s">
        <v>10363</v>
      </c>
      <c r="G15" s="32" t="s">
        <v>14365</v>
      </c>
      <c r="H15" s="32" t="s">
        <v>4</v>
      </c>
      <c r="I15" s="32" t="s">
        <v>2</v>
      </c>
      <c r="J15" s="32" t="s">
        <v>498</v>
      </c>
      <c r="K15" s="32"/>
      <c r="L15" s="32"/>
      <c r="M15" s="32" t="s">
        <v>10359</v>
      </c>
      <c r="N15" s="32"/>
      <c r="O15" s="32"/>
      <c r="P15" s="32" t="s">
        <v>13845</v>
      </c>
      <c r="Q15" s="32"/>
      <c r="R15" s="32" t="s">
        <v>14366</v>
      </c>
      <c r="S15" s="32" t="s">
        <v>11</v>
      </c>
      <c r="T15" s="32" t="s">
        <v>14367</v>
      </c>
      <c r="U15" s="32"/>
      <c r="V15" s="32" t="s">
        <v>14368</v>
      </c>
      <c r="W15" s="32"/>
      <c r="X15" s="32" t="s">
        <v>14369</v>
      </c>
      <c r="Y15" s="32" t="s">
        <v>14370</v>
      </c>
      <c r="Z15" s="32" t="s">
        <v>14628</v>
      </c>
      <c r="AA15" s="32" t="s">
        <v>14650</v>
      </c>
      <c r="AB15" s="32" t="s">
        <v>1119</v>
      </c>
      <c r="AC15" s="32" t="s">
        <v>10365</v>
      </c>
      <c r="AD15" s="32" t="s">
        <v>14383</v>
      </c>
      <c r="AE15" s="32" t="s">
        <v>3616</v>
      </c>
      <c r="AF15" s="32" t="s">
        <v>1121</v>
      </c>
      <c r="AG15" s="32" t="s">
        <v>10366</v>
      </c>
      <c r="AH15" s="32" t="s">
        <v>1122</v>
      </c>
      <c r="AI15" s="32"/>
      <c r="AJ15" s="32" t="s">
        <v>14384</v>
      </c>
      <c r="AK15" s="32" t="s">
        <v>11</v>
      </c>
      <c r="AL15" s="32" t="s">
        <v>1124</v>
      </c>
      <c r="AM15" s="32"/>
      <c r="AN15" s="32" t="s">
        <v>1125</v>
      </c>
      <c r="AO15" s="32"/>
      <c r="AP15" s="32" t="s">
        <v>14385</v>
      </c>
      <c r="AQ15" s="32"/>
      <c r="AR15" s="32" t="s">
        <v>1127</v>
      </c>
      <c r="AS15" s="32"/>
      <c r="AT15" s="32" t="s">
        <v>14630</v>
      </c>
      <c r="AU15" s="32"/>
      <c r="AV15" s="32" t="s">
        <v>14631</v>
      </c>
      <c r="AW15" s="32" t="s">
        <v>14409</v>
      </c>
      <c r="AX15" s="32" t="s">
        <v>14633</v>
      </c>
      <c r="AY15" s="32" t="s">
        <v>13326</v>
      </c>
      <c r="AZ15" s="32" t="s">
        <v>14635</v>
      </c>
      <c r="BA15" s="32" t="s">
        <v>13326</v>
      </c>
      <c r="BB15" s="32" t="s">
        <v>14636</v>
      </c>
      <c r="BC15" s="32" t="s">
        <v>14460</v>
      </c>
      <c r="BD15" s="32" t="s">
        <v>14637</v>
      </c>
      <c r="BE15" s="32" t="s">
        <v>13326</v>
      </c>
      <c r="BF15" s="32" t="s">
        <v>14640</v>
      </c>
      <c r="BG15" s="32"/>
      <c r="BH15" s="32" t="s">
        <v>14645</v>
      </c>
      <c r="BI15" s="32"/>
      <c r="BJ15" s="32" t="s">
        <v>14641</v>
      </c>
      <c r="BK15" s="32"/>
      <c r="BL15" s="32" t="s">
        <v>1128</v>
      </c>
      <c r="BM15" s="32" t="s">
        <v>2604</v>
      </c>
      <c r="BN15" s="32" t="s">
        <v>1129</v>
      </c>
      <c r="BO15" s="32" t="s">
        <v>10350</v>
      </c>
      <c r="BP15" s="32"/>
      <c r="BQ15" s="32"/>
      <c r="BR15" s="32"/>
      <c r="BS15" s="32"/>
      <c r="BT15" s="32"/>
      <c r="BU15" s="32"/>
      <c r="BV15" s="32"/>
      <c r="BW15" s="32"/>
      <c r="BX15" s="32"/>
      <c r="BY15" s="32"/>
      <c r="BZ15" s="32"/>
      <c r="CA15" s="32"/>
      <c r="CB15" s="32"/>
      <c r="CC15" s="32"/>
      <c r="CD15" s="32"/>
      <c r="CE15" s="32"/>
      <c r="CF15" s="32"/>
      <c r="CG15" s="32"/>
    </row>
    <row r="16" spans="1:85" x14ac:dyDescent="0.4">
      <c r="A16" s="32" t="s">
        <v>10384</v>
      </c>
      <c r="B16" s="32" t="s">
        <v>6</v>
      </c>
      <c r="C16" s="32" t="s">
        <v>1</v>
      </c>
      <c r="D16" s="20" t="s">
        <v>2220</v>
      </c>
      <c r="E16" s="32" t="s">
        <v>0</v>
      </c>
      <c r="F16" s="32" t="s">
        <v>10384</v>
      </c>
      <c r="G16" s="32" t="s">
        <v>14365</v>
      </c>
      <c r="H16" s="32" t="s">
        <v>7</v>
      </c>
      <c r="I16" s="32" t="s">
        <v>2</v>
      </c>
      <c r="J16" s="32" t="s">
        <v>725</v>
      </c>
      <c r="K16" s="32"/>
      <c r="L16" s="32"/>
      <c r="M16" s="32" t="s">
        <v>10389</v>
      </c>
      <c r="N16" s="32"/>
      <c r="O16" s="32"/>
      <c r="P16" s="32" t="s">
        <v>13845</v>
      </c>
      <c r="Q16" s="32"/>
      <c r="R16" s="32" t="s">
        <v>14366</v>
      </c>
      <c r="S16" s="32" t="s">
        <v>11</v>
      </c>
      <c r="T16" s="32" t="s">
        <v>14367</v>
      </c>
      <c r="U16" s="32"/>
      <c r="V16" s="32" t="s">
        <v>14368</v>
      </c>
      <c r="W16" s="32"/>
      <c r="X16" s="32" t="s">
        <v>14369</v>
      </c>
      <c r="Y16" s="32" t="s">
        <v>14370</v>
      </c>
      <c r="Z16" s="32" t="s">
        <v>14628</v>
      </c>
      <c r="AA16" s="32" t="s">
        <v>14653</v>
      </c>
      <c r="AB16" s="32" t="s">
        <v>1119</v>
      </c>
      <c r="AC16" s="32" t="s">
        <v>10386</v>
      </c>
      <c r="AD16" s="32" t="s">
        <v>14383</v>
      </c>
      <c r="AE16" s="32" t="s">
        <v>9083</v>
      </c>
      <c r="AF16" s="32" t="s">
        <v>1121</v>
      </c>
      <c r="AG16" s="32"/>
      <c r="AH16" s="32" t="s">
        <v>1122</v>
      </c>
      <c r="AI16" s="32"/>
      <c r="AJ16" s="32" t="s">
        <v>14384</v>
      </c>
      <c r="AK16" s="32" t="s">
        <v>11</v>
      </c>
      <c r="AL16" s="32" t="s">
        <v>1124</v>
      </c>
      <c r="AM16" s="32"/>
      <c r="AN16" s="32" t="s">
        <v>1125</v>
      </c>
      <c r="AO16" s="32"/>
      <c r="AP16" s="32" t="s">
        <v>14385</v>
      </c>
      <c r="AQ16" s="32"/>
      <c r="AR16" s="32" t="s">
        <v>1127</v>
      </c>
      <c r="AS16" s="32"/>
      <c r="AT16" s="32" t="s">
        <v>14630</v>
      </c>
      <c r="AU16" s="32"/>
      <c r="AV16" s="32" t="s">
        <v>14631</v>
      </c>
      <c r="AW16" s="32"/>
      <c r="AX16" s="32" t="s">
        <v>14633</v>
      </c>
      <c r="AY16" s="32" t="s">
        <v>13326</v>
      </c>
      <c r="AZ16" s="32" t="s">
        <v>14635</v>
      </c>
      <c r="BA16" s="32" t="s">
        <v>13326</v>
      </c>
      <c r="BB16" s="32" t="s">
        <v>14636</v>
      </c>
      <c r="BC16" s="32"/>
      <c r="BD16" s="32" t="s">
        <v>14637</v>
      </c>
      <c r="BE16" s="32" t="s">
        <v>13326</v>
      </c>
      <c r="BF16" s="32" t="s">
        <v>14640</v>
      </c>
      <c r="BG16" s="32"/>
      <c r="BH16" s="32" t="s">
        <v>14645</v>
      </c>
      <c r="BI16" s="32"/>
      <c r="BJ16" s="32" t="s">
        <v>14641</v>
      </c>
      <c r="BK16" s="32"/>
      <c r="BL16" s="32" t="s">
        <v>1128</v>
      </c>
      <c r="BM16" s="32"/>
      <c r="BN16" s="32" t="s">
        <v>1129</v>
      </c>
      <c r="BO16" s="32" t="s">
        <v>10387</v>
      </c>
      <c r="BP16" s="32"/>
      <c r="BQ16" s="32"/>
      <c r="BR16" s="32"/>
      <c r="BS16" s="32"/>
      <c r="BT16" s="32"/>
      <c r="BU16" s="32"/>
      <c r="BV16" s="32"/>
      <c r="BW16" s="32"/>
      <c r="BX16" s="32"/>
      <c r="BY16" s="32"/>
      <c r="BZ16" s="32"/>
      <c r="CA16" s="32"/>
      <c r="CB16" s="32"/>
      <c r="CC16" s="32"/>
      <c r="CD16" s="32"/>
      <c r="CE16" s="32"/>
      <c r="CF16" s="32"/>
      <c r="CG16" s="32"/>
    </row>
    <row r="17" spans="1:85" x14ac:dyDescent="0.4">
      <c r="A17" s="32" t="s">
        <v>10392</v>
      </c>
      <c r="B17" s="32" t="s">
        <v>6</v>
      </c>
      <c r="C17" s="32" t="s">
        <v>1</v>
      </c>
      <c r="D17" s="20" t="s">
        <v>2220</v>
      </c>
      <c r="E17" s="32" t="s">
        <v>0</v>
      </c>
      <c r="F17" s="32" t="s">
        <v>10392</v>
      </c>
      <c r="G17" s="32" t="s">
        <v>14365</v>
      </c>
      <c r="H17" s="32" t="s">
        <v>7</v>
      </c>
      <c r="I17" s="32" t="s">
        <v>2</v>
      </c>
      <c r="J17" s="32" t="s">
        <v>725</v>
      </c>
      <c r="K17" s="32"/>
      <c r="L17" s="32"/>
      <c r="M17" s="32" t="s">
        <v>10389</v>
      </c>
      <c r="N17" s="32"/>
      <c r="O17" s="32"/>
      <c r="P17" s="32" t="s">
        <v>13845</v>
      </c>
      <c r="Q17" s="32"/>
      <c r="R17" s="32" t="s">
        <v>14366</v>
      </c>
      <c r="S17" s="32" t="s">
        <v>11</v>
      </c>
      <c r="T17" s="32" t="s">
        <v>14367</v>
      </c>
      <c r="U17" s="32"/>
      <c r="V17" s="32" t="s">
        <v>14368</v>
      </c>
      <c r="W17" s="32"/>
      <c r="X17" s="32" t="s">
        <v>14369</v>
      </c>
      <c r="Y17" s="32" t="s">
        <v>14370</v>
      </c>
      <c r="Z17" s="32" t="s">
        <v>14628</v>
      </c>
      <c r="AA17" s="32" t="s">
        <v>14654</v>
      </c>
      <c r="AB17" s="32" t="s">
        <v>1119</v>
      </c>
      <c r="AC17" s="32" t="s">
        <v>10394</v>
      </c>
      <c r="AD17" s="32" t="s">
        <v>14383</v>
      </c>
      <c r="AE17" s="32" t="s">
        <v>9083</v>
      </c>
      <c r="AF17" s="32" t="s">
        <v>1121</v>
      </c>
      <c r="AG17" s="32"/>
      <c r="AH17" s="32" t="s">
        <v>1122</v>
      </c>
      <c r="AI17" s="32"/>
      <c r="AJ17" s="32" t="s">
        <v>14384</v>
      </c>
      <c r="AK17" s="32" t="s">
        <v>11</v>
      </c>
      <c r="AL17" s="32" t="s">
        <v>1124</v>
      </c>
      <c r="AM17" s="32"/>
      <c r="AN17" s="32" t="s">
        <v>1125</v>
      </c>
      <c r="AO17" s="32"/>
      <c r="AP17" s="32" t="s">
        <v>14385</v>
      </c>
      <c r="AQ17" s="32"/>
      <c r="AR17" s="32" t="s">
        <v>1127</v>
      </c>
      <c r="AS17" s="32"/>
      <c r="AT17" s="32" t="s">
        <v>14630</v>
      </c>
      <c r="AU17" s="32"/>
      <c r="AV17" s="32" t="s">
        <v>14631</v>
      </c>
      <c r="AW17" s="32"/>
      <c r="AX17" s="32" t="s">
        <v>14633</v>
      </c>
      <c r="AY17" s="32" t="s">
        <v>13326</v>
      </c>
      <c r="AZ17" s="32" t="s">
        <v>14635</v>
      </c>
      <c r="BA17" s="32" t="s">
        <v>13326</v>
      </c>
      <c r="BB17" s="32" t="s">
        <v>14636</v>
      </c>
      <c r="BC17" s="32"/>
      <c r="BD17" s="32" t="s">
        <v>14637</v>
      </c>
      <c r="BE17" s="32" t="s">
        <v>13326</v>
      </c>
      <c r="BF17" s="32" t="s">
        <v>14640</v>
      </c>
      <c r="BG17" s="32"/>
      <c r="BH17" s="32" t="s">
        <v>14645</v>
      </c>
      <c r="BI17" s="32" t="s">
        <v>14655</v>
      </c>
      <c r="BJ17" s="32" t="s">
        <v>14641</v>
      </c>
      <c r="BK17" s="32"/>
      <c r="BL17" s="32" t="s">
        <v>1128</v>
      </c>
      <c r="BM17" s="32"/>
      <c r="BN17" s="32" t="s">
        <v>1129</v>
      </c>
      <c r="BO17" s="32" t="s">
        <v>10387</v>
      </c>
      <c r="BP17" s="32"/>
      <c r="BQ17" s="32"/>
      <c r="BR17" s="32"/>
      <c r="BS17" s="32"/>
      <c r="BT17" s="32"/>
      <c r="BU17" s="32"/>
      <c r="BV17" s="32"/>
      <c r="BW17" s="32"/>
      <c r="BX17" s="32"/>
      <c r="BY17" s="32"/>
      <c r="BZ17" s="32"/>
      <c r="CA17" s="32"/>
      <c r="CB17" s="32"/>
      <c r="CC17" s="32"/>
      <c r="CD17" s="32"/>
      <c r="CE17" s="32"/>
      <c r="CF17" s="32"/>
      <c r="CG17" s="32"/>
    </row>
    <row r="19" spans="1:85" x14ac:dyDescent="0.4">
      <c r="A19" s="33" t="s">
        <v>14285</v>
      </c>
      <c r="B19" s="33" t="s">
        <v>1113</v>
      </c>
      <c r="C19" s="33" t="s">
        <v>1112</v>
      </c>
      <c r="D19" s="33" t="s">
        <v>14287</v>
      </c>
      <c r="E19" s="33" t="s">
        <v>1108</v>
      </c>
      <c r="F19" s="33" t="s">
        <v>14288</v>
      </c>
      <c r="G19" s="33" t="s">
        <v>14289</v>
      </c>
      <c r="H19" s="33" t="s">
        <v>1117</v>
      </c>
      <c r="I19" s="33" t="s">
        <v>14290</v>
      </c>
      <c r="J19" s="33" t="s">
        <v>14291</v>
      </c>
      <c r="K19" s="33" t="s">
        <v>14292</v>
      </c>
      <c r="L19" s="33" t="s">
        <v>14293</v>
      </c>
      <c r="M19" s="33" t="s">
        <v>14294</v>
      </c>
      <c r="N19" s="33" t="s">
        <v>14295</v>
      </c>
      <c r="O19" s="33" t="s">
        <v>14296</v>
      </c>
      <c r="P19" s="33" t="s">
        <v>14297</v>
      </c>
      <c r="Q19" s="33" t="s">
        <v>14298</v>
      </c>
      <c r="R19" s="33" t="s">
        <v>14299</v>
      </c>
      <c r="S19" s="33" t="s">
        <v>14300</v>
      </c>
      <c r="T19" s="33" t="s">
        <v>14301</v>
      </c>
      <c r="U19" s="33" t="s">
        <v>14302</v>
      </c>
      <c r="V19" s="33" t="s">
        <v>14303</v>
      </c>
      <c r="W19" s="33" t="s">
        <v>14304</v>
      </c>
      <c r="X19" s="33" t="s">
        <v>14305</v>
      </c>
      <c r="Y19" s="33" t="s">
        <v>14306</v>
      </c>
      <c r="Z19" s="33" t="s">
        <v>14307</v>
      </c>
      <c r="AA19" s="33" t="s">
        <v>14308</v>
      </c>
      <c r="AB19" s="33" t="s">
        <v>14309</v>
      </c>
      <c r="AC19" s="34" t="s">
        <v>14310</v>
      </c>
      <c r="AD19" s="33" t="s">
        <v>14311</v>
      </c>
      <c r="AE19" s="34" t="s">
        <v>14312</v>
      </c>
      <c r="AF19" s="33" t="s">
        <v>14313</v>
      </c>
      <c r="AG19" s="34" t="s">
        <v>14314</v>
      </c>
      <c r="AH19" s="33" t="s">
        <v>14315</v>
      </c>
      <c r="AI19" s="34" t="s">
        <v>14316</v>
      </c>
      <c r="AJ19" s="33" t="s">
        <v>14317</v>
      </c>
      <c r="AK19" s="34" t="s">
        <v>14318</v>
      </c>
      <c r="AL19" s="33" t="s">
        <v>14319</v>
      </c>
      <c r="AM19" s="34" t="s">
        <v>14320</v>
      </c>
      <c r="AN19" s="33" t="s">
        <v>14321</v>
      </c>
      <c r="AO19" s="33" t="s">
        <v>14322</v>
      </c>
      <c r="AP19" s="33" t="s">
        <v>14323</v>
      </c>
      <c r="AQ19" s="33" t="s">
        <v>14324</v>
      </c>
      <c r="AR19" s="33" t="s">
        <v>14325</v>
      </c>
      <c r="AS19" s="33" t="s">
        <v>14326</v>
      </c>
      <c r="AT19" s="33" t="s">
        <v>14327</v>
      </c>
      <c r="AU19" s="33" t="s">
        <v>14328</v>
      </c>
      <c r="AV19" s="33" t="s">
        <v>14329</v>
      </c>
      <c r="AW19" s="33" t="s">
        <v>14330</v>
      </c>
      <c r="AX19" s="33" t="s">
        <v>14331</v>
      </c>
      <c r="AY19" s="33" t="s">
        <v>14332</v>
      </c>
      <c r="AZ19" s="33" t="s">
        <v>14333</v>
      </c>
      <c r="BA19" s="33" t="s">
        <v>14334</v>
      </c>
      <c r="BB19" s="33" t="s">
        <v>14335</v>
      </c>
      <c r="BC19" s="33" t="s">
        <v>14336</v>
      </c>
      <c r="BD19" s="33" t="s">
        <v>14337</v>
      </c>
      <c r="BE19" s="33" t="s">
        <v>14338</v>
      </c>
      <c r="BF19" s="33" t="s">
        <v>14339</v>
      </c>
      <c r="BG19" s="33" t="s">
        <v>14340</v>
      </c>
      <c r="BH19" s="33" t="s">
        <v>14341</v>
      </c>
      <c r="BI19" s="33" t="s">
        <v>14342</v>
      </c>
      <c r="BJ19" s="33" t="s">
        <v>14343</v>
      </c>
      <c r="BK19" s="33" t="s">
        <v>14344</v>
      </c>
      <c r="BL19" s="33" t="s">
        <v>14345</v>
      </c>
      <c r="BM19" s="33" t="s">
        <v>14346</v>
      </c>
      <c r="BN19" s="33" t="s">
        <v>14347</v>
      </c>
      <c r="BO19" s="33" t="s">
        <v>14348</v>
      </c>
      <c r="BP19" s="33" t="s">
        <v>14349</v>
      </c>
      <c r="BQ19" s="33" t="s">
        <v>14350</v>
      </c>
      <c r="BR19" s="33" t="s">
        <v>14351</v>
      </c>
      <c r="BS19" s="33" t="s">
        <v>14352</v>
      </c>
      <c r="BT19" s="33" t="s">
        <v>14353</v>
      </c>
      <c r="BU19" s="33" t="s">
        <v>14354</v>
      </c>
      <c r="BV19" s="33" t="s">
        <v>14355</v>
      </c>
      <c r="BW19" s="33" t="s">
        <v>14356</v>
      </c>
      <c r="BX19" s="33" t="s">
        <v>14357</v>
      </c>
      <c r="BY19" s="33" t="s">
        <v>14358</v>
      </c>
      <c r="BZ19" s="33" t="s">
        <v>14359</v>
      </c>
      <c r="CA19" s="33" t="s">
        <v>14360</v>
      </c>
      <c r="CB19" s="33" t="s">
        <v>14361</v>
      </c>
      <c r="CC19" s="33" t="s">
        <v>14362</v>
      </c>
      <c r="CD19" s="33" t="s">
        <v>14363</v>
      </c>
      <c r="CE19" s="33" t="s">
        <v>14364</v>
      </c>
      <c r="CF19" s="33" t="s">
        <v>14364</v>
      </c>
      <c r="CG19" s="33" t="s">
        <v>14364</v>
      </c>
    </row>
    <row r="20" spans="1:85" x14ac:dyDescent="0.4">
      <c r="A20" s="36" t="s">
        <v>5706</v>
      </c>
      <c r="B20" s="36" t="s">
        <v>6</v>
      </c>
      <c r="C20" s="36" t="s">
        <v>1</v>
      </c>
      <c r="D20" s="20" t="s">
        <v>2211</v>
      </c>
      <c r="E20" s="36" t="s">
        <v>93</v>
      </c>
      <c r="F20" s="36" t="s">
        <v>5706</v>
      </c>
      <c r="G20" s="36" t="s">
        <v>14365</v>
      </c>
      <c r="H20" s="36" t="s">
        <v>7</v>
      </c>
      <c r="I20" s="36" t="s">
        <v>2</v>
      </c>
      <c r="J20" s="36" t="s">
        <v>4386</v>
      </c>
      <c r="K20" s="36"/>
      <c r="L20" s="36"/>
      <c r="M20" s="36"/>
      <c r="N20" s="36"/>
      <c r="O20" s="36"/>
      <c r="P20" s="36" t="s">
        <v>13845</v>
      </c>
      <c r="Q20" s="36"/>
      <c r="R20" s="36" t="s">
        <v>14366</v>
      </c>
      <c r="S20" s="36" t="s">
        <v>11</v>
      </c>
      <c r="T20" s="36" t="s">
        <v>14367</v>
      </c>
      <c r="U20" s="36"/>
      <c r="V20" s="36" t="s">
        <v>14368</v>
      </c>
      <c r="W20" s="36"/>
      <c r="X20" s="36" t="s">
        <v>14369</v>
      </c>
      <c r="Y20" s="36"/>
      <c r="Z20" s="36" t="s">
        <v>14628</v>
      </c>
      <c r="AA20" s="36"/>
      <c r="AB20" s="36" t="s">
        <v>14630</v>
      </c>
      <c r="AC20" s="36"/>
      <c r="AD20" s="36" t="s">
        <v>14631</v>
      </c>
      <c r="AE20" s="36" t="s">
        <v>14656</v>
      </c>
      <c r="AF20" s="36" t="s">
        <v>14633</v>
      </c>
      <c r="AG20" s="36" t="s">
        <v>14433</v>
      </c>
      <c r="AH20" s="36" t="s">
        <v>14635</v>
      </c>
      <c r="AI20" s="36" t="s">
        <v>14656</v>
      </c>
      <c r="AJ20" s="36" t="s">
        <v>1119</v>
      </c>
      <c r="AK20" s="36" t="s">
        <v>5708</v>
      </c>
      <c r="AL20" s="36" t="s">
        <v>14383</v>
      </c>
      <c r="AM20" s="36" t="s">
        <v>3055</v>
      </c>
      <c r="AN20" s="36" t="s">
        <v>1121</v>
      </c>
      <c r="AO20" s="36"/>
      <c r="AP20" s="36" t="s">
        <v>1122</v>
      </c>
      <c r="AQ20" s="36"/>
      <c r="AR20" s="36" t="s">
        <v>14384</v>
      </c>
      <c r="AS20" s="36" t="s">
        <v>11</v>
      </c>
      <c r="AT20" s="36" t="s">
        <v>1124</v>
      </c>
      <c r="AU20" s="36"/>
      <c r="AV20" s="36" t="s">
        <v>1125</v>
      </c>
      <c r="AW20" s="36"/>
      <c r="AX20" s="36" t="s">
        <v>14385</v>
      </c>
      <c r="AY20" s="36"/>
      <c r="AZ20" s="36" t="s">
        <v>1127</v>
      </c>
      <c r="BA20" s="36"/>
      <c r="BB20" s="36" t="s">
        <v>14636</v>
      </c>
      <c r="BC20" s="36"/>
      <c r="BD20" s="36" t="s">
        <v>14645</v>
      </c>
      <c r="BE20" s="36" t="s">
        <v>14657</v>
      </c>
      <c r="BF20" s="36" t="s">
        <v>14637</v>
      </c>
      <c r="BG20" s="36"/>
      <c r="BH20" s="36" t="s">
        <v>14641</v>
      </c>
      <c r="BI20" s="36"/>
      <c r="BJ20" s="36" t="s">
        <v>14640</v>
      </c>
      <c r="BK20" s="36"/>
      <c r="BL20" s="36" t="s">
        <v>1128</v>
      </c>
      <c r="BM20" s="36" t="s">
        <v>5709</v>
      </c>
      <c r="BN20" s="36" t="s">
        <v>1129</v>
      </c>
      <c r="BO20" s="36"/>
      <c r="BP20" s="36"/>
      <c r="BQ20" s="36"/>
      <c r="BR20" s="36"/>
      <c r="BS20" s="36"/>
      <c r="BT20" s="36"/>
      <c r="BU20" s="36"/>
      <c r="BV20" s="36"/>
      <c r="BW20" s="36"/>
      <c r="BX20" s="36"/>
      <c r="BY20" s="36"/>
      <c r="BZ20" s="36"/>
      <c r="CA20" s="36"/>
      <c r="CB20" s="36"/>
      <c r="CC20" s="36"/>
      <c r="CD20" s="36"/>
      <c r="CE20" s="36"/>
      <c r="CF20" s="36"/>
      <c r="CG20" s="36"/>
    </row>
    <row r="21" spans="1:85" x14ac:dyDescent="0.4">
      <c r="A21" s="36" t="s">
        <v>10017</v>
      </c>
      <c r="B21" s="36" t="s">
        <v>6</v>
      </c>
      <c r="C21" s="36" t="s">
        <v>1</v>
      </c>
      <c r="D21" s="20" t="s">
        <v>2211</v>
      </c>
      <c r="E21" s="36" t="s">
        <v>0</v>
      </c>
      <c r="F21" s="36" t="s">
        <v>10017</v>
      </c>
      <c r="G21" s="36" t="s">
        <v>14365</v>
      </c>
      <c r="H21" s="36" t="s">
        <v>7</v>
      </c>
      <c r="I21" s="36" t="s">
        <v>2</v>
      </c>
      <c r="J21" s="36" t="s">
        <v>8061</v>
      </c>
      <c r="K21" s="36"/>
      <c r="L21" s="36"/>
      <c r="M21" s="36" t="s">
        <v>10023</v>
      </c>
      <c r="N21" s="36"/>
      <c r="O21" s="36"/>
      <c r="P21" s="36" t="s">
        <v>13845</v>
      </c>
      <c r="Q21" s="36"/>
      <c r="R21" s="36" t="s">
        <v>14366</v>
      </c>
      <c r="S21" s="36" t="s">
        <v>11</v>
      </c>
      <c r="T21" s="36" t="s">
        <v>14367</v>
      </c>
      <c r="U21" s="36"/>
      <c r="V21" s="36" t="s">
        <v>14368</v>
      </c>
      <c r="W21" s="36"/>
      <c r="X21" s="36" t="s">
        <v>14369</v>
      </c>
      <c r="Y21" s="36" t="s">
        <v>14370</v>
      </c>
      <c r="Z21" s="36" t="s">
        <v>14628</v>
      </c>
      <c r="AA21" s="36" t="s">
        <v>14658</v>
      </c>
      <c r="AB21" s="36" t="s">
        <v>14630</v>
      </c>
      <c r="AC21" s="36" t="s">
        <v>13326</v>
      </c>
      <c r="AD21" s="36" t="s">
        <v>14631</v>
      </c>
      <c r="AE21" s="36" t="s">
        <v>13326</v>
      </c>
      <c r="AF21" s="36" t="s">
        <v>14633</v>
      </c>
      <c r="AG21" s="36" t="s">
        <v>14659</v>
      </c>
      <c r="AH21" s="36" t="s">
        <v>14635</v>
      </c>
      <c r="AI21" s="36" t="s">
        <v>14410</v>
      </c>
      <c r="AJ21" s="36" t="s">
        <v>1119</v>
      </c>
      <c r="AK21" s="36" t="s">
        <v>10019</v>
      </c>
      <c r="AL21" s="36" t="s">
        <v>14383</v>
      </c>
      <c r="AM21" s="36" t="s">
        <v>10020</v>
      </c>
      <c r="AN21" s="36" t="s">
        <v>1121</v>
      </c>
      <c r="AO21" s="36"/>
      <c r="AP21" s="36" t="s">
        <v>1122</v>
      </c>
      <c r="AQ21" s="36"/>
      <c r="AR21" s="36" t="s">
        <v>14384</v>
      </c>
      <c r="AS21" s="36" t="s">
        <v>11</v>
      </c>
      <c r="AT21" s="36" t="s">
        <v>1124</v>
      </c>
      <c r="AU21" s="36"/>
      <c r="AV21" s="36" t="s">
        <v>1125</v>
      </c>
      <c r="AW21" s="36"/>
      <c r="AX21" s="36" t="s">
        <v>14385</v>
      </c>
      <c r="AY21" s="36"/>
      <c r="AZ21" s="36" t="s">
        <v>1127</v>
      </c>
      <c r="BA21" s="36"/>
      <c r="BB21" s="36" t="s">
        <v>14636</v>
      </c>
      <c r="BC21" s="36" t="s">
        <v>13326</v>
      </c>
      <c r="BD21" s="36" t="s">
        <v>14645</v>
      </c>
      <c r="BE21" s="36" t="s">
        <v>14660</v>
      </c>
      <c r="BF21" s="36" t="s">
        <v>14637</v>
      </c>
      <c r="BG21" s="36" t="s">
        <v>14378</v>
      </c>
      <c r="BH21" s="36" t="s">
        <v>14641</v>
      </c>
      <c r="BI21" s="36"/>
      <c r="BJ21" s="36" t="s">
        <v>14640</v>
      </c>
      <c r="BK21" s="36" t="s">
        <v>13326</v>
      </c>
      <c r="BL21" s="36" t="s">
        <v>1128</v>
      </c>
      <c r="BM21" s="36" t="s">
        <v>10021</v>
      </c>
      <c r="BN21" s="36" t="s">
        <v>1129</v>
      </c>
      <c r="BO21" s="36" t="s">
        <v>10022</v>
      </c>
      <c r="BP21" s="36"/>
      <c r="BQ21" s="36"/>
      <c r="BR21" s="36"/>
      <c r="BS21" s="36"/>
      <c r="BT21" s="36"/>
      <c r="BU21" s="36"/>
      <c r="BV21" s="36"/>
      <c r="BW21" s="36"/>
      <c r="BX21" s="36"/>
      <c r="BY21" s="36"/>
      <c r="BZ21" s="36"/>
      <c r="CA21" s="36"/>
      <c r="CB21" s="36"/>
      <c r="CC21" s="36"/>
      <c r="CD21" s="36"/>
      <c r="CE21" s="36"/>
      <c r="CF21" s="36"/>
      <c r="CG21" s="36"/>
    </row>
    <row r="22" spans="1:85" x14ac:dyDescent="0.4">
      <c r="A22" s="36" t="s">
        <v>10719</v>
      </c>
      <c r="B22" s="36" t="s">
        <v>6</v>
      </c>
      <c r="C22" s="36" t="s">
        <v>1</v>
      </c>
      <c r="D22" s="20" t="s">
        <v>2211</v>
      </c>
      <c r="E22" s="36" t="s">
        <v>0</v>
      </c>
      <c r="F22" s="36" t="s">
        <v>10719</v>
      </c>
      <c r="G22" s="36" t="s">
        <v>14365</v>
      </c>
      <c r="H22" s="36" t="s">
        <v>4</v>
      </c>
      <c r="I22" s="36" t="s">
        <v>2</v>
      </c>
      <c r="J22" s="36" t="s">
        <v>83</v>
      </c>
      <c r="K22" s="36"/>
      <c r="L22" s="36"/>
      <c r="M22" s="36" t="s">
        <v>2570</v>
      </c>
      <c r="N22" s="36"/>
      <c r="O22" s="36"/>
      <c r="P22" s="36" t="s">
        <v>13845</v>
      </c>
      <c r="Q22" s="36"/>
      <c r="R22" s="36" t="s">
        <v>14366</v>
      </c>
      <c r="S22" s="36" t="s">
        <v>11</v>
      </c>
      <c r="T22" s="36" t="s">
        <v>14367</v>
      </c>
      <c r="U22" s="36"/>
      <c r="V22" s="36" t="s">
        <v>14368</v>
      </c>
      <c r="W22" s="36"/>
      <c r="X22" s="36" t="s">
        <v>14369</v>
      </c>
      <c r="Y22" s="36" t="s">
        <v>14370</v>
      </c>
      <c r="Z22" s="36" t="s">
        <v>14628</v>
      </c>
      <c r="AA22" s="36" t="s">
        <v>14661</v>
      </c>
      <c r="AB22" s="36" t="s">
        <v>14630</v>
      </c>
      <c r="AC22" s="36"/>
      <c r="AD22" s="36" t="s">
        <v>14631</v>
      </c>
      <c r="AE22" s="36"/>
      <c r="AF22" s="36" t="s">
        <v>14633</v>
      </c>
      <c r="AG22" s="36" t="s">
        <v>13326</v>
      </c>
      <c r="AH22" s="36" t="s">
        <v>14635</v>
      </c>
      <c r="AI22" s="36"/>
      <c r="AJ22" s="36" t="s">
        <v>1119</v>
      </c>
      <c r="AK22" s="36" t="s">
        <v>10721</v>
      </c>
      <c r="AL22" s="36" t="s">
        <v>14383</v>
      </c>
      <c r="AM22" s="36" t="s">
        <v>2295</v>
      </c>
      <c r="AN22" s="36" t="s">
        <v>1121</v>
      </c>
      <c r="AO22" s="36"/>
      <c r="AP22" s="36" t="s">
        <v>1122</v>
      </c>
      <c r="AQ22" s="36"/>
      <c r="AR22" s="36" t="s">
        <v>14384</v>
      </c>
      <c r="AS22" s="36" t="s">
        <v>11</v>
      </c>
      <c r="AT22" s="36" t="s">
        <v>1124</v>
      </c>
      <c r="AU22" s="36"/>
      <c r="AV22" s="36" t="s">
        <v>1125</v>
      </c>
      <c r="AW22" s="36"/>
      <c r="AX22" s="36" t="s">
        <v>14385</v>
      </c>
      <c r="AY22" s="36"/>
      <c r="AZ22" s="36" t="s">
        <v>1127</v>
      </c>
      <c r="BA22" s="36"/>
      <c r="BB22" s="36" t="s">
        <v>14636</v>
      </c>
      <c r="BC22" s="36" t="s">
        <v>13326</v>
      </c>
      <c r="BD22" s="36" t="s">
        <v>14645</v>
      </c>
      <c r="BE22" s="36" t="s">
        <v>11</v>
      </c>
      <c r="BF22" s="36" t="s">
        <v>14637</v>
      </c>
      <c r="BG22" s="36" t="s">
        <v>14662</v>
      </c>
      <c r="BH22" s="36" t="s">
        <v>14641</v>
      </c>
      <c r="BI22" s="36"/>
      <c r="BJ22" s="36" t="s">
        <v>14640</v>
      </c>
      <c r="BK22" s="36" t="s">
        <v>14426</v>
      </c>
      <c r="BL22" s="36" t="s">
        <v>1128</v>
      </c>
      <c r="BM22" s="36" t="s">
        <v>10722</v>
      </c>
      <c r="BN22" s="36" t="s">
        <v>1129</v>
      </c>
      <c r="BO22" s="36"/>
      <c r="BP22" s="36"/>
      <c r="BQ22" s="36"/>
      <c r="BR22" s="36"/>
      <c r="BS22" s="36"/>
      <c r="BT22" s="36"/>
      <c r="BU22" s="36"/>
      <c r="BV22" s="36"/>
      <c r="BW22" s="36"/>
      <c r="BX22" s="36"/>
      <c r="BY22" s="36"/>
      <c r="BZ22" s="36"/>
      <c r="CA22" s="36"/>
      <c r="CB22" s="36"/>
      <c r="CC22" s="36"/>
      <c r="CD22" s="36"/>
      <c r="CE22" s="36"/>
      <c r="CF22" s="36"/>
      <c r="CG22" s="36"/>
    </row>
    <row r="23" spans="1:85" x14ac:dyDescent="0.4">
      <c r="A23" s="36" t="s">
        <v>10726</v>
      </c>
      <c r="B23" s="36" t="s">
        <v>6</v>
      </c>
      <c r="C23" s="36" t="s">
        <v>1</v>
      </c>
      <c r="D23" s="20" t="s">
        <v>2211</v>
      </c>
      <c r="E23" s="36" t="s">
        <v>0</v>
      </c>
      <c r="F23" s="36" t="s">
        <v>10726</v>
      </c>
      <c r="G23" s="36" t="s">
        <v>14365</v>
      </c>
      <c r="H23" s="36" t="s">
        <v>4</v>
      </c>
      <c r="I23" s="36" t="s">
        <v>2</v>
      </c>
      <c r="J23" s="36" t="s">
        <v>83</v>
      </c>
      <c r="K23" s="36"/>
      <c r="L23" s="36"/>
      <c r="M23" s="36" t="s">
        <v>2570</v>
      </c>
      <c r="N23" s="36"/>
      <c r="O23" s="36"/>
      <c r="P23" s="36" t="s">
        <v>13845</v>
      </c>
      <c r="Q23" s="36"/>
      <c r="R23" s="36" t="s">
        <v>14366</v>
      </c>
      <c r="S23" s="36" t="s">
        <v>11</v>
      </c>
      <c r="T23" s="36" t="s">
        <v>14367</v>
      </c>
      <c r="U23" s="36"/>
      <c r="V23" s="36" t="s">
        <v>14368</v>
      </c>
      <c r="W23" s="36"/>
      <c r="X23" s="36" t="s">
        <v>14369</v>
      </c>
      <c r="Y23" s="36" t="s">
        <v>14370</v>
      </c>
      <c r="Z23" s="36" t="s">
        <v>14628</v>
      </c>
      <c r="AA23" s="36" t="s">
        <v>14661</v>
      </c>
      <c r="AB23" s="36" t="s">
        <v>14630</v>
      </c>
      <c r="AC23" s="36"/>
      <c r="AD23" s="36" t="s">
        <v>14631</v>
      </c>
      <c r="AE23" s="36"/>
      <c r="AF23" s="36" t="s">
        <v>14633</v>
      </c>
      <c r="AG23" s="36" t="s">
        <v>13326</v>
      </c>
      <c r="AH23" s="36" t="s">
        <v>14635</v>
      </c>
      <c r="AI23" s="36"/>
      <c r="AJ23" s="36" t="s">
        <v>1119</v>
      </c>
      <c r="AK23" s="36" t="s">
        <v>10728</v>
      </c>
      <c r="AL23" s="36" t="s">
        <v>14383</v>
      </c>
      <c r="AM23" s="36" t="s">
        <v>2295</v>
      </c>
      <c r="AN23" s="36" t="s">
        <v>1121</v>
      </c>
      <c r="AO23" s="36"/>
      <c r="AP23" s="36" t="s">
        <v>1122</v>
      </c>
      <c r="AQ23" s="36"/>
      <c r="AR23" s="36" t="s">
        <v>14384</v>
      </c>
      <c r="AS23" s="36" t="s">
        <v>11</v>
      </c>
      <c r="AT23" s="36" t="s">
        <v>1124</v>
      </c>
      <c r="AU23" s="36"/>
      <c r="AV23" s="36" t="s">
        <v>1125</v>
      </c>
      <c r="AW23" s="36"/>
      <c r="AX23" s="36" t="s">
        <v>14385</v>
      </c>
      <c r="AY23" s="36"/>
      <c r="AZ23" s="36" t="s">
        <v>1127</v>
      </c>
      <c r="BA23" s="36"/>
      <c r="BB23" s="36" t="s">
        <v>14636</v>
      </c>
      <c r="BC23" s="36" t="s">
        <v>13326</v>
      </c>
      <c r="BD23" s="36" t="s">
        <v>14645</v>
      </c>
      <c r="BE23" s="36" t="s">
        <v>11</v>
      </c>
      <c r="BF23" s="36" t="s">
        <v>14637</v>
      </c>
      <c r="BG23" s="36" t="s">
        <v>14617</v>
      </c>
      <c r="BH23" s="36" t="s">
        <v>14641</v>
      </c>
      <c r="BI23" s="36"/>
      <c r="BJ23" s="36" t="s">
        <v>14640</v>
      </c>
      <c r="BK23" s="36" t="s">
        <v>14426</v>
      </c>
      <c r="BL23" s="36" t="s">
        <v>1128</v>
      </c>
      <c r="BM23" s="36" t="s">
        <v>10722</v>
      </c>
      <c r="BN23" s="36" t="s">
        <v>1129</v>
      </c>
      <c r="BO23" s="36"/>
      <c r="BP23" s="36"/>
      <c r="BQ23" s="36"/>
      <c r="BR23" s="36"/>
      <c r="BS23" s="36"/>
      <c r="BT23" s="36"/>
      <c r="BU23" s="36"/>
      <c r="BV23" s="36"/>
      <c r="BW23" s="36"/>
      <c r="BX23" s="36"/>
      <c r="BY23" s="36"/>
      <c r="BZ23" s="36"/>
      <c r="CA23" s="36"/>
      <c r="CB23" s="36"/>
      <c r="CC23" s="36"/>
      <c r="CD23" s="36"/>
      <c r="CE23" s="36"/>
      <c r="CF23" s="36"/>
      <c r="CG23" s="36"/>
    </row>
    <row r="24" spans="1:85" x14ac:dyDescent="0.4">
      <c r="A24" s="36" t="s">
        <v>10732</v>
      </c>
      <c r="B24" s="36" t="s">
        <v>6</v>
      </c>
      <c r="C24" s="36" t="s">
        <v>1</v>
      </c>
      <c r="D24" s="20" t="s">
        <v>2211</v>
      </c>
      <c r="E24" s="36" t="s">
        <v>0</v>
      </c>
      <c r="F24" s="36" t="s">
        <v>10732</v>
      </c>
      <c r="G24" s="36" t="s">
        <v>14365</v>
      </c>
      <c r="H24" s="36" t="s">
        <v>4</v>
      </c>
      <c r="I24" s="36" t="s">
        <v>2</v>
      </c>
      <c r="J24" s="36" t="s">
        <v>83</v>
      </c>
      <c r="K24" s="36"/>
      <c r="L24" s="36"/>
      <c r="M24" s="36" t="s">
        <v>2570</v>
      </c>
      <c r="N24" s="36"/>
      <c r="O24" s="36"/>
      <c r="P24" s="36" t="s">
        <v>13845</v>
      </c>
      <c r="Q24" s="36"/>
      <c r="R24" s="36" t="s">
        <v>14366</v>
      </c>
      <c r="S24" s="36" t="s">
        <v>11</v>
      </c>
      <c r="T24" s="36" t="s">
        <v>14367</v>
      </c>
      <c r="U24" s="36"/>
      <c r="V24" s="36" t="s">
        <v>14368</v>
      </c>
      <c r="W24" s="36"/>
      <c r="X24" s="36" t="s">
        <v>14369</v>
      </c>
      <c r="Y24" s="36" t="s">
        <v>14370</v>
      </c>
      <c r="Z24" s="36" t="s">
        <v>14628</v>
      </c>
      <c r="AA24" s="36" t="s">
        <v>14661</v>
      </c>
      <c r="AB24" s="36" t="s">
        <v>14630</v>
      </c>
      <c r="AC24" s="36"/>
      <c r="AD24" s="36" t="s">
        <v>14631</v>
      </c>
      <c r="AE24" s="36"/>
      <c r="AF24" s="36" t="s">
        <v>14633</v>
      </c>
      <c r="AG24" s="36" t="s">
        <v>13326</v>
      </c>
      <c r="AH24" s="36" t="s">
        <v>14635</v>
      </c>
      <c r="AI24" s="36"/>
      <c r="AJ24" s="36" t="s">
        <v>1119</v>
      </c>
      <c r="AK24" s="36" t="s">
        <v>2567</v>
      </c>
      <c r="AL24" s="36" t="s">
        <v>14383</v>
      </c>
      <c r="AM24" s="36" t="s">
        <v>2295</v>
      </c>
      <c r="AN24" s="36" t="s">
        <v>1121</v>
      </c>
      <c r="AO24" s="36"/>
      <c r="AP24" s="36" t="s">
        <v>1122</v>
      </c>
      <c r="AQ24" s="36"/>
      <c r="AR24" s="36" t="s">
        <v>14384</v>
      </c>
      <c r="AS24" s="36" t="s">
        <v>11</v>
      </c>
      <c r="AT24" s="36" t="s">
        <v>1124</v>
      </c>
      <c r="AU24" s="36"/>
      <c r="AV24" s="36" t="s">
        <v>1125</v>
      </c>
      <c r="AW24" s="36"/>
      <c r="AX24" s="36" t="s">
        <v>14385</v>
      </c>
      <c r="AY24" s="36"/>
      <c r="AZ24" s="36" t="s">
        <v>1127</v>
      </c>
      <c r="BA24" s="36"/>
      <c r="BB24" s="36" t="s">
        <v>14636</v>
      </c>
      <c r="BC24" s="36" t="s">
        <v>13326</v>
      </c>
      <c r="BD24" s="36" t="s">
        <v>14645</v>
      </c>
      <c r="BE24" s="36" t="s">
        <v>11</v>
      </c>
      <c r="BF24" s="36" t="s">
        <v>14637</v>
      </c>
      <c r="BG24" s="36" t="s">
        <v>14365</v>
      </c>
      <c r="BH24" s="36" t="s">
        <v>14641</v>
      </c>
      <c r="BI24" s="36"/>
      <c r="BJ24" s="36" t="s">
        <v>14640</v>
      </c>
      <c r="BK24" s="36" t="s">
        <v>14426</v>
      </c>
      <c r="BL24" s="36" t="s">
        <v>1128</v>
      </c>
      <c r="BM24" s="36" t="s">
        <v>10722</v>
      </c>
      <c r="BN24" s="36" t="s">
        <v>1129</v>
      </c>
      <c r="BO24" s="36"/>
      <c r="BP24" s="36"/>
      <c r="BQ24" s="36"/>
      <c r="BR24" s="36"/>
      <c r="BS24" s="36"/>
      <c r="BT24" s="36"/>
      <c r="BU24" s="36"/>
      <c r="BV24" s="36"/>
      <c r="BW24" s="36"/>
      <c r="BX24" s="36"/>
      <c r="BY24" s="36"/>
      <c r="BZ24" s="36"/>
      <c r="CA24" s="36"/>
      <c r="CB24" s="36"/>
      <c r="CC24" s="36"/>
      <c r="CD24" s="36"/>
      <c r="CE24" s="36"/>
      <c r="CF24" s="36"/>
      <c r="CG24" s="36"/>
    </row>
    <row r="25" spans="1:85" x14ac:dyDescent="0.4">
      <c r="A25" s="36" t="s">
        <v>10829</v>
      </c>
      <c r="B25" s="36" t="s">
        <v>6</v>
      </c>
      <c r="C25" s="36" t="s">
        <v>1</v>
      </c>
      <c r="D25" s="20" t="s">
        <v>2211</v>
      </c>
      <c r="E25" s="36" t="s">
        <v>0</v>
      </c>
      <c r="F25" s="36" t="s">
        <v>10829</v>
      </c>
      <c r="G25" s="36" t="s">
        <v>14365</v>
      </c>
      <c r="H25" s="36" t="s">
        <v>7</v>
      </c>
      <c r="I25" s="36" t="s">
        <v>2</v>
      </c>
      <c r="J25" s="36" t="s">
        <v>228</v>
      </c>
      <c r="K25" s="36"/>
      <c r="L25" s="36"/>
      <c r="M25" s="36" t="s">
        <v>10834</v>
      </c>
      <c r="N25" s="36"/>
      <c r="O25" s="36"/>
      <c r="P25" s="36" t="s">
        <v>13845</v>
      </c>
      <c r="Q25" s="36"/>
      <c r="R25" s="36" t="s">
        <v>14366</v>
      </c>
      <c r="S25" s="36" t="s">
        <v>11</v>
      </c>
      <c r="T25" s="36" t="s">
        <v>14367</v>
      </c>
      <c r="U25" s="36"/>
      <c r="V25" s="36" t="s">
        <v>14368</v>
      </c>
      <c r="W25" s="36"/>
      <c r="X25" s="36" t="s">
        <v>14369</v>
      </c>
      <c r="Y25" s="36" t="s">
        <v>14370</v>
      </c>
      <c r="Z25" s="36" t="s">
        <v>14628</v>
      </c>
      <c r="AA25" s="36" t="s">
        <v>14661</v>
      </c>
      <c r="AB25" s="36" t="s">
        <v>14630</v>
      </c>
      <c r="AC25" s="36" t="s">
        <v>13326</v>
      </c>
      <c r="AD25" s="36" t="s">
        <v>14631</v>
      </c>
      <c r="AE25" s="36" t="s">
        <v>13326</v>
      </c>
      <c r="AF25" s="36" t="s">
        <v>14633</v>
      </c>
      <c r="AG25" s="36" t="s">
        <v>13326</v>
      </c>
      <c r="AH25" s="36" t="s">
        <v>14635</v>
      </c>
      <c r="AI25" s="36"/>
      <c r="AJ25" s="36" t="s">
        <v>1119</v>
      </c>
      <c r="AK25" s="36" t="s">
        <v>10831</v>
      </c>
      <c r="AL25" s="36" t="s">
        <v>14383</v>
      </c>
      <c r="AM25" s="36" t="s">
        <v>10832</v>
      </c>
      <c r="AN25" s="36" t="s">
        <v>1121</v>
      </c>
      <c r="AO25" s="36"/>
      <c r="AP25" s="36" t="s">
        <v>1122</v>
      </c>
      <c r="AQ25" s="36"/>
      <c r="AR25" s="36" t="s">
        <v>14384</v>
      </c>
      <c r="AS25" s="36" t="s">
        <v>11</v>
      </c>
      <c r="AT25" s="36" t="s">
        <v>1124</v>
      </c>
      <c r="AU25" s="36"/>
      <c r="AV25" s="36" t="s">
        <v>1125</v>
      </c>
      <c r="AW25" s="36"/>
      <c r="AX25" s="36" t="s">
        <v>14385</v>
      </c>
      <c r="AY25" s="36"/>
      <c r="AZ25" s="36" t="s">
        <v>1127</v>
      </c>
      <c r="BA25" s="36"/>
      <c r="BB25" s="36" t="s">
        <v>14636</v>
      </c>
      <c r="BC25" s="36" t="s">
        <v>13326</v>
      </c>
      <c r="BD25" s="36" t="s">
        <v>14645</v>
      </c>
      <c r="BE25" s="36" t="s">
        <v>11</v>
      </c>
      <c r="BF25" s="36" t="s">
        <v>14637</v>
      </c>
      <c r="BG25" s="36"/>
      <c r="BH25" s="36" t="s">
        <v>14641</v>
      </c>
      <c r="BI25" s="36"/>
      <c r="BJ25" s="36" t="s">
        <v>14640</v>
      </c>
      <c r="BK25" s="36" t="s">
        <v>14388</v>
      </c>
      <c r="BL25" s="36" t="s">
        <v>1128</v>
      </c>
      <c r="BM25" s="36"/>
      <c r="BN25" s="36" t="s">
        <v>1129</v>
      </c>
      <c r="BO25" s="36" t="s">
        <v>10833</v>
      </c>
      <c r="BP25" s="36"/>
      <c r="BQ25" s="36"/>
      <c r="BR25" s="36"/>
      <c r="BS25" s="36"/>
      <c r="BT25" s="36"/>
      <c r="BU25" s="36"/>
      <c r="BV25" s="36"/>
      <c r="BW25" s="36"/>
      <c r="BX25" s="36"/>
      <c r="BY25" s="36"/>
      <c r="BZ25" s="36"/>
      <c r="CA25" s="36"/>
      <c r="CB25" s="36"/>
      <c r="CC25" s="36"/>
      <c r="CD25" s="36"/>
      <c r="CE25" s="36"/>
      <c r="CF25" s="36"/>
      <c r="CG25" s="36"/>
    </row>
    <row r="26" spans="1:85" x14ac:dyDescent="0.4">
      <c r="A26" s="36" t="s">
        <v>10931</v>
      </c>
      <c r="B26" s="36" t="s">
        <v>6</v>
      </c>
      <c r="C26" s="36" t="s">
        <v>1</v>
      </c>
      <c r="D26" s="20" t="s">
        <v>2211</v>
      </c>
      <c r="E26" s="36" t="s">
        <v>0</v>
      </c>
      <c r="F26" s="36" t="s">
        <v>10931</v>
      </c>
      <c r="G26" s="36" t="s">
        <v>14365</v>
      </c>
      <c r="H26" s="36" t="s">
        <v>4</v>
      </c>
      <c r="I26" s="36" t="s">
        <v>2</v>
      </c>
      <c r="J26" s="36" t="s">
        <v>363</v>
      </c>
      <c r="K26" s="36"/>
      <c r="L26" s="36"/>
      <c r="M26" s="36" t="s">
        <v>10935</v>
      </c>
      <c r="N26" s="36"/>
      <c r="O26" s="36"/>
      <c r="P26" s="36" t="s">
        <v>13845</v>
      </c>
      <c r="Q26" s="36"/>
      <c r="R26" s="36" t="s">
        <v>14366</v>
      </c>
      <c r="S26" s="36" t="s">
        <v>11</v>
      </c>
      <c r="T26" s="36" t="s">
        <v>14367</v>
      </c>
      <c r="U26" s="36"/>
      <c r="V26" s="36" t="s">
        <v>14368</v>
      </c>
      <c r="W26" s="36"/>
      <c r="X26" s="36" t="s">
        <v>14369</v>
      </c>
      <c r="Y26" s="36" t="s">
        <v>14370</v>
      </c>
      <c r="Z26" s="36" t="s">
        <v>14628</v>
      </c>
      <c r="AA26" s="36" t="s">
        <v>14663</v>
      </c>
      <c r="AB26" s="36" t="s">
        <v>14630</v>
      </c>
      <c r="AC26" s="36"/>
      <c r="AD26" s="36" t="s">
        <v>14631</v>
      </c>
      <c r="AE26" s="36"/>
      <c r="AF26" s="36" t="s">
        <v>14633</v>
      </c>
      <c r="AG26" s="36" t="s">
        <v>14664</v>
      </c>
      <c r="AH26" s="36" t="s">
        <v>14635</v>
      </c>
      <c r="AI26" s="36" t="s">
        <v>14397</v>
      </c>
      <c r="AJ26" s="36" t="s">
        <v>1119</v>
      </c>
      <c r="AK26" s="36" t="s">
        <v>10933</v>
      </c>
      <c r="AL26" s="36" t="s">
        <v>14383</v>
      </c>
      <c r="AM26" s="36" t="s">
        <v>8741</v>
      </c>
      <c r="AN26" s="36" t="s">
        <v>1121</v>
      </c>
      <c r="AO26" s="36"/>
      <c r="AP26" s="36" t="s">
        <v>1122</v>
      </c>
      <c r="AQ26" s="36"/>
      <c r="AR26" s="36" t="s">
        <v>14384</v>
      </c>
      <c r="AS26" s="36" t="s">
        <v>11</v>
      </c>
      <c r="AT26" s="36" t="s">
        <v>1124</v>
      </c>
      <c r="AU26" s="36"/>
      <c r="AV26" s="36" t="s">
        <v>1125</v>
      </c>
      <c r="AW26" s="36"/>
      <c r="AX26" s="36" t="s">
        <v>14385</v>
      </c>
      <c r="AY26" s="36"/>
      <c r="AZ26" s="36" t="s">
        <v>1127</v>
      </c>
      <c r="BA26" s="36"/>
      <c r="BB26" s="36" t="s">
        <v>14636</v>
      </c>
      <c r="BC26" s="36" t="s">
        <v>13326</v>
      </c>
      <c r="BD26" s="36" t="s">
        <v>14645</v>
      </c>
      <c r="BE26" s="36" t="s">
        <v>14663</v>
      </c>
      <c r="BF26" s="36" t="s">
        <v>14637</v>
      </c>
      <c r="BG26" s="36"/>
      <c r="BH26" s="36" t="s">
        <v>14641</v>
      </c>
      <c r="BI26" s="36"/>
      <c r="BJ26" s="36" t="s">
        <v>14640</v>
      </c>
      <c r="BK26" s="36"/>
      <c r="BL26" s="36" t="s">
        <v>1128</v>
      </c>
      <c r="BM26" s="36"/>
      <c r="BN26" s="36" t="s">
        <v>1129</v>
      </c>
      <c r="BO26" s="36" t="s">
        <v>10934</v>
      </c>
      <c r="BP26" s="36"/>
      <c r="BQ26" s="36"/>
      <c r="BR26" s="36"/>
      <c r="BS26" s="36"/>
      <c r="BT26" s="36"/>
      <c r="BU26" s="36"/>
      <c r="BV26" s="36"/>
      <c r="BW26" s="36"/>
      <c r="BX26" s="36"/>
      <c r="BY26" s="36"/>
      <c r="BZ26" s="36"/>
      <c r="CA26" s="36"/>
      <c r="CB26" s="36"/>
      <c r="CC26" s="36"/>
      <c r="CD26" s="36"/>
      <c r="CE26" s="36"/>
      <c r="CF26" s="36"/>
      <c r="CG26" s="36"/>
    </row>
    <row r="27" spans="1:85" x14ac:dyDescent="0.4">
      <c r="A27" s="36" t="s">
        <v>11040</v>
      </c>
      <c r="B27" s="36" t="s">
        <v>6</v>
      </c>
      <c r="C27" s="36" t="s">
        <v>1</v>
      </c>
      <c r="D27" s="20" t="s">
        <v>2211</v>
      </c>
      <c r="E27" s="36" t="s">
        <v>0</v>
      </c>
      <c r="F27" s="36" t="s">
        <v>11040</v>
      </c>
      <c r="G27" s="36" t="s">
        <v>14365</v>
      </c>
      <c r="H27" s="36" t="s">
        <v>7</v>
      </c>
      <c r="I27" s="36" t="s">
        <v>2</v>
      </c>
      <c r="J27" s="36" t="s">
        <v>363</v>
      </c>
      <c r="K27" s="36"/>
      <c r="L27" s="36"/>
      <c r="M27" s="36" t="s">
        <v>11044</v>
      </c>
      <c r="N27" s="36"/>
      <c r="O27" s="36"/>
      <c r="P27" s="36" t="s">
        <v>13845</v>
      </c>
      <c r="Q27" s="36"/>
      <c r="R27" s="36" t="s">
        <v>14366</v>
      </c>
      <c r="S27" s="36" t="s">
        <v>11</v>
      </c>
      <c r="T27" s="36" t="s">
        <v>14367</v>
      </c>
      <c r="U27" s="36"/>
      <c r="V27" s="36" t="s">
        <v>14368</v>
      </c>
      <c r="W27" s="36"/>
      <c r="X27" s="36" t="s">
        <v>14369</v>
      </c>
      <c r="Y27" s="36" t="s">
        <v>14370</v>
      </c>
      <c r="Z27" s="36" t="s">
        <v>14628</v>
      </c>
      <c r="AA27" s="36" t="s">
        <v>14665</v>
      </c>
      <c r="AB27" s="36" t="s">
        <v>14630</v>
      </c>
      <c r="AC27" s="36"/>
      <c r="AD27" s="36" t="s">
        <v>14631</v>
      </c>
      <c r="AE27" s="36"/>
      <c r="AF27" s="36" t="s">
        <v>14633</v>
      </c>
      <c r="AG27" s="36" t="s">
        <v>14666</v>
      </c>
      <c r="AH27" s="36" t="s">
        <v>14635</v>
      </c>
      <c r="AI27" s="36" t="s">
        <v>14667</v>
      </c>
      <c r="AJ27" s="36" t="s">
        <v>1119</v>
      </c>
      <c r="AK27" s="36" t="s">
        <v>11042</v>
      </c>
      <c r="AL27" s="36" t="s">
        <v>14383</v>
      </c>
      <c r="AM27" s="36" t="s">
        <v>3426</v>
      </c>
      <c r="AN27" s="36" t="s">
        <v>1121</v>
      </c>
      <c r="AO27" s="36"/>
      <c r="AP27" s="36" t="s">
        <v>1122</v>
      </c>
      <c r="AQ27" s="36"/>
      <c r="AR27" s="36" t="s">
        <v>14384</v>
      </c>
      <c r="AS27" s="36" t="s">
        <v>11</v>
      </c>
      <c r="AT27" s="36" t="s">
        <v>1124</v>
      </c>
      <c r="AU27" s="36"/>
      <c r="AV27" s="36" t="s">
        <v>1125</v>
      </c>
      <c r="AW27" s="36"/>
      <c r="AX27" s="36" t="s">
        <v>14385</v>
      </c>
      <c r="AY27" s="36"/>
      <c r="AZ27" s="36" t="s">
        <v>1127</v>
      </c>
      <c r="BA27" s="36"/>
      <c r="BB27" s="36" t="s">
        <v>14636</v>
      </c>
      <c r="BC27" s="36" t="s">
        <v>14668</v>
      </c>
      <c r="BD27" s="36" t="s">
        <v>14645</v>
      </c>
      <c r="BE27" s="36" t="s">
        <v>14669</v>
      </c>
      <c r="BF27" s="36" t="s">
        <v>14637</v>
      </c>
      <c r="BG27" s="36"/>
      <c r="BH27" s="36" t="s">
        <v>14641</v>
      </c>
      <c r="BI27" s="36"/>
      <c r="BJ27" s="36" t="s">
        <v>14640</v>
      </c>
      <c r="BK27" s="36"/>
      <c r="BL27" s="36" t="s">
        <v>1128</v>
      </c>
      <c r="BM27" s="36"/>
      <c r="BN27" s="36" t="s">
        <v>1129</v>
      </c>
      <c r="BO27" s="36" t="s">
        <v>11043</v>
      </c>
      <c r="BP27" s="36"/>
      <c r="BQ27" s="36"/>
      <c r="BR27" s="36"/>
      <c r="BS27" s="36"/>
      <c r="BT27" s="36"/>
      <c r="BU27" s="36"/>
      <c r="BV27" s="36"/>
      <c r="BW27" s="36"/>
      <c r="BX27" s="36"/>
      <c r="BY27" s="36"/>
      <c r="BZ27" s="36"/>
      <c r="CA27" s="36"/>
      <c r="CB27" s="36"/>
      <c r="CC27" s="36"/>
      <c r="CD27" s="36"/>
      <c r="CE27" s="36"/>
      <c r="CF27" s="36"/>
      <c r="CG27" s="36"/>
    </row>
    <row r="28" spans="1:85" x14ac:dyDescent="0.4">
      <c r="A28" s="36" t="s">
        <v>11049</v>
      </c>
      <c r="B28" s="36" t="s">
        <v>6</v>
      </c>
      <c r="C28" s="36" t="s">
        <v>1</v>
      </c>
      <c r="D28" s="20" t="s">
        <v>2211</v>
      </c>
      <c r="E28" s="36" t="s">
        <v>0</v>
      </c>
      <c r="F28" s="36" t="s">
        <v>11049</v>
      </c>
      <c r="G28" s="36" t="s">
        <v>14365</v>
      </c>
      <c r="H28" s="36" t="s">
        <v>7</v>
      </c>
      <c r="I28" s="36" t="s">
        <v>2</v>
      </c>
      <c r="J28" s="36" t="s">
        <v>363</v>
      </c>
      <c r="K28" s="36"/>
      <c r="L28" s="36"/>
      <c r="M28" s="36" t="s">
        <v>11052</v>
      </c>
      <c r="N28" s="36"/>
      <c r="O28" s="36"/>
      <c r="P28" s="36" t="s">
        <v>13845</v>
      </c>
      <c r="Q28" s="36"/>
      <c r="R28" s="36" t="s">
        <v>14366</v>
      </c>
      <c r="S28" s="36" t="s">
        <v>11</v>
      </c>
      <c r="T28" s="36" t="s">
        <v>14367</v>
      </c>
      <c r="U28" s="36"/>
      <c r="V28" s="36" t="s">
        <v>14368</v>
      </c>
      <c r="W28" s="36"/>
      <c r="X28" s="36" t="s">
        <v>14369</v>
      </c>
      <c r="Y28" s="36" t="s">
        <v>14370</v>
      </c>
      <c r="Z28" s="36" t="s">
        <v>14628</v>
      </c>
      <c r="AA28" s="36" t="s">
        <v>14665</v>
      </c>
      <c r="AB28" s="36" t="s">
        <v>14630</v>
      </c>
      <c r="AC28" s="36"/>
      <c r="AD28" s="36" t="s">
        <v>14631</v>
      </c>
      <c r="AE28" s="36"/>
      <c r="AF28" s="36" t="s">
        <v>14633</v>
      </c>
      <c r="AG28" s="36" t="s">
        <v>14670</v>
      </c>
      <c r="AH28" s="36" t="s">
        <v>14635</v>
      </c>
      <c r="AI28" s="36" t="s">
        <v>14667</v>
      </c>
      <c r="AJ28" s="36" t="s">
        <v>1119</v>
      </c>
      <c r="AK28" s="36" t="s">
        <v>11051</v>
      </c>
      <c r="AL28" s="36" t="s">
        <v>14383</v>
      </c>
      <c r="AM28" s="36" t="s">
        <v>3426</v>
      </c>
      <c r="AN28" s="36" t="s">
        <v>1121</v>
      </c>
      <c r="AO28" s="36"/>
      <c r="AP28" s="36" t="s">
        <v>1122</v>
      </c>
      <c r="AQ28" s="36"/>
      <c r="AR28" s="36" t="s">
        <v>14384</v>
      </c>
      <c r="AS28" s="36" t="s">
        <v>11</v>
      </c>
      <c r="AT28" s="36" t="s">
        <v>1124</v>
      </c>
      <c r="AU28" s="36"/>
      <c r="AV28" s="36" t="s">
        <v>1125</v>
      </c>
      <c r="AW28" s="36"/>
      <c r="AX28" s="36" t="s">
        <v>14385</v>
      </c>
      <c r="AY28" s="36"/>
      <c r="AZ28" s="36" t="s">
        <v>1127</v>
      </c>
      <c r="BA28" s="36"/>
      <c r="BB28" s="36" t="s">
        <v>14636</v>
      </c>
      <c r="BC28" s="36" t="s">
        <v>14668</v>
      </c>
      <c r="BD28" s="36" t="s">
        <v>14645</v>
      </c>
      <c r="BE28" s="36" t="s">
        <v>14669</v>
      </c>
      <c r="BF28" s="36" t="s">
        <v>14637</v>
      </c>
      <c r="BG28" s="36"/>
      <c r="BH28" s="36" t="s">
        <v>14641</v>
      </c>
      <c r="BI28" s="36"/>
      <c r="BJ28" s="36" t="s">
        <v>14640</v>
      </c>
      <c r="BK28" s="36"/>
      <c r="BL28" s="36" t="s">
        <v>1128</v>
      </c>
      <c r="BM28" s="36"/>
      <c r="BN28" s="36" t="s">
        <v>1129</v>
      </c>
      <c r="BO28" s="36" t="s">
        <v>11043</v>
      </c>
      <c r="BP28" s="36"/>
      <c r="BQ28" s="36"/>
      <c r="BR28" s="36"/>
      <c r="BS28" s="36"/>
      <c r="BT28" s="36"/>
      <c r="BU28" s="36"/>
      <c r="BV28" s="36"/>
      <c r="BW28" s="36"/>
      <c r="BX28" s="36"/>
      <c r="BY28" s="36"/>
      <c r="BZ28" s="36"/>
      <c r="CA28" s="36"/>
      <c r="CB28" s="36"/>
      <c r="CC28" s="36"/>
      <c r="CD28" s="36"/>
      <c r="CE28" s="36"/>
      <c r="CF28" s="36"/>
      <c r="CG28" s="36"/>
    </row>
    <row r="29" spans="1:85" x14ac:dyDescent="0.4">
      <c r="A29" s="36" t="s">
        <v>11055</v>
      </c>
      <c r="B29" s="36" t="s">
        <v>6</v>
      </c>
      <c r="C29" s="36" t="s">
        <v>1</v>
      </c>
      <c r="D29" s="20" t="s">
        <v>2211</v>
      </c>
      <c r="E29" s="36" t="s">
        <v>0</v>
      </c>
      <c r="F29" s="36" t="s">
        <v>11055</v>
      </c>
      <c r="G29" s="36" t="s">
        <v>14365</v>
      </c>
      <c r="H29" s="36" t="s">
        <v>7</v>
      </c>
      <c r="I29" s="36" t="s">
        <v>2</v>
      </c>
      <c r="J29" s="36" t="s">
        <v>363</v>
      </c>
      <c r="K29" s="36"/>
      <c r="L29" s="36"/>
      <c r="M29" s="36" t="s">
        <v>11058</v>
      </c>
      <c r="N29" s="36"/>
      <c r="O29" s="36"/>
      <c r="P29" s="36" t="s">
        <v>13845</v>
      </c>
      <c r="Q29" s="36"/>
      <c r="R29" s="36" t="s">
        <v>14366</v>
      </c>
      <c r="S29" s="36" t="s">
        <v>11</v>
      </c>
      <c r="T29" s="36" t="s">
        <v>14367</v>
      </c>
      <c r="U29" s="36"/>
      <c r="V29" s="36" t="s">
        <v>14368</v>
      </c>
      <c r="W29" s="36"/>
      <c r="X29" s="36" t="s">
        <v>14369</v>
      </c>
      <c r="Y29" s="36" t="s">
        <v>14370</v>
      </c>
      <c r="Z29" s="36" t="s">
        <v>14628</v>
      </c>
      <c r="AA29" s="36" t="s">
        <v>14665</v>
      </c>
      <c r="AB29" s="36" t="s">
        <v>14630</v>
      </c>
      <c r="AC29" s="36"/>
      <c r="AD29" s="36" t="s">
        <v>14631</v>
      </c>
      <c r="AE29" s="36"/>
      <c r="AF29" s="36" t="s">
        <v>14633</v>
      </c>
      <c r="AG29" s="36" t="s">
        <v>14666</v>
      </c>
      <c r="AH29" s="36" t="s">
        <v>14635</v>
      </c>
      <c r="AI29" s="36" t="s">
        <v>14671</v>
      </c>
      <c r="AJ29" s="36" t="s">
        <v>1119</v>
      </c>
      <c r="AK29" s="36" t="s">
        <v>11057</v>
      </c>
      <c r="AL29" s="36" t="s">
        <v>14383</v>
      </c>
      <c r="AM29" s="36" t="s">
        <v>3426</v>
      </c>
      <c r="AN29" s="36" t="s">
        <v>1121</v>
      </c>
      <c r="AO29" s="36"/>
      <c r="AP29" s="36" t="s">
        <v>1122</v>
      </c>
      <c r="AQ29" s="36"/>
      <c r="AR29" s="36" t="s">
        <v>14384</v>
      </c>
      <c r="AS29" s="36" t="s">
        <v>11</v>
      </c>
      <c r="AT29" s="36" t="s">
        <v>1124</v>
      </c>
      <c r="AU29" s="36"/>
      <c r="AV29" s="36" t="s">
        <v>1125</v>
      </c>
      <c r="AW29" s="36"/>
      <c r="AX29" s="36" t="s">
        <v>14385</v>
      </c>
      <c r="AY29" s="36"/>
      <c r="AZ29" s="36" t="s">
        <v>1127</v>
      </c>
      <c r="BA29" s="36"/>
      <c r="BB29" s="36" t="s">
        <v>14636</v>
      </c>
      <c r="BC29" s="36" t="s">
        <v>14668</v>
      </c>
      <c r="BD29" s="36" t="s">
        <v>14645</v>
      </c>
      <c r="BE29" s="36" t="s">
        <v>14669</v>
      </c>
      <c r="BF29" s="36" t="s">
        <v>14637</v>
      </c>
      <c r="BG29" s="36"/>
      <c r="BH29" s="36" t="s">
        <v>14641</v>
      </c>
      <c r="BI29" s="36"/>
      <c r="BJ29" s="36" t="s">
        <v>14640</v>
      </c>
      <c r="BK29" s="36"/>
      <c r="BL29" s="36" t="s">
        <v>1128</v>
      </c>
      <c r="BM29" s="36"/>
      <c r="BN29" s="36" t="s">
        <v>1129</v>
      </c>
      <c r="BO29" s="36" t="s">
        <v>11043</v>
      </c>
      <c r="BP29" s="36"/>
      <c r="BQ29" s="36"/>
      <c r="BR29" s="36"/>
      <c r="BS29" s="36"/>
      <c r="BT29" s="36"/>
      <c r="BU29" s="36"/>
      <c r="BV29" s="36"/>
      <c r="BW29" s="36"/>
      <c r="BX29" s="36"/>
      <c r="BY29" s="36"/>
      <c r="BZ29" s="36"/>
      <c r="CA29" s="36"/>
      <c r="CB29" s="36"/>
      <c r="CC29" s="36"/>
      <c r="CD29" s="36"/>
      <c r="CE29" s="36"/>
      <c r="CF29" s="36"/>
      <c r="CG29" s="36"/>
    </row>
    <row r="30" spans="1:85" x14ac:dyDescent="0.4">
      <c r="A30" s="36" t="s">
        <v>11139</v>
      </c>
      <c r="B30" s="36" t="s">
        <v>6</v>
      </c>
      <c r="C30" s="36" t="s">
        <v>1</v>
      </c>
      <c r="D30" s="20" t="s">
        <v>2211</v>
      </c>
      <c r="E30" s="36" t="s">
        <v>0</v>
      </c>
      <c r="F30" s="36" t="s">
        <v>11139</v>
      </c>
      <c r="G30" s="36" t="s">
        <v>14365</v>
      </c>
      <c r="H30" s="36" t="s">
        <v>4</v>
      </c>
      <c r="I30" s="36" t="s">
        <v>2</v>
      </c>
      <c r="J30" s="36" t="s">
        <v>848</v>
      </c>
      <c r="K30" s="36"/>
      <c r="L30" s="36"/>
      <c r="M30" s="36" t="s">
        <v>11142</v>
      </c>
      <c r="N30" s="36"/>
      <c r="O30" s="36"/>
      <c r="P30" s="36" t="s">
        <v>13845</v>
      </c>
      <c r="Q30" s="36"/>
      <c r="R30" s="36" t="s">
        <v>14366</v>
      </c>
      <c r="S30" s="36" t="s">
        <v>11</v>
      </c>
      <c r="T30" s="36" t="s">
        <v>14367</v>
      </c>
      <c r="U30" s="36"/>
      <c r="V30" s="36" t="s">
        <v>14368</v>
      </c>
      <c r="W30" s="36"/>
      <c r="X30" s="36" t="s">
        <v>14369</v>
      </c>
      <c r="Y30" s="36" t="s">
        <v>14370</v>
      </c>
      <c r="Z30" s="36" t="s">
        <v>14628</v>
      </c>
      <c r="AA30" s="36" t="s">
        <v>2568</v>
      </c>
      <c r="AB30" s="36" t="s">
        <v>14630</v>
      </c>
      <c r="AC30" s="36" t="s">
        <v>14399</v>
      </c>
      <c r="AD30" s="36" t="s">
        <v>14631</v>
      </c>
      <c r="AE30" s="36"/>
      <c r="AF30" s="36" t="s">
        <v>14633</v>
      </c>
      <c r="AG30" s="36" t="s">
        <v>14672</v>
      </c>
      <c r="AH30" s="36" t="s">
        <v>14635</v>
      </c>
      <c r="AI30" s="36"/>
      <c r="AJ30" s="36" t="s">
        <v>1119</v>
      </c>
      <c r="AK30" s="36" t="s">
        <v>11141</v>
      </c>
      <c r="AL30" s="36" t="s">
        <v>14383</v>
      </c>
      <c r="AM30" s="36" t="s">
        <v>2911</v>
      </c>
      <c r="AN30" s="36" t="s">
        <v>1121</v>
      </c>
      <c r="AO30" s="36"/>
      <c r="AP30" s="36" t="s">
        <v>1122</v>
      </c>
      <c r="AQ30" s="36"/>
      <c r="AR30" s="36" t="s">
        <v>14384</v>
      </c>
      <c r="AS30" s="36" t="s">
        <v>11</v>
      </c>
      <c r="AT30" s="36" t="s">
        <v>1124</v>
      </c>
      <c r="AU30" s="36"/>
      <c r="AV30" s="36" t="s">
        <v>1125</v>
      </c>
      <c r="AW30" s="36"/>
      <c r="AX30" s="36" t="s">
        <v>14385</v>
      </c>
      <c r="AY30" s="36"/>
      <c r="AZ30" s="36" t="s">
        <v>1127</v>
      </c>
      <c r="BA30" s="36"/>
      <c r="BB30" s="36" t="s">
        <v>14636</v>
      </c>
      <c r="BC30" s="36" t="s">
        <v>13326</v>
      </c>
      <c r="BD30" s="36" t="s">
        <v>14645</v>
      </c>
      <c r="BE30" s="36" t="s">
        <v>11</v>
      </c>
      <c r="BF30" s="36" t="s">
        <v>14637</v>
      </c>
      <c r="BG30" s="36"/>
      <c r="BH30" s="36" t="s">
        <v>14641</v>
      </c>
      <c r="BI30" s="36"/>
      <c r="BJ30" s="36" t="s">
        <v>14640</v>
      </c>
      <c r="BK30" s="36"/>
      <c r="BL30" s="36" t="s">
        <v>1128</v>
      </c>
      <c r="BM30" s="36"/>
      <c r="BN30" s="36" t="s">
        <v>1129</v>
      </c>
      <c r="BO30" s="36"/>
      <c r="BP30" s="36"/>
      <c r="BQ30" s="36"/>
      <c r="BR30" s="36"/>
      <c r="BS30" s="36"/>
      <c r="BT30" s="36"/>
      <c r="BU30" s="36"/>
      <c r="BV30" s="36"/>
      <c r="BW30" s="36"/>
      <c r="BX30" s="36"/>
      <c r="BY30" s="36"/>
      <c r="BZ30" s="36"/>
      <c r="CA30" s="36"/>
      <c r="CB30" s="36"/>
      <c r="CC30" s="36"/>
      <c r="CD30" s="36"/>
      <c r="CE30" s="36"/>
      <c r="CF30" s="36"/>
      <c r="CG30" s="36"/>
    </row>
    <row r="33" spans="1:85" x14ac:dyDescent="0.4">
      <c r="A33" s="38" t="s">
        <v>14285</v>
      </c>
      <c r="B33" s="38" t="s">
        <v>1113</v>
      </c>
      <c r="C33" s="38" t="s">
        <v>1112</v>
      </c>
      <c r="D33" s="38" t="s">
        <v>14287</v>
      </c>
      <c r="E33" s="38" t="s">
        <v>1108</v>
      </c>
      <c r="F33" s="38" t="s">
        <v>14288</v>
      </c>
      <c r="G33" s="38" t="s">
        <v>14289</v>
      </c>
      <c r="H33" s="38" t="s">
        <v>1117</v>
      </c>
      <c r="I33" s="38" t="s">
        <v>14290</v>
      </c>
      <c r="J33" s="38" t="s">
        <v>14291</v>
      </c>
      <c r="K33" s="38" t="s">
        <v>14292</v>
      </c>
      <c r="L33" s="38" t="s">
        <v>14293</v>
      </c>
      <c r="M33" s="38" t="s">
        <v>14294</v>
      </c>
      <c r="N33" s="38" t="s">
        <v>14295</v>
      </c>
      <c r="O33" s="38" t="s">
        <v>14296</v>
      </c>
      <c r="P33" s="38" t="s">
        <v>14297</v>
      </c>
      <c r="Q33" s="38" t="s">
        <v>14298</v>
      </c>
      <c r="R33" s="38" t="s">
        <v>14299</v>
      </c>
      <c r="S33" s="38" t="s">
        <v>14300</v>
      </c>
      <c r="T33" s="38" t="s">
        <v>14301</v>
      </c>
      <c r="U33" s="38" t="s">
        <v>14302</v>
      </c>
      <c r="V33" s="38" t="s">
        <v>14303</v>
      </c>
      <c r="W33" s="38" t="s">
        <v>14304</v>
      </c>
      <c r="X33" s="38" t="s">
        <v>14305</v>
      </c>
      <c r="Y33" s="38" t="s">
        <v>14306</v>
      </c>
      <c r="Z33" s="38" t="s">
        <v>14307</v>
      </c>
      <c r="AA33" s="38" t="s">
        <v>14308</v>
      </c>
      <c r="AB33" s="38" t="s">
        <v>14309</v>
      </c>
      <c r="AC33" s="39" t="s">
        <v>14310</v>
      </c>
      <c r="AD33" s="38" t="s">
        <v>14311</v>
      </c>
      <c r="AE33" s="39" t="s">
        <v>14312</v>
      </c>
      <c r="AF33" s="38" t="s">
        <v>14313</v>
      </c>
      <c r="AG33" s="39" t="s">
        <v>14314</v>
      </c>
      <c r="AH33" s="38" t="s">
        <v>14315</v>
      </c>
      <c r="AI33" s="39" t="s">
        <v>14316</v>
      </c>
      <c r="AJ33" s="38" t="s">
        <v>14317</v>
      </c>
      <c r="AK33" s="39" t="s">
        <v>14318</v>
      </c>
      <c r="AL33" s="38" t="s">
        <v>14319</v>
      </c>
      <c r="AM33" s="39" t="s">
        <v>14320</v>
      </c>
      <c r="AN33" s="38" t="s">
        <v>14321</v>
      </c>
      <c r="AO33" s="38" t="s">
        <v>14322</v>
      </c>
      <c r="AP33" s="38" t="s">
        <v>14323</v>
      </c>
      <c r="AQ33" s="38" t="s">
        <v>14324</v>
      </c>
      <c r="AR33" s="38" t="s">
        <v>14325</v>
      </c>
      <c r="AS33" s="38" t="s">
        <v>14326</v>
      </c>
      <c r="AT33" s="38" t="s">
        <v>14327</v>
      </c>
      <c r="AU33" s="38" t="s">
        <v>14328</v>
      </c>
      <c r="AV33" s="38" t="s">
        <v>14329</v>
      </c>
      <c r="AW33" s="38" t="s">
        <v>14330</v>
      </c>
      <c r="AX33" s="38" t="s">
        <v>14331</v>
      </c>
      <c r="AY33" s="38" t="s">
        <v>14332</v>
      </c>
      <c r="AZ33" s="38" t="s">
        <v>14333</v>
      </c>
      <c r="BA33" s="38" t="s">
        <v>14334</v>
      </c>
      <c r="BB33" s="38" t="s">
        <v>14335</v>
      </c>
      <c r="BC33" s="38" t="s">
        <v>14336</v>
      </c>
      <c r="BD33" s="38" t="s">
        <v>14337</v>
      </c>
      <c r="BE33" s="38" t="s">
        <v>14338</v>
      </c>
      <c r="BF33" s="38" t="s">
        <v>14339</v>
      </c>
      <c r="BG33" s="38" t="s">
        <v>14340</v>
      </c>
      <c r="BH33" s="38" t="s">
        <v>14341</v>
      </c>
      <c r="BI33" s="38" t="s">
        <v>14342</v>
      </c>
      <c r="BJ33" s="38" t="s">
        <v>14343</v>
      </c>
      <c r="BK33" s="38" t="s">
        <v>14344</v>
      </c>
      <c r="BL33" s="38" t="s">
        <v>14345</v>
      </c>
      <c r="BM33" s="38" t="s">
        <v>14346</v>
      </c>
      <c r="BN33" s="38" t="s">
        <v>14347</v>
      </c>
      <c r="BO33" s="38" t="s">
        <v>14348</v>
      </c>
      <c r="BP33" s="38" t="s">
        <v>14349</v>
      </c>
      <c r="BQ33" s="38" t="s">
        <v>14350</v>
      </c>
      <c r="BR33" s="38" t="s">
        <v>14351</v>
      </c>
      <c r="BS33" s="38" t="s">
        <v>14352</v>
      </c>
      <c r="BT33" s="38" t="s">
        <v>14353</v>
      </c>
      <c r="BU33" s="38" t="s">
        <v>14354</v>
      </c>
      <c r="BV33" s="38" t="s">
        <v>14355</v>
      </c>
      <c r="BW33" s="38" t="s">
        <v>14356</v>
      </c>
      <c r="BX33" s="38" t="s">
        <v>14357</v>
      </c>
      <c r="BY33" s="38" t="s">
        <v>14358</v>
      </c>
      <c r="BZ33" s="38" t="s">
        <v>14359</v>
      </c>
      <c r="CA33" s="38" t="s">
        <v>14360</v>
      </c>
      <c r="CB33" s="38" t="s">
        <v>14361</v>
      </c>
      <c r="CC33" s="38" t="s">
        <v>14362</v>
      </c>
      <c r="CD33" s="38" t="s">
        <v>14363</v>
      </c>
      <c r="CE33" s="38" t="s">
        <v>14364</v>
      </c>
      <c r="CF33" s="38" t="s">
        <v>14364</v>
      </c>
      <c r="CG33" s="38" t="s">
        <v>14364</v>
      </c>
    </row>
    <row r="34" spans="1:85" x14ac:dyDescent="0.4">
      <c r="A34" s="40" t="s">
        <v>9887</v>
      </c>
      <c r="B34" s="40" t="s">
        <v>6</v>
      </c>
      <c r="C34" s="40" t="s">
        <v>1</v>
      </c>
      <c r="D34" s="20" t="s">
        <v>2157</v>
      </c>
      <c r="E34" s="40" t="s">
        <v>0</v>
      </c>
      <c r="F34" s="40" t="s">
        <v>9887</v>
      </c>
      <c r="G34" s="40" t="s">
        <v>14365</v>
      </c>
      <c r="H34" s="40" t="s">
        <v>7</v>
      </c>
      <c r="I34" s="40" t="s">
        <v>2</v>
      </c>
      <c r="J34" s="40" t="s">
        <v>127</v>
      </c>
      <c r="K34" s="40"/>
      <c r="L34" s="40"/>
      <c r="M34" s="40" t="s">
        <v>9891</v>
      </c>
      <c r="N34" s="40"/>
      <c r="O34" s="40"/>
      <c r="P34" s="40" t="s">
        <v>13845</v>
      </c>
      <c r="Q34" s="40"/>
      <c r="R34" s="40" t="s">
        <v>14366</v>
      </c>
      <c r="S34" s="40" t="s">
        <v>11</v>
      </c>
      <c r="T34" s="40" t="s">
        <v>14367</v>
      </c>
      <c r="U34" s="40"/>
      <c r="V34" s="40" t="s">
        <v>14368</v>
      </c>
      <c r="W34" s="40"/>
      <c r="X34" s="40" t="s">
        <v>14369</v>
      </c>
      <c r="Y34" s="40" t="s">
        <v>14370</v>
      </c>
      <c r="Z34" s="40" t="s">
        <v>14628</v>
      </c>
      <c r="AA34" s="40" t="s">
        <v>14673</v>
      </c>
      <c r="AB34" s="40" t="s">
        <v>14674</v>
      </c>
      <c r="AC34" s="40" t="s">
        <v>10021</v>
      </c>
      <c r="AD34" s="40" t="s">
        <v>1119</v>
      </c>
      <c r="AE34" s="40" t="s">
        <v>9889</v>
      </c>
      <c r="AF34" s="40" t="s">
        <v>14383</v>
      </c>
      <c r="AG34" s="40" t="s">
        <v>9879</v>
      </c>
      <c r="AH34" s="40" t="s">
        <v>1121</v>
      </c>
      <c r="AI34" s="40"/>
      <c r="AJ34" s="40" t="s">
        <v>1122</v>
      </c>
      <c r="AK34" s="40"/>
      <c r="AL34" s="40" t="s">
        <v>14384</v>
      </c>
      <c r="AM34" s="40" t="s">
        <v>11</v>
      </c>
      <c r="AN34" s="40" t="s">
        <v>1124</v>
      </c>
      <c r="AO34" s="40"/>
      <c r="AP34" s="40" t="s">
        <v>1125</v>
      </c>
      <c r="AQ34" s="40"/>
      <c r="AR34" s="40" t="s">
        <v>14385</v>
      </c>
      <c r="AS34" s="40"/>
      <c r="AT34" s="40" t="s">
        <v>1127</v>
      </c>
      <c r="AU34" s="40"/>
      <c r="AV34" s="40" t="s">
        <v>14630</v>
      </c>
      <c r="AW34" s="40"/>
      <c r="AX34" s="40" t="s">
        <v>14631</v>
      </c>
      <c r="AY34" s="40"/>
      <c r="AZ34" s="40" t="s">
        <v>14635</v>
      </c>
      <c r="BA34" s="40"/>
      <c r="BB34" s="40" t="s">
        <v>14633</v>
      </c>
      <c r="BC34" s="40"/>
      <c r="BD34" s="40" t="s">
        <v>14636</v>
      </c>
      <c r="BE34" s="40"/>
      <c r="BF34" s="40" t="s">
        <v>14640</v>
      </c>
      <c r="BG34" s="40"/>
      <c r="BH34" s="40" t="s">
        <v>14637</v>
      </c>
      <c r="BI34" s="40" t="s">
        <v>13326</v>
      </c>
      <c r="BJ34" s="40" t="s">
        <v>14641</v>
      </c>
      <c r="BK34" s="40"/>
      <c r="BL34" s="40" t="s">
        <v>14638</v>
      </c>
      <c r="BM34" s="40" t="s">
        <v>12</v>
      </c>
      <c r="BN34" s="40" t="s">
        <v>1128</v>
      </c>
      <c r="BO34" s="40"/>
      <c r="BP34" s="40" t="s">
        <v>1129</v>
      </c>
      <c r="BQ34" s="40" t="s">
        <v>9890</v>
      </c>
      <c r="BR34" s="40"/>
      <c r="BS34" s="40"/>
      <c r="BT34" s="40"/>
      <c r="BU34" s="40"/>
      <c r="BV34" s="40"/>
      <c r="BW34" s="40"/>
      <c r="BX34" s="40"/>
      <c r="BY34" s="40"/>
      <c r="BZ34" s="40"/>
      <c r="CA34" s="40"/>
      <c r="CB34" s="40"/>
      <c r="CC34" s="40"/>
      <c r="CD34" s="40"/>
      <c r="CE34" s="40"/>
      <c r="CF34" s="40"/>
      <c r="CG34" s="40"/>
    </row>
    <row r="35" spans="1:85" x14ac:dyDescent="0.4">
      <c r="A35" s="40" t="s">
        <v>9925</v>
      </c>
      <c r="B35" s="40" t="s">
        <v>6</v>
      </c>
      <c r="C35" s="40" t="s">
        <v>1</v>
      </c>
      <c r="D35" s="20" t="s">
        <v>2157</v>
      </c>
      <c r="E35" s="40" t="s">
        <v>0</v>
      </c>
      <c r="F35" s="40" t="s">
        <v>9925</v>
      </c>
      <c r="G35" s="40" t="s">
        <v>14365</v>
      </c>
      <c r="H35" s="40" t="s">
        <v>7</v>
      </c>
      <c r="I35" s="40" t="s">
        <v>2</v>
      </c>
      <c r="J35" s="40" t="s">
        <v>9931</v>
      </c>
      <c r="K35" s="40"/>
      <c r="L35" s="40"/>
      <c r="M35" s="40" t="s">
        <v>9929</v>
      </c>
      <c r="N35" s="40"/>
      <c r="O35" s="40"/>
      <c r="P35" s="40" t="s">
        <v>13845</v>
      </c>
      <c r="Q35" s="40"/>
      <c r="R35" s="40" t="s">
        <v>14366</v>
      </c>
      <c r="S35" s="40" t="s">
        <v>11</v>
      </c>
      <c r="T35" s="40" t="s">
        <v>14367</v>
      </c>
      <c r="U35" s="40"/>
      <c r="V35" s="40" t="s">
        <v>14368</v>
      </c>
      <c r="W35" s="40"/>
      <c r="X35" s="40" t="s">
        <v>14369</v>
      </c>
      <c r="Y35" s="40" t="s">
        <v>14370</v>
      </c>
      <c r="Z35" s="40" t="s">
        <v>14628</v>
      </c>
      <c r="AA35" s="40" t="s">
        <v>14675</v>
      </c>
      <c r="AB35" s="40" t="s">
        <v>14674</v>
      </c>
      <c r="AC35" s="40" t="s">
        <v>2568</v>
      </c>
      <c r="AD35" s="40" t="s">
        <v>1119</v>
      </c>
      <c r="AE35" s="40" t="s">
        <v>9927</v>
      </c>
      <c r="AF35" s="40" t="s">
        <v>14383</v>
      </c>
      <c r="AG35" s="40" t="s">
        <v>9928</v>
      </c>
      <c r="AH35" s="40" t="s">
        <v>1121</v>
      </c>
      <c r="AI35" s="40"/>
      <c r="AJ35" s="40" t="s">
        <v>1122</v>
      </c>
      <c r="AK35" s="40"/>
      <c r="AL35" s="40" t="s">
        <v>14384</v>
      </c>
      <c r="AM35" s="40" t="s">
        <v>11</v>
      </c>
      <c r="AN35" s="40" t="s">
        <v>1124</v>
      </c>
      <c r="AO35" s="40"/>
      <c r="AP35" s="40" t="s">
        <v>1125</v>
      </c>
      <c r="AQ35" s="40"/>
      <c r="AR35" s="40" t="s">
        <v>14385</v>
      </c>
      <c r="AS35" s="40"/>
      <c r="AT35" s="40" t="s">
        <v>1127</v>
      </c>
      <c r="AU35" s="40"/>
      <c r="AV35" s="40" t="s">
        <v>14630</v>
      </c>
      <c r="AW35" s="40" t="s">
        <v>14453</v>
      </c>
      <c r="AX35" s="40" t="s">
        <v>14631</v>
      </c>
      <c r="AY35" s="40" t="s">
        <v>14656</v>
      </c>
      <c r="AZ35" s="40" t="s">
        <v>14635</v>
      </c>
      <c r="BA35" s="40" t="s">
        <v>2511</v>
      </c>
      <c r="BB35" s="40" t="s">
        <v>14633</v>
      </c>
      <c r="BC35" s="40" t="s">
        <v>14397</v>
      </c>
      <c r="BD35" s="40" t="s">
        <v>14636</v>
      </c>
      <c r="BE35" s="40" t="s">
        <v>14676</v>
      </c>
      <c r="BF35" s="40" t="s">
        <v>14640</v>
      </c>
      <c r="BG35" s="40" t="s">
        <v>14677</v>
      </c>
      <c r="BH35" s="40" t="s">
        <v>14637</v>
      </c>
      <c r="BI35" s="40" t="s">
        <v>14365</v>
      </c>
      <c r="BJ35" s="40" t="s">
        <v>14641</v>
      </c>
      <c r="BK35" s="40"/>
      <c r="BL35" s="40" t="s">
        <v>14638</v>
      </c>
      <c r="BM35" s="40" t="s">
        <v>14678</v>
      </c>
      <c r="BN35" s="40" t="s">
        <v>1128</v>
      </c>
      <c r="BO35" s="40"/>
      <c r="BP35" s="40" t="s">
        <v>1129</v>
      </c>
      <c r="BQ35" s="40"/>
      <c r="BR35" s="40"/>
      <c r="BS35" s="40"/>
      <c r="BT35" s="40"/>
      <c r="BU35" s="40"/>
      <c r="BV35" s="40"/>
      <c r="BW35" s="40"/>
      <c r="BX35" s="40"/>
      <c r="BY35" s="40"/>
      <c r="BZ35" s="40"/>
      <c r="CA35" s="40"/>
      <c r="CB35" s="40"/>
      <c r="CC35" s="40"/>
      <c r="CD35" s="40"/>
      <c r="CE35" s="40"/>
      <c r="CF35" s="40"/>
      <c r="CG35" s="40"/>
    </row>
    <row r="36" spans="1:85" x14ac:dyDescent="0.4">
      <c r="A36" s="40" t="s">
        <v>9947</v>
      </c>
      <c r="B36" s="40" t="s">
        <v>6</v>
      </c>
      <c r="C36" s="40" t="s">
        <v>1</v>
      </c>
      <c r="D36" s="20" t="s">
        <v>2157</v>
      </c>
      <c r="E36" s="40" t="s">
        <v>0</v>
      </c>
      <c r="F36" s="40" t="s">
        <v>9947</v>
      </c>
      <c r="G36" s="40" t="s">
        <v>14365</v>
      </c>
      <c r="H36" s="40" t="s">
        <v>2231</v>
      </c>
      <c r="I36" s="40" t="s">
        <v>2</v>
      </c>
      <c r="J36" s="40" t="s">
        <v>4947</v>
      </c>
      <c r="K36" s="40"/>
      <c r="L36" s="40"/>
      <c r="M36" s="40" t="s">
        <v>9950</v>
      </c>
      <c r="N36" s="40"/>
      <c r="O36" s="40"/>
      <c r="P36" s="40" t="s">
        <v>13845</v>
      </c>
      <c r="Q36" s="40"/>
      <c r="R36" s="40" t="s">
        <v>14366</v>
      </c>
      <c r="S36" s="40" t="s">
        <v>11</v>
      </c>
      <c r="T36" s="40" t="s">
        <v>14367</v>
      </c>
      <c r="U36" s="40"/>
      <c r="V36" s="40" t="s">
        <v>14368</v>
      </c>
      <c r="W36" s="40"/>
      <c r="X36" s="40" t="s">
        <v>14369</v>
      </c>
      <c r="Y36" s="40" t="s">
        <v>14370</v>
      </c>
      <c r="Z36" s="40" t="s">
        <v>14628</v>
      </c>
      <c r="AA36" s="40" t="s">
        <v>14679</v>
      </c>
      <c r="AB36" s="40" t="s">
        <v>14674</v>
      </c>
      <c r="AC36" s="40" t="s">
        <v>7550</v>
      </c>
      <c r="AD36" s="40" t="s">
        <v>1119</v>
      </c>
      <c r="AE36" s="40" t="s">
        <v>9949</v>
      </c>
      <c r="AF36" s="40" t="s">
        <v>14383</v>
      </c>
      <c r="AG36" s="40" t="s">
        <v>2258</v>
      </c>
      <c r="AH36" s="40" t="s">
        <v>1121</v>
      </c>
      <c r="AI36" s="40"/>
      <c r="AJ36" s="40" t="s">
        <v>1122</v>
      </c>
      <c r="AK36" s="40"/>
      <c r="AL36" s="40" t="s">
        <v>14384</v>
      </c>
      <c r="AM36" s="40" t="s">
        <v>11</v>
      </c>
      <c r="AN36" s="40" t="s">
        <v>1124</v>
      </c>
      <c r="AO36" s="40"/>
      <c r="AP36" s="40" t="s">
        <v>1125</v>
      </c>
      <c r="AQ36" s="40"/>
      <c r="AR36" s="40" t="s">
        <v>14385</v>
      </c>
      <c r="AS36" s="40"/>
      <c r="AT36" s="40" t="s">
        <v>1127</v>
      </c>
      <c r="AU36" s="40"/>
      <c r="AV36" s="40" t="s">
        <v>14630</v>
      </c>
      <c r="AW36" s="40"/>
      <c r="AX36" s="40" t="s">
        <v>14631</v>
      </c>
      <c r="AY36" s="40"/>
      <c r="AZ36" s="40" t="s">
        <v>14635</v>
      </c>
      <c r="BA36" s="40"/>
      <c r="BB36" s="40" t="s">
        <v>14633</v>
      </c>
      <c r="BC36" s="40"/>
      <c r="BD36" s="40" t="s">
        <v>14636</v>
      </c>
      <c r="BE36" s="40"/>
      <c r="BF36" s="40" t="s">
        <v>14640</v>
      </c>
      <c r="BG36" s="40"/>
      <c r="BH36" s="40" t="s">
        <v>14637</v>
      </c>
      <c r="BI36" s="40" t="s">
        <v>14662</v>
      </c>
      <c r="BJ36" s="40" t="s">
        <v>14641</v>
      </c>
      <c r="BK36" s="40"/>
      <c r="BL36" s="40" t="s">
        <v>14638</v>
      </c>
      <c r="BM36" s="40" t="s">
        <v>14680</v>
      </c>
      <c r="BN36" s="40" t="s">
        <v>1128</v>
      </c>
      <c r="BO36" s="40"/>
      <c r="BP36" s="40" t="s">
        <v>1129</v>
      </c>
      <c r="BQ36" s="40"/>
      <c r="BR36" s="40"/>
      <c r="BS36" s="40"/>
      <c r="BT36" s="40"/>
      <c r="BU36" s="40"/>
      <c r="BV36" s="40"/>
      <c r="BW36" s="40"/>
      <c r="BX36" s="40"/>
      <c r="BY36" s="40"/>
      <c r="BZ36" s="40"/>
      <c r="CA36" s="40"/>
      <c r="CB36" s="40"/>
      <c r="CC36" s="40"/>
      <c r="CD36" s="40"/>
      <c r="CE36" s="40"/>
      <c r="CF36" s="40"/>
      <c r="CG36" s="40"/>
    </row>
    <row r="37" spans="1:85" x14ac:dyDescent="0.4">
      <c r="A37" s="40" t="s">
        <v>9962</v>
      </c>
      <c r="B37" s="40" t="s">
        <v>6</v>
      </c>
      <c r="C37" s="40" t="s">
        <v>1</v>
      </c>
      <c r="D37" s="20" t="s">
        <v>2157</v>
      </c>
      <c r="E37" s="40" t="s">
        <v>0</v>
      </c>
      <c r="F37" s="40" t="s">
        <v>9962</v>
      </c>
      <c r="G37" s="40" t="s">
        <v>14365</v>
      </c>
      <c r="H37" s="40" t="s">
        <v>2231</v>
      </c>
      <c r="I37" s="40" t="s">
        <v>2</v>
      </c>
      <c r="J37" s="40" t="s">
        <v>4947</v>
      </c>
      <c r="K37" s="40"/>
      <c r="L37" s="40"/>
      <c r="M37" s="40" t="s">
        <v>9965</v>
      </c>
      <c r="N37" s="40"/>
      <c r="O37" s="40"/>
      <c r="P37" s="40" t="s">
        <v>13845</v>
      </c>
      <c r="Q37" s="40"/>
      <c r="R37" s="40" t="s">
        <v>14366</v>
      </c>
      <c r="S37" s="40" t="s">
        <v>11</v>
      </c>
      <c r="T37" s="40" t="s">
        <v>14367</v>
      </c>
      <c r="U37" s="40"/>
      <c r="V37" s="40" t="s">
        <v>14368</v>
      </c>
      <c r="W37" s="40"/>
      <c r="X37" s="40" t="s">
        <v>14369</v>
      </c>
      <c r="Y37" s="40" t="s">
        <v>14370</v>
      </c>
      <c r="Z37" s="40" t="s">
        <v>14628</v>
      </c>
      <c r="AA37" s="40" t="s">
        <v>14679</v>
      </c>
      <c r="AB37" s="40" t="s">
        <v>14674</v>
      </c>
      <c r="AC37" s="40" t="s">
        <v>7550</v>
      </c>
      <c r="AD37" s="40" t="s">
        <v>1119</v>
      </c>
      <c r="AE37" s="40" t="s">
        <v>9964</v>
      </c>
      <c r="AF37" s="40" t="s">
        <v>14383</v>
      </c>
      <c r="AG37" s="40" t="s">
        <v>2258</v>
      </c>
      <c r="AH37" s="40" t="s">
        <v>1121</v>
      </c>
      <c r="AI37" s="40"/>
      <c r="AJ37" s="40" t="s">
        <v>1122</v>
      </c>
      <c r="AK37" s="40"/>
      <c r="AL37" s="40" t="s">
        <v>14384</v>
      </c>
      <c r="AM37" s="40" t="s">
        <v>11</v>
      </c>
      <c r="AN37" s="40" t="s">
        <v>1124</v>
      </c>
      <c r="AO37" s="40"/>
      <c r="AP37" s="40" t="s">
        <v>1125</v>
      </c>
      <c r="AQ37" s="40"/>
      <c r="AR37" s="40" t="s">
        <v>14385</v>
      </c>
      <c r="AS37" s="40"/>
      <c r="AT37" s="40" t="s">
        <v>1127</v>
      </c>
      <c r="AU37" s="40"/>
      <c r="AV37" s="40" t="s">
        <v>14630</v>
      </c>
      <c r="AW37" s="40"/>
      <c r="AX37" s="40" t="s">
        <v>14631</v>
      </c>
      <c r="AY37" s="40"/>
      <c r="AZ37" s="40" t="s">
        <v>14635</v>
      </c>
      <c r="BA37" s="40"/>
      <c r="BB37" s="40" t="s">
        <v>14633</v>
      </c>
      <c r="BC37" s="40"/>
      <c r="BD37" s="40" t="s">
        <v>14636</v>
      </c>
      <c r="BE37" s="40"/>
      <c r="BF37" s="40" t="s">
        <v>14640</v>
      </c>
      <c r="BG37" s="40"/>
      <c r="BH37" s="40" t="s">
        <v>14637</v>
      </c>
      <c r="BI37" s="40" t="s">
        <v>13326</v>
      </c>
      <c r="BJ37" s="40" t="s">
        <v>14641</v>
      </c>
      <c r="BK37" s="40"/>
      <c r="BL37" s="40" t="s">
        <v>14638</v>
      </c>
      <c r="BM37" s="40" t="s">
        <v>14681</v>
      </c>
      <c r="BN37" s="40" t="s">
        <v>1128</v>
      </c>
      <c r="BO37" s="40"/>
      <c r="BP37" s="40" t="s">
        <v>1129</v>
      </c>
      <c r="BQ37" s="40"/>
      <c r="BR37" s="40"/>
      <c r="BS37" s="40"/>
      <c r="BT37" s="40"/>
      <c r="BU37" s="40"/>
      <c r="BV37" s="40"/>
      <c r="BW37" s="40"/>
      <c r="BX37" s="40"/>
      <c r="BY37" s="40"/>
      <c r="BZ37" s="40"/>
      <c r="CA37" s="40"/>
      <c r="CB37" s="40"/>
      <c r="CC37" s="40"/>
      <c r="CD37" s="40"/>
      <c r="CE37" s="40"/>
      <c r="CF37" s="40"/>
      <c r="CG37" s="40"/>
    </row>
    <row r="38" spans="1:85" x14ac:dyDescent="0.4">
      <c r="A38" s="40" t="s">
        <v>9955</v>
      </c>
      <c r="B38" s="40" t="s">
        <v>6</v>
      </c>
      <c r="C38" s="40" t="s">
        <v>1</v>
      </c>
      <c r="D38" s="20" t="s">
        <v>2157</v>
      </c>
      <c r="E38" s="40" t="s">
        <v>0</v>
      </c>
      <c r="F38" s="40" t="s">
        <v>9955</v>
      </c>
      <c r="G38" s="40" t="s">
        <v>14365</v>
      </c>
      <c r="H38" s="40" t="s">
        <v>7</v>
      </c>
      <c r="I38" s="40" t="s">
        <v>2</v>
      </c>
      <c r="J38" s="40" t="s">
        <v>4947</v>
      </c>
      <c r="K38" s="40"/>
      <c r="L38" s="40"/>
      <c r="M38" s="40" t="s">
        <v>9959</v>
      </c>
      <c r="N38" s="40"/>
      <c r="O38" s="40"/>
      <c r="P38" s="40" t="s">
        <v>13845</v>
      </c>
      <c r="Q38" s="40"/>
      <c r="R38" s="40" t="s">
        <v>14366</v>
      </c>
      <c r="S38" s="40" t="s">
        <v>11</v>
      </c>
      <c r="T38" s="40" t="s">
        <v>14367</v>
      </c>
      <c r="U38" s="40"/>
      <c r="V38" s="40" t="s">
        <v>14368</v>
      </c>
      <c r="W38" s="40"/>
      <c r="X38" s="40" t="s">
        <v>14369</v>
      </c>
      <c r="Y38" s="40" t="s">
        <v>14370</v>
      </c>
      <c r="Z38" s="40" t="s">
        <v>14628</v>
      </c>
      <c r="AA38" s="40" t="s">
        <v>14682</v>
      </c>
      <c r="AB38" s="40" t="s">
        <v>14674</v>
      </c>
      <c r="AC38" s="40" t="s">
        <v>7550</v>
      </c>
      <c r="AD38" s="40" t="s">
        <v>1119</v>
      </c>
      <c r="AE38" s="40" t="s">
        <v>9957</v>
      </c>
      <c r="AF38" s="40" t="s">
        <v>14383</v>
      </c>
      <c r="AG38" s="40" t="s">
        <v>9958</v>
      </c>
      <c r="AH38" s="40" t="s">
        <v>1121</v>
      </c>
      <c r="AI38" s="40"/>
      <c r="AJ38" s="40" t="s">
        <v>1122</v>
      </c>
      <c r="AK38" s="40"/>
      <c r="AL38" s="40" t="s">
        <v>14384</v>
      </c>
      <c r="AM38" s="40" t="s">
        <v>11</v>
      </c>
      <c r="AN38" s="40" t="s">
        <v>1124</v>
      </c>
      <c r="AO38" s="40"/>
      <c r="AP38" s="40" t="s">
        <v>1125</v>
      </c>
      <c r="AQ38" s="40"/>
      <c r="AR38" s="40" t="s">
        <v>14385</v>
      </c>
      <c r="AS38" s="40"/>
      <c r="AT38" s="40" t="s">
        <v>1127</v>
      </c>
      <c r="AU38" s="40"/>
      <c r="AV38" s="40" t="s">
        <v>14630</v>
      </c>
      <c r="AW38" s="40"/>
      <c r="AX38" s="40" t="s">
        <v>14631</v>
      </c>
      <c r="AY38" s="40" t="s">
        <v>13326</v>
      </c>
      <c r="AZ38" s="40" t="s">
        <v>14635</v>
      </c>
      <c r="BA38" s="40"/>
      <c r="BB38" s="40" t="s">
        <v>14633</v>
      </c>
      <c r="BC38" s="40" t="s">
        <v>3278</v>
      </c>
      <c r="BD38" s="40" t="s">
        <v>14636</v>
      </c>
      <c r="BE38" s="40"/>
      <c r="BF38" s="40" t="s">
        <v>14640</v>
      </c>
      <c r="BG38" s="40"/>
      <c r="BH38" s="40" t="s">
        <v>14637</v>
      </c>
      <c r="BI38" s="40" t="s">
        <v>14617</v>
      </c>
      <c r="BJ38" s="40" t="s">
        <v>14641</v>
      </c>
      <c r="BK38" s="40"/>
      <c r="BL38" s="40" t="s">
        <v>14638</v>
      </c>
      <c r="BM38" s="40" t="s">
        <v>14683</v>
      </c>
      <c r="BN38" s="40" t="s">
        <v>1128</v>
      </c>
      <c r="BO38" s="40"/>
      <c r="BP38" s="40" t="s">
        <v>1129</v>
      </c>
      <c r="BQ38" s="40"/>
      <c r="BR38" s="40"/>
      <c r="BS38" s="40"/>
      <c r="BT38" s="40"/>
      <c r="BU38" s="40"/>
      <c r="BV38" s="40"/>
      <c r="BW38" s="40"/>
      <c r="BX38" s="40"/>
      <c r="BY38" s="40"/>
      <c r="BZ38" s="40"/>
      <c r="CA38" s="40"/>
      <c r="CB38" s="40"/>
      <c r="CC38" s="40"/>
      <c r="CD38" s="40"/>
      <c r="CE38" s="40"/>
      <c r="CF38" s="40"/>
      <c r="CG38" s="40"/>
    </row>
    <row r="39" spans="1:85" x14ac:dyDescent="0.4">
      <c r="A39" s="40" t="s">
        <v>9968</v>
      </c>
      <c r="B39" s="40" t="s">
        <v>6</v>
      </c>
      <c r="C39" s="40" t="s">
        <v>1</v>
      </c>
      <c r="D39" s="20" t="s">
        <v>2157</v>
      </c>
      <c r="E39" s="40" t="s">
        <v>0</v>
      </c>
      <c r="F39" s="40" t="s">
        <v>9968</v>
      </c>
      <c r="G39" s="40" t="s">
        <v>14365</v>
      </c>
      <c r="H39" s="40" t="s">
        <v>7</v>
      </c>
      <c r="I39" s="40" t="s">
        <v>2</v>
      </c>
      <c r="J39" s="40" t="s">
        <v>4947</v>
      </c>
      <c r="K39" s="40"/>
      <c r="L39" s="40"/>
      <c r="M39" s="40" t="s">
        <v>9971</v>
      </c>
      <c r="N39" s="40"/>
      <c r="O39" s="40"/>
      <c r="P39" s="40" t="s">
        <v>13845</v>
      </c>
      <c r="Q39" s="40"/>
      <c r="R39" s="40" t="s">
        <v>14366</v>
      </c>
      <c r="S39" s="40" t="s">
        <v>11</v>
      </c>
      <c r="T39" s="40" t="s">
        <v>14367</v>
      </c>
      <c r="U39" s="40"/>
      <c r="V39" s="40" t="s">
        <v>14368</v>
      </c>
      <c r="W39" s="40"/>
      <c r="X39" s="40" t="s">
        <v>14369</v>
      </c>
      <c r="Y39" s="40" t="s">
        <v>14370</v>
      </c>
      <c r="Z39" s="40" t="s">
        <v>14628</v>
      </c>
      <c r="AA39" s="40" t="s">
        <v>14682</v>
      </c>
      <c r="AB39" s="40" t="s">
        <v>14674</v>
      </c>
      <c r="AC39" s="40" t="s">
        <v>7550</v>
      </c>
      <c r="AD39" s="40" t="s">
        <v>1119</v>
      </c>
      <c r="AE39" s="40" t="s">
        <v>9970</v>
      </c>
      <c r="AF39" s="40" t="s">
        <v>14383</v>
      </c>
      <c r="AG39" s="40" t="s">
        <v>9958</v>
      </c>
      <c r="AH39" s="40" t="s">
        <v>1121</v>
      </c>
      <c r="AI39" s="40"/>
      <c r="AJ39" s="40" t="s">
        <v>1122</v>
      </c>
      <c r="AK39" s="40"/>
      <c r="AL39" s="40" t="s">
        <v>14384</v>
      </c>
      <c r="AM39" s="40" t="s">
        <v>11</v>
      </c>
      <c r="AN39" s="40" t="s">
        <v>1124</v>
      </c>
      <c r="AO39" s="40"/>
      <c r="AP39" s="40" t="s">
        <v>1125</v>
      </c>
      <c r="AQ39" s="40"/>
      <c r="AR39" s="40" t="s">
        <v>14385</v>
      </c>
      <c r="AS39" s="40"/>
      <c r="AT39" s="40" t="s">
        <v>1127</v>
      </c>
      <c r="AU39" s="40"/>
      <c r="AV39" s="40" t="s">
        <v>14630</v>
      </c>
      <c r="AW39" s="40"/>
      <c r="AX39" s="40" t="s">
        <v>14631</v>
      </c>
      <c r="AY39" s="40" t="s">
        <v>13326</v>
      </c>
      <c r="AZ39" s="40" t="s">
        <v>14635</v>
      </c>
      <c r="BA39" s="40"/>
      <c r="BB39" s="40" t="s">
        <v>14633</v>
      </c>
      <c r="BC39" s="40" t="s">
        <v>14586</v>
      </c>
      <c r="BD39" s="40" t="s">
        <v>14636</v>
      </c>
      <c r="BE39" s="40"/>
      <c r="BF39" s="40" t="s">
        <v>14640</v>
      </c>
      <c r="BG39" s="40"/>
      <c r="BH39" s="40" t="s">
        <v>14637</v>
      </c>
      <c r="BI39" s="40" t="s">
        <v>14460</v>
      </c>
      <c r="BJ39" s="40" t="s">
        <v>14641</v>
      </c>
      <c r="BK39" s="40"/>
      <c r="BL39" s="40" t="s">
        <v>14638</v>
      </c>
      <c r="BM39" s="40" t="s">
        <v>14684</v>
      </c>
      <c r="BN39" s="40" t="s">
        <v>1128</v>
      </c>
      <c r="BO39" s="40"/>
      <c r="BP39" s="40" t="s">
        <v>1129</v>
      </c>
      <c r="BQ39" s="40"/>
      <c r="BR39" s="40"/>
      <c r="BS39" s="40"/>
      <c r="BT39" s="40"/>
      <c r="BU39" s="40"/>
      <c r="BV39" s="40"/>
      <c r="BW39" s="40"/>
      <c r="BX39" s="40"/>
      <c r="BY39" s="40"/>
      <c r="BZ39" s="40"/>
      <c r="CA39" s="40"/>
      <c r="CB39" s="40"/>
      <c r="CC39" s="40"/>
      <c r="CD39" s="40"/>
      <c r="CE39" s="40"/>
      <c r="CF39" s="40"/>
      <c r="CG39" s="40"/>
    </row>
    <row r="40" spans="1:85" x14ac:dyDescent="0.4">
      <c r="A40" s="40" t="s">
        <v>10228</v>
      </c>
      <c r="B40" s="40" t="s">
        <v>6</v>
      </c>
      <c r="C40" s="40" t="s">
        <v>1</v>
      </c>
      <c r="D40" s="20" t="s">
        <v>2157</v>
      </c>
      <c r="E40" s="40" t="s">
        <v>0</v>
      </c>
      <c r="F40" s="40" t="s">
        <v>10228</v>
      </c>
      <c r="G40" s="40" t="s">
        <v>14365</v>
      </c>
      <c r="H40" s="40" t="s">
        <v>4</v>
      </c>
      <c r="I40" s="40" t="s">
        <v>2</v>
      </c>
      <c r="J40" s="40" t="s">
        <v>4947</v>
      </c>
      <c r="K40" s="40"/>
      <c r="L40" s="40"/>
      <c r="M40" s="40" t="s">
        <v>10232</v>
      </c>
      <c r="N40" s="40"/>
      <c r="O40" s="40"/>
      <c r="P40" s="40" t="s">
        <v>13845</v>
      </c>
      <c r="Q40" s="40"/>
      <c r="R40" s="40" t="s">
        <v>14366</v>
      </c>
      <c r="S40" s="40" t="s">
        <v>11</v>
      </c>
      <c r="T40" s="40" t="s">
        <v>14367</v>
      </c>
      <c r="U40" s="40"/>
      <c r="V40" s="40" t="s">
        <v>14368</v>
      </c>
      <c r="W40" s="40"/>
      <c r="X40" s="40" t="s">
        <v>14369</v>
      </c>
      <c r="Y40" s="40" t="s">
        <v>14370</v>
      </c>
      <c r="Z40" s="40" t="s">
        <v>14628</v>
      </c>
      <c r="AA40" s="40" t="s">
        <v>14685</v>
      </c>
      <c r="AB40" s="40" t="s">
        <v>14674</v>
      </c>
      <c r="AC40" s="40" t="s">
        <v>2568</v>
      </c>
      <c r="AD40" s="40" t="s">
        <v>1119</v>
      </c>
      <c r="AE40" s="40" t="s">
        <v>10230</v>
      </c>
      <c r="AF40" s="40" t="s">
        <v>14383</v>
      </c>
      <c r="AG40" s="40" t="s">
        <v>10231</v>
      </c>
      <c r="AH40" s="40" t="s">
        <v>1121</v>
      </c>
      <c r="AI40" s="40"/>
      <c r="AJ40" s="40" t="s">
        <v>1122</v>
      </c>
      <c r="AK40" s="40"/>
      <c r="AL40" s="40" t="s">
        <v>14384</v>
      </c>
      <c r="AM40" s="40" t="s">
        <v>11</v>
      </c>
      <c r="AN40" s="40" t="s">
        <v>1124</v>
      </c>
      <c r="AO40" s="40"/>
      <c r="AP40" s="40" t="s">
        <v>1125</v>
      </c>
      <c r="AQ40" s="40"/>
      <c r="AR40" s="40" t="s">
        <v>14385</v>
      </c>
      <c r="AS40" s="40"/>
      <c r="AT40" s="40" t="s">
        <v>1127</v>
      </c>
      <c r="AU40" s="40"/>
      <c r="AV40" s="40" t="s">
        <v>14630</v>
      </c>
      <c r="AW40" s="40" t="s">
        <v>13326</v>
      </c>
      <c r="AX40" s="40" t="s">
        <v>14631</v>
      </c>
      <c r="AY40" s="40" t="s">
        <v>13326</v>
      </c>
      <c r="AZ40" s="40" t="s">
        <v>14635</v>
      </c>
      <c r="BA40" s="40"/>
      <c r="BB40" s="40" t="s">
        <v>14633</v>
      </c>
      <c r="BC40" s="40" t="s">
        <v>13326</v>
      </c>
      <c r="BD40" s="40" t="s">
        <v>14636</v>
      </c>
      <c r="BE40" s="40" t="s">
        <v>13326</v>
      </c>
      <c r="BF40" s="40" t="s">
        <v>14640</v>
      </c>
      <c r="BG40" s="40" t="s">
        <v>14450</v>
      </c>
      <c r="BH40" s="40" t="s">
        <v>14637</v>
      </c>
      <c r="BI40" s="40" t="s">
        <v>14365</v>
      </c>
      <c r="BJ40" s="40" t="s">
        <v>14641</v>
      </c>
      <c r="BK40" s="40"/>
      <c r="BL40" s="40" t="s">
        <v>14638</v>
      </c>
      <c r="BM40" s="40" t="s">
        <v>14686</v>
      </c>
      <c r="BN40" s="40" t="s">
        <v>1128</v>
      </c>
      <c r="BO40" s="40" t="s">
        <v>3145</v>
      </c>
      <c r="BP40" s="40" t="s">
        <v>1129</v>
      </c>
      <c r="BQ40" s="40" t="s">
        <v>2947</v>
      </c>
      <c r="BR40" s="40"/>
      <c r="BS40" s="40"/>
      <c r="BT40" s="40"/>
      <c r="BU40" s="40"/>
      <c r="BV40" s="40"/>
      <c r="BW40" s="40"/>
      <c r="BX40" s="40"/>
      <c r="BY40" s="40"/>
      <c r="BZ40" s="40"/>
      <c r="CA40" s="40"/>
      <c r="CB40" s="40"/>
      <c r="CC40" s="40"/>
      <c r="CD40" s="40"/>
      <c r="CE40" s="40"/>
      <c r="CF40" s="40"/>
      <c r="CG40" s="40"/>
    </row>
    <row r="41" spans="1:85" x14ac:dyDescent="0.4">
      <c r="A41" s="40" t="s">
        <v>10238</v>
      </c>
      <c r="B41" s="40" t="s">
        <v>6</v>
      </c>
      <c r="C41" s="40" t="s">
        <v>1</v>
      </c>
      <c r="D41" s="20" t="s">
        <v>2157</v>
      </c>
      <c r="E41" s="40" t="s">
        <v>0</v>
      </c>
      <c r="F41" s="40" t="s">
        <v>10238</v>
      </c>
      <c r="G41" s="40" t="s">
        <v>14365</v>
      </c>
      <c r="H41" s="40" t="s">
        <v>4</v>
      </c>
      <c r="I41" s="40" t="s">
        <v>2</v>
      </c>
      <c r="J41" s="40" t="s">
        <v>4947</v>
      </c>
      <c r="K41" s="40"/>
      <c r="L41" s="40"/>
      <c r="M41" s="40" t="s">
        <v>10232</v>
      </c>
      <c r="N41" s="40"/>
      <c r="O41" s="40"/>
      <c r="P41" s="40" t="s">
        <v>13845</v>
      </c>
      <c r="Q41" s="40"/>
      <c r="R41" s="40" t="s">
        <v>14366</v>
      </c>
      <c r="S41" s="40" t="s">
        <v>11</v>
      </c>
      <c r="T41" s="40" t="s">
        <v>14367</v>
      </c>
      <c r="U41" s="40"/>
      <c r="V41" s="40" t="s">
        <v>14368</v>
      </c>
      <c r="W41" s="40"/>
      <c r="X41" s="40" t="s">
        <v>14369</v>
      </c>
      <c r="Y41" s="40" t="s">
        <v>14370</v>
      </c>
      <c r="Z41" s="40" t="s">
        <v>14628</v>
      </c>
      <c r="AA41" s="40" t="s">
        <v>14685</v>
      </c>
      <c r="AB41" s="40" t="s">
        <v>14674</v>
      </c>
      <c r="AC41" s="40" t="s">
        <v>2568</v>
      </c>
      <c r="AD41" s="40" t="s">
        <v>1119</v>
      </c>
      <c r="AE41" s="40" t="s">
        <v>10240</v>
      </c>
      <c r="AF41" s="40" t="s">
        <v>14383</v>
      </c>
      <c r="AG41" s="40" t="s">
        <v>10231</v>
      </c>
      <c r="AH41" s="40" t="s">
        <v>1121</v>
      </c>
      <c r="AI41" s="40"/>
      <c r="AJ41" s="40" t="s">
        <v>1122</v>
      </c>
      <c r="AK41" s="40"/>
      <c r="AL41" s="40" t="s">
        <v>14384</v>
      </c>
      <c r="AM41" s="40" t="s">
        <v>11</v>
      </c>
      <c r="AN41" s="40" t="s">
        <v>1124</v>
      </c>
      <c r="AO41" s="40"/>
      <c r="AP41" s="40" t="s">
        <v>1125</v>
      </c>
      <c r="AQ41" s="40"/>
      <c r="AR41" s="40" t="s">
        <v>14385</v>
      </c>
      <c r="AS41" s="40"/>
      <c r="AT41" s="40" t="s">
        <v>1127</v>
      </c>
      <c r="AU41" s="40"/>
      <c r="AV41" s="40" t="s">
        <v>14630</v>
      </c>
      <c r="AW41" s="40" t="s">
        <v>13326</v>
      </c>
      <c r="AX41" s="40" t="s">
        <v>14631</v>
      </c>
      <c r="AY41" s="40" t="s">
        <v>13326</v>
      </c>
      <c r="AZ41" s="40" t="s">
        <v>14635</v>
      </c>
      <c r="BA41" s="40"/>
      <c r="BB41" s="40" t="s">
        <v>14633</v>
      </c>
      <c r="BC41" s="40" t="s">
        <v>13326</v>
      </c>
      <c r="BD41" s="40" t="s">
        <v>14636</v>
      </c>
      <c r="BE41" s="40" t="s">
        <v>13326</v>
      </c>
      <c r="BF41" s="40" t="s">
        <v>14640</v>
      </c>
      <c r="BG41" s="40" t="s">
        <v>13326</v>
      </c>
      <c r="BH41" s="40" t="s">
        <v>14637</v>
      </c>
      <c r="BI41" s="40" t="s">
        <v>14382</v>
      </c>
      <c r="BJ41" s="40" t="s">
        <v>14641</v>
      </c>
      <c r="BK41" s="40"/>
      <c r="BL41" s="40" t="s">
        <v>14638</v>
      </c>
      <c r="BM41" s="40" t="s">
        <v>14686</v>
      </c>
      <c r="BN41" s="40" t="s">
        <v>1128</v>
      </c>
      <c r="BO41" s="40" t="s">
        <v>3145</v>
      </c>
      <c r="BP41" s="40" t="s">
        <v>1129</v>
      </c>
      <c r="BQ41" s="40" t="s">
        <v>2947</v>
      </c>
      <c r="BR41" s="40"/>
      <c r="BS41" s="40"/>
      <c r="BT41" s="40"/>
      <c r="BU41" s="40"/>
      <c r="BV41" s="40"/>
      <c r="BW41" s="40"/>
      <c r="BX41" s="40"/>
      <c r="BY41" s="40"/>
      <c r="BZ41" s="40"/>
      <c r="CA41" s="40"/>
      <c r="CB41" s="40"/>
      <c r="CC41" s="40"/>
      <c r="CD41" s="40"/>
      <c r="CE41" s="40"/>
      <c r="CF41" s="40"/>
      <c r="CG41" s="40"/>
    </row>
    <row r="42" spans="1:85" x14ac:dyDescent="0.4">
      <c r="A42" s="40" t="s">
        <v>10753</v>
      </c>
      <c r="B42" s="40" t="s">
        <v>6</v>
      </c>
      <c r="C42" s="40" t="s">
        <v>1</v>
      </c>
      <c r="D42" s="20" t="s">
        <v>2157</v>
      </c>
      <c r="E42" s="40" t="s">
        <v>0</v>
      </c>
      <c r="F42" s="40" t="s">
        <v>10753</v>
      </c>
      <c r="G42" s="40" t="s">
        <v>14365</v>
      </c>
      <c r="H42" s="40" t="s">
        <v>7</v>
      </c>
      <c r="I42" s="40" t="s">
        <v>2</v>
      </c>
      <c r="J42" s="40" t="s">
        <v>202</v>
      </c>
      <c r="K42" s="40"/>
      <c r="L42" s="40"/>
      <c r="M42" s="40" t="s">
        <v>2104</v>
      </c>
      <c r="N42" s="40"/>
      <c r="O42" s="40"/>
      <c r="P42" s="40" t="s">
        <v>13845</v>
      </c>
      <c r="Q42" s="40"/>
      <c r="R42" s="40" t="s">
        <v>14366</v>
      </c>
      <c r="S42" s="40" t="s">
        <v>11</v>
      </c>
      <c r="T42" s="40" t="s">
        <v>14367</v>
      </c>
      <c r="U42" s="40"/>
      <c r="V42" s="40" t="s">
        <v>14368</v>
      </c>
      <c r="W42" s="40"/>
      <c r="X42" s="40" t="s">
        <v>14369</v>
      </c>
      <c r="Y42" s="40" t="s">
        <v>14370</v>
      </c>
      <c r="Z42" s="40" t="s">
        <v>14628</v>
      </c>
      <c r="AA42" s="40" t="s">
        <v>14687</v>
      </c>
      <c r="AB42" s="40" t="s">
        <v>14674</v>
      </c>
      <c r="AC42" s="40" t="s">
        <v>14688</v>
      </c>
      <c r="AD42" s="40" t="s">
        <v>1119</v>
      </c>
      <c r="AE42" s="40" t="s">
        <v>10755</v>
      </c>
      <c r="AF42" s="40" t="s">
        <v>14383</v>
      </c>
      <c r="AG42" s="40" t="s">
        <v>10756</v>
      </c>
      <c r="AH42" s="40" t="s">
        <v>1121</v>
      </c>
      <c r="AI42" s="40"/>
      <c r="AJ42" s="40" t="s">
        <v>1122</v>
      </c>
      <c r="AK42" s="40"/>
      <c r="AL42" s="40" t="s">
        <v>14384</v>
      </c>
      <c r="AM42" s="40" t="s">
        <v>11</v>
      </c>
      <c r="AN42" s="40" t="s">
        <v>1124</v>
      </c>
      <c r="AO42" s="40"/>
      <c r="AP42" s="40" t="s">
        <v>1125</v>
      </c>
      <c r="AQ42" s="40"/>
      <c r="AR42" s="40" t="s">
        <v>14385</v>
      </c>
      <c r="AS42" s="40"/>
      <c r="AT42" s="40" t="s">
        <v>1127</v>
      </c>
      <c r="AU42" s="40"/>
      <c r="AV42" s="40" t="s">
        <v>14630</v>
      </c>
      <c r="AW42" s="40"/>
      <c r="AX42" s="40" t="s">
        <v>14631</v>
      </c>
      <c r="AY42" s="40"/>
      <c r="AZ42" s="40" t="s">
        <v>14635</v>
      </c>
      <c r="BA42" s="40"/>
      <c r="BB42" s="40" t="s">
        <v>14633</v>
      </c>
      <c r="BC42" s="40"/>
      <c r="BD42" s="40" t="s">
        <v>14636</v>
      </c>
      <c r="BE42" s="40"/>
      <c r="BF42" s="40" t="s">
        <v>14640</v>
      </c>
      <c r="BG42" s="40"/>
      <c r="BH42" s="40" t="s">
        <v>14637</v>
      </c>
      <c r="BI42" s="40" t="s">
        <v>14426</v>
      </c>
      <c r="BJ42" s="40" t="s">
        <v>14641</v>
      </c>
      <c r="BK42" s="40"/>
      <c r="BL42" s="40" t="s">
        <v>14638</v>
      </c>
      <c r="BM42" s="40" t="s">
        <v>14687</v>
      </c>
      <c r="BN42" s="40" t="s">
        <v>1128</v>
      </c>
      <c r="BO42" s="40"/>
      <c r="BP42" s="40" t="s">
        <v>1129</v>
      </c>
      <c r="BQ42" s="40"/>
      <c r="BR42" s="40"/>
      <c r="BS42" s="40"/>
      <c r="BT42" s="40"/>
      <c r="BU42" s="40"/>
      <c r="BV42" s="40"/>
      <c r="BW42" s="40"/>
      <c r="BX42" s="40"/>
      <c r="BY42" s="40"/>
      <c r="BZ42" s="40"/>
      <c r="CA42" s="40"/>
      <c r="CB42" s="40"/>
      <c r="CC42" s="40"/>
      <c r="CD42" s="40"/>
      <c r="CE42" s="40"/>
      <c r="CF42" s="40"/>
      <c r="CG42" s="40"/>
    </row>
    <row r="43" spans="1:85" x14ac:dyDescent="0.4">
      <c r="A43" s="40" t="s">
        <v>10940</v>
      </c>
      <c r="B43" s="40" t="s">
        <v>6</v>
      </c>
      <c r="C43" s="40" t="s">
        <v>1</v>
      </c>
      <c r="D43" s="20" t="s">
        <v>2157</v>
      </c>
      <c r="E43" s="40" t="s">
        <v>0</v>
      </c>
      <c r="F43" s="40" t="s">
        <v>10940</v>
      </c>
      <c r="G43" s="40" t="s">
        <v>14365</v>
      </c>
      <c r="H43" s="40" t="s">
        <v>7</v>
      </c>
      <c r="I43" s="40" t="s">
        <v>2</v>
      </c>
      <c r="J43" s="40" t="s">
        <v>4947</v>
      </c>
      <c r="K43" s="40"/>
      <c r="L43" s="40"/>
      <c r="M43" s="40" t="s">
        <v>10944</v>
      </c>
      <c r="N43" s="40"/>
      <c r="O43" s="40"/>
      <c r="P43" s="40" t="s">
        <v>13845</v>
      </c>
      <c r="Q43" s="40"/>
      <c r="R43" s="40" t="s">
        <v>14366</v>
      </c>
      <c r="S43" s="40" t="s">
        <v>11</v>
      </c>
      <c r="T43" s="40" t="s">
        <v>14367</v>
      </c>
      <c r="U43" s="40"/>
      <c r="V43" s="40" t="s">
        <v>14368</v>
      </c>
      <c r="W43" s="40"/>
      <c r="X43" s="40" t="s">
        <v>14369</v>
      </c>
      <c r="Y43" s="40" t="s">
        <v>14370</v>
      </c>
      <c r="Z43" s="40" t="s">
        <v>14628</v>
      </c>
      <c r="AA43" s="40" t="s">
        <v>14689</v>
      </c>
      <c r="AB43" s="40" t="s">
        <v>14674</v>
      </c>
      <c r="AC43" s="40" t="s">
        <v>7550</v>
      </c>
      <c r="AD43" s="40" t="s">
        <v>1119</v>
      </c>
      <c r="AE43" s="40" t="s">
        <v>10942</v>
      </c>
      <c r="AF43" s="40" t="s">
        <v>14383</v>
      </c>
      <c r="AG43" s="40" t="s">
        <v>4279</v>
      </c>
      <c r="AH43" s="40" t="s">
        <v>1121</v>
      </c>
      <c r="AI43" s="40"/>
      <c r="AJ43" s="40" t="s">
        <v>1122</v>
      </c>
      <c r="AK43" s="40"/>
      <c r="AL43" s="40" t="s">
        <v>14384</v>
      </c>
      <c r="AM43" s="40" t="s">
        <v>11</v>
      </c>
      <c r="AN43" s="40" t="s">
        <v>1124</v>
      </c>
      <c r="AO43" s="40"/>
      <c r="AP43" s="40" t="s">
        <v>1125</v>
      </c>
      <c r="AQ43" s="40"/>
      <c r="AR43" s="40" t="s">
        <v>14385</v>
      </c>
      <c r="AS43" s="40"/>
      <c r="AT43" s="40" t="s">
        <v>1127</v>
      </c>
      <c r="AU43" s="40"/>
      <c r="AV43" s="40" t="s">
        <v>14630</v>
      </c>
      <c r="AW43" s="40"/>
      <c r="AX43" s="40" t="s">
        <v>14631</v>
      </c>
      <c r="AY43" s="40" t="s">
        <v>14378</v>
      </c>
      <c r="AZ43" s="40" t="s">
        <v>14635</v>
      </c>
      <c r="BA43" s="40"/>
      <c r="BB43" s="40" t="s">
        <v>14633</v>
      </c>
      <c r="BC43" s="40" t="s">
        <v>14408</v>
      </c>
      <c r="BD43" s="40" t="s">
        <v>14636</v>
      </c>
      <c r="BE43" s="40" t="s">
        <v>14690</v>
      </c>
      <c r="BF43" s="40" t="s">
        <v>14640</v>
      </c>
      <c r="BG43" s="40"/>
      <c r="BH43" s="40" t="s">
        <v>14637</v>
      </c>
      <c r="BI43" s="40" t="s">
        <v>14392</v>
      </c>
      <c r="BJ43" s="40" t="s">
        <v>14641</v>
      </c>
      <c r="BK43" s="40"/>
      <c r="BL43" s="40" t="s">
        <v>14638</v>
      </c>
      <c r="BM43" s="40" t="s">
        <v>14691</v>
      </c>
      <c r="BN43" s="40" t="s">
        <v>1128</v>
      </c>
      <c r="BO43" s="40"/>
      <c r="BP43" s="40" t="s">
        <v>1129</v>
      </c>
      <c r="BQ43" s="40" t="s">
        <v>10943</v>
      </c>
      <c r="BR43" s="40"/>
      <c r="BS43" s="40"/>
      <c r="BT43" s="40"/>
      <c r="BU43" s="40"/>
      <c r="BV43" s="40"/>
      <c r="BW43" s="40"/>
      <c r="BX43" s="40"/>
      <c r="BY43" s="40"/>
      <c r="BZ43" s="40"/>
      <c r="CA43" s="40"/>
      <c r="CB43" s="40"/>
      <c r="CC43" s="40"/>
      <c r="CD43" s="40"/>
      <c r="CE43" s="40"/>
      <c r="CF43" s="40"/>
      <c r="CG43" s="40"/>
    </row>
    <row r="45" spans="1:85" x14ac:dyDescent="0.4">
      <c r="A45" s="41" t="s">
        <v>14285</v>
      </c>
      <c r="B45" s="41" t="s">
        <v>1113</v>
      </c>
      <c r="C45" s="41" t="s">
        <v>1112</v>
      </c>
      <c r="D45" s="41" t="s">
        <v>14287</v>
      </c>
      <c r="E45" s="41" t="s">
        <v>1108</v>
      </c>
      <c r="F45" s="41" t="s">
        <v>14288</v>
      </c>
      <c r="G45" s="41" t="s">
        <v>14289</v>
      </c>
      <c r="H45" s="41" t="s">
        <v>1117</v>
      </c>
      <c r="I45" s="41" t="s">
        <v>14290</v>
      </c>
      <c r="J45" s="41" t="s">
        <v>14291</v>
      </c>
      <c r="K45" s="41" t="s">
        <v>14292</v>
      </c>
      <c r="L45" s="41" t="s">
        <v>14293</v>
      </c>
      <c r="M45" s="41" t="s">
        <v>14294</v>
      </c>
      <c r="N45" s="41" t="s">
        <v>14295</v>
      </c>
      <c r="O45" s="41" t="s">
        <v>14296</v>
      </c>
      <c r="P45" s="41" t="s">
        <v>14297</v>
      </c>
      <c r="Q45" s="41" t="s">
        <v>14298</v>
      </c>
      <c r="R45" s="41" t="s">
        <v>14299</v>
      </c>
      <c r="S45" s="41" t="s">
        <v>14300</v>
      </c>
      <c r="T45" s="41" t="s">
        <v>14301</v>
      </c>
      <c r="U45" s="41" t="s">
        <v>14302</v>
      </c>
      <c r="V45" s="41" t="s">
        <v>14303</v>
      </c>
      <c r="W45" s="41" t="s">
        <v>14304</v>
      </c>
      <c r="X45" s="41" t="s">
        <v>14305</v>
      </c>
      <c r="Y45" s="41" t="s">
        <v>14306</v>
      </c>
      <c r="Z45" s="41" t="s">
        <v>14307</v>
      </c>
      <c r="AA45" s="41" t="s">
        <v>14308</v>
      </c>
      <c r="AB45" s="41" t="s">
        <v>14309</v>
      </c>
      <c r="AC45" s="42" t="s">
        <v>14310</v>
      </c>
      <c r="AD45" s="41" t="s">
        <v>14311</v>
      </c>
      <c r="AE45" s="42" t="s">
        <v>14312</v>
      </c>
      <c r="AF45" s="41" t="s">
        <v>14313</v>
      </c>
      <c r="AG45" s="42" t="s">
        <v>14314</v>
      </c>
      <c r="AH45" s="41" t="s">
        <v>14315</v>
      </c>
      <c r="AI45" s="42" t="s">
        <v>14316</v>
      </c>
      <c r="AJ45" s="41" t="s">
        <v>14317</v>
      </c>
      <c r="AK45" s="42" t="s">
        <v>14318</v>
      </c>
      <c r="AL45" s="41" t="s">
        <v>14319</v>
      </c>
      <c r="AM45" s="42" t="s">
        <v>14320</v>
      </c>
      <c r="AN45" s="41" t="s">
        <v>14321</v>
      </c>
      <c r="AO45" s="41" t="s">
        <v>14322</v>
      </c>
      <c r="AP45" s="41" t="s">
        <v>14323</v>
      </c>
      <c r="AQ45" s="41" t="s">
        <v>14324</v>
      </c>
      <c r="AR45" s="41" t="s">
        <v>14325</v>
      </c>
      <c r="AS45" s="41" t="s">
        <v>14326</v>
      </c>
      <c r="AT45" s="41" t="s">
        <v>14327</v>
      </c>
      <c r="AU45" s="41" t="s">
        <v>14328</v>
      </c>
      <c r="AV45" s="41" t="s">
        <v>14329</v>
      </c>
      <c r="AW45" s="41" t="s">
        <v>14330</v>
      </c>
      <c r="AX45" s="41" t="s">
        <v>14331</v>
      </c>
      <c r="AY45" s="41" t="s">
        <v>14332</v>
      </c>
      <c r="AZ45" s="41" t="s">
        <v>14333</v>
      </c>
      <c r="BA45" s="41" t="s">
        <v>14334</v>
      </c>
      <c r="BB45" s="41" t="s">
        <v>14335</v>
      </c>
      <c r="BC45" s="41" t="s">
        <v>14336</v>
      </c>
      <c r="BD45" s="41" t="s">
        <v>14337</v>
      </c>
      <c r="BE45" s="41" t="s">
        <v>14338</v>
      </c>
      <c r="BF45" s="41" t="s">
        <v>14339</v>
      </c>
      <c r="BG45" s="41" t="s">
        <v>14340</v>
      </c>
      <c r="BH45" s="41" t="s">
        <v>14341</v>
      </c>
      <c r="BI45" s="41" t="s">
        <v>14342</v>
      </c>
      <c r="BJ45" s="41" t="s">
        <v>14343</v>
      </c>
      <c r="BK45" s="41" t="s">
        <v>14344</v>
      </c>
      <c r="BL45" s="41" t="s">
        <v>14345</v>
      </c>
      <c r="BM45" s="41" t="s">
        <v>14346</v>
      </c>
      <c r="BN45" s="41" t="s">
        <v>14347</v>
      </c>
      <c r="BO45" s="41" t="s">
        <v>14348</v>
      </c>
      <c r="BP45" s="41" t="s">
        <v>14349</v>
      </c>
      <c r="BQ45" s="41" t="s">
        <v>14350</v>
      </c>
      <c r="BR45" s="41" t="s">
        <v>14351</v>
      </c>
      <c r="BS45" s="41" t="s">
        <v>14352</v>
      </c>
      <c r="BT45" s="41" t="s">
        <v>14353</v>
      </c>
      <c r="BU45" s="41" t="s">
        <v>14354</v>
      </c>
      <c r="BV45" s="41" t="s">
        <v>14355</v>
      </c>
      <c r="BW45" s="41" t="s">
        <v>14356</v>
      </c>
      <c r="BX45" s="41" t="s">
        <v>14357</v>
      </c>
      <c r="BY45" s="41" t="s">
        <v>14358</v>
      </c>
      <c r="BZ45" s="41" t="s">
        <v>14359</v>
      </c>
      <c r="CA45" s="41" t="s">
        <v>14360</v>
      </c>
      <c r="CB45" s="41" t="s">
        <v>14361</v>
      </c>
      <c r="CC45" s="41" t="s">
        <v>14362</v>
      </c>
      <c r="CD45" s="41" t="s">
        <v>14363</v>
      </c>
      <c r="CE45" s="41" t="s">
        <v>14364</v>
      </c>
      <c r="CF45" s="41" t="s">
        <v>14364</v>
      </c>
      <c r="CG45" s="41" t="s">
        <v>14364</v>
      </c>
    </row>
    <row r="46" spans="1:85" x14ac:dyDescent="0.4">
      <c r="A46" s="43" t="s">
        <v>6148</v>
      </c>
      <c r="B46" s="43" t="s">
        <v>6</v>
      </c>
      <c r="C46" s="43" t="s">
        <v>1</v>
      </c>
      <c r="D46" s="20" t="s">
        <v>2076</v>
      </c>
      <c r="E46" s="43" t="s">
        <v>0</v>
      </c>
      <c r="F46" s="43" t="s">
        <v>6148</v>
      </c>
      <c r="G46" s="43" t="s">
        <v>14365</v>
      </c>
      <c r="H46" s="43" t="s">
        <v>7</v>
      </c>
      <c r="I46" s="43" t="s">
        <v>2</v>
      </c>
      <c r="J46" s="43" t="s">
        <v>595</v>
      </c>
      <c r="K46" s="43"/>
      <c r="L46" s="43"/>
      <c r="M46" s="43" t="s">
        <v>6153</v>
      </c>
      <c r="N46" s="43"/>
      <c r="O46" s="43"/>
      <c r="P46" s="43" t="s">
        <v>13845</v>
      </c>
      <c r="Q46" s="43"/>
      <c r="R46" s="43" t="s">
        <v>14366</v>
      </c>
      <c r="S46" s="43" t="s">
        <v>11</v>
      </c>
      <c r="T46" s="43" t="s">
        <v>14367</v>
      </c>
      <c r="U46" s="43"/>
      <c r="V46" s="43" t="s">
        <v>14368</v>
      </c>
      <c r="W46" s="43"/>
      <c r="X46" s="43" t="s">
        <v>14369</v>
      </c>
      <c r="Y46" s="43" t="s">
        <v>14370</v>
      </c>
      <c r="Z46" s="43" t="s">
        <v>14628</v>
      </c>
      <c r="AA46" s="43" t="s">
        <v>14673</v>
      </c>
      <c r="AB46" s="43" t="s">
        <v>1119</v>
      </c>
      <c r="AC46" s="43" t="s">
        <v>6150</v>
      </c>
      <c r="AD46" s="43" t="s">
        <v>14383</v>
      </c>
      <c r="AE46" s="43" t="s">
        <v>2238</v>
      </c>
      <c r="AF46" s="43" t="s">
        <v>1121</v>
      </c>
      <c r="AG46" s="43"/>
      <c r="AH46" s="43" t="s">
        <v>1122</v>
      </c>
      <c r="AI46" s="43"/>
      <c r="AJ46" s="43" t="s">
        <v>14384</v>
      </c>
      <c r="AK46" s="43" t="s">
        <v>11</v>
      </c>
      <c r="AL46" s="43" t="s">
        <v>1124</v>
      </c>
      <c r="AM46" s="43"/>
      <c r="AN46" s="43" t="s">
        <v>1125</v>
      </c>
      <c r="AO46" s="43"/>
      <c r="AP46" s="43" t="s">
        <v>14385</v>
      </c>
      <c r="AQ46" s="43"/>
      <c r="AR46" s="43" t="s">
        <v>1127</v>
      </c>
      <c r="AS46" s="43"/>
      <c r="AT46" s="43" t="s">
        <v>14630</v>
      </c>
      <c r="AU46" s="43"/>
      <c r="AV46" s="43" t="s">
        <v>14631</v>
      </c>
      <c r="AW46" s="43"/>
      <c r="AX46" s="43" t="s">
        <v>14635</v>
      </c>
      <c r="AY46" s="43"/>
      <c r="AZ46" s="43" t="s">
        <v>14633</v>
      </c>
      <c r="BA46" s="43"/>
      <c r="BB46" s="43" t="s">
        <v>14636</v>
      </c>
      <c r="BC46" s="43"/>
      <c r="BD46" s="43" t="s">
        <v>14637</v>
      </c>
      <c r="BE46" s="43" t="s">
        <v>14617</v>
      </c>
      <c r="BF46" s="43" t="s">
        <v>14645</v>
      </c>
      <c r="BG46" s="43" t="s">
        <v>14692</v>
      </c>
      <c r="BH46" s="43" t="s">
        <v>14638</v>
      </c>
      <c r="BI46" s="43"/>
      <c r="BJ46" s="43" t="s">
        <v>14641</v>
      </c>
      <c r="BK46" s="43"/>
      <c r="BL46" s="43" t="s">
        <v>14640</v>
      </c>
      <c r="BM46" s="43" t="s">
        <v>14391</v>
      </c>
      <c r="BN46" s="43" t="s">
        <v>1128</v>
      </c>
      <c r="BO46" s="43"/>
      <c r="BP46" s="43" t="s">
        <v>1129</v>
      </c>
      <c r="BQ46" s="43" t="s">
        <v>6151</v>
      </c>
      <c r="BR46" s="43"/>
      <c r="BS46" s="43"/>
      <c r="BT46" s="43"/>
      <c r="BU46" s="43"/>
      <c r="BV46" s="43"/>
      <c r="BW46" s="43"/>
      <c r="BX46" s="43"/>
      <c r="BY46" s="43"/>
      <c r="BZ46" s="43"/>
      <c r="CA46" s="43"/>
      <c r="CB46" s="43"/>
      <c r="CC46" s="43"/>
      <c r="CD46" s="43"/>
      <c r="CE46" s="43"/>
      <c r="CF46" s="43"/>
      <c r="CG46" s="43"/>
    </row>
    <row r="47" spans="1:85" x14ac:dyDescent="0.4">
      <c r="A47" s="43" t="s">
        <v>2083</v>
      </c>
      <c r="B47" s="43" t="s">
        <v>6</v>
      </c>
      <c r="C47" s="43" t="s">
        <v>1</v>
      </c>
      <c r="D47" s="20" t="s">
        <v>2076</v>
      </c>
      <c r="E47" s="43" t="s">
        <v>0</v>
      </c>
      <c r="F47" s="43" t="s">
        <v>2083</v>
      </c>
      <c r="G47" s="43" t="s">
        <v>14365</v>
      </c>
      <c r="H47" s="43" t="s">
        <v>4</v>
      </c>
      <c r="I47" s="43" t="s">
        <v>2</v>
      </c>
      <c r="J47" s="43" t="s">
        <v>2085</v>
      </c>
      <c r="K47" s="43"/>
      <c r="L47" s="43"/>
      <c r="M47" s="43" t="s">
        <v>2086</v>
      </c>
      <c r="N47" s="43"/>
      <c r="O47" s="43"/>
      <c r="P47" s="43" t="s">
        <v>13845</v>
      </c>
      <c r="Q47" s="43"/>
      <c r="R47" s="43" t="s">
        <v>14366</v>
      </c>
      <c r="S47" s="43" t="s">
        <v>11</v>
      </c>
      <c r="T47" s="43" t="s">
        <v>14367</v>
      </c>
      <c r="U47" s="43"/>
      <c r="V47" s="43" t="s">
        <v>14368</v>
      </c>
      <c r="W47" s="43"/>
      <c r="X47" s="43" t="s">
        <v>14369</v>
      </c>
      <c r="Y47" s="43" t="s">
        <v>14370</v>
      </c>
      <c r="Z47" s="43" t="s">
        <v>14628</v>
      </c>
      <c r="AA47" s="43" t="s">
        <v>14693</v>
      </c>
      <c r="AB47" s="43" t="s">
        <v>1119</v>
      </c>
      <c r="AC47" s="43" t="s">
        <v>9919</v>
      </c>
      <c r="AD47" s="43" t="s">
        <v>14383</v>
      </c>
      <c r="AE47" s="43" t="s">
        <v>5309</v>
      </c>
      <c r="AF47" s="43" t="s">
        <v>1121</v>
      </c>
      <c r="AG47" s="43"/>
      <c r="AH47" s="43" t="s">
        <v>1122</v>
      </c>
      <c r="AI47" s="43"/>
      <c r="AJ47" s="43" t="s">
        <v>14384</v>
      </c>
      <c r="AK47" s="43" t="s">
        <v>11</v>
      </c>
      <c r="AL47" s="43" t="s">
        <v>1124</v>
      </c>
      <c r="AM47" s="43"/>
      <c r="AN47" s="43" t="s">
        <v>1125</v>
      </c>
      <c r="AO47" s="43"/>
      <c r="AP47" s="43" t="s">
        <v>14385</v>
      </c>
      <c r="AQ47" s="43"/>
      <c r="AR47" s="43" t="s">
        <v>1127</v>
      </c>
      <c r="AS47" s="43"/>
      <c r="AT47" s="43" t="s">
        <v>14630</v>
      </c>
      <c r="AU47" s="43"/>
      <c r="AV47" s="43" t="s">
        <v>14631</v>
      </c>
      <c r="AW47" s="43"/>
      <c r="AX47" s="43" t="s">
        <v>14635</v>
      </c>
      <c r="AY47" s="43"/>
      <c r="AZ47" s="43" t="s">
        <v>14633</v>
      </c>
      <c r="BA47" s="43"/>
      <c r="BB47" s="43" t="s">
        <v>14636</v>
      </c>
      <c r="BC47" s="43"/>
      <c r="BD47" s="43" t="s">
        <v>14637</v>
      </c>
      <c r="BE47" s="43" t="s">
        <v>14390</v>
      </c>
      <c r="BF47" s="43" t="s">
        <v>14645</v>
      </c>
      <c r="BG47" s="43" t="s">
        <v>14694</v>
      </c>
      <c r="BH47" s="43" t="s">
        <v>14638</v>
      </c>
      <c r="BI47" s="43"/>
      <c r="BJ47" s="43" t="s">
        <v>14641</v>
      </c>
      <c r="BK47" s="43"/>
      <c r="BL47" s="43" t="s">
        <v>14640</v>
      </c>
      <c r="BM47" s="43" t="s">
        <v>14382</v>
      </c>
      <c r="BN47" s="43" t="s">
        <v>1128</v>
      </c>
      <c r="BO47" s="43"/>
      <c r="BP47" s="43" t="s">
        <v>1129</v>
      </c>
      <c r="BQ47" s="43"/>
      <c r="BR47" s="43"/>
      <c r="BS47" s="43"/>
      <c r="BT47" s="43"/>
      <c r="BU47" s="43"/>
      <c r="BV47" s="43"/>
      <c r="BW47" s="43"/>
      <c r="BX47" s="43"/>
      <c r="BY47" s="43"/>
      <c r="BZ47" s="43"/>
      <c r="CA47" s="43"/>
      <c r="CB47" s="43"/>
      <c r="CC47" s="43"/>
      <c r="CD47" s="43"/>
      <c r="CE47" s="43"/>
      <c r="CF47" s="43"/>
      <c r="CG47" s="43"/>
    </row>
    <row r="48" spans="1:85" x14ac:dyDescent="0.4">
      <c r="A48" s="43" t="s">
        <v>2102</v>
      </c>
      <c r="B48" s="43" t="s">
        <v>6</v>
      </c>
      <c r="C48" s="43" t="s">
        <v>1</v>
      </c>
      <c r="D48" s="20" t="s">
        <v>2076</v>
      </c>
      <c r="E48" s="43" t="s">
        <v>0</v>
      </c>
      <c r="F48" s="43" t="s">
        <v>2102</v>
      </c>
      <c r="G48" s="43" t="s">
        <v>14365</v>
      </c>
      <c r="H48" s="43" t="s">
        <v>7</v>
      </c>
      <c r="I48" s="43" t="s">
        <v>2</v>
      </c>
      <c r="J48" s="43" t="s">
        <v>202</v>
      </c>
      <c r="K48" s="43"/>
      <c r="L48" s="43"/>
      <c r="M48" s="43" t="s">
        <v>2104</v>
      </c>
      <c r="N48" s="43"/>
      <c r="O48" s="43"/>
      <c r="P48" s="43" t="s">
        <v>13845</v>
      </c>
      <c r="Q48" s="43"/>
      <c r="R48" s="43" t="s">
        <v>14366</v>
      </c>
      <c r="S48" s="43" t="s">
        <v>11</v>
      </c>
      <c r="T48" s="43" t="s">
        <v>14367</v>
      </c>
      <c r="U48" s="43"/>
      <c r="V48" s="43" t="s">
        <v>14368</v>
      </c>
      <c r="W48" s="43"/>
      <c r="X48" s="43" t="s">
        <v>14369</v>
      </c>
      <c r="Y48" s="43" t="s">
        <v>14370</v>
      </c>
      <c r="Z48" s="43" t="s">
        <v>14628</v>
      </c>
      <c r="AA48" s="43" t="s">
        <v>14695</v>
      </c>
      <c r="AB48" s="43" t="s">
        <v>1119</v>
      </c>
      <c r="AC48" s="43" t="s">
        <v>10762</v>
      </c>
      <c r="AD48" s="43" t="s">
        <v>14383</v>
      </c>
      <c r="AE48" s="43" t="s">
        <v>10756</v>
      </c>
      <c r="AF48" s="43" t="s">
        <v>1121</v>
      </c>
      <c r="AG48" s="43"/>
      <c r="AH48" s="43" t="s">
        <v>1122</v>
      </c>
      <c r="AI48" s="43"/>
      <c r="AJ48" s="43" t="s">
        <v>14384</v>
      </c>
      <c r="AK48" s="43" t="s">
        <v>11</v>
      </c>
      <c r="AL48" s="43" t="s">
        <v>1124</v>
      </c>
      <c r="AM48" s="43"/>
      <c r="AN48" s="43" t="s">
        <v>1125</v>
      </c>
      <c r="AO48" s="43"/>
      <c r="AP48" s="43" t="s">
        <v>14385</v>
      </c>
      <c r="AQ48" s="43"/>
      <c r="AR48" s="43" t="s">
        <v>1127</v>
      </c>
      <c r="AS48" s="43"/>
      <c r="AT48" s="43" t="s">
        <v>14630</v>
      </c>
      <c r="AU48" s="43"/>
      <c r="AV48" s="43" t="s">
        <v>14631</v>
      </c>
      <c r="AW48" s="43"/>
      <c r="AX48" s="43" t="s">
        <v>14635</v>
      </c>
      <c r="AY48" s="43"/>
      <c r="AZ48" s="43" t="s">
        <v>14633</v>
      </c>
      <c r="BA48" s="43"/>
      <c r="BB48" s="43" t="s">
        <v>14636</v>
      </c>
      <c r="BC48" s="43"/>
      <c r="BD48" s="43" t="s">
        <v>14637</v>
      </c>
      <c r="BE48" s="43"/>
      <c r="BF48" s="43" t="s">
        <v>14645</v>
      </c>
      <c r="BG48" s="43"/>
      <c r="BH48" s="43" t="s">
        <v>14638</v>
      </c>
      <c r="BI48" s="43"/>
      <c r="BJ48" s="43" t="s">
        <v>14641</v>
      </c>
      <c r="BK48" s="43"/>
      <c r="BL48" s="43" t="s">
        <v>14640</v>
      </c>
      <c r="BM48" s="43" t="s">
        <v>14382</v>
      </c>
      <c r="BN48" s="43" t="s">
        <v>1128</v>
      </c>
      <c r="BO48" s="43"/>
      <c r="BP48" s="43" t="s">
        <v>1129</v>
      </c>
      <c r="BQ48" s="43"/>
      <c r="BR48" s="43"/>
      <c r="BS48" s="43"/>
      <c r="BT48" s="43"/>
      <c r="BU48" s="43"/>
      <c r="BV48" s="43"/>
      <c r="BW48" s="43"/>
      <c r="BX48" s="43"/>
      <c r="BY48" s="43"/>
      <c r="BZ48" s="43"/>
      <c r="CA48" s="43"/>
      <c r="CB48" s="43"/>
      <c r="CC48" s="43"/>
      <c r="CD48" s="43"/>
      <c r="CE48" s="43"/>
      <c r="CF48" s="43"/>
      <c r="CG48" s="43"/>
    </row>
    <row r="49" spans="1:85" x14ac:dyDescent="0.4">
      <c r="A49" s="43" t="s">
        <v>2105</v>
      </c>
      <c r="B49" s="43" t="s">
        <v>6</v>
      </c>
      <c r="C49" s="43" t="s">
        <v>1</v>
      </c>
      <c r="D49" s="20" t="s">
        <v>2076</v>
      </c>
      <c r="E49" s="43" t="s">
        <v>0</v>
      </c>
      <c r="F49" s="43" t="s">
        <v>2105</v>
      </c>
      <c r="G49" s="43" t="s">
        <v>14365</v>
      </c>
      <c r="H49" s="43" t="s">
        <v>7</v>
      </c>
      <c r="I49" s="43" t="s">
        <v>2</v>
      </c>
      <c r="J49" s="43" t="s">
        <v>202</v>
      </c>
      <c r="K49" s="43"/>
      <c r="L49" s="43"/>
      <c r="M49" s="43" t="s">
        <v>2104</v>
      </c>
      <c r="N49" s="43"/>
      <c r="O49" s="43"/>
      <c r="P49" s="43" t="s">
        <v>13845</v>
      </c>
      <c r="Q49" s="43"/>
      <c r="R49" s="43" t="s">
        <v>14366</v>
      </c>
      <c r="S49" s="43" t="s">
        <v>11</v>
      </c>
      <c r="T49" s="43" t="s">
        <v>14367</v>
      </c>
      <c r="U49" s="43"/>
      <c r="V49" s="43" t="s">
        <v>14368</v>
      </c>
      <c r="W49" s="43"/>
      <c r="X49" s="43" t="s">
        <v>14369</v>
      </c>
      <c r="Y49" s="43" t="s">
        <v>14370</v>
      </c>
      <c r="Z49" s="43" t="s">
        <v>14628</v>
      </c>
      <c r="AA49" s="43" t="s">
        <v>14695</v>
      </c>
      <c r="AB49" s="43" t="s">
        <v>1119</v>
      </c>
      <c r="AC49" s="43" t="s">
        <v>10759</v>
      </c>
      <c r="AD49" s="43" t="s">
        <v>14383</v>
      </c>
      <c r="AE49" s="43" t="s">
        <v>10756</v>
      </c>
      <c r="AF49" s="43" t="s">
        <v>1121</v>
      </c>
      <c r="AG49" s="43"/>
      <c r="AH49" s="43" t="s">
        <v>1122</v>
      </c>
      <c r="AI49" s="43"/>
      <c r="AJ49" s="43" t="s">
        <v>14384</v>
      </c>
      <c r="AK49" s="43" t="s">
        <v>11</v>
      </c>
      <c r="AL49" s="43" t="s">
        <v>1124</v>
      </c>
      <c r="AM49" s="43"/>
      <c r="AN49" s="43" t="s">
        <v>1125</v>
      </c>
      <c r="AO49" s="43"/>
      <c r="AP49" s="43" t="s">
        <v>14385</v>
      </c>
      <c r="AQ49" s="43"/>
      <c r="AR49" s="43" t="s">
        <v>1127</v>
      </c>
      <c r="AS49" s="43"/>
      <c r="AT49" s="43" t="s">
        <v>14630</v>
      </c>
      <c r="AU49" s="43"/>
      <c r="AV49" s="43" t="s">
        <v>14631</v>
      </c>
      <c r="AW49" s="43"/>
      <c r="AX49" s="43" t="s">
        <v>14635</v>
      </c>
      <c r="AY49" s="43"/>
      <c r="AZ49" s="43" t="s">
        <v>14633</v>
      </c>
      <c r="BA49" s="43" t="s">
        <v>14696</v>
      </c>
      <c r="BB49" s="43" t="s">
        <v>14636</v>
      </c>
      <c r="BC49" s="43" t="s">
        <v>14697</v>
      </c>
      <c r="BD49" s="43" t="s">
        <v>14637</v>
      </c>
      <c r="BE49" s="43"/>
      <c r="BF49" s="43" t="s">
        <v>14645</v>
      </c>
      <c r="BG49" s="43"/>
      <c r="BH49" s="43" t="s">
        <v>14638</v>
      </c>
      <c r="BI49" s="43"/>
      <c r="BJ49" s="43" t="s">
        <v>14641</v>
      </c>
      <c r="BK49" s="43"/>
      <c r="BL49" s="43" t="s">
        <v>14640</v>
      </c>
      <c r="BM49" s="43" t="s">
        <v>14382</v>
      </c>
      <c r="BN49" s="43" t="s">
        <v>1128</v>
      </c>
      <c r="BO49" s="43"/>
      <c r="BP49" s="43" t="s">
        <v>1129</v>
      </c>
      <c r="BQ49" s="43"/>
      <c r="BR49" s="43"/>
      <c r="BS49" s="43"/>
      <c r="BT49" s="43"/>
      <c r="BU49" s="43"/>
      <c r="BV49" s="43"/>
      <c r="BW49" s="43"/>
      <c r="BX49" s="43"/>
      <c r="BY49" s="43"/>
      <c r="BZ49" s="43"/>
      <c r="CA49" s="43"/>
      <c r="CB49" s="43"/>
      <c r="CC49" s="43"/>
      <c r="CD49" s="43"/>
      <c r="CE49" s="43"/>
      <c r="CF49" s="43"/>
      <c r="CG49" s="43"/>
    </row>
    <row r="52" spans="1:85" x14ac:dyDescent="0.4">
      <c r="A52" s="44" t="s">
        <v>14285</v>
      </c>
      <c r="B52" s="44" t="s">
        <v>1113</v>
      </c>
      <c r="C52" s="44" t="s">
        <v>1112</v>
      </c>
      <c r="D52" s="44" t="s">
        <v>14287</v>
      </c>
      <c r="E52" s="44" t="s">
        <v>1108</v>
      </c>
      <c r="F52" s="44" t="s">
        <v>14288</v>
      </c>
      <c r="G52" s="44" t="s">
        <v>14289</v>
      </c>
      <c r="H52" s="44" t="s">
        <v>1117</v>
      </c>
      <c r="I52" s="44" t="s">
        <v>14290</v>
      </c>
      <c r="J52" s="44" t="s">
        <v>14291</v>
      </c>
      <c r="K52" s="44" t="s">
        <v>14292</v>
      </c>
      <c r="L52" s="44" t="s">
        <v>14293</v>
      </c>
      <c r="M52" s="44" t="s">
        <v>14294</v>
      </c>
      <c r="N52" s="44" t="s">
        <v>14295</v>
      </c>
      <c r="O52" s="44" t="s">
        <v>14296</v>
      </c>
      <c r="P52" s="44" t="s">
        <v>14297</v>
      </c>
      <c r="Q52" s="44" t="s">
        <v>14298</v>
      </c>
      <c r="R52" s="44" t="s">
        <v>14299</v>
      </c>
      <c r="S52" s="44" t="s">
        <v>14300</v>
      </c>
      <c r="T52" s="44" t="s">
        <v>14301</v>
      </c>
      <c r="U52" s="44" t="s">
        <v>14302</v>
      </c>
      <c r="V52" s="44" t="s">
        <v>14303</v>
      </c>
      <c r="W52" s="44" t="s">
        <v>14304</v>
      </c>
      <c r="X52" s="44" t="s">
        <v>14305</v>
      </c>
      <c r="Y52" s="44" t="s">
        <v>14306</v>
      </c>
      <c r="Z52" s="44" t="s">
        <v>14307</v>
      </c>
      <c r="AA52" s="44" t="s">
        <v>14308</v>
      </c>
      <c r="AB52" s="44" t="s">
        <v>14309</v>
      </c>
      <c r="AC52" s="45" t="s">
        <v>14310</v>
      </c>
      <c r="AD52" s="44" t="s">
        <v>14311</v>
      </c>
      <c r="AE52" s="45" t="s">
        <v>14312</v>
      </c>
      <c r="AF52" s="44" t="s">
        <v>14313</v>
      </c>
      <c r="AG52" s="45" t="s">
        <v>14314</v>
      </c>
      <c r="AH52" s="44" t="s">
        <v>14315</v>
      </c>
      <c r="AI52" s="45" t="s">
        <v>14316</v>
      </c>
      <c r="AJ52" s="44" t="s">
        <v>14317</v>
      </c>
      <c r="AK52" s="45" t="s">
        <v>14318</v>
      </c>
      <c r="AL52" s="44" t="s">
        <v>14319</v>
      </c>
      <c r="AM52" s="45" t="s">
        <v>14320</v>
      </c>
      <c r="AN52" s="44" t="s">
        <v>14321</v>
      </c>
      <c r="AO52" s="44" t="s">
        <v>14322</v>
      </c>
      <c r="AP52" s="44" t="s">
        <v>14323</v>
      </c>
      <c r="AQ52" s="44" t="s">
        <v>14324</v>
      </c>
      <c r="AR52" s="44" t="s">
        <v>14325</v>
      </c>
      <c r="AS52" s="44" t="s">
        <v>14326</v>
      </c>
      <c r="AT52" s="44" t="s">
        <v>14327</v>
      </c>
      <c r="AU52" s="44" t="s">
        <v>14328</v>
      </c>
      <c r="AV52" s="44" t="s">
        <v>14329</v>
      </c>
      <c r="AW52" s="44" t="s">
        <v>14330</v>
      </c>
      <c r="AX52" s="44" t="s">
        <v>14331</v>
      </c>
      <c r="AY52" s="44" t="s">
        <v>14332</v>
      </c>
      <c r="AZ52" s="44" t="s">
        <v>14333</v>
      </c>
      <c r="BA52" s="44" t="s">
        <v>14334</v>
      </c>
      <c r="BB52" s="44" t="s">
        <v>14335</v>
      </c>
      <c r="BC52" s="44" t="s">
        <v>14336</v>
      </c>
      <c r="BD52" s="44" t="s">
        <v>14337</v>
      </c>
      <c r="BE52" s="44" t="s">
        <v>14338</v>
      </c>
      <c r="BF52" s="44" t="s">
        <v>14339</v>
      </c>
      <c r="BG52" s="44" t="s">
        <v>14340</v>
      </c>
      <c r="BH52" s="44" t="s">
        <v>14341</v>
      </c>
      <c r="BI52" s="44" t="s">
        <v>14342</v>
      </c>
      <c r="BJ52" s="44" t="s">
        <v>14343</v>
      </c>
      <c r="BK52" s="44" t="s">
        <v>14344</v>
      </c>
      <c r="BL52" s="44" t="s">
        <v>14345</v>
      </c>
      <c r="BM52" s="44" t="s">
        <v>14346</v>
      </c>
      <c r="BN52" s="44" t="s">
        <v>14347</v>
      </c>
      <c r="BO52" s="44" t="s">
        <v>14348</v>
      </c>
      <c r="BP52" s="44" t="s">
        <v>14349</v>
      </c>
      <c r="BQ52" s="44" t="s">
        <v>14350</v>
      </c>
      <c r="BR52" s="44" t="s">
        <v>14351</v>
      </c>
      <c r="BS52" s="44" t="s">
        <v>14352</v>
      </c>
      <c r="BT52" s="44" t="s">
        <v>14353</v>
      </c>
      <c r="BU52" s="44" t="s">
        <v>14354</v>
      </c>
      <c r="BV52" s="44" t="s">
        <v>14355</v>
      </c>
      <c r="BW52" s="44" t="s">
        <v>14356</v>
      </c>
      <c r="BX52" s="44" t="s">
        <v>14357</v>
      </c>
      <c r="BY52" s="44" t="s">
        <v>14358</v>
      </c>
      <c r="BZ52" s="44" t="s">
        <v>14359</v>
      </c>
      <c r="CA52" s="44" t="s">
        <v>14360</v>
      </c>
      <c r="CB52" s="44" t="s">
        <v>14361</v>
      </c>
      <c r="CC52" s="44" t="s">
        <v>14362</v>
      </c>
      <c r="CD52" s="44" t="s">
        <v>14363</v>
      </c>
      <c r="CE52" s="44" t="s">
        <v>14364</v>
      </c>
      <c r="CF52" s="44" t="s">
        <v>14364</v>
      </c>
      <c r="CG52" s="44" t="s">
        <v>14364</v>
      </c>
    </row>
    <row r="53" spans="1:85" x14ac:dyDescent="0.4">
      <c r="A53" s="46" t="s">
        <v>4950</v>
      </c>
      <c r="B53" s="46" t="s">
        <v>6</v>
      </c>
      <c r="C53" s="46" t="s">
        <v>1</v>
      </c>
      <c r="D53" s="20" t="s">
        <v>2290</v>
      </c>
      <c r="E53" s="46" t="s">
        <v>0</v>
      </c>
      <c r="F53" s="46" t="s">
        <v>4950</v>
      </c>
      <c r="G53" s="46" t="s">
        <v>14365</v>
      </c>
      <c r="H53" s="46" t="s">
        <v>7</v>
      </c>
      <c r="I53" s="46" t="s">
        <v>2</v>
      </c>
      <c r="J53" s="46" t="s">
        <v>1431</v>
      </c>
      <c r="K53" s="46"/>
      <c r="L53" s="46"/>
      <c r="M53" s="46" t="s">
        <v>4955</v>
      </c>
      <c r="N53" s="46"/>
      <c r="O53" s="46"/>
      <c r="P53" s="46" t="s">
        <v>13845</v>
      </c>
      <c r="Q53" s="46"/>
      <c r="R53" s="46" t="s">
        <v>14366</v>
      </c>
      <c r="S53" s="46" t="s">
        <v>11</v>
      </c>
      <c r="T53" s="46" t="s">
        <v>14367</v>
      </c>
      <c r="U53" s="46"/>
      <c r="V53" s="46" t="s">
        <v>14368</v>
      </c>
      <c r="W53" s="46"/>
      <c r="X53" s="46" t="s">
        <v>14369</v>
      </c>
      <c r="Y53" s="46" t="s">
        <v>14370</v>
      </c>
      <c r="Z53" s="46" t="s">
        <v>14698</v>
      </c>
      <c r="AA53" s="46" t="s">
        <v>14699</v>
      </c>
      <c r="AB53" s="46" t="s">
        <v>1119</v>
      </c>
      <c r="AC53" s="46" t="s">
        <v>4952</v>
      </c>
      <c r="AD53" s="46" t="s">
        <v>14383</v>
      </c>
      <c r="AE53" s="46" t="s">
        <v>3756</v>
      </c>
      <c r="AF53" s="46" t="s">
        <v>1121</v>
      </c>
      <c r="AG53" s="46"/>
      <c r="AH53" s="46" t="s">
        <v>1122</v>
      </c>
      <c r="AI53" s="46"/>
      <c r="AJ53" s="46" t="s">
        <v>14384</v>
      </c>
      <c r="AK53" s="46" t="s">
        <v>11</v>
      </c>
      <c r="AL53" s="46" t="s">
        <v>1124</v>
      </c>
      <c r="AM53" s="46"/>
      <c r="AN53" s="46" t="s">
        <v>1125</v>
      </c>
      <c r="AO53" s="46"/>
      <c r="AP53" s="46" t="s">
        <v>14385</v>
      </c>
      <c r="AQ53" s="46"/>
      <c r="AR53" s="46" t="s">
        <v>1127</v>
      </c>
      <c r="AS53" s="46"/>
      <c r="AT53" s="46" t="s">
        <v>14700</v>
      </c>
      <c r="AU53" s="46" t="s">
        <v>14701</v>
      </c>
      <c r="AV53" s="46" t="s">
        <v>14482</v>
      </c>
      <c r="AW53" s="46" t="s">
        <v>14447</v>
      </c>
      <c r="AX53" s="46" t="s">
        <v>14702</v>
      </c>
      <c r="AY53" s="46" t="s">
        <v>14398</v>
      </c>
      <c r="AZ53" s="46" t="s">
        <v>1128</v>
      </c>
      <c r="BA53" s="46" t="s">
        <v>4953</v>
      </c>
      <c r="BB53" s="46" t="s">
        <v>14499</v>
      </c>
      <c r="BC53" s="46"/>
      <c r="BD53" s="46"/>
      <c r="BE53" s="46"/>
      <c r="BF53" s="46"/>
      <c r="BG53" s="46"/>
      <c r="BH53" s="46"/>
      <c r="BI53" s="46"/>
      <c r="BJ53" s="46"/>
      <c r="BK53" s="46"/>
      <c r="BL53" s="46"/>
      <c r="BM53" s="46"/>
      <c r="BN53" s="46"/>
      <c r="BO53" s="46"/>
      <c r="BP53" s="46"/>
      <c r="BQ53" s="46"/>
      <c r="BR53" s="46"/>
      <c r="BS53" s="46"/>
      <c r="BT53" s="46"/>
      <c r="BU53" s="46"/>
      <c r="BV53" s="46"/>
      <c r="BW53" s="46"/>
      <c r="BX53" s="46"/>
      <c r="BY53" s="46"/>
      <c r="BZ53" s="46"/>
      <c r="CA53" s="46"/>
      <c r="CB53" s="46"/>
      <c r="CC53" s="46"/>
      <c r="CD53" s="46"/>
      <c r="CE53" s="46"/>
      <c r="CF53" s="46"/>
      <c r="CG53" s="46"/>
    </row>
    <row r="54" spans="1:85" x14ac:dyDescent="0.4">
      <c r="A54" s="46" t="s">
        <v>4958</v>
      </c>
      <c r="B54" s="46" t="s">
        <v>6</v>
      </c>
      <c r="C54" s="46" t="s">
        <v>1</v>
      </c>
      <c r="D54" s="20" t="s">
        <v>2290</v>
      </c>
      <c r="E54" s="46" t="s">
        <v>0</v>
      </c>
      <c r="F54" s="46" t="s">
        <v>4958</v>
      </c>
      <c r="G54" s="46" t="s">
        <v>14365</v>
      </c>
      <c r="H54" s="46" t="s">
        <v>7</v>
      </c>
      <c r="I54" s="46" t="s">
        <v>2</v>
      </c>
      <c r="J54" s="46" t="s">
        <v>1431</v>
      </c>
      <c r="K54" s="46"/>
      <c r="L54" s="46"/>
      <c r="M54" s="46" t="s">
        <v>4963</v>
      </c>
      <c r="N54" s="46"/>
      <c r="O54" s="46"/>
      <c r="P54" s="46" t="s">
        <v>13845</v>
      </c>
      <c r="Q54" s="46"/>
      <c r="R54" s="46" t="s">
        <v>14366</v>
      </c>
      <c r="S54" s="46" t="s">
        <v>11</v>
      </c>
      <c r="T54" s="46" t="s">
        <v>14367</v>
      </c>
      <c r="U54" s="46"/>
      <c r="V54" s="46" t="s">
        <v>14368</v>
      </c>
      <c r="W54" s="46"/>
      <c r="X54" s="46" t="s">
        <v>14369</v>
      </c>
      <c r="Y54" s="46"/>
      <c r="Z54" s="46" t="s">
        <v>14698</v>
      </c>
      <c r="AA54" s="46" t="s">
        <v>14699</v>
      </c>
      <c r="AB54" s="46" t="s">
        <v>1119</v>
      </c>
      <c r="AC54" s="46" t="s">
        <v>4960</v>
      </c>
      <c r="AD54" s="46" t="s">
        <v>14383</v>
      </c>
      <c r="AE54" s="46" t="s">
        <v>3756</v>
      </c>
      <c r="AF54" s="46" t="s">
        <v>1121</v>
      </c>
      <c r="AG54" s="46"/>
      <c r="AH54" s="46" t="s">
        <v>1122</v>
      </c>
      <c r="AI54" s="46"/>
      <c r="AJ54" s="46" t="s">
        <v>14384</v>
      </c>
      <c r="AK54" s="46" t="s">
        <v>11</v>
      </c>
      <c r="AL54" s="46" t="s">
        <v>1124</v>
      </c>
      <c r="AM54" s="46"/>
      <c r="AN54" s="46" t="s">
        <v>1125</v>
      </c>
      <c r="AO54" s="46"/>
      <c r="AP54" s="46" t="s">
        <v>14385</v>
      </c>
      <c r="AQ54" s="46"/>
      <c r="AR54" s="46" t="s">
        <v>1127</v>
      </c>
      <c r="AS54" s="46"/>
      <c r="AT54" s="46" t="s">
        <v>14700</v>
      </c>
      <c r="AU54" s="46" t="s">
        <v>14703</v>
      </c>
      <c r="AV54" s="46" t="s">
        <v>14482</v>
      </c>
      <c r="AW54" s="46" t="s">
        <v>14447</v>
      </c>
      <c r="AX54" s="46" t="s">
        <v>14702</v>
      </c>
      <c r="AY54" s="46" t="s">
        <v>14388</v>
      </c>
      <c r="AZ54" s="46" t="s">
        <v>1128</v>
      </c>
      <c r="BA54" s="46" t="s">
        <v>4961</v>
      </c>
      <c r="BB54" s="46" t="s">
        <v>14499</v>
      </c>
      <c r="BC54" s="46"/>
      <c r="BD54" s="46"/>
      <c r="BE54" s="46"/>
      <c r="BF54" s="46"/>
      <c r="BG54" s="46"/>
      <c r="BH54" s="46"/>
      <c r="BI54" s="46"/>
      <c r="BJ54" s="46"/>
      <c r="BK54" s="46"/>
      <c r="BL54" s="46"/>
      <c r="BM54" s="46"/>
      <c r="BN54" s="46"/>
      <c r="BO54" s="46"/>
      <c r="BP54" s="46"/>
      <c r="BQ54" s="46"/>
      <c r="BR54" s="46"/>
      <c r="BS54" s="46"/>
      <c r="BT54" s="46"/>
      <c r="BU54" s="46"/>
      <c r="BV54" s="46"/>
      <c r="BW54" s="46"/>
      <c r="BX54" s="46"/>
      <c r="BY54" s="46"/>
      <c r="BZ54" s="46"/>
      <c r="CA54" s="46"/>
      <c r="CB54" s="46"/>
      <c r="CC54" s="46"/>
      <c r="CD54" s="46"/>
      <c r="CE54" s="46"/>
      <c r="CF54" s="46"/>
      <c r="CG54" s="46"/>
    </row>
    <row r="55" spans="1:85" x14ac:dyDescent="0.4">
      <c r="A55" s="46" t="s">
        <v>6397</v>
      </c>
      <c r="B55" s="46" t="s">
        <v>6</v>
      </c>
      <c r="C55" s="46" t="s">
        <v>1</v>
      </c>
      <c r="D55" s="20" t="s">
        <v>2290</v>
      </c>
      <c r="E55" s="46" t="s">
        <v>2494</v>
      </c>
      <c r="F55" s="46" t="s">
        <v>6397</v>
      </c>
      <c r="G55" s="46" t="s">
        <v>14365</v>
      </c>
      <c r="H55" s="46" t="s">
        <v>7</v>
      </c>
      <c r="I55" s="46" t="s">
        <v>2</v>
      </c>
      <c r="J55" s="46" t="s">
        <v>4817</v>
      </c>
      <c r="K55" s="46"/>
      <c r="L55" s="46"/>
      <c r="M55" s="46" t="s">
        <v>6400</v>
      </c>
      <c r="N55" s="46"/>
      <c r="O55" s="46"/>
      <c r="P55" s="46" t="s">
        <v>13845</v>
      </c>
      <c r="Q55" s="46"/>
      <c r="R55" s="46" t="s">
        <v>14366</v>
      </c>
      <c r="S55" s="46" t="s">
        <v>11</v>
      </c>
      <c r="T55" s="46" t="s">
        <v>14367</v>
      </c>
      <c r="U55" s="46"/>
      <c r="V55" s="46" t="s">
        <v>14368</v>
      </c>
      <c r="W55" s="46"/>
      <c r="X55" s="46" t="s">
        <v>14369</v>
      </c>
      <c r="Y55" s="46"/>
      <c r="Z55" s="46" t="s">
        <v>14698</v>
      </c>
      <c r="AA55" s="46" t="s">
        <v>14699</v>
      </c>
      <c r="AB55" s="46" t="s">
        <v>1119</v>
      </c>
      <c r="AC55" s="46" t="s">
        <v>6399</v>
      </c>
      <c r="AD55" s="46" t="s">
        <v>14383</v>
      </c>
      <c r="AE55" s="46" t="s">
        <v>3426</v>
      </c>
      <c r="AF55" s="46" t="s">
        <v>1121</v>
      </c>
      <c r="AG55" s="46"/>
      <c r="AH55" s="46" t="s">
        <v>1122</v>
      </c>
      <c r="AI55" s="46"/>
      <c r="AJ55" s="46" t="s">
        <v>14384</v>
      </c>
      <c r="AK55" s="46" t="s">
        <v>11</v>
      </c>
      <c r="AL55" s="46" t="s">
        <v>1124</v>
      </c>
      <c r="AM55" s="46"/>
      <c r="AN55" s="46" t="s">
        <v>1125</v>
      </c>
      <c r="AO55" s="46"/>
      <c r="AP55" s="46" t="s">
        <v>14385</v>
      </c>
      <c r="AQ55" s="46"/>
      <c r="AR55" s="46" t="s">
        <v>1127</v>
      </c>
      <c r="AS55" s="46"/>
      <c r="AT55" s="46" t="s">
        <v>14700</v>
      </c>
      <c r="AU55" s="46" t="s">
        <v>14701</v>
      </c>
      <c r="AV55" s="46" t="s">
        <v>14482</v>
      </c>
      <c r="AW55" s="46" t="s">
        <v>14704</v>
      </c>
      <c r="AX55" s="46" t="s">
        <v>14702</v>
      </c>
      <c r="AY55" s="46" t="s">
        <v>14390</v>
      </c>
      <c r="AZ55" s="46" t="s">
        <v>1128</v>
      </c>
      <c r="BA55" s="46"/>
      <c r="BB55" s="46" t="s">
        <v>14499</v>
      </c>
      <c r="BC55" s="46"/>
      <c r="BD55" s="46"/>
      <c r="BE55" s="46"/>
      <c r="BF55" s="46"/>
      <c r="BG55" s="46"/>
      <c r="BH55" s="46"/>
      <c r="BI55" s="46"/>
      <c r="BJ55" s="46"/>
      <c r="BK55" s="46"/>
      <c r="BL55" s="46"/>
      <c r="BM55" s="46"/>
      <c r="BN55" s="46"/>
      <c r="BO55" s="46"/>
      <c r="BP55" s="46"/>
      <c r="BQ55" s="46"/>
      <c r="BR55" s="46"/>
      <c r="BS55" s="46"/>
      <c r="BT55" s="46"/>
      <c r="BU55" s="46"/>
      <c r="BV55" s="46"/>
      <c r="BW55" s="46"/>
      <c r="BX55" s="46"/>
      <c r="BY55" s="46"/>
      <c r="BZ55" s="46"/>
      <c r="CA55" s="46"/>
      <c r="CB55" s="46"/>
      <c r="CC55" s="46"/>
      <c r="CD55" s="46"/>
      <c r="CE55" s="46"/>
      <c r="CF55" s="46"/>
      <c r="CG55" s="46"/>
    </row>
    <row r="56" spans="1:85" x14ac:dyDescent="0.4">
      <c r="A56" s="46" t="s">
        <v>10620</v>
      </c>
      <c r="B56" s="46" t="s">
        <v>6</v>
      </c>
      <c r="C56" s="46" t="s">
        <v>1</v>
      </c>
      <c r="D56" s="20" t="s">
        <v>2290</v>
      </c>
      <c r="E56" s="46" t="s">
        <v>0</v>
      </c>
      <c r="F56" s="46" t="s">
        <v>10620</v>
      </c>
      <c r="G56" s="46" t="s">
        <v>14365</v>
      </c>
      <c r="H56" s="46" t="s">
        <v>7</v>
      </c>
      <c r="I56" s="46" t="s">
        <v>2</v>
      </c>
      <c r="J56" s="46" t="s">
        <v>10625</v>
      </c>
      <c r="K56" s="46"/>
      <c r="L56" s="46"/>
      <c r="M56" s="46" t="s">
        <v>10623</v>
      </c>
      <c r="N56" s="46"/>
      <c r="O56" s="46"/>
      <c r="P56" s="46" t="s">
        <v>13845</v>
      </c>
      <c r="Q56" s="46"/>
      <c r="R56" s="46" t="s">
        <v>14366</v>
      </c>
      <c r="S56" s="46" t="s">
        <v>11</v>
      </c>
      <c r="T56" s="46" t="s">
        <v>14367</v>
      </c>
      <c r="U56" s="46"/>
      <c r="V56" s="46" t="s">
        <v>14368</v>
      </c>
      <c r="W56" s="46"/>
      <c r="X56" s="46" t="s">
        <v>14369</v>
      </c>
      <c r="Y56" s="46" t="s">
        <v>14370</v>
      </c>
      <c r="Z56" s="46" t="s">
        <v>14698</v>
      </c>
      <c r="AA56" s="46" t="s">
        <v>14705</v>
      </c>
      <c r="AB56" s="46" t="s">
        <v>1119</v>
      </c>
      <c r="AC56" s="46" t="s">
        <v>10622</v>
      </c>
      <c r="AD56" s="46" t="s">
        <v>14383</v>
      </c>
      <c r="AE56" s="46" t="s">
        <v>3756</v>
      </c>
      <c r="AF56" s="46" t="s">
        <v>1121</v>
      </c>
      <c r="AG56" s="46"/>
      <c r="AH56" s="46" t="s">
        <v>1122</v>
      </c>
      <c r="AI56" s="46"/>
      <c r="AJ56" s="46" t="s">
        <v>14384</v>
      </c>
      <c r="AK56" s="46" t="s">
        <v>11</v>
      </c>
      <c r="AL56" s="46" t="s">
        <v>1124</v>
      </c>
      <c r="AM56" s="46"/>
      <c r="AN56" s="46" t="s">
        <v>1125</v>
      </c>
      <c r="AO56" s="46"/>
      <c r="AP56" s="46" t="s">
        <v>14385</v>
      </c>
      <c r="AQ56" s="46"/>
      <c r="AR56" s="46" t="s">
        <v>1127</v>
      </c>
      <c r="AS56" s="46"/>
      <c r="AT56" s="46" t="s">
        <v>14700</v>
      </c>
      <c r="AU56" s="46" t="s">
        <v>14701</v>
      </c>
      <c r="AV56" s="46" t="s">
        <v>14482</v>
      </c>
      <c r="AW56" s="46" t="s">
        <v>14433</v>
      </c>
      <c r="AX56" s="46" t="s">
        <v>14702</v>
      </c>
      <c r="AY56" s="46" t="s">
        <v>14389</v>
      </c>
      <c r="AZ56" s="46" t="s">
        <v>1128</v>
      </c>
      <c r="BA56" s="46"/>
      <c r="BB56" s="46" t="s">
        <v>14499</v>
      </c>
      <c r="BC56" s="46"/>
      <c r="BD56" s="46"/>
      <c r="BE56" s="46"/>
      <c r="BF56" s="46"/>
      <c r="BG56" s="46"/>
      <c r="BH56" s="46"/>
      <c r="BI56" s="46"/>
      <c r="BJ56" s="46"/>
      <c r="BK56" s="46"/>
      <c r="BL56" s="46"/>
      <c r="BM56" s="46"/>
      <c r="BN56" s="46"/>
      <c r="BO56" s="46"/>
      <c r="BP56" s="46"/>
      <c r="BQ56" s="46"/>
      <c r="BR56" s="46"/>
      <c r="BS56" s="46"/>
      <c r="BT56" s="46"/>
      <c r="BU56" s="46"/>
      <c r="BV56" s="46"/>
      <c r="BW56" s="46"/>
      <c r="BX56" s="46"/>
      <c r="BY56" s="46"/>
      <c r="BZ56" s="46"/>
      <c r="CA56" s="46"/>
      <c r="CB56" s="46"/>
      <c r="CC56" s="46"/>
      <c r="CD56" s="46"/>
      <c r="CE56" s="46"/>
      <c r="CF56" s="46"/>
      <c r="CG56" s="46"/>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9C015-21C2-4268-B89A-325F904B177C}">
  <sheetPr filterMode="1"/>
  <dimension ref="A1:AU264"/>
  <sheetViews>
    <sheetView workbookViewId="0">
      <selection activeCell="D2" sqref="D2:D183"/>
    </sheetView>
  </sheetViews>
  <sheetFormatPr defaultRowHeight="17.399999999999999" x14ac:dyDescent="0.4"/>
  <cols>
    <col min="2" max="2" width="8.796875" style="12"/>
    <col min="5" max="5" width="0" hidden="1" customWidth="1"/>
    <col min="6" max="13" width="8.796875" hidden="1" customWidth="1"/>
    <col min="14" max="14" width="21.8984375" customWidth="1"/>
    <col min="15" max="15" width="8.796875" customWidth="1"/>
    <col min="16" max="25" width="8.796875" hidden="1" customWidth="1"/>
    <col min="26" max="26" width="0" hidden="1" customWidth="1"/>
    <col min="28" max="28" width="52.8984375" customWidth="1"/>
    <col min="29" max="29" width="32" customWidth="1"/>
    <col min="31" max="31" width="20.69921875" customWidth="1"/>
  </cols>
  <sheetData>
    <row r="1" spans="1:47" ht="18" thickBot="1" x14ac:dyDescent="0.45">
      <c r="A1" s="3" t="s">
        <v>1107</v>
      </c>
      <c r="B1" s="3">
        <f>COUNTA(B2:B1048576)</f>
        <v>46</v>
      </c>
      <c r="C1" s="3" t="s">
        <v>1108</v>
      </c>
      <c r="D1" s="3" t="s">
        <v>1109</v>
      </c>
      <c r="E1" s="3" t="s">
        <v>1110</v>
      </c>
      <c r="F1" s="3" t="s">
        <v>1111</v>
      </c>
      <c r="G1" s="3" t="s">
        <v>1112</v>
      </c>
      <c r="H1" s="3" t="s">
        <v>1113</v>
      </c>
      <c r="I1" s="3" t="s">
        <v>1114</v>
      </c>
      <c r="J1" s="3" t="s">
        <v>1115</v>
      </c>
      <c r="K1" s="3" t="s">
        <v>1116</v>
      </c>
      <c r="L1" s="3" t="s">
        <v>1117</v>
      </c>
      <c r="M1" s="3" t="s">
        <v>1118</v>
      </c>
      <c r="N1" s="3" t="s">
        <v>1119</v>
      </c>
      <c r="O1" s="3" t="s">
        <v>1120</v>
      </c>
      <c r="P1" s="3" t="s">
        <v>1121</v>
      </c>
      <c r="Q1" s="3" t="s">
        <v>1122</v>
      </c>
      <c r="R1" s="3" t="s">
        <v>1123</v>
      </c>
      <c r="S1" s="3" t="s">
        <v>1124</v>
      </c>
      <c r="T1" s="3" t="s">
        <v>1125</v>
      </c>
      <c r="U1" s="3" t="s">
        <v>1126</v>
      </c>
      <c r="V1" s="3" t="s">
        <v>1127</v>
      </c>
      <c r="W1" s="3" t="s">
        <v>1128</v>
      </c>
      <c r="X1" s="3" t="s">
        <v>1129</v>
      </c>
      <c r="Y1" s="3" t="s">
        <v>1130</v>
      </c>
      <c r="Z1" s="3" t="s">
        <v>1131</v>
      </c>
      <c r="AA1" s="3" t="s">
        <v>1132</v>
      </c>
      <c r="AB1" s="5" t="s">
        <v>1133</v>
      </c>
      <c r="AC1" s="3" t="s">
        <v>1134</v>
      </c>
      <c r="AD1" s="3" t="s">
        <v>1135</v>
      </c>
      <c r="AE1" s="5" t="s">
        <v>1136</v>
      </c>
      <c r="AF1" s="3" t="s">
        <v>1137</v>
      </c>
      <c r="AG1" s="3" t="s">
        <v>1138</v>
      </c>
      <c r="AH1" s="3" t="s">
        <v>1139</v>
      </c>
      <c r="AI1" s="3" t="s">
        <v>1140</v>
      </c>
      <c r="AJ1" s="3" t="s">
        <v>1141</v>
      </c>
      <c r="AK1" s="3" t="s">
        <v>1142</v>
      </c>
      <c r="AL1" s="3" t="s">
        <v>1143</v>
      </c>
      <c r="AM1" s="3" t="s">
        <v>1144</v>
      </c>
      <c r="AN1" s="3" t="s">
        <v>1145</v>
      </c>
      <c r="AO1" s="3" t="s">
        <v>1146</v>
      </c>
      <c r="AP1" s="4" t="s">
        <v>1147</v>
      </c>
      <c r="AQ1" s="4" t="s">
        <v>1151</v>
      </c>
      <c r="AR1" s="3" t="s">
        <v>1148</v>
      </c>
      <c r="AS1" s="3" t="s">
        <v>1149</v>
      </c>
      <c r="AT1" s="3" t="s">
        <v>1150</v>
      </c>
      <c r="AU1" s="3"/>
    </row>
    <row r="2" spans="1:47" x14ac:dyDescent="0.4">
      <c r="A2" s="1" t="s">
        <v>13377</v>
      </c>
      <c r="B2" s="10">
        <v>0</v>
      </c>
      <c r="C2" s="1" t="s">
        <v>93</v>
      </c>
      <c r="D2" s="1" t="s">
        <v>11999</v>
      </c>
      <c r="E2" s="1" t="s">
        <v>2291</v>
      </c>
      <c r="F2" s="1" t="s">
        <v>14</v>
      </c>
      <c r="G2" s="1" t="s">
        <v>1</v>
      </c>
      <c r="H2" s="1" t="s">
        <v>6</v>
      </c>
      <c r="I2" s="1" t="s">
        <v>2</v>
      </c>
      <c r="J2" s="1" t="s">
        <v>3</v>
      </c>
      <c r="K2" s="1" t="s">
        <v>13378</v>
      </c>
      <c r="L2" s="1" t="s">
        <v>7</v>
      </c>
      <c r="M2" s="1"/>
      <c r="N2" s="1" t="s">
        <v>13379</v>
      </c>
      <c r="O2" s="1" t="s">
        <v>12060</v>
      </c>
      <c r="P2" s="1"/>
      <c r="Q2" s="1"/>
      <c r="R2" s="1" t="s">
        <v>11</v>
      </c>
      <c r="S2" s="1"/>
      <c r="T2" s="1"/>
      <c r="U2" s="1"/>
      <c r="V2" s="1"/>
      <c r="W2" s="1"/>
      <c r="X2" s="1" t="s">
        <v>12038</v>
      </c>
      <c r="Y2" s="1"/>
      <c r="Z2" s="1"/>
      <c r="AA2" s="1"/>
      <c r="AB2" s="1" t="s">
        <v>13380</v>
      </c>
      <c r="AC2" s="1"/>
      <c r="AD2" s="1"/>
      <c r="AE2" s="1" t="s">
        <v>12126</v>
      </c>
      <c r="AF2" s="1"/>
      <c r="AG2" s="1"/>
      <c r="AH2" s="1" t="s">
        <v>13381</v>
      </c>
      <c r="AI2" s="1"/>
      <c r="AJ2" s="1" t="s">
        <v>13309</v>
      </c>
      <c r="AK2" s="1" t="s">
        <v>4273</v>
      </c>
      <c r="AL2" s="1" t="s">
        <v>13310</v>
      </c>
      <c r="AM2" s="1" t="s">
        <v>13309</v>
      </c>
      <c r="AN2" s="1" t="s">
        <v>4273</v>
      </c>
      <c r="AO2" s="1" t="s">
        <v>13310</v>
      </c>
      <c r="AP2" s="2" t="s">
        <v>13382</v>
      </c>
      <c r="AQ2" s="2" t="s">
        <v>1154</v>
      </c>
      <c r="AR2" s="1" t="s">
        <v>286</v>
      </c>
      <c r="AS2" s="1" t="s">
        <v>13383</v>
      </c>
      <c r="AT2" s="1" t="s">
        <v>5</v>
      </c>
    </row>
    <row r="3" spans="1:47" x14ac:dyDescent="0.4">
      <c r="A3" s="1" t="s">
        <v>13685</v>
      </c>
      <c r="B3" s="10">
        <v>0</v>
      </c>
      <c r="C3" s="1" t="s">
        <v>0</v>
      </c>
      <c r="D3" s="1" t="s">
        <v>11999</v>
      </c>
      <c r="E3" s="1" t="s">
        <v>2291</v>
      </c>
      <c r="F3" s="1" t="s">
        <v>14</v>
      </c>
      <c r="G3" s="1" t="s">
        <v>1</v>
      </c>
      <c r="H3" s="1" t="s">
        <v>6</v>
      </c>
      <c r="I3" s="1" t="s">
        <v>2</v>
      </c>
      <c r="J3" s="1" t="s">
        <v>3</v>
      </c>
      <c r="K3" s="1" t="s">
        <v>13686</v>
      </c>
      <c r="L3" s="1" t="s">
        <v>7</v>
      </c>
      <c r="M3" s="1" t="s">
        <v>9</v>
      </c>
      <c r="N3" s="1" t="s">
        <v>13687</v>
      </c>
      <c r="O3" s="1" t="s">
        <v>12060</v>
      </c>
      <c r="P3" s="1"/>
      <c r="Q3" s="1"/>
      <c r="R3" s="1" t="s">
        <v>11</v>
      </c>
      <c r="S3" s="1"/>
      <c r="T3" s="1"/>
      <c r="U3" s="1"/>
      <c r="V3" s="1"/>
      <c r="W3" s="1"/>
      <c r="X3" s="1" t="s">
        <v>10021</v>
      </c>
      <c r="Y3" s="1"/>
      <c r="Z3" s="1"/>
      <c r="AA3" s="1"/>
      <c r="AB3" s="1" t="s">
        <v>13688</v>
      </c>
      <c r="AC3" s="1"/>
      <c r="AD3" s="1"/>
      <c r="AE3" s="1" t="s">
        <v>12126</v>
      </c>
      <c r="AF3" s="1"/>
      <c r="AG3" s="1"/>
      <c r="AH3" s="1" t="s">
        <v>13689</v>
      </c>
      <c r="AI3" s="1"/>
      <c r="AJ3" s="1" t="s">
        <v>202</v>
      </c>
      <c r="AK3" s="1" t="s">
        <v>518</v>
      </c>
      <c r="AL3" s="1" t="s">
        <v>203</v>
      </c>
      <c r="AM3" s="1" t="s">
        <v>6911</v>
      </c>
      <c r="AN3" s="1" t="s">
        <v>518</v>
      </c>
      <c r="AO3" s="1" t="s">
        <v>6912</v>
      </c>
      <c r="AP3" s="2" t="s">
        <v>13690</v>
      </c>
      <c r="AQ3" s="2" t="s">
        <v>1154</v>
      </c>
      <c r="AR3" s="1" t="s">
        <v>286</v>
      </c>
      <c r="AS3" s="1"/>
      <c r="AT3" s="1" t="s">
        <v>5</v>
      </c>
    </row>
    <row r="4" spans="1:47" x14ac:dyDescent="0.4">
      <c r="A4" s="1" t="s">
        <v>14007</v>
      </c>
      <c r="B4" s="10">
        <v>0</v>
      </c>
      <c r="C4" s="1" t="s">
        <v>93</v>
      </c>
      <c r="D4" s="1" t="s">
        <v>11999</v>
      </c>
      <c r="E4" s="1" t="s">
        <v>2291</v>
      </c>
      <c r="F4" s="1" t="s">
        <v>14</v>
      </c>
      <c r="G4" s="1" t="s">
        <v>1</v>
      </c>
      <c r="H4" s="1" t="s">
        <v>6</v>
      </c>
      <c r="I4" s="1" t="s">
        <v>2</v>
      </c>
      <c r="J4" s="1" t="s">
        <v>3</v>
      </c>
      <c r="K4" s="1" t="s">
        <v>14008</v>
      </c>
      <c r="L4" s="1" t="s">
        <v>7</v>
      </c>
      <c r="M4" s="1"/>
      <c r="N4" s="1" t="s">
        <v>14009</v>
      </c>
      <c r="O4" s="1" t="s">
        <v>12060</v>
      </c>
      <c r="P4" s="1"/>
      <c r="Q4" s="1"/>
      <c r="R4" s="1" t="s">
        <v>11</v>
      </c>
      <c r="S4" s="1"/>
      <c r="T4" s="1"/>
      <c r="U4" s="1"/>
      <c r="V4" s="1"/>
      <c r="W4" s="1"/>
      <c r="X4" s="1" t="s">
        <v>10021</v>
      </c>
      <c r="Y4" s="1"/>
      <c r="Z4" s="1"/>
      <c r="AA4" s="1"/>
      <c r="AB4" s="1" t="s">
        <v>14284</v>
      </c>
      <c r="AC4" s="1"/>
      <c r="AD4" s="1"/>
      <c r="AE4" s="1" t="s">
        <v>12126</v>
      </c>
      <c r="AF4" s="1"/>
      <c r="AG4" s="1"/>
      <c r="AH4" s="1" t="s">
        <v>14010</v>
      </c>
      <c r="AI4" s="1"/>
      <c r="AJ4" s="1" t="s">
        <v>10303</v>
      </c>
      <c r="AK4" s="1" t="s">
        <v>1787</v>
      </c>
      <c r="AL4" s="1" t="s">
        <v>10304</v>
      </c>
      <c r="AM4" s="1" t="s">
        <v>13468</v>
      </c>
      <c r="AN4" s="1" t="s">
        <v>1787</v>
      </c>
      <c r="AO4" s="1" t="s">
        <v>13469</v>
      </c>
      <c r="AP4" s="2" t="s">
        <v>14011</v>
      </c>
      <c r="AQ4" s="2" t="s">
        <v>1155</v>
      </c>
      <c r="AR4" s="1" t="s">
        <v>286</v>
      </c>
      <c r="AS4" s="1" t="s">
        <v>970</v>
      </c>
      <c r="AT4" s="1" t="s">
        <v>5</v>
      </c>
    </row>
    <row r="5" spans="1:47" hidden="1" x14ac:dyDescent="0.4">
      <c r="A5" s="1" t="s">
        <v>12932</v>
      </c>
      <c r="B5" s="10"/>
      <c r="C5" s="1" t="s">
        <v>93</v>
      </c>
      <c r="D5" s="1" t="s">
        <v>11999</v>
      </c>
      <c r="E5" s="1" t="s">
        <v>2291</v>
      </c>
      <c r="F5" s="1" t="s">
        <v>14</v>
      </c>
      <c r="G5" s="1" t="s">
        <v>1</v>
      </c>
      <c r="H5" s="1" t="s">
        <v>6</v>
      </c>
      <c r="I5" s="1" t="s">
        <v>2</v>
      </c>
      <c r="J5" s="1" t="s">
        <v>3</v>
      </c>
      <c r="K5" s="1" t="s">
        <v>12933</v>
      </c>
      <c r="L5" s="1" t="s">
        <v>7</v>
      </c>
      <c r="M5" s="1"/>
      <c r="N5" s="1" t="s">
        <v>12934</v>
      </c>
      <c r="O5" s="1" t="s">
        <v>12060</v>
      </c>
      <c r="P5" s="1"/>
      <c r="Q5" s="1"/>
      <c r="R5" s="1" t="s">
        <v>11</v>
      </c>
      <c r="S5" s="1"/>
      <c r="T5" s="1"/>
      <c r="U5" s="1"/>
      <c r="V5" s="1"/>
      <c r="W5" s="1" t="s">
        <v>12935</v>
      </c>
      <c r="X5" s="1" t="s">
        <v>12038</v>
      </c>
      <c r="Y5" s="1"/>
      <c r="Z5" s="1"/>
      <c r="AA5" s="1"/>
      <c r="AB5" s="1" t="s">
        <v>12936</v>
      </c>
      <c r="AC5" s="1"/>
      <c r="AD5" s="1"/>
      <c r="AE5" s="1" t="s">
        <v>12126</v>
      </c>
      <c r="AF5" s="1"/>
      <c r="AG5" s="1"/>
      <c r="AH5" s="1" t="s">
        <v>12937</v>
      </c>
      <c r="AI5" s="1"/>
      <c r="AJ5" s="1" t="s">
        <v>5631</v>
      </c>
      <c r="AK5" s="1" t="s">
        <v>5632</v>
      </c>
      <c r="AL5" s="1" t="s">
        <v>5633</v>
      </c>
      <c r="AM5" s="1" t="s">
        <v>5631</v>
      </c>
      <c r="AN5" s="1" t="s">
        <v>5632</v>
      </c>
      <c r="AO5" s="1" t="s">
        <v>5633</v>
      </c>
      <c r="AP5" s="2" t="s">
        <v>12938</v>
      </c>
      <c r="AQ5" s="2" t="s">
        <v>1077</v>
      </c>
      <c r="AR5" s="1" t="s">
        <v>286</v>
      </c>
      <c r="AS5" s="1"/>
      <c r="AT5" s="1" t="s">
        <v>5</v>
      </c>
    </row>
    <row r="6" spans="1:47" hidden="1" x14ac:dyDescent="0.4">
      <c r="A6" s="1" t="s">
        <v>13986</v>
      </c>
      <c r="B6" s="10"/>
      <c r="C6" s="1" t="s">
        <v>3626</v>
      </c>
      <c r="D6" s="1" t="s">
        <v>11999</v>
      </c>
      <c r="E6" s="1" t="s">
        <v>2291</v>
      </c>
      <c r="F6" s="1" t="s">
        <v>14</v>
      </c>
      <c r="G6" s="1" t="s">
        <v>1</v>
      </c>
      <c r="H6" s="1" t="s">
        <v>6</v>
      </c>
      <c r="I6" s="1" t="s">
        <v>2</v>
      </c>
      <c r="J6" s="1" t="s">
        <v>3514</v>
      </c>
      <c r="K6" s="1" t="s">
        <v>13987</v>
      </c>
      <c r="L6" s="1" t="s">
        <v>7</v>
      </c>
      <c r="M6" s="1"/>
      <c r="N6" s="1" t="s">
        <v>13988</v>
      </c>
      <c r="O6" s="1" t="s">
        <v>12060</v>
      </c>
      <c r="P6" s="1"/>
      <c r="Q6" s="1"/>
      <c r="R6" s="1" t="s">
        <v>11</v>
      </c>
      <c r="S6" s="1"/>
      <c r="T6" s="1"/>
      <c r="U6" s="1"/>
      <c r="V6" s="1"/>
      <c r="W6" s="1"/>
      <c r="X6" s="1" t="s">
        <v>12038</v>
      </c>
      <c r="Y6" s="1"/>
      <c r="Z6" s="1"/>
      <c r="AA6" s="1"/>
      <c r="AB6" s="1" t="s">
        <v>13989</v>
      </c>
      <c r="AC6" s="1"/>
      <c r="AD6" s="1"/>
      <c r="AE6" s="1" t="s">
        <v>13990</v>
      </c>
      <c r="AF6" s="1"/>
      <c r="AG6" s="1"/>
      <c r="AH6" s="1" t="s">
        <v>13991</v>
      </c>
      <c r="AI6" s="1"/>
      <c r="AJ6" s="1" t="s">
        <v>4059</v>
      </c>
      <c r="AK6" s="1" t="s">
        <v>13992</v>
      </c>
      <c r="AL6" s="1" t="s">
        <v>4061</v>
      </c>
      <c r="AM6" s="1" t="s">
        <v>4059</v>
      </c>
      <c r="AN6" s="1" t="s">
        <v>13992</v>
      </c>
      <c r="AO6" s="1" t="s">
        <v>4061</v>
      </c>
      <c r="AP6" s="2" t="s">
        <v>13993</v>
      </c>
      <c r="AQ6" s="2" t="s">
        <v>1155</v>
      </c>
      <c r="AR6" s="1" t="s">
        <v>286</v>
      </c>
      <c r="AS6" s="1" t="s">
        <v>10227</v>
      </c>
      <c r="AT6" s="1" t="s">
        <v>5</v>
      </c>
    </row>
    <row r="7" spans="1:47" hidden="1" x14ac:dyDescent="0.4">
      <c r="A7" s="1" t="s">
        <v>13721</v>
      </c>
      <c r="B7" s="10"/>
      <c r="C7" s="1" t="s">
        <v>0</v>
      </c>
      <c r="D7" s="1" t="s">
        <v>11999</v>
      </c>
      <c r="E7" s="1" t="s">
        <v>2291</v>
      </c>
      <c r="F7" s="1" t="s">
        <v>14</v>
      </c>
      <c r="G7" s="1" t="s">
        <v>1</v>
      </c>
      <c r="H7" s="1" t="s">
        <v>6</v>
      </c>
      <c r="I7" s="1" t="s">
        <v>2</v>
      </c>
      <c r="J7" s="1" t="s">
        <v>3</v>
      </c>
      <c r="K7" s="1" t="s">
        <v>13722</v>
      </c>
      <c r="L7" s="1" t="s">
        <v>4</v>
      </c>
      <c r="M7" s="1" t="s">
        <v>9</v>
      </c>
      <c r="N7" s="1" t="s">
        <v>13723</v>
      </c>
      <c r="O7" s="1" t="s">
        <v>12060</v>
      </c>
      <c r="P7" s="1"/>
      <c r="Q7" s="1"/>
      <c r="R7" s="1" t="s">
        <v>11</v>
      </c>
      <c r="S7" s="1"/>
      <c r="T7" s="1"/>
      <c r="U7" s="1"/>
      <c r="V7" s="1"/>
      <c r="W7" s="1"/>
      <c r="X7" s="1" t="s">
        <v>12038</v>
      </c>
      <c r="Y7" s="1"/>
      <c r="Z7" s="1"/>
      <c r="AA7" s="1"/>
      <c r="AB7" s="1" t="s">
        <v>13724</v>
      </c>
      <c r="AC7" s="1"/>
      <c r="AD7" s="1"/>
      <c r="AE7" s="1" t="s">
        <v>13725</v>
      </c>
      <c r="AF7" s="1"/>
      <c r="AG7" s="1"/>
      <c r="AH7" s="1" t="s">
        <v>13726</v>
      </c>
      <c r="AI7" s="1"/>
      <c r="AJ7" s="1" t="s">
        <v>1578</v>
      </c>
      <c r="AK7" s="1" t="s">
        <v>1579</v>
      </c>
      <c r="AL7" s="1" t="s">
        <v>1580</v>
      </c>
      <c r="AM7" s="1" t="s">
        <v>1581</v>
      </c>
      <c r="AN7" s="1" t="s">
        <v>1579</v>
      </c>
      <c r="AO7" s="1" t="s">
        <v>1582</v>
      </c>
      <c r="AP7" s="2" t="s">
        <v>13727</v>
      </c>
      <c r="AQ7" s="2" t="s">
        <v>1155</v>
      </c>
      <c r="AR7" s="1" t="s">
        <v>286</v>
      </c>
      <c r="AS7" s="1" t="s">
        <v>13728</v>
      </c>
      <c r="AT7" s="1" t="s">
        <v>5</v>
      </c>
    </row>
    <row r="8" spans="1:47" hidden="1" x14ac:dyDescent="0.4">
      <c r="A8" s="1" t="s">
        <v>12681</v>
      </c>
      <c r="B8" s="10"/>
      <c r="C8" s="1" t="s">
        <v>0</v>
      </c>
      <c r="D8" s="1" t="s">
        <v>11999</v>
      </c>
      <c r="E8" s="1" t="s">
        <v>2291</v>
      </c>
      <c r="F8" s="1" t="s">
        <v>14</v>
      </c>
      <c r="G8" s="1" t="s">
        <v>1</v>
      </c>
      <c r="H8" s="1" t="s">
        <v>6</v>
      </c>
      <c r="I8" s="1" t="s">
        <v>2</v>
      </c>
      <c r="J8" s="1" t="s">
        <v>3</v>
      </c>
      <c r="K8" s="1" t="s">
        <v>12682</v>
      </c>
      <c r="L8" s="1" t="s">
        <v>7</v>
      </c>
      <c r="M8" s="1" t="s">
        <v>9</v>
      </c>
      <c r="N8" s="1" t="s">
        <v>12683</v>
      </c>
      <c r="O8" s="1" t="s">
        <v>12060</v>
      </c>
      <c r="P8" s="1"/>
      <c r="Q8" s="1"/>
      <c r="R8" s="1" t="s">
        <v>11</v>
      </c>
      <c r="S8" s="1"/>
      <c r="T8" s="1"/>
      <c r="U8" s="1"/>
      <c r="V8" s="1"/>
      <c r="W8" s="1"/>
      <c r="X8" s="1" t="s">
        <v>10021</v>
      </c>
      <c r="Y8" s="1"/>
      <c r="Z8" s="1"/>
      <c r="AA8" s="1"/>
      <c r="AB8" s="1" t="s">
        <v>12684</v>
      </c>
      <c r="AC8" s="1"/>
      <c r="AD8" s="1"/>
      <c r="AE8" s="1" t="s">
        <v>12685</v>
      </c>
      <c r="AF8" s="1"/>
      <c r="AG8" s="1"/>
      <c r="AH8" s="1" t="s">
        <v>12686</v>
      </c>
      <c r="AI8" s="1"/>
      <c r="AJ8" s="1" t="s">
        <v>1431</v>
      </c>
      <c r="AK8" s="1" t="s">
        <v>246</v>
      </c>
      <c r="AL8" s="1" t="s">
        <v>1432</v>
      </c>
      <c r="AM8" s="1" t="s">
        <v>1890</v>
      </c>
      <c r="AN8" s="1" t="s">
        <v>246</v>
      </c>
      <c r="AO8" s="1" t="s">
        <v>1891</v>
      </c>
      <c r="AP8" s="2" t="s">
        <v>12687</v>
      </c>
      <c r="AQ8" s="2" t="s">
        <v>1153</v>
      </c>
      <c r="AR8" s="1" t="s">
        <v>287</v>
      </c>
      <c r="AS8" s="1"/>
      <c r="AT8" s="1" t="s">
        <v>5</v>
      </c>
    </row>
    <row r="9" spans="1:47" hidden="1" x14ac:dyDescent="0.4">
      <c r="A9" s="1" t="s">
        <v>12524</v>
      </c>
      <c r="B9" s="10"/>
      <c r="C9" s="1" t="s">
        <v>0</v>
      </c>
      <c r="D9" s="1" t="s">
        <v>11999</v>
      </c>
      <c r="E9" s="1" t="s">
        <v>2291</v>
      </c>
      <c r="F9" s="1" t="s">
        <v>14</v>
      </c>
      <c r="G9" s="1" t="s">
        <v>1</v>
      </c>
      <c r="H9" s="1" t="s">
        <v>6</v>
      </c>
      <c r="I9" s="1" t="s">
        <v>2</v>
      </c>
      <c r="J9" s="1" t="s">
        <v>3</v>
      </c>
      <c r="K9" s="1" t="s">
        <v>12525</v>
      </c>
      <c r="L9" s="1" t="s">
        <v>7</v>
      </c>
      <c r="M9" s="1" t="s">
        <v>9</v>
      </c>
      <c r="N9" s="1" t="s">
        <v>12526</v>
      </c>
      <c r="O9" s="1" t="s">
        <v>1596</v>
      </c>
      <c r="P9" s="1"/>
      <c r="Q9" s="1"/>
      <c r="R9" s="1" t="s">
        <v>11</v>
      </c>
      <c r="S9" s="1"/>
      <c r="T9" s="1"/>
      <c r="U9" s="1"/>
      <c r="V9" s="1"/>
      <c r="W9" s="1"/>
      <c r="X9" s="1" t="s">
        <v>12026</v>
      </c>
      <c r="Y9" s="1"/>
      <c r="Z9" s="1"/>
      <c r="AA9" s="1"/>
      <c r="AB9" s="1" t="s">
        <v>12527</v>
      </c>
      <c r="AC9" s="1"/>
      <c r="AD9" s="1"/>
      <c r="AE9" s="1" t="s">
        <v>12528</v>
      </c>
      <c r="AF9" s="1"/>
      <c r="AG9" s="1"/>
      <c r="AH9" s="1" t="s">
        <v>12529</v>
      </c>
      <c r="AI9" s="1"/>
      <c r="AJ9" s="1" t="s">
        <v>12334</v>
      </c>
      <c r="AK9" s="1" t="s">
        <v>281</v>
      </c>
      <c r="AL9" s="1" t="s">
        <v>12335</v>
      </c>
      <c r="AM9" s="1" t="s">
        <v>12530</v>
      </c>
      <c r="AN9" s="1" t="s">
        <v>281</v>
      </c>
      <c r="AO9" s="1" t="s">
        <v>12531</v>
      </c>
      <c r="AP9" s="2" t="s">
        <v>12532</v>
      </c>
      <c r="AQ9" s="2" t="s">
        <v>1153</v>
      </c>
      <c r="AR9" s="1" t="s">
        <v>287</v>
      </c>
      <c r="AS9" s="1"/>
      <c r="AT9" s="1" t="s">
        <v>5</v>
      </c>
    </row>
    <row r="10" spans="1:47" hidden="1" x14ac:dyDescent="0.4">
      <c r="A10" s="1" t="s">
        <v>12608</v>
      </c>
      <c r="B10" s="10"/>
      <c r="C10" s="1" t="s">
        <v>0</v>
      </c>
      <c r="D10" s="1" t="s">
        <v>11999</v>
      </c>
      <c r="E10" s="1" t="s">
        <v>2291</v>
      </c>
      <c r="F10" s="1" t="s">
        <v>14</v>
      </c>
      <c r="G10" s="1" t="s">
        <v>1</v>
      </c>
      <c r="H10" s="1" t="s">
        <v>6</v>
      </c>
      <c r="I10" s="1" t="s">
        <v>2</v>
      </c>
      <c r="J10" s="1" t="s">
        <v>3</v>
      </c>
      <c r="K10" s="1" t="s">
        <v>12609</v>
      </c>
      <c r="L10" s="1" t="s">
        <v>7</v>
      </c>
      <c r="M10" s="1" t="s">
        <v>9</v>
      </c>
      <c r="N10" s="1" t="s">
        <v>12610</v>
      </c>
      <c r="O10" s="1" t="s">
        <v>1596</v>
      </c>
      <c r="P10" s="1"/>
      <c r="Q10" s="1"/>
      <c r="R10" s="1" t="s">
        <v>11</v>
      </c>
      <c r="S10" s="1"/>
      <c r="T10" s="1"/>
      <c r="U10" s="1"/>
      <c r="V10" s="1"/>
      <c r="W10" s="1"/>
      <c r="X10" s="1" t="s">
        <v>12026</v>
      </c>
      <c r="Y10" s="1"/>
      <c r="Z10" s="1"/>
      <c r="AA10" s="1"/>
      <c r="AB10" s="1" t="s">
        <v>12611</v>
      </c>
      <c r="AC10" s="1"/>
      <c r="AD10" s="1"/>
      <c r="AE10" s="1" t="s">
        <v>12510</v>
      </c>
      <c r="AF10" s="1"/>
      <c r="AG10" s="1"/>
      <c r="AH10" s="1" t="s">
        <v>12612</v>
      </c>
      <c r="AI10" s="1"/>
      <c r="AJ10" s="1" t="s">
        <v>12613</v>
      </c>
      <c r="AK10" s="1" t="s">
        <v>282</v>
      </c>
      <c r="AL10" s="1" t="s">
        <v>12614</v>
      </c>
      <c r="AM10" s="1" t="s">
        <v>12615</v>
      </c>
      <c r="AN10" s="1" t="s">
        <v>282</v>
      </c>
      <c r="AO10" s="1" t="s">
        <v>12616</v>
      </c>
      <c r="AP10" s="2" t="s">
        <v>12617</v>
      </c>
      <c r="AQ10" s="2" t="s">
        <v>1153</v>
      </c>
      <c r="AR10" s="1" t="s">
        <v>287</v>
      </c>
      <c r="AS10" s="1"/>
      <c r="AT10" s="1" t="s">
        <v>5</v>
      </c>
    </row>
    <row r="11" spans="1:47" hidden="1" x14ac:dyDescent="0.4">
      <c r="A11" s="1" t="s">
        <v>12298</v>
      </c>
      <c r="B11" s="10"/>
      <c r="C11" s="1" t="s">
        <v>2491</v>
      </c>
      <c r="D11" s="1" t="s">
        <v>11999</v>
      </c>
      <c r="E11" s="1" t="s">
        <v>2291</v>
      </c>
      <c r="F11" s="1" t="s">
        <v>14</v>
      </c>
      <c r="G11" s="1" t="s">
        <v>1</v>
      </c>
      <c r="H11" s="1" t="s">
        <v>6</v>
      </c>
      <c r="I11" s="1" t="s">
        <v>2</v>
      </c>
      <c r="J11" s="1" t="s">
        <v>2492</v>
      </c>
      <c r="K11" s="1" t="s">
        <v>12299</v>
      </c>
      <c r="L11" s="1" t="s">
        <v>7</v>
      </c>
      <c r="M11" s="1"/>
      <c r="N11" s="1" t="s">
        <v>12300</v>
      </c>
      <c r="O11" s="1" t="s">
        <v>12154</v>
      </c>
      <c r="P11" s="1"/>
      <c r="Q11" s="1"/>
      <c r="R11" s="1" t="s">
        <v>11</v>
      </c>
      <c r="S11" s="1"/>
      <c r="T11" s="1"/>
      <c r="U11" s="1"/>
      <c r="V11" s="1"/>
      <c r="W11" s="1" t="s">
        <v>12301</v>
      </c>
      <c r="X11" s="1" t="s">
        <v>12199</v>
      </c>
      <c r="Y11" s="1"/>
      <c r="Z11" s="1"/>
      <c r="AA11" s="1"/>
      <c r="AB11" s="1" t="s">
        <v>12302</v>
      </c>
      <c r="AC11" s="1"/>
      <c r="AD11" s="1"/>
      <c r="AE11" s="1"/>
      <c r="AF11" s="1"/>
      <c r="AG11" s="1"/>
      <c r="AH11" s="1" t="s">
        <v>12303</v>
      </c>
      <c r="AI11" s="1"/>
      <c r="AJ11" s="1" t="s">
        <v>12304</v>
      </c>
      <c r="AK11" s="1" t="s">
        <v>4048</v>
      </c>
      <c r="AL11" s="1" t="s">
        <v>12305</v>
      </c>
      <c r="AM11" s="1" t="s">
        <v>12306</v>
      </c>
      <c r="AN11" s="1" t="s">
        <v>4048</v>
      </c>
      <c r="AO11" s="1" t="s">
        <v>12307</v>
      </c>
      <c r="AP11" s="2" t="s">
        <v>12308</v>
      </c>
      <c r="AQ11" s="2" t="s">
        <v>1153</v>
      </c>
      <c r="AR11" s="1"/>
      <c r="AS11" s="1"/>
      <c r="AT11" s="1" t="s">
        <v>5</v>
      </c>
    </row>
    <row r="12" spans="1:47" hidden="1" x14ac:dyDescent="0.4">
      <c r="A12" s="1" t="s">
        <v>13972</v>
      </c>
      <c r="B12" s="10"/>
      <c r="C12" s="1" t="s">
        <v>93</v>
      </c>
      <c r="D12" s="1" t="s">
        <v>11999</v>
      </c>
      <c r="E12" s="1" t="s">
        <v>2291</v>
      </c>
      <c r="F12" s="1" t="s">
        <v>14</v>
      </c>
      <c r="G12" s="1" t="s">
        <v>1</v>
      </c>
      <c r="H12" s="1" t="s">
        <v>6</v>
      </c>
      <c r="I12" s="1" t="s">
        <v>2</v>
      </c>
      <c r="J12" s="1" t="s">
        <v>3</v>
      </c>
      <c r="K12" s="1" t="s">
        <v>13973</v>
      </c>
      <c r="L12" s="1" t="s">
        <v>7</v>
      </c>
      <c r="M12" s="1"/>
      <c r="N12" s="1" t="s">
        <v>13974</v>
      </c>
      <c r="O12" s="1" t="s">
        <v>12103</v>
      </c>
      <c r="P12" s="1"/>
      <c r="Q12" s="1"/>
      <c r="R12" s="1" t="s">
        <v>11</v>
      </c>
      <c r="S12" s="1"/>
      <c r="T12" s="1"/>
      <c r="U12" s="1"/>
      <c r="V12" s="1"/>
      <c r="W12" s="1"/>
      <c r="X12" s="1" t="s">
        <v>12038</v>
      </c>
      <c r="Y12" s="1"/>
      <c r="Z12" s="1"/>
      <c r="AA12" s="1"/>
      <c r="AB12" s="1" t="s">
        <v>13975</v>
      </c>
      <c r="AC12" s="1"/>
      <c r="AD12" s="1"/>
      <c r="AE12" s="1" t="s">
        <v>13976</v>
      </c>
      <c r="AF12" s="1"/>
      <c r="AG12" s="1"/>
      <c r="AH12" s="1" t="s">
        <v>13977</v>
      </c>
      <c r="AI12" s="1"/>
      <c r="AJ12" s="1" t="s">
        <v>127</v>
      </c>
      <c r="AK12" s="1" t="s">
        <v>1787</v>
      </c>
      <c r="AL12" s="1" t="s">
        <v>10472</v>
      </c>
      <c r="AM12" s="1" t="s">
        <v>127</v>
      </c>
      <c r="AN12" s="1" t="s">
        <v>1787</v>
      </c>
      <c r="AO12" s="1" t="s">
        <v>10472</v>
      </c>
      <c r="AP12" s="2" t="s">
        <v>13978</v>
      </c>
      <c r="AQ12" s="2" t="s">
        <v>1155</v>
      </c>
      <c r="AR12" s="1" t="s">
        <v>286</v>
      </c>
      <c r="AS12" s="1" t="s">
        <v>13979</v>
      </c>
      <c r="AT12" s="1" t="s">
        <v>5</v>
      </c>
    </row>
    <row r="13" spans="1:47" hidden="1" x14ac:dyDescent="0.4">
      <c r="A13" s="1" t="s">
        <v>12255</v>
      </c>
      <c r="B13" s="10"/>
      <c r="C13" s="1" t="s">
        <v>0</v>
      </c>
      <c r="D13" s="1" t="s">
        <v>11999</v>
      </c>
      <c r="E13" s="1" t="s">
        <v>2291</v>
      </c>
      <c r="F13" s="1" t="s">
        <v>14</v>
      </c>
      <c r="G13" s="1" t="s">
        <v>1</v>
      </c>
      <c r="H13" s="1" t="s">
        <v>6</v>
      </c>
      <c r="I13" s="1" t="s">
        <v>2</v>
      </c>
      <c r="J13" s="1" t="s">
        <v>3</v>
      </c>
      <c r="K13" s="1" t="s">
        <v>12256</v>
      </c>
      <c r="L13" s="1" t="s">
        <v>7</v>
      </c>
      <c r="M13" s="1" t="s">
        <v>9</v>
      </c>
      <c r="N13" s="1" t="s">
        <v>12257</v>
      </c>
      <c r="O13" s="1" t="s">
        <v>12177</v>
      </c>
      <c r="P13" s="1"/>
      <c r="Q13" s="1"/>
      <c r="R13" s="1" t="s">
        <v>11</v>
      </c>
      <c r="S13" s="1"/>
      <c r="T13" s="1"/>
      <c r="U13" s="1"/>
      <c r="V13" s="1"/>
      <c r="W13" s="1"/>
      <c r="X13" s="1" t="s">
        <v>12017</v>
      </c>
      <c r="Y13" s="1"/>
      <c r="Z13" s="1"/>
      <c r="AA13" s="1"/>
      <c r="AB13" s="1" t="s">
        <v>12258</v>
      </c>
      <c r="AC13" s="1"/>
      <c r="AD13" s="1"/>
      <c r="AE13" s="1" t="s">
        <v>12259</v>
      </c>
      <c r="AF13" s="1"/>
      <c r="AG13" s="1"/>
      <c r="AH13" s="1" t="s">
        <v>12260</v>
      </c>
      <c r="AI13" s="1"/>
      <c r="AJ13" s="1" t="s">
        <v>12261</v>
      </c>
      <c r="AK13" s="1" t="s">
        <v>2955</v>
      </c>
      <c r="AL13" s="1"/>
      <c r="AM13" s="1" t="s">
        <v>12262</v>
      </c>
      <c r="AN13" s="1" t="s">
        <v>2955</v>
      </c>
      <c r="AO13" s="1" t="s">
        <v>12263</v>
      </c>
      <c r="AP13" s="2" t="s">
        <v>12264</v>
      </c>
      <c r="AQ13" s="2" t="s">
        <v>1155</v>
      </c>
      <c r="AR13" s="1"/>
      <c r="AS13" s="1"/>
      <c r="AT13" s="1" t="s">
        <v>5</v>
      </c>
    </row>
    <row r="14" spans="1:47" hidden="1" x14ac:dyDescent="0.4">
      <c r="A14" s="1" t="s">
        <v>13437</v>
      </c>
      <c r="B14" s="10"/>
      <c r="C14" s="1" t="s">
        <v>93</v>
      </c>
      <c r="D14" s="1" t="s">
        <v>11999</v>
      </c>
      <c r="E14" s="1" t="s">
        <v>2291</v>
      </c>
      <c r="F14" s="1" t="s">
        <v>14</v>
      </c>
      <c r="G14" s="1" t="s">
        <v>1</v>
      </c>
      <c r="H14" s="1" t="s">
        <v>6</v>
      </c>
      <c r="I14" s="1" t="s">
        <v>2</v>
      </c>
      <c r="J14" s="1" t="s">
        <v>3</v>
      </c>
      <c r="K14" s="1" t="s">
        <v>13438</v>
      </c>
      <c r="L14" s="1" t="s">
        <v>7</v>
      </c>
      <c r="M14" s="1"/>
      <c r="N14" s="1" t="s">
        <v>13439</v>
      </c>
      <c r="O14" s="1" t="s">
        <v>12103</v>
      </c>
      <c r="P14" s="1"/>
      <c r="Q14" s="1"/>
      <c r="R14" s="1" t="s">
        <v>11</v>
      </c>
      <c r="S14" s="1"/>
      <c r="T14" s="1"/>
      <c r="U14" s="1"/>
      <c r="V14" s="1"/>
      <c r="W14" s="1"/>
      <c r="X14" s="1" t="s">
        <v>12038</v>
      </c>
      <c r="Y14" s="1"/>
      <c r="Z14" s="1"/>
      <c r="AA14" s="1"/>
      <c r="AB14" s="1" t="s">
        <v>13440</v>
      </c>
      <c r="AC14" s="1"/>
      <c r="AD14" s="1"/>
      <c r="AE14" s="1" t="s">
        <v>13441</v>
      </c>
      <c r="AF14" s="1"/>
      <c r="AG14" s="1"/>
      <c r="AH14" s="1" t="s">
        <v>13442</v>
      </c>
      <c r="AI14" s="1"/>
      <c r="AJ14" s="1" t="s">
        <v>5935</v>
      </c>
      <c r="AK14" s="1" t="s">
        <v>8396</v>
      </c>
      <c r="AL14" s="1" t="s">
        <v>13443</v>
      </c>
      <c r="AM14" s="1" t="s">
        <v>5935</v>
      </c>
      <c r="AN14" s="1" t="s">
        <v>8396</v>
      </c>
      <c r="AO14" s="1" t="s">
        <v>13443</v>
      </c>
      <c r="AP14" s="2" t="s">
        <v>13444</v>
      </c>
      <c r="AQ14" s="2" t="s">
        <v>1154</v>
      </c>
      <c r="AR14" s="1" t="s">
        <v>286</v>
      </c>
      <c r="AS14" s="1" t="s">
        <v>13445</v>
      </c>
      <c r="AT14" s="1" t="s">
        <v>5</v>
      </c>
    </row>
    <row r="15" spans="1:47" x14ac:dyDescent="0.4">
      <c r="A15" s="1" t="s">
        <v>14121</v>
      </c>
      <c r="B15" s="10">
        <v>0</v>
      </c>
      <c r="C15" s="1" t="s">
        <v>93</v>
      </c>
      <c r="D15" s="1" t="s">
        <v>11999</v>
      </c>
      <c r="E15" s="1" t="s">
        <v>2291</v>
      </c>
      <c r="F15" s="1" t="s">
        <v>14</v>
      </c>
      <c r="G15" s="1" t="s">
        <v>1</v>
      </c>
      <c r="H15" s="1" t="s">
        <v>6</v>
      </c>
      <c r="I15" s="1" t="s">
        <v>2</v>
      </c>
      <c r="J15" s="1" t="s">
        <v>3</v>
      </c>
      <c r="K15" s="1" t="s">
        <v>14122</v>
      </c>
      <c r="L15" s="1" t="s">
        <v>7</v>
      </c>
      <c r="M15" s="1"/>
      <c r="N15" s="1" t="s">
        <v>14123</v>
      </c>
      <c r="O15" s="1" t="s">
        <v>3756</v>
      </c>
      <c r="P15" s="1"/>
      <c r="Q15" s="1"/>
      <c r="R15" s="1" t="s">
        <v>11</v>
      </c>
      <c r="S15" s="1"/>
      <c r="T15" s="1"/>
      <c r="U15" s="1"/>
      <c r="V15" s="1"/>
      <c r="W15" s="1" t="s">
        <v>14124</v>
      </c>
      <c r="X15" s="1" t="s">
        <v>10021</v>
      </c>
      <c r="Y15" s="1"/>
      <c r="Z15" s="1"/>
      <c r="AA15" s="1"/>
      <c r="AB15" s="1" t="s">
        <v>14125</v>
      </c>
      <c r="AC15" s="1"/>
      <c r="AD15" s="1"/>
      <c r="AE15" s="1" t="s">
        <v>14126</v>
      </c>
      <c r="AF15" s="1"/>
      <c r="AG15" s="1"/>
      <c r="AH15" s="1" t="s">
        <v>14127</v>
      </c>
      <c r="AI15" s="1"/>
      <c r="AJ15" s="1" t="s">
        <v>10826</v>
      </c>
      <c r="AK15" s="1" t="s">
        <v>1787</v>
      </c>
      <c r="AL15" s="1" t="s">
        <v>10827</v>
      </c>
      <c r="AM15" s="1" t="s">
        <v>10826</v>
      </c>
      <c r="AN15" s="1" t="s">
        <v>1787</v>
      </c>
      <c r="AO15" s="1" t="s">
        <v>10827</v>
      </c>
      <c r="AP15" s="2" t="s">
        <v>14128</v>
      </c>
      <c r="AQ15" s="2" t="s">
        <v>1155</v>
      </c>
      <c r="AR15" s="1" t="s">
        <v>286</v>
      </c>
      <c r="AS15" s="1"/>
      <c r="AT15" s="1" t="s">
        <v>5</v>
      </c>
    </row>
    <row r="16" spans="1:47" hidden="1" x14ac:dyDescent="0.4">
      <c r="A16" s="1" t="s">
        <v>12083</v>
      </c>
      <c r="B16" s="10"/>
      <c r="C16" s="1" t="s">
        <v>0</v>
      </c>
      <c r="D16" s="1" t="s">
        <v>11999</v>
      </c>
      <c r="E16" s="1" t="s">
        <v>2291</v>
      </c>
      <c r="F16" s="1" t="s">
        <v>14</v>
      </c>
      <c r="G16" s="1" t="s">
        <v>1</v>
      </c>
      <c r="H16" s="1" t="s">
        <v>6</v>
      </c>
      <c r="I16" s="1" t="s">
        <v>2</v>
      </c>
      <c r="J16" s="1" t="s">
        <v>3</v>
      </c>
      <c r="K16" s="1" t="s">
        <v>12084</v>
      </c>
      <c r="L16" s="1" t="s">
        <v>7</v>
      </c>
      <c r="M16" s="1" t="s">
        <v>9</v>
      </c>
      <c r="N16" s="1" t="s">
        <v>12085</v>
      </c>
      <c r="O16" s="1" t="s">
        <v>12037</v>
      </c>
      <c r="P16" s="1"/>
      <c r="Q16" s="1"/>
      <c r="R16" s="1" t="s">
        <v>11</v>
      </c>
      <c r="S16" s="1"/>
      <c r="T16" s="1"/>
      <c r="U16" s="1"/>
      <c r="V16" s="1"/>
      <c r="W16" s="1" t="s">
        <v>12086</v>
      </c>
      <c r="X16" s="1" t="s">
        <v>12038</v>
      </c>
      <c r="Y16" s="1"/>
      <c r="Z16" s="1"/>
      <c r="AA16" s="1"/>
      <c r="AB16" s="1" t="s">
        <v>12087</v>
      </c>
      <c r="AC16" s="1"/>
      <c r="AD16" s="1"/>
      <c r="AE16" s="1" t="s">
        <v>12088</v>
      </c>
      <c r="AF16" s="1"/>
      <c r="AG16" s="1"/>
      <c r="AH16" s="1" t="s">
        <v>12089</v>
      </c>
      <c r="AI16" s="1"/>
      <c r="AJ16" s="1" t="s">
        <v>23</v>
      </c>
      <c r="AK16" s="1" t="s">
        <v>2572</v>
      </c>
      <c r="AL16" s="1"/>
      <c r="AM16" s="1" t="s">
        <v>12090</v>
      </c>
      <c r="AN16" s="1" t="s">
        <v>2572</v>
      </c>
      <c r="AO16" s="1"/>
      <c r="AP16" s="2" t="s">
        <v>12091</v>
      </c>
      <c r="AQ16" s="2" t="s">
        <v>1155</v>
      </c>
      <c r="AR16" s="1"/>
      <c r="AS16" s="1"/>
      <c r="AT16" s="1" t="s">
        <v>10</v>
      </c>
    </row>
    <row r="17" spans="1:46" hidden="1" x14ac:dyDescent="0.4">
      <c r="A17" s="1" t="s">
        <v>12966</v>
      </c>
      <c r="B17" s="10"/>
      <c r="C17" s="1" t="s">
        <v>0</v>
      </c>
      <c r="D17" s="1" t="s">
        <v>11999</v>
      </c>
      <c r="E17" s="1" t="s">
        <v>2291</v>
      </c>
      <c r="F17" s="1" t="s">
        <v>14</v>
      </c>
      <c r="G17" s="1" t="s">
        <v>1</v>
      </c>
      <c r="H17" s="1" t="s">
        <v>6</v>
      </c>
      <c r="I17" s="1" t="s">
        <v>2</v>
      </c>
      <c r="J17" s="1" t="s">
        <v>3</v>
      </c>
      <c r="K17" s="1" t="s">
        <v>12967</v>
      </c>
      <c r="L17" s="1" t="s">
        <v>7</v>
      </c>
      <c r="M17" s="1" t="s">
        <v>9</v>
      </c>
      <c r="N17" s="1" t="s">
        <v>12968</v>
      </c>
      <c r="O17" s="1" t="s">
        <v>12060</v>
      </c>
      <c r="P17" s="1"/>
      <c r="Q17" s="1"/>
      <c r="R17" s="1" t="s">
        <v>11</v>
      </c>
      <c r="S17" s="1"/>
      <c r="T17" s="1"/>
      <c r="U17" s="1"/>
      <c r="V17" s="1"/>
      <c r="W17" s="1"/>
      <c r="X17" s="1" t="s">
        <v>12038</v>
      </c>
      <c r="Y17" s="1"/>
      <c r="Z17" s="1"/>
      <c r="AA17" s="1"/>
      <c r="AB17" s="1" t="s">
        <v>12969</v>
      </c>
      <c r="AC17" s="1"/>
      <c r="AD17" s="1"/>
      <c r="AE17" s="1" t="s">
        <v>12778</v>
      </c>
      <c r="AF17" s="1"/>
      <c r="AG17" s="1"/>
      <c r="AH17" s="1" t="s">
        <v>12970</v>
      </c>
      <c r="AI17" s="1"/>
      <c r="AJ17" s="1" t="s">
        <v>12971</v>
      </c>
      <c r="AK17" s="1" t="s">
        <v>12972</v>
      </c>
      <c r="AL17" s="1"/>
      <c r="AM17" s="1" t="s">
        <v>12973</v>
      </c>
      <c r="AN17" s="1" t="s">
        <v>12972</v>
      </c>
      <c r="AO17" s="1" t="s">
        <v>12974</v>
      </c>
      <c r="AP17" s="2" t="s">
        <v>12975</v>
      </c>
      <c r="AQ17" s="2" t="s">
        <v>1077</v>
      </c>
      <c r="AR17" s="1" t="s">
        <v>287</v>
      </c>
      <c r="AS17" s="1"/>
      <c r="AT17" s="1" t="s">
        <v>5</v>
      </c>
    </row>
    <row r="18" spans="1:46" hidden="1" x14ac:dyDescent="0.4">
      <c r="A18" s="1" t="s">
        <v>13283</v>
      </c>
      <c r="B18" s="10"/>
      <c r="C18" s="1" t="s">
        <v>0</v>
      </c>
      <c r="D18" s="1" t="s">
        <v>11999</v>
      </c>
      <c r="E18" s="1" t="s">
        <v>2291</v>
      </c>
      <c r="F18" s="1" t="s">
        <v>14</v>
      </c>
      <c r="G18" s="1" t="s">
        <v>1</v>
      </c>
      <c r="H18" s="1" t="s">
        <v>6</v>
      </c>
      <c r="I18" s="1" t="s">
        <v>2</v>
      </c>
      <c r="J18" s="1" t="s">
        <v>3</v>
      </c>
      <c r="K18" s="1" t="s">
        <v>13284</v>
      </c>
      <c r="L18" s="1" t="s">
        <v>4</v>
      </c>
      <c r="M18" s="1" t="s">
        <v>9</v>
      </c>
      <c r="N18" s="1" t="s">
        <v>13285</v>
      </c>
      <c r="O18" s="1" t="s">
        <v>12077</v>
      </c>
      <c r="P18" s="1"/>
      <c r="Q18" s="1"/>
      <c r="R18" s="1" t="s">
        <v>11</v>
      </c>
      <c r="S18" s="1"/>
      <c r="T18" s="1"/>
      <c r="U18" s="1"/>
      <c r="V18" s="1"/>
      <c r="W18" s="1" t="s">
        <v>12979</v>
      </c>
      <c r="X18" s="1" t="s">
        <v>12038</v>
      </c>
      <c r="Y18" s="1"/>
      <c r="Z18" s="1"/>
      <c r="AA18" s="1"/>
      <c r="AB18" s="1" t="s">
        <v>13286</v>
      </c>
      <c r="AC18" s="1"/>
      <c r="AD18" s="1"/>
      <c r="AE18" s="1" t="s">
        <v>12980</v>
      </c>
      <c r="AF18" s="1"/>
      <c r="AG18" s="1"/>
      <c r="AH18" s="1" t="s">
        <v>13287</v>
      </c>
      <c r="AI18" s="1"/>
      <c r="AJ18" s="1" t="s">
        <v>12971</v>
      </c>
      <c r="AK18" s="1" t="s">
        <v>12972</v>
      </c>
      <c r="AL18" s="1"/>
      <c r="AM18" s="1" t="s">
        <v>12973</v>
      </c>
      <c r="AN18" s="1" t="s">
        <v>12972</v>
      </c>
      <c r="AO18" s="1" t="s">
        <v>12974</v>
      </c>
      <c r="AP18" s="2" t="s">
        <v>13288</v>
      </c>
      <c r="AQ18" s="2" t="s">
        <v>1154</v>
      </c>
      <c r="AR18" s="1" t="s">
        <v>286</v>
      </c>
      <c r="AS18" s="1"/>
      <c r="AT18" s="1" t="s">
        <v>5</v>
      </c>
    </row>
    <row r="19" spans="1:46" hidden="1" x14ac:dyDescent="0.4">
      <c r="A19" s="1" t="s">
        <v>14099</v>
      </c>
      <c r="B19" s="10"/>
      <c r="C19" s="1" t="s">
        <v>2091</v>
      </c>
      <c r="D19" s="1" t="s">
        <v>11999</v>
      </c>
      <c r="E19" s="1" t="s">
        <v>2291</v>
      </c>
      <c r="F19" s="1" t="s">
        <v>14</v>
      </c>
      <c r="G19" s="1" t="s">
        <v>1</v>
      </c>
      <c r="H19" s="1" t="s">
        <v>6</v>
      </c>
      <c r="I19" s="1" t="s">
        <v>2</v>
      </c>
      <c r="J19" s="1" t="s">
        <v>3</v>
      </c>
      <c r="K19" s="1" t="s">
        <v>14100</v>
      </c>
      <c r="L19" s="1" t="s">
        <v>7</v>
      </c>
      <c r="M19" s="1"/>
      <c r="N19" s="1" t="s">
        <v>14101</v>
      </c>
      <c r="O19" s="1" t="s">
        <v>3756</v>
      </c>
      <c r="P19" s="1"/>
      <c r="Q19" s="1"/>
      <c r="R19" s="1" t="s">
        <v>11</v>
      </c>
      <c r="S19" s="1"/>
      <c r="T19" s="1"/>
      <c r="U19" s="1"/>
      <c r="V19" s="1"/>
      <c r="W19" s="1" t="s">
        <v>14102</v>
      </c>
      <c r="X19" s="1" t="s">
        <v>12026</v>
      </c>
      <c r="Y19" s="1"/>
      <c r="Z19" s="1"/>
      <c r="AA19" s="1"/>
      <c r="AB19" s="1" t="s">
        <v>14103</v>
      </c>
      <c r="AC19" s="1"/>
      <c r="AD19" s="1"/>
      <c r="AE19" s="1" t="s">
        <v>14104</v>
      </c>
      <c r="AF19" s="1"/>
      <c r="AG19" s="1"/>
      <c r="AH19" s="1" t="s">
        <v>14105</v>
      </c>
      <c r="AI19" s="1"/>
      <c r="AJ19" s="1" t="s">
        <v>4885</v>
      </c>
      <c r="AK19" s="1" t="s">
        <v>4886</v>
      </c>
      <c r="AL19" s="1" t="s">
        <v>9041</v>
      </c>
      <c r="AM19" s="1" t="s">
        <v>10959</v>
      </c>
      <c r="AN19" s="1" t="s">
        <v>4886</v>
      </c>
      <c r="AO19" s="1" t="s">
        <v>10960</v>
      </c>
      <c r="AP19" s="2" t="s">
        <v>14106</v>
      </c>
      <c r="AQ19" s="2" t="s">
        <v>1155</v>
      </c>
      <c r="AR19" s="1" t="s">
        <v>286</v>
      </c>
      <c r="AS19" s="1"/>
      <c r="AT19" s="1" t="s">
        <v>5</v>
      </c>
    </row>
    <row r="20" spans="1:46" hidden="1" x14ac:dyDescent="0.4">
      <c r="A20" s="1" t="s">
        <v>12767</v>
      </c>
      <c r="B20" s="10"/>
      <c r="C20" s="1" t="s">
        <v>2454</v>
      </c>
      <c r="D20" s="1" t="s">
        <v>11999</v>
      </c>
      <c r="E20" s="1" t="s">
        <v>2291</v>
      </c>
      <c r="F20" s="1" t="s">
        <v>14</v>
      </c>
      <c r="G20" s="1" t="s">
        <v>1</v>
      </c>
      <c r="H20" s="1" t="s">
        <v>6</v>
      </c>
      <c r="I20" s="1" t="s">
        <v>2</v>
      </c>
      <c r="J20" s="1" t="s">
        <v>3676</v>
      </c>
      <c r="K20" s="1" t="s">
        <v>12768</v>
      </c>
      <c r="L20" s="1" t="s">
        <v>7</v>
      </c>
      <c r="M20" s="1"/>
      <c r="N20" s="1" t="s">
        <v>12769</v>
      </c>
      <c r="O20" s="1" t="s">
        <v>3426</v>
      </c>
      <c r="P20" s="1"/>
      <c r="Q20" s="1"/>
      <c r="R20" s="1" t="s">
        <v>11</v>
      </c>
      <c r="S20" s="1"/>
      <c r="T20" s="1"/>
      <c r="U20" s="1"/>
      <c r="V20" s="1"/>
      <c r="W20" s="1" t="s">
        <v>12770</v>
      </c>
      <c r="X20" s="1" t="s">
        <v>10021</v>
      </c>
      <c r="Y20" s="1"/>
      <c r="Z20" s="1"/>
      <c r="AA20" s="1"/>
      <c r="AB20" s="1" t="s">
        <v>12771</v>
      </c>
      <c r="AC20" s="1"/>
      <c r="AD20" s="1"/>
      <c r="AE20" s="1" t="s">
        <v>12772</v>
      </c>
      <c r="AF20" s="1"/>
      <c r="AG20" s="1"/>
      <c r="AH20" s="1" t="s">
        <v>12773</v>
      </c>
      <c r="AI20" s="1"/>
      <c r="AJ20" s="1" t="s">
        <v>12663</v>
      </c>
      <c r="AK20" s="1" t="s">
        <v>3106</v>
      </c>
      <c r="AL20" s="1" t="s">
        <v>12664</v>
      </c>
      <c r="AM20" s="1" t="s">
        <v>12663</v>
      </c>
      <c r="AN20" s="1" t="s">
        <v>3106</v>
      </c>
      <c r="AO20" s="1" t="s">
        <v>12664</v>
      </c>
      <c r="AP20" s="2" t="s">
        <v>12774</v>
      </c>
      <c r="AQ20" s="2" t="s">
        <v>1077</v>
      </c>
      <c r="AR20" s="1" t="s">
        <v>287</v>
      </c>
      <c r="AS20" s="1"/>
      <c r="AT20" s="1" t="s">
        <v>5</v>
      </c>
    </row>
    <row r="21" spans="1:46" hidden="1" x14ac:dyDescent="0.4">
      <c r="A21" s="1" t="s">
        <v>12736</v>
      </c>
      <c r="B21" s="10"/>
      <c r="C21" s="1" t="s">
        <v>0</v>
      </c>
      <c r="D21" s="1" t="s">
        <v>11999</v>
      </c>
      <c r="E21" s="1" t="s">
        <v>2291</v>
      </c>
      <c r="F21" s="1" t="s">
        <v>14</v>
      </c>
      <c r="G21" s="1" t="s">
        <v>1</v>
      </c>
      <c r="H21" s="1" t="s">
        <v>6</v>
      </c>
      <c r="I21" s="1" t="s">
        <v>2</v>
      </c>
      <c r="J21" s="1" t="s">
        <v>3</v>
      </c>
      <c r="K21" s="1" t="s">
        <v>12737</v>
      </c>
      <c r="L21" s="1" t="s">
        <v>7</v>
      </c>
      <c r="M21" s="1"/>
      <c r="N21" s="1" t="s">
        <v>12738</v>
      </c>
      <c r="O21" s="1" t="s">
        <v>12739</v>
      </c>
      <c r="P21" s="1"/>
      <c r="Q21" s="1"/>
      <c r="R21" s="1" t="s">
        <v>11</v>
      </c>
      <c r="S21" s="1"/>
      <c r="T21" s="1"/>
      <c r="U21" s="1"/>
      <c r="V21" s="1"/>
      <c r="W21" s="1"/>
      <c r="X21" s="1" t="s">
        <v>12038</v>
      </c>
      <c r="Y21" s="1"/>
      <c r="Z21" s="1"/>
      <c r="AA21" s="1"/>
      <c r="AB21" s="1" t="s">
        <v>12740</v>
      </c>
      <c r="AC21" s="1"/>
      <c r="AD21" s="1"/>
      <c r="AE21" s="1" t="s">
        <v>12741</v>
      </c>
      <c r="AF21" s="1"/>
      <c r="AG21" s="1"/>
      <c r="AH21" s="1" t="s">
        <v>12742</v>
      </c>
      <c r="AI21" s="1"/>
      <c r="AJ21" s="1" t="s">
        <v>12487</v>
      </c>
      <c r="AK21" s="1" t="s">
        <v>285</v>
      </c>
      <c r="AL21" s="1"/>
      <c r="AM21" s="1" t="s">
        <v>11027</v>
      </c>
      <c r="AN21" s="1" t="s">
        <v>3907</v>
      </c>
      <c r="AO21" s="1" t="s">
        <v>11028</v>
      </c>
      <c r="AP21" s="2" t="s">
        <v>12743</v>
      </c>
      <c r="AQ21" s="2" t="s">
        <v>1077</v>
      </c>
      <c r="AR21" s="1" t="s">
        <v>287</v>
      </c>
      <c r="AS21" s="1"/>
      <c r="AT21" s="1" t="s">
        <v>5</v>
      </c>
    </row>
    <row r="22" spans="1:46" hidden="1" x14ac:dyDescent="0.4">
      <c r="A22" s="1" t="s">
        <v>13187</v>
      </c>
      <c r="B22" s="10"/>
      <c r="C22" s="1" t="s">
        <v>93</v>
      </c>
      <c r="D22" s="1" t="s">
        <v>11999</v>
      </c>
      <c r="E22" s="1" t="s">
        <v>2291</v>
      </c>
      <c r="F22" s="1" t="s">
        <v>14</v>
      </c>
      <c r="G22" s="1" t="s">
        <v>1</v>
      </c>
      <c r="H22" s="1" t="s">
        <v>6</v>
      </c>
      <c r="I22" s="1" t="s">
        <v>2</v>
      </c>
      <c r="J22" s="1" t="s">
        <v>3</v>
      </c>
      <c r="K22" s="1" t="s">
        <v>13188</v>
      </c>
      <c r="L22" s="1" t="s">
        <v>7</v>
      </c>
      <c r="M22" s="1" t="s">
        <v>9</v>
      </c>
      <c r="N22" s="1" t="s">
        <v>13189</v>
      </c>
      <c r="O22" s="1" t="s">
        <v>13190</v>
      </c>
      <c r="P22" s="1"/>
      <c r="Q22" s="1"/>
      <c r="R22" s="1" t="s">
        <v>11</v>
      </c>
      <c r="S22" s="1"/>
      <c r="T22" s="1"/>
      <c r="U22" s="1"/>
      <c r="V22" s="1"/>
      <c r="W22" s="1" t="s">
        <v>12483</v>
      </c>
      <c r="X22" s="1" t="s">
        <v>12135</v>
      </c>
      <c r="Y22" s="1"/>
      <c r="Z22" s="1"/>
      <c r="AA22" s="1"/>
      <c r="AB22" s="1" t="s">
        <v>13191</v>
      </c>
      <c r="AC22" s="1"/>
      <c r="AD22" s="1"/>
      <c r="AE22" s="1" t="s">
        <v>12485</v>
      </c>
      <c r="AF22" s="1"/>
      <c r="AG22" s="1"/>
      <c r="AH22" s="1" t="s">
        <v>13192</v>
      </c>
      <c r="AI22" s="1"/>
      <c r="AJ22" s="1" t="s">
        <v>13193</v>
      </c>
      <c r="AK22" s="1" t="s">
        <v>1787</v>
      </c>
      <c r="AL22" s="1" t="s">
        <v>13194</v>
      </c>
      <c r="AM22" s="1" t="s">
        <v>13195</v>
      </c>
      <c r="AN22" s="1" t="s">
        <v>1787</v>
      </c>
      <c r="AO22" s="1" t="s">
        <v>13196</v>
      </c>
      <c r="AP22" s="2" t="s">
        <v>13197</v>
      </c>
      <c r="AQ22" s="2" t="s">
        <v>1077</v>
      </c>
      <c r="AR22" s="1" t="s">
        <v>286</v>
      </c>
      <c r="AS22" s="1" t="s">
        <v>13198</v>
      </c>
      <c r="AT22" s="1" t="s">
        <v>5</v>
      </c>
    </row>
    <row r="23" spans="1:46" hidden="1" x14ac:dyDescent="0.4">
      <c r="A23" s="1" t="s">
        <v>13199</v>
      </c>
      <c r="B23" s="10"/>
      <c r="C23" s="1" t="s">
        <v>93</v>
      </c>
      <c r="D23" s="1" t="s">
        <v>11999</v>
      </c>
      <c r="E23" s="1" t="s">
        <v>2291</v>
      </c>
      <c r="F23" s="1" t="s">
        <v>14</v>
      </c>
      <c r="G23" s="1" t="s">
        <v>1</v>
      </c>
      <c r="H23" s="1" t="s">
        <v>6</v>
      </c>
      <c r="I23" s="1" t="s">
        <v>2</v>
      </c>
      <c r="J23" s="1" t="s">
        <v>3</v>
      </c>
      <c r="K23" s="1" t="s">
        <v>13200</v>
      </c>
      <c r="L23" s="1" t="s">
        <v>7</v>
      </c>
      <c r="M23" s="1"/>
      <c r="N23" s="1" t="s">
        <v>13201</v>
      </c>
      <c r="O23" s="1" t="s">
        <v>13190</v>
      </c>
      <c r="P23" s="1"/>
      <c r="Q23" s="1"/>
      <c r="R23" s="1" t="s">
        <v>11</v>
      </c>
      <c r="S23" s="1"/>
      <c r="T23" s="1"/>
      <c r="U23" s="1"/>
      <c r="V23" s="1"/>
      <c r="W23" s="1" t="s">
        <v>12483</v>
      </c>
      <c r="X23" s="1" t="s">
        <v>12135</v>
      </c>
      <c r="Y23" s="1"/>
      <c r="Z23" s="1"/>
      <c r="AA23" s="1"/>
      <c r="AB23" s="1" t="s">
        <v>13202</v>
      </c>
      <c r="AC23" s="1"/>
      <c r="AD23" s="1"/>
      <c r="AE23" s="1" t="s">
        <v>12485</v>
      </c>
      <c r="AF23" s="1"/>
      <c r="AG23" s="1"/>
      <c r="AH23" s="1" t="s">
        <v>13203</v>
      </c>
      <c r="AI23" s="1"/>
      <c r="AJ23" s="1" t="s">
        <v>13193</v>
      </c>
      <c r="AK23" s="1" t="s">
        <v>1787</v>
      </c>
      <c r="AL23" s="1" t="s">
        <v>13194</v>
      </c>
      <c r="AM23" s="1" t="s">
        <v>13195</v>
      </c>
      <c r="AN23" s="1" t="s">
        <v>1787</v>
      </c>
      <c r="AO23" s="1" t="s">
        <v>13196</v>
      </c>
      <c r="AP23" s="2" t="s">
        <v>13204</v>
      </c>
      <c r="AQ23" s="2" t="s">
        <v>1077</v>
      </c>
      <c r="AR23" s="1" t="s">
        <v>286</v>
      </c>
      <c r="AS23" s="1" t="s">
        <v>13198</v>
      </c>
      <c r="AT23" s="1" t="s">
        <v>5</v>
      </c>
    </row>
    <row r="24" spans="1:46" hidden="1" x14ac:dyDescent="0.4">
      <c r="A24" s="1" t="s">
        <v>13205</v>
      </c>
      <c r="B24" s="10"/>
      <c r="C24" s="1" t="s">
        <v>93</v>
      </c>
      <c r="D24" s="1" t="s">
        <v>11999</v>
      </c>
      <c r="E24" s="1" t="s">
        <v>2291</v>
      </c>
      <c r="F24" s="1" t="s">
        <v>14</v>
      </c>
      <c r="G24" s="1" t="s">
        <v>1</v>
      </c>
      <c r="H24" s="1" t="s">
        <v>6</v>
      </c>
      <c r="I24" s="1" t="s">
        <v>2</v>
      </c>
      <c r="J24" s="1" t="s">
        <v>3</v>
      </c>
      <c r="K24" s="1" t="s">
        <v>13206</v>
      </c>
      <c r="L24" s="1" t="s">
        <v>7</v>
      </c>
      <c r="M24" s="1"/>
      <c r="N24" s="1" t="s">
        <v>13207</v>
      </c>
      <c r="O24" s="1" t="s">
        <v>13190</v>
      </c>
      <c r="P24" s="1"/>
      <c r="Q24" s="1"/>
      <c r="R24" s="1" t="s">
        <v>11</v>
      </c>
      <c r="S24" s="1"/>
      <c r="T24" s="1"/>
      <c r="U24" s="1"/>
      <c r="V24" s="1"/>
      <c r="W24" s="1" t="s">
        <v>12483</v>
      </c>
      <c r="X24" s="1" t="s">
        <v>12135</v>
      </c>
      <c r="Y24" s="1"/>
      <c r="Z24" s="1"/>
      <c r="AA24" s="1"/>
      <c r="AB24" s="1" t="s">
        <v>13208</v>
      </c>
      <c r="AC24" s="1"/>
      <c r="AD24" s="1"/>
      <c r="AE24" s="1" t="s">
        <v>12485</v>
      </c>
      <c r="AF24" s="1"/>
      <c r="AG24" s="1"/>
      <c r="AH24" s="1" t="s">
        <v>13209</v>
      </c>
      <c r="AI24" s="1"/>
      <c r="AJ24" s="1" t="s">
        <v>13193</v>
      </c>
      <c r="AK24" s="1" t="s">
        <v>1787</v>
      </c>
      <c r="AL24" s="1" t="s">
        <v>13194</v>
      </c>
      <c r="AM24" s="1" t="s">
        <v>13195</v>
      </c>
      <c r="AN24" s="1" t="s">
        <v>1787</v>
      </c>
      <c r="AO24" s="1" t="s">
        <v>13196</v>
      </c>
      <c r="AP24" s="2" t="s">
        <v>13210</v>
      </c>
      <c r="AQ24" s="2" t="s">
        <v>1077</v>
      </c>
      <c r="AR24" s="1" t="s">
        <v>286</v>
      </c>
      <c r="AS24" s="1" t="s">
        <v>13198</v>
      </c>
      <c r="AT24" s="1" t="s">
        <v>5</v>
      </c>
    </row>
    <row r="25" spans="1:46" hidden="1" x14ac:dyDescent="0.4">
      <c r="A25" s="1" t="s">
        <v>12186</v>
      </c>
      <c r="B25" s="10"/>
      <c r="C25" s="1" t="s">
        <v>0</v>
      </c>
      <c r="D25" s="1" t="s">
        <v>11999</v>
      </c>
      <c r="E25" s="1" t="s">
        <v>2291</v>
      </c>
      <c r="F25" s="1" t="s">
        <v>14</v>
      </c>
      <c r="G25" s="1" t="s">
        <v>1</v>
      </c>
      <c r="H25" s="1" t="s">
        <v>6</v>
      </c>
      <c r="I25" s="1" t="s">
        <v>2</v>
      </c>
      <c r="J25" s="1" t="s">
        <v>3</v>
      </c>
      <c r="K25" s="1" t="s">
        <v>12187</v>
      </c>
      <c r="L25" s="1" t="s">
        <v>7</v>
      </c>
      <c r="M25" s="1" t="s">
        <v>8</v>
      </c>
      <c r="N25" s="1" t="s">
        <v>12188</v>
      </c>
      <c r="O25" s="1" t="s">
        <v>12077</v>
      </c>
      <c r="P25" s="1"/>
      <c r="Q25" s="1"/>
      <c r="R25" s="1" t="s">
        <v>11</v>
      </c>
      <c r="S25" s="1"/>
      <c r="T25" s="1"/>
      <c r="U25" s="1"/>
      <c r="V25" s="1"/>
      <c r="W25" s="1"/>
      <c r="X25" s="1" t="s">
        <v>12038</v>
      </c>
      <c r="Y25" s="1"/>
      <c r="Z25" s="1"/>
      <c r="AA25" s="1"/>
      <c r="AB25" s="1" t="s">
        <v>12189</v>
      </c>
      <c r="AC25" s="1"/>
      <c r="AD25" s="1"/>
      <c r="AE25" s="1" t="s">
        <v>12190</v>
      </c>
      <c r="AF25" s="1"/>
      <c r="AG25" s="1"/>
      <c r="AH25" s="1" t="s">
        <v>12191</v>
      </c>
      <c r="AI25" s="1"/>
      <c r="AJ25" s="1" t="s">
        <v>12192</v>
      </c>
      <c r="AK25" s="1" t="s">
        <v>6520</v>
      </c>
      <c r="AL25" s="1" t="s">
        <v>12193</v>
      </c>
      <c r="AM25" s="1" t="s">
        <v>12192</v>
      </c>
      <c r="AN25" s="1" t="s">
        <v>6520</v>
      </c>
      <c r="AO25" s="1" t="s">
        <v>12193</v>
      </c>
      <c r="AP25" s="2" t="s">
        <v>12194</v>
      </c>
      <c r="AQ25" s="2" t="s">
        <v>1077</v>
      </c>
      <c r="AR25" s="1"/>
      <c r="AS25" s="1"/>
      <c r="AT25" s="1" t="s">
        <v>5</v>
      </c>
    </row>
    <row r="26" spans="1:46" hidden="1" x14ac:dyDescent="0.4">
      <c r="A26" s="1" t="s">
        <v>13051</v>
      </c>
      <c r="B26" s="10"/>
      <c r="C26" s="1" t="s">
        <v>93</v>
      </c>
      <c r="D26" s="1" t="s">
        <v>11999</v>
      </c>
      <c r="E26" s="1" t="s">
        <v>2291</v>
      </c>
      <c r="F26" s="1" t="s">
        <v>14</v>
      </c>
      <c r="G26" s="1" t="s">
        <v>1</v>
      </c>
      <c r="H26" s="1" t="s">
        <v>6</v>
      </c>
      <c r="I26" s="1" t="s">
        <v>2</v>
      </c>
      <c r="J26" s="1" t="s">
        <v>3</v>
      </c>
      <c r="K26" s="1" t="s">
        <v>13052</v>
      </c>
      <c r="L26" s="1" t="s">
        <v>7</v>
      </c>
      <c r="M26" s="1" t="s">
        <v>8</v>
      </c>
      <c r="N26" s="1" t="s">
        <v>13053</v>
      </c>
      <c r="O26" s="1" t="s">
        <v>12103</v>
      </c>
      <c r="P26" s="1"/>
      <c r="Q26" s="1"/>
      <c r="R26" s="1" t="s">
        <v>11</v>
      </c>
      <c r="S26" s="1"/>
      <c r="T26" s="1"/>
      <c r="U26" s="1"/>
      <c r="V26" s="1"/>
      <c r="W26" s="1"/>
      <c r="X26" s="1" t="s">
        <v>12038</v>
      </c>
      <c r="Y26" s="1"/>
      <c r="Z26" s="1"/>
      <c r="AA26" s="1"/>
      <c r="AB26" s="1" t="s">
        <v>13054</v>
      </c>
      <c r="AC26" s="1"/>
      <c r="AD26" s="1"/>
      <c r="AE26" s="1" t="s">
        <v>13055</v>
      </c>
      <c r="AF26" s="1"/>
      <c r="AG26" s="1"/>
      <c r="AH26" s="1" t="s">
        <v>13056</v>
      </c>
      <c r="AI26" s="1"/>
      <c r="AJ26" s="1" t="s">
        <v>4272</v>
      </c>
      <c r="AK26" s="1" t="s">
        <v>4273</v>
      </c>
      <c r="AL26" s="1" t="s">
        <v>4274</v>
      </c>
      <c r="AM26" s="1" t="s">
        <v>4272</v>
      </c>
      <c r="AN26" s="1" t="s">
        <v>4273</v>
      </c>
      <c r="AO26" s="1" t="s">
        <v>4274</v>
      </c>
      <c r="AP26" s="2" t="s">
        <v>13057</v>
      </c>
      <c r="AQ26" s="2" t="s">
        <v>1077</v>
      </c>
      <c r="AR26" s="1" t="s">
        <v>287</v>
      </c>
      <c r="AS26" s="1"/>
      <c r="AT26" s="1" t="s">
        <v>5</v>
      </c>
    </row>
    <row r="27" spans="1:46" hidden="1" x14ac:dyDescent="0.4">
      <c r="A27" s="1" t="s">
        <v>13266</v>
      </c>
      <c r="B27" s="10"/>
      <c r="C27" s="1" t="s">
        <v>2705</v>
      </c>
      <c r="D27" s="1" t="s">
        <v>11999</v>
      </c>
      <c r="E27" s="1" t="s">
        <v>2291</v>
      </c>
      <c r="F27" s="1" t="s">
        <v>14</v>
      </c>
      <c r="G27" s="1" t="s">
        <v>1</v>
      </c>
      <c r="H27" s="1" t="s">
        <v>6</v>
      </c>
      <c r="I27" s="1" t="s">
        <v>2</v>
      </c>
      <c r="J27" s="1" t="s">
        <v>2813</v>
      </c>
      <c r="K27" s="1" t="s">
        <v>13267</v>
      </c>
      <c r="L27" s="1" t="s">
        <v>7</v>
      </c>
      <c r="M27" s="1" t="s">
        <v>9</v>
      </c>
      <c r="N27" s="1" t="s">
        <v>13268</v>
      </c>
      <c r="O27" s="1" t="s">
        <v>9747</v>
      </c>
      <c r="P27" s="1"/>
      <c r="Q27" s="1"/>
      <c r="R27" s="1" t="s">
        <v>11</v>
      </c>
      <c r="S27" s="1"/>
      <c r="T27" s="1"/>
      <c r="U27" s="1"/>
      <c r="V27" s="1"/>
      <c r="W27" s="1" t="s">
        <v>13269</v>
      </c>
      <c r="X27" s="1" t="s">
        <v>10021</v>
      </c>
      <c r="Y27" s="1"/>
      <c r="Z27" s="1"/>
      <c r="AA27" s="1"/>
      <c r="AB27" s="1" t="s">
        <v>13270</v>
      </c>
      <c r="AC27" s="1"/>
      <c r="AD27" s="1"/>
      <c r="AE27" s="1" t="s">
        <v>13271</v>
      </c>
      <c r="AF27" s="1"/>
      <c r="AG27" s="1"/>
      <c r="AH27" s="1" t="s">
        <v>13272</v>
      </c>
      <c r="AI27" s="1"/>
      <c r="AJ27" s="1" t="s">
        <v>7755</v>
      </c>
      <c r="AK27" s="1" t="s">
        <v>6568</v>
      </c>
      <c r="AL27" s="1" t="s">
        <v>7756</v>
      </c>
      <c r="AM27" s="1" t="s">
        <v>7755</v>
      </c>
      <c r="AN27" s="1" t="s">
        <v>6568</v>
      </c>
      <c r="AO27" s="1" t="s">
        <v>7756</v>
      </c>
      <c r="AP27" s="2" t="s">
        <v>13273</v>
      </c>
      <c r="AQ27" s="2" t="s">
        <v>1154</v>
      </c>
      <c r="AR27" s="1" t="s">
        <v>286</v>
      </c>
      <c r="AS27" s="1"/>
      <c r="AT27" s="1" t="s">
        <v>5</v>
      </c>
    </row>
    <row r="28" spans="1:46" x14ac:dyDescent="0.4">
      <c r="A28" s="1" t="s">
        <v>12594</v>
      </c>
      <c r="B28" s="10">
        <v>0</v>
      </c>
      <c r="C28" s="1" t="s">
        <v>2494</v>
      </c>
      <c r="D28" s="1" t="s">
        <v>11999</v>
      </c>
      <c r="E28" s="1" t="s">
        <v>2291</v>
      </c>
      <c r="F28" s="1" t="s">
        <v>14</v>
      </c>
      <c r="G28" s="1" t="s">
        <v>1</v>
      </c>
      <c r="H28" s="1" t="s">
        <v>6</v>
      </c>
      <c r="I28" s="1" t="s">
        <v>2</v>
      </c>
      <c r="J28" s="1" t="s">
        <v>2450</v>
      </c>
      <c r="K28" s="1" t="s">
        <v>12595</v>
      </c>
      <c r="L28" s="1" t="s">
        <v>7</v>
      </c>
      <c r="M28" s="1" t="s">
        <v>9</v>
      </c>
      <c r="N28" s="1" t="s">
        <v>12596</v>
      </c>
      <c r="O28" s="1" t="s">
        <v>9747</v>
      </c>
      <c r="P28" s="1"/>
      <c r="Q28" s="1"/>
      <c r="R28" s="1" t="s">
        <v>11</v>
      </c>
      <c r="S28" s="1"/>
      <c r="T28" s="1"/>
      <c r="U28" s="1"/>
      <c r="V28" s="1"/>
      <c r="W28" s="1"/>
      <c r="X28" s="1" t="s">
        <v>12135</v>
      </c>
      <c r="Y28" s="1"/>
      <c r="Z28" s="1"/>
      <c r="AA28" s="1"/>
      <c r="AB28" s="1" t="s">
        <v>12597</v>
      </c>
      <c r="AC28" s="1"/>
      <c r="AD28" s="1"/>
      <c r="AE28" s="1"/>
      <c r="AF28" s="1"/>
      <c r="AG28" s="1"/>
      <c r="AH28" s="1" t="s">
        <v>12598</v>
      </c>
      <c r="AI28" s="1"/>
      <c r="AJ28" s="1" t="s">
        <v>12477</v>
      </c>
      <c r="AK28" s="1" t="s">
        <v>4789</v>
      </c>
      <c r="AL28" s="1" t="s">
        <v>12478</v>
      </c>
      <c r="AM28" s="1" t="s">
        <v>12477</v>
      </c>
      <c r="AN28" s="1" t="s">
        <v>4789</v>
      </c>
      <c r="AO28" s="1" t="s">
        <v>12478</v>
      </c>
      <c r="AP28" s="2" t="s">
        <v>12599</v>
      </c>
      <c r="AQ28" s="2" t="s">
        <v>1153</v>
      </c>
      <c r="AR28" s="1" t="s">
        <v>287</v>
      </c>
      <c r="AS28" s="1"/>
      <c r="AT28" s="1" t="s">
        <v>5</v>
      </c>
    </row>
    <row r="29" spans="1:46" x14ac:dyDescent="0.4">
      <c r="A29" s="1" t="s">
        <v>12576</v>
      </c>
      <c r="B29" s="10">
        <v>0</v>
      </c>
      <c r="C29" s="1" t="s">
        <v>2494</v>
      </c>
      <c r="D29" s="1" t="s">
        <v>11999</v>
      </c>
      <c r="E29" s="1" t="s">
        <v>2291</v>
      </c>
      <c r="F29" s="1" t="s">
        <v>14</v>
      </c>
      <c r="G29" s="1" t="s">
        <v>1</v>
      </c>
      <c r="H29" s="1" t="s">
        <v>6</v>
      </c>
      <c r="I29" s="1" t="s">
        <v>2</v>
      </c>
      <c r="J29" s="1" t="s">
        <v>2450</v>
      </c>
      <c r="K29" s="1" t="s">
        <v>12577</v>
      </c>
      <c r="L29" s="1" t="s">
        <v>7</v>
      </c>
      <c r="M29" s="1"/>
      <c r="N29" s="1" t="s">
        <v>12578</v>
      </c>
      <c r="O29" s="1" t="s">
        <v>9747</v>
      </c>
      <c r="P29" s="1"/>
      <c r="Q29" s="1"/>
      <c r="R29" s="1" t="s">
        <v>11</v>
      </c>
      <c r="S29" s="1"/>
      <c r="T29" s="1"/>
      <c r="U29" s="1"/>
      <c r="V29" s="1"/>
      <c r="W29" s="1"/>
      <c r="X29" s="1" t="s">
        <v>12135</v>
      </c>
      <c r="Y29" s="1"/>
      <c r="Z29" s="1"/>
      <c r="AA29" s="1"/>
      <c r="AB29" s="1" t="s">
        <v>12579</v>
      </c>
      <c r="AC29" s="1"/>
      <c r="AD29" s="1"/>
      <c r="AE29" s="1"/>
      <c r="AF29" s="1"/>
      <c r="AG29" s="1"/>
      <c r="AH29" s="1" t="s">
        <v>12580</v>
      </c>
      <c r="AI29" s="1"/>
      <c r="AJ29" s="1" t="s">
        <v>12477</v>
      </c>
      <c r="AK29" s="1" t="s">
        <v>4789</v>
      </c>
      <c r="AL29" s="1" t="s">
        <v>12478</v>
      </c>
      <c r="AM29" s="1" t="s">
        <v>12477</v>
      </c>
      <c r="AN29" s="1" t="s">
        <v>4789</v>
      </c>
      <c r="AO29" s="1" t="s">
        <v>12478</v>
      </c>
      <c r="AP29" s="2" t="s">
        <v>12581</v>
      </c>
      <c r="AQ29" s="2" t="s">
        <v>1153</v>
      </c>
      <c r="AR29" s="1" t="s">
        <v>287</v>
      </c>
      <c r="AS29" s="1"/>
      <c r="AT29" s="1" t="s">
        <v>5</v>
      </c>
    </row>
    <row r="30" spans="1:46" hidden="1" x14ac:dyDescent="0.4">
      <c r="A30" s="1" t="s">
        <v>13398</v>
      </c>
      <c r="B30" s="10"/>
      <c r="C30" s="1" t="s">
        <v>2491</v>
      </c>
      <c r="D30" s="1" t="s">
        <v>11999</v>
      </c>
      <c r="E30" s="1" t="s">
        <v>2291</v>
      </c>
      <c r="F30" s="1" t="s">
        <v>14</v>
      </c>
      <c r="G30" s="1" t="s">
        <v>1</v>
      </c>
      <c r="H30" s="1" t="s">
        <v>6</v>
      </c>
      <c r="I30" s="1" t="s">
        <v>2</v>
      </c>
      <c r="J30" s="1" t="s">
        <v>2492</v>
      </c>
      <c r="K30" s="1" t="s">
        <v>13399</v>
      </c>
      <c r="L30" s="1" t="s">
        <v>7</v>
      </c>
      <c r="M30" s="1" t="s">
        <v>9</v>
      </c>
      <c r="N30" s="1" t="s">
        <v>13400</v>
      </c>
      <c r="O30" s="1" t="s">
        <v>9747</v>
      </c>
      <c r="P30" s="1"/>
      <c r="Q30" s="1"/>
      <c r="R30" s="1" t="s">
        <v>11</v>
      </c>
      <c r="S30" s="1"/>
      <c r="T30" s="1"/>
      <c r="U30" s="1"/>
      <c r="V30" s="1"/>
      <c r="W30" s="1"/>
      <c r="X30" s="1" t="s">
        <v>10021</v>
      </c>
      <c r="Y30" s="1"/>
      <c r="Z30" s="1"/>
      <c r="AA30" s="1"/>
      <c r="AB30" s="1" t="s">
        <v>13401</v>
      </c>
      <c r="AC30" s="1"/>
      <c r="AD30" s="1"/>
      <c r="AE30" s="1" t="s">
        <v>13402</v>
      </c>
      <c r="AF30" s="1"/>
      <c r="AG30" s="1"/>
      <c r="AH30" s="1" t="s">
        <v>13403</v>
      </c>
      <c r="AI30" s="1"/>
      <c r="AJ30" s="1" t="s">
        <v>13404</v>
      </c>
      <c r="AK30" s="1" t="s">
        <v>12467</v>
      </c>
      <c r="AL30" s="1" t="s">
        <v>13405</v>
      </c>
      <c r="AM30" s="1" t="s">
        <v>13406</v>
      </c>
      <c r="AN30" s="1" t="s">
        <v>12467</v>
      </c>
      <c r="AO30" s="1" t="s">
        <v>13407</v>
      </c>
      <c r="AP30" s="2" t="s">
        <v>13408</v>
      </c>
      <c r="AQ30" s="2" t="s">
        <v>1154</v>
      </c>
      <c r="AR30" s="1" t="s">
        <v>286</v>
      </c>
      <c r="AS30" s="1"/>
      <c r="AT30" s="1" t="s">
        <v>5</v>
      </c>
    </row>
    <row r="31" spans="1:46" hidden="1" x14ac:dyDescent="0.4">
      <c r="A31" s="1" t="s">
        <v>13633</v>
      </c>
      <c r="B31" s="10"/>
      <c r="C31" s="1" t="s">
        <v>93</v>
      </c>
      <c r="D31" s="1" t="s">
        <v>11999</v>
      </c>
      <c r="E31" s="1" t="s">
        <v>2291</v>
      </c>
      <c r="F31" s="1" t="s">
        <v>14</v>
      </c>
      <c r="G31" s="1" t="s">
        <v>1</v>
      </c>
      <c r="H31" s="1" t="s">
        <v>6</v>
      </c>
      <c r="I31" s="1" t="s">
        <v>2</v>
      </c>
      <c r="J31" s="1" t="s">
        <v>3</v>
      </c>
      <c r="K31" s="1" t="s">
        <v>13634</v>
      </c>
      <c r="L31" s="1" t="s">
        <v>7</v>
      </c>
      <c r="M31" s="1"/>
      <c r="N31" s="1" t="s">
        <v>13635</v>
      </c>
      <c r="O31" s="1" t="s">
        <v>12739</v>
      </c>
      <c r="P31" s="1"/>
      <c r="Q31" s="1"/>
      <c r="R31" s="1" t="s">
        <v>11</v>
      </c>
      <c r="S31" s="1"/>
      <c r="T31" s="1"/>
      <c r="U31" s="1"/>
      <c r="V31" s="1"/>
      <c r="W31" s="1" t="s">
        <v>13636</v>
      </c>
      <c r="X31" s="1" t="s">
        <v>12038</v>
      </c>
      <c r="Y31" s="1"/>
      <c r="Z31" s="1"/>
      <c r="AA31" s="1"/>
      <c r="AB31" s="1" t="s">
        <v>13637</v>
      </c>
      <c r="AC31" s="1"/>
      <c r="AD31" s="1"/>
      <c r="AE31" s="1" t="s">
        <v>13638</v>
      </c>
      <c r="AF31" s="1"/>
      <c r="AG31" s="1"/>
      <c r="AH31" s="1" t="s">
        <v>13639</v>
      </c>
      <c r="AI31" s="1"/>
      <c r="AJ31" s="1" t="s">
        <v>8659</v>
      </c>
      <c r="AK31" s="1" t="s">
        <v>8396</v>
      </c>
      <c r="AL31" s="1" t="s">
        <v>8660</v>
      </c>
      <c r="AM31" s="1" t="s">
        <v>8659</v>
      </c>
      <c r="AN31" s="1" t="s">
        <v>8396</v>
      </c>
      <c r="AO31" s="1" t="s">
        <v>8660</v>
      </c>
      <c r="AP31" s="2" t="s">
        <v>13640</v>
      </c>
      <c r="AQ31" s="2" t="s">
        <v>1154</v>
      </c>
      <c r="AR31" s="1" t="s">
        <v>286</v>
      </c>
      <c r="AS31" s="1" t="s">
        <v>13641</v>
      </c>
      <c r="AT31" s="1" t="s">
        <v>5</v>
      </c>
    </row>
    <row r="32" spans="1:46" hidden="1" x14ac:dyDescent="0.4">
      <c r="A32" s="1" t="s">
        <v>13624</v>
      </c>
      <c r="B32" s="10"/>
      <c r="C32" s="1" t="s">
        <v>2705</v>
      </c>
      <c r="D32" s="1" t="s">
        <v>11999</v>
      </c>
      <c r="E32" s="1" t="s">
        <v>2291</v>
      </c>
      <c r="F32" s="1" t="s">
        <v>14</v>
      </c>
      <c r="G32" s="1" t="s">
        <v>1</v>
      </c>
      <c r="H32" s="1" t="s">
        <v>6</v>
      </c>
      <c r="I32" s="1" t="s">
        <v>2</v>
      </c>
      <c r="J32" s="1" t="s">
        <v>2813</v>
      </c>
      <c r="K32" s="1" t="s">
        <v>13625</v>
      </c>
      <c r="L32" s="1" t="s">
        <v>7</v>
      </c>
      <c r="M32" s="1"/>
      <c r="N32" s="1" t="s">
        <v>13626</v>
      </c>
      <c r="O32" s="1" t="s">
        <v>9747</v>
      </c>
      <c r="P32" s="1"/>
      <c r="Q32" s="1"/>
      <c r="R32" s="1" t="s">
        <v>11</v>
      </c>
      <c r="S32" s="1"/>
      <c r="T32" s="1"/>
      <c r="U32" s="1"/>
      <c r="V32" s="1"/>
      <c r="W32" s="1" t="s">
        <v>13627</v>
      </c>
      <c r="X32" s="1" t="s">
        <v>10021</v>
      </c>
      <c r="Y32" s="1"/>
      <c r="Z32" s="1"/>
      <c r="AA32" s="1"/>
      <c r="AB32" s="1" t="s">
        <v>13628</v>
      </c>
      <c r="AC32" s="1"/>
      <c r="AD32" s="1"/>
      <c r="AE32" s="1" t="s">
        <v>13629</v>
      </c>
      <c r="AF32" s="1"/>
      <c r="AG32" s="1"/>
      <c r="AH32" s="1" t="s">
        <v>13630</v>
      </c>
      <c r="AI32" s="1"/>
      <c r="AJ32" s="1" t="s">
        <v>10716</v>
      </c>
      <c r="AK32" s="1" t="s">
        <v>6568</v>
      </c>
      <c r="AL32" s="1" t="s">
        <v>10717</v>
      </c>
      <c r="AM32" s="1" t="s">
        <v>10716</v>
      </c>
      <c r="AN32" s="1" t="s">
        <v>6568</v>
      </c>
      <c r="AO32" s="1" t="s">
        <v>10717</v>
      </c>
      <c r="AP32" s="2" t="s">
        <v>13631</v>
      </c>
      <c r="AQ32" s="2" t="s">
        <v>1154</v>
      </c>
      <c r="AR32" s="1" t="s">
        <v>286</v>
      </c>
      <c r="AS32" s="1" t="s">
        <v>13632</v>
      </c>
      <c r="AT32" s="1" t="s">
        <v>5</v>
      </c>
    </row>
    <row r="33" spans="1:46" hidden="1" x14ac:dyDescent="0.4">
      <c r="A33" s="1" t="s">
        <v>14029</v>
      </c>
      <c r="B33" s="10"/>
      <c r="C33" s="1" t="s">
        <v>2841</v>
      </c>
      <c r="D33" s="1" t="s">
        <v>11999</v>
      </c>
      <c r="E33" s="1" t="s">
        <v>2291</v>
      </c>
      <c r="F33" s="1" t="s">
        <v>14</v>
      </c>
      <c r="G33" s="1" t="s">
        <v>1</v>
      </c>
      <c r="H33" s="1" t="s">
        <v>6</v>
      </c>
      <c r="I33" s="1" t="s">
        <v>2</v>
      </c>
      <c r="J33" s="1" t="s">
        <v>2842</v>
      </c>
      <c r="K33" s="1" t="s">
        <v>14030</v>
      </c>
      <c r="L33" s="1" t="s">
        <v>7</v>
      </c>
      <c r="M33" s="1"/>
      <c r="N33" s="1" t="s">
        <v>14031</v>
      </c>
      <c r="O33" s="1" t="s">
        <v>14032</v>
      </c>
      <c r="P33" s="1" t="s">
        <v>14033</v>
      </c>
      <c r="Q33" s="1"/>
      <c r="R33" s="1" t="s">
        <v>11</v>
      </c>
      <c r="S33" s="1"/>
      <c r="T33" s="1"/>
      <c r="U33" s="1"/>
      <c r="V33" s="1"/>
      <c r="W33" s="1" t="s">
        <v>14034</v>
      </c>
      <c r="X33" s="1" t="s">
        <v>10021</v>
      </c>
      <c r="Y33" s="1"/>
      <c r="Z33" s="1"/>
      <c r="AA33" s="1"/>
      <c r="AB33" s="1" t="s">
        <v>14035</v>
      </c>
      <c r="AC33" s="1"/>
      <c r="AD33" s="1"/>
      <c r="AE33" s="1" t="s">
        <v>14036</v>
      </c>
      <c r="AF33" s="1"/>
      <c r="AG33" s="1"/>
      <c r="AH33" s="1" t="s">
        <v>14037</v>
      </c>
      <c r="AI33" s="1"/>
      <c r="AJ33" s="1" t="s">
        <v>4327</v>
      </c>
      <c r="AK33" s="1" t="s">
        <v>8473</v>
      </c>
      <c r="AL33" s="1" t="s">
        <v>4328</v>
      </c>
      <c r="AM33" s="1" t="s">
        <v>4327</v>
      </c>
      <c r="AN33" s="1" t="s">
        <v>8473</v>
      </c>
      <c r="AO33" s="1" t="s">
        <v>4328</v>
      </c>
      <c r="AP33" s="2" t="s">
        <v>14038</v>
      </c>
      <c r="AQ33" s="2" t="s">
        <v>1155</v>
      </c>
      <c r="AR33" s="1" t="s">
        <v>286</v>
      </c>
      <c r="AS33" s="1" t="s">
        <v>14039</v>
      </c>
      <c r="AT33" s="1" t="s">
        <v>5</v>
      </c>
    </row>
    <row r="34" spans="1:46" hidden="1" x14ac:dyDescent="0.4">
      <c r="A34" s="1" t="s">
        <v>13384</v>
      </c>
      <c r="B34" s="10"/>
      <c r="C34" s="1" t="s">
        <v>0</v>
      </c>
      <c r="D34" s="1" t="s">
        <v>11999</v>
      </c>
      <c r="E34" s="1" t="s">
        <v>2291</v>
      </c>
      <c r="F34" s="1" t="s">
        <v>14</v>
      </c>
      <c r="G34" s="1" t="s">
        <v>1</v>
      </c>
      <c r="H34" s="1" t="s">
        <v>6</v>
      </c>
      <c r="I34" s="1" t="s">
        <v>2</v>
      </c>
      <c r="J34" s="1" t="s">
        <v>3</v>
      </c>
      <c r="K34" s="1" t="s">
        <v>13385</v>
      </c>
      <c r="L34" s="1" t="s">
        <v>4</v>
      </c>
      <c r="M34" s="1" t="s">
        <v>9</v>
      </c>
      <c r="N34" s="1" t="s">
        <v>13386</v>
      </c>
      <c r="O34" s="1" t="s">
        <v>12405</v>
      </c>
      <c r="P34" s="1" t="s">
        <v>13387</v>
      </c>
      <c r="Q34" s="1"/>
      <c r="R34" s="1" t="s">
        <v>11</v>
      </c>
      <c r="S34" s="1"/>
      <c r="T34" s="1"/>
      <c r="U34" s="1"/>
      <c r="V34" s="1"/>
      <c r="W34" s="1" t="s">
        <v>13388</v>
      </c>
      <c r="X34" s="1" t="s">
        <v>12038</v>
      </c>
      <c r="Y34" s="1"/>
      <c r="Z34" s="1"/>
      <c r="AA34" s="1"/>
      <c r="AB34" s="1" t="s">
        <v>13389</v>
      </c>
      <c r="AC34" s="1"/>
      <c r="AD34" s="1"/>
      <c r="AE34" s="1" t="s">
        <v>13390</v>
      </c>
      <c r="AF34" s="1"/>
      <c r="AG34" s="1"/>
      <c r="AH34" s="1" t="s">
        <v>13391</v>
      </c>
      <c r="AI34" s="1"/>
      <c r="AJ34" s="1" t="s">
        <v>13392</v>
      </c>
      <c r="AK34" s="1" t="s">
        <v>13393</v>
      </c>
      <c r="AL34" s="1"/>
      <c r="AM34" s="1" t="s">
        <v>13394</v>
      </c>
      <c r="AN34" s="1" t="s">
        <v>13393</v>
      </c>
      <c r="AO34" s="1" t="s">
        <v>13395</v>
      </c>
      <c r="AP34" s="2" t="s">
        <v>13396</v>
      </c>
      <c r="AQ34" s="2" t="s">
        <v>1154</v>
      </c>
      <c r="AR34" s="1" t="s">
        <v>286</v>
      </c>
      <c r="AS34" s="1" t="s">
        <v>13397</v>
      </c>
      <c r="AT34" s="1" t="s">
        <v>5</v>
      </c>
    </row>
    <row r="35" spans="1:46" hidden="1" x14ac:dyDescent="0.4">
      <c r="A35" s="1" t="s">
        <v>13138</v>
      </c>
      <c r="B35" s="10"/>
      <c r="C35" s="1" t="s">
        <v>0</v>
      </c>
      <c r="D35" s="1" t="s">
        <v>11999</v>
      </c>
      <c r="E35" s="1" t="s">
        <v>2291</v>
      </c>
      <c r="F35" s="1" t="s">
        <v>14</v>
      </c>
      <c r="G35" s="1" t="s">
        <v>1</v>
      </c>
      <c r="H35" s="1" t="s">
        <v>6</v>
      </c>
      <c r="I35" s="1" t="s">
        <v>2</v>
      </c>
      <c r="J35" s="1" t="s">
        <v>3</v>
      </c>
      <c r="K35" s="1" t="s">
        <v>13139</v>
      </c>
      <c r="L35" s="1" t="s">
        <v>7</v>
      </c>
      <c r="M35" s="1" t="s">
        <v>9</v>
      </c>
      <c r="N35" s="1" t="s">
        <v>12394</v>
      </c>
      <c r="O35" s="1" t="s">
        <v>13131</v>
      </c>
      <c r="P35" s="1"/>
      <c r="Q35" s="1"/>
      <c r="R35" s="1" t="s">
        <v>11</v>
      </c>
      <c r="S35" s="1"/>
      <c r="T35" s="1"/>
      <c r="U35" s="1"/>
      <c r="V35" s="1"/>
      <c r="W35" s="1"/>
      <c r="X35" s="1" t="s">
        <v>12026</v>
      </c>
      <c r="Y35" s="1"/>
      <c r="Z35" s="1"/>
      <c r="AA35" s="1"/>
      <c r="AB35" s="1" t="s">
        <v>13140</v>
      </c>
      <c r="AC35" s="1"/>
      <c r="AD35" s="1"/>
      <c r="AE35" s="1" t="s">
        <v>13141</v>
      </c>
      <c r="AF35" s="1"/>
      <c r="AG35" s="1"/>
      <c r="AH35" s="1" t="s">
        <v>13142</v>
      </c>
      <c r="AI35" s="1"/>
      <c r="AJ35" s="1" t="s">
        <v>3835</v>
      </c>
      <c r="AK35" s="1" t="s">
        <v>7300</v>
      </c>
      <c r="AL35" s="1"/>
      <c r="AM35" s="1" t="s">
        <v>13135</v>
      </c>
      <c r="AN35" s="1" t="s">
        <v>7300</v>
      </c>
      <c r="AO35" s="1" t="s">
        <v>13136</v>
      </c>
      <c r="AP35" s="2" t="s">
        <v>13143</v>
      </c>
      <c r="AQ35" s="2" t="s">
        <v>1077</v>
      </c>
      <c r="AR35" s="1" t="s">
        <v>287</v>
      </c>
      <c r="AS35" s="1"/>
      <c r="AT35" s="1" t="s">
        <v>5</v>
      </c>
    </row>
    <row r="36" spans="1:46" hidden="1" x14ac:dyDescent="0.4">
      <c r="A36" s="1" t="s">
        <v>13128</v>
      </c>
      <c r="B36" s="10"/>
      <c r="C36" s="1" t="s">
        <v>0</v>
      </c>
      <c r="D36" s="1" t="s">
        <v>11999</v>
      </c>
      <c r="E36" s="1" t="s">
        <v>2291</v>
      </c>
      <c r="F36" s="1" t="s">
        <v>14</v>
      </c>
      <c r="G36" s="1" t="s">
        <v>1</v>
      </c>
      <c r="H36" s="1" t="s">
        <v>6</v>
      </c>
      <c r="I36" s="1" t="s">
        <v>2</v>
      </c>
      <c r="J36" s="1" t="s">
        <v>3</v>
      </c>
      <c r="K36" s="1" t="s">
        <v>13129</v>
      </c>
      <c r="L36" s="1" t="s">
        <v>7</v>
      </c>
      <c r="M36" s="1" t="s">
        <v>9</v>
      </c>
      <c r="N36" s="1" t="s">
        <v>13130</v>
      </c>
      <c r="O36" s="1" t="s">
        <v>13131</v>
      </c>
      <c r="P36" s="1"/>
      <c r="Q36" s="1"/>
      <c r="R36" s="1" t="s">
        <v>11</v>
      </c>
      <c r="S36" s="1"/>
      <c r="T36" s="1"/>
      <c r="U36" s="1"/>
      <c r="V36" s="1"/>
      <c r="W36" s="1"/>
      <c r="X36" s="1" t="s">
        <v>12026</v>
      </c>
      <c r="Y36" s="1"/>
      <c r="Z36" s="1"/>
      <c r="AA36" s="1"/>
      <c r="AB36" s="1" t="s">
        <v>13132</v>
      </c>
      <c r="AC36" s="1"/>
      <c r="AD36" s="1"/>
      <c r="AE36" s="1" t="s">
        <v>13133</v>
      </c>
      <c r="AF36" s="1"/>
      <c r="AG36" s="1"/>
      <c r="AH36" s="1" t="s">
        <v>13134</v>
      </c>
      <c r="AI36" s="1"/>
      <c r="AJ36" s="1" t="s">
        <v>3835</v>
      </c>
      <c r="AK36" s="1" t="s">
        <v>7300</v>
      </c>
      <c r="AL36" s="1"/>
      <c r="AM36" s="1" t="s">
        <v>13135</v>
      </c>
      <c r="AN36" s="1" t="s">
        <v>7300</v>
      </c>
      <c r="AO36" s="1" t="s">
        <v>13136</v>
      </c>
      <c r="AP36" s="2" t="s">
        <v>13137</v>
      </c>
      <c r="AQ36" s="2" t="s">
        <v>1077</v>
      </c>
      <c r="AR36" s="1" t="s">
        <v>287</v>
      </c>
      <c r="AS36" s="1"/>
      <c r="AT36" s="1" t="s">
        <v>5</v>
      </c>
    </row>
    <row r="37" spans="1:46" hidden="1" x14ac:dyDescent="0.4">
      <c r="A37" s="1" t="s">
        <v>13642</v>
      </c>
      <c r="B37" s="10"/>
      <c r="C37" s="1" t="s">
        <v>93</v>
      </c>
      <c r="D37" s="1" t="s">
        <v>11999</v>
      </c>
      <c r="E37" s="1" t="s">
        <v>2291</v>
      </c>
      <c r="F37" s="1" t="s">
        <v>14</v>
      </c>
      <c r="G37" s="1" t="s">
        <v>1</v>
      </c>
      <c r="H37" s="1" t="s">
        <v>6</v>
      </c>
      <c r="I37" s="1" t="s">
        <v>2</v>
      </c>
      <c r="J37" s="1" t="s">
        <v>3</v>
      </c>
      <c r="K37" s="1" t="s">
        <v>13643</v>
      </c>
      <c r="L37" s="1" t="s">
        <v>7</v>
      </c>
      <c r="M37" s="1"/>
      <c r="N37" s="1" t="s">
        <v>13644</v>
      </c>
      <c r="O37" s="1" t="s">
        <v>12060</v>
      </c>
      <c r="P37" s="1"/>
      <c r="Q37" s="1"/>
      <c r="R37" s="1" t="s">
        <v>11</v>
      </c>
      <c r="S37" s="1"/>
      <c r="T37" s="1"/>
      <c r="U37" s="1"/>
      <c r="V37" s="1"/>
      <c r="W37" s="1" t="s">
        <v>13645</v>
      </c>
      <c r="X37" s="1" t="s">
        <v>12038</v>
      </c>
      <c r="Y37" s="1"/>
      <c r="Z37" s="1"/>
      <c r="AA37" s="1"/>
      <c r="AB37" s="1" t="s">
        <v>13646</v>
      </c>
      <c r="AC37" s="1"/>
      <c r="AD37" s="1"/>
      <c r="AE37" s="1" t="s">
        <v>13647</v>
      </c>
      <c r="AF37" s="1"/>
      <c r="AG37" s="1"/>
      <c r="AH37" s="1" t="s">
        <v>13648</v>
      </c>
      <c r="AI37" s="1"/>
      <c r="AJ37" s="1" t="s">
        <v>8659</v>
      </c>
      <c r="AK37" s="1" t="s">
        <v>8396</v>
      </c>
      <c r="AL37" s="1" t="s">
        <v>8660</v>
      </c>
      <c r="AM37" s="1" t="s">
        <v>8659</v>
      </c>
      <c r="AN37" s="1" t="s">
        <v>8396</v>
      </c>
      <c r="AO37" s="1" t="s">
        <v>8660</v>
      </c>
      <c r="AP37" s="2" t="s">
        <v>13649</v>
      </c>
      <c r="AQ37" s="2" t="s">
        <v>1154</v>
      </c>
      <c r="AR37" s="1" t="s">
        <v>286</v>
      </c>
      <c r="AS37" s="1" t="s">
        <v>13650</v>
      </c>
      <c r="AT37" s="1" t="s">
        <v>5</v>
      </c>
    </row>
    <row r="38" spans="1:46" hidden="1" x14ac:dyDescent="0.4">
      <c r="A38" s="1" t="s">
        <v>13729</v>
      </c>
      <c r="B38" s="10"/>
      <c r="C38" s="1" t="s">
        <v>2705</v>
      </c>
      <c r="D38" s="1" t="s">
        <v>11999</v>
      </c>
      <c r="E38" s="1" t="s">
        <v>2291</v>
      </c>
      <c r="F38" s="1" t="s">
        <v>14</v>
      </c>
      <c r="G38" s="1" t="s">
        <v>1</v>
      </c>
      <c r="H38" s="1" t="s">
        <v>6</v>
      </c>
      <c r="I38" s="1" t="s">
        <v>2</v>
      </c>
      <c r="J38" s="1" t="s">
        <v>2813</v>
      </c>
      <c r="K38" s="1" t="s">
        <v>13730</v>
      </c>
      <c r="L38" s="1" t="s">
        <v>7</v>
      </c>
      <c r="M38" s="1"/>
      <c r="N38" s="1" t="s">
        <v>13731</v>
      </c>
      <c r="O38" s="1" t="s">
        <v>12103</v>
      </c>
      <c r="P38" s="1"/>
      <c r="Q38" s="1"/>
      <c r="R38" s="1" t="s">
        <v>11</v>
      </c>
      <c r="S38" s="1"/>
      <c r="T38" s="1"/>
      <c r="U38" s="1"/>
      <c r="V38" s="1"/>
      <c r="W38" s="1" t="s">
        <v>6385</v>
      </c>
      <c r="X38" s="1" t="s">
        <v>12038</v>
      </c>
      <c r="Y38" s="1"/>
      <c r="Z38" s="1"/>
      <c r="AA38" s="1"/>
      <c r="AB38" s="1" t="s">
        <v>13732</v>
      </c>
      <c r="AC38" s="1"/>
      <c r="AD38" s="1"/>
      <c r="AE38" s="1" t="s">
        <v>13733</v>
      </c>
      <c r="AF38" s="1"/>
      <c r="AG38" s="1"/>
      <c r="AH38" s="1" t="s">
        <v>13734</v>
      </c>
      <c r="AI38" s="1"/>
      <c r="AJ38" s="1" t="s">
        <v>6519</v>
      </c>
      <c r="AK38" s="1" t="s">
        <v>6520</v>
      </c>
      <c r="AL38" s="1" t="s">
        <v>6521</v>
      </c>
      <c r="AM38" s="1" t="s">
        <v>6519</v>
      </c>
      <c r="AN38" s="1" t="s">
        <v>6520</v>
      </c>
      <c r="AO38" s="1" t="s">
        <v>6521</v>
      </c>
      <c r="AP38" s="2" t="s">
        <v>13735</v>
      </c>
      <c r="AQ38" s="2" t="s">
        <v>1155</v>
      </c>
      <c r="AR38" s="1" t="s">
        <v>286</v>
      </c>
      <c r="AS38" s="1" t="s">
        <v>13736</v>
      </c>
      <c r="AT38" s="1" t="s">
        <v>5</v>
      </c>
    </row>
    <row r="39" spans="1:46" hidden="1" x14ac:dyDescent="0.4">
      <c r="A39" s="1" t="s">
        <v>12195</v>
      </c>
      <c r="B39" s="10"/>
      <c r="C39" s="1" t="s">
        <v>2841</v>
      </c>
      <c r="D39" s="1" t="s">
        <v>11999</v>
      </c>
      <c r="E39" s="1" t="s">
        <v>2291</v>
      </c>
      <c r="F39" s="1" t="s">
        <v>14</v>
      </c>
      <c r="G39" s="1" t="s">
        <v>1</v>
      </c>
      <c r="H39" s="1" t="s">
        <v>6</v>
      </c>
      <c r="I39" s="1" t="s">
        <v>2</v>
      </c>
      <c r="J39" s="1" t="s">
        <v>2842</v>
      </c>
      <c r="K39" s="1" t="s">
        <v>12196</v>
      </c>
      <c r="L39" s="1" t="s">
        <v>7</v>
      </c>
      <c r="M39" s="1"/>
      <c r="N39" s="1" t="s">
        <v>12197</v>
      </c>
      <c r="O39" s="1" t="s">
        <v>12198</v>
      </c>
      <c r="P39" s="1"/>
      <c r="Q39" s="1"/>
      <c r="R39" s="1" t="s">
        <v>11</v>
      </c>
      <c r="S39" s="1"/>
      <c r="T39" s="1"/>
      <c r="U39" s="1"/>
      <c r="V39" s="1"/>
      <c r="W39" s="1"/>
      <c r="X39" s="1" t="s">
        <v>12199</v>
      </c>
      <c r="Y39" s="1"/>
      <c r="Z39" s="1"/>
      <c r="AA39" s="1"/>
      <c r="AB39" s="1" t="s">
        <v>12200</v>
      </c>
      <c r="AC39" s="1"/>
      <c r="AD39" s="1"/>
      <c r="AE39" s="1"/>
      <c r="AF39" s="1"/>
      <c r="AG39" s="1"/>
      <c r="AH39" s="1" t="s">
        <v>12201</v>
      </c>
      <c r="AI39" s="1"/>
      <c r="AJ39" s="1" t="s">
        <v>12202</v>
      </c>
      <c r="AK39" s="1" t="s">
        <v>12203</v>
      </c>
      <c r="AL39" s="1" t="s">
        <v>12204</v>
      </c>
      <c r="AM39" s="1" t="s">
        <v>12202</v>
      </c>
      <c r="AN39" s="1" t="s">
        <v>12203</v>
      </c>
      <c r="AO39" s="1" t="s">
        <v>12204</v>
      </c>
      <c r="AP39" s="2" t="s">
        <v>12205</v>
      </c>
      <c r="AQ39" s="2" t="s">
        <v>1153</v>
      </c>
      <c r="AR39" s="1"/>
      <c r="AS39" s="1"/>
      <c r="AT39" s="1" t="s">
        <v>5</v>
      </c>
    </row>
    <row r="40" spans="1:46" x14ac:dyDescent="0.4">
      <c r="A40" s="1" t="s">
        <v>13775</v>
      </c>
      <c r="B40" s="10">
        <v>0</v>
      </c>
      <c r="C40" s="1" t="s">
        <v>0</v>
      </c>
      <c r="D40" s="1" t="s">
        <v>11999</v>
      </c>
      <c r="E40" s="1" t="s">
        <v>2291</v>
      </c>
      <c r="F40" s="1" t="s">
        <v>14</v>
      </c>
      <c r="G40" s="1" t="s">
        <v>1</v>
      </c>
      <c r="H40" s="1" t="s">
        <v>6</v>
      </c>
      <c r="I40" s="1" t="s">
        <v>2</v>
      </c>
      <c r="J40" s="1" t="s">
        <v>3</v>
      </c>
      <c r="K40" s="1" t="s">
        <v>13776</v>
      </c>
      <c r="L40" s="1" t="s">
        <v>7</v>
      </c>
      <c r="M40" s="1" t="s">
        <v>9</v>
      </c>
      <c r="N40" s="1" t="s">
        <v>13777</v>
      </c>
      <c r="O40" s="1" t="s">
        <v>12501</v>
      </c>
      <c r="P40" s="1"/>
      <c r="Q40" s="1"/>
      <c r="R40" s="1" t="s">
        <v>11</v>
      </c>
      <c r="S40" s="1"/>
      <c r="T40" s="1"/>
      <c r="U40" s="1"/>
      <c r="V40" s="1"/>
      <c r="W40" s="1"/>
      <c r="X40" s="1" t="s">
        <v>12038</v>
      </c>
      <c r="Y40" s="1"/>
      <c r="Z40" s="1"/>
      <c r="AA40" s="1"/>
      <c r="AB40" s="1" t="s">
        <v>13778</v>
      </c>
      <c r="AC40" s="1"/>
      <c r="AD40" s="1"/>
      <c r="AE40" s="1" t="s">
        <v>13779</v>
      </c>
      <c r="AF40" s="1"/>
      <c r="AG40" s="1"/>
      <c r="AH40" s="1" t="s">
        <v>13780</v>
      </c>
      <c r="AI40" s="1"/>
      <c r="AJ40" s="1" t="s">
        <v>1277</v>
      </c>
      <c r="AK40" s="1" t="s">
        <v>598</v>
      </c>
      <c r="AL40" s="1" t="s">
        <v>1278</v>
      </c>
      <c r="AM40" s="1" t="s">
        <v>13781</v>
      </c>
      <c r="AN40" s="1" t="s">
        <v>598</v>
      </c>
      <c r="AO40" s="1" t="s">
        <v>13782</v>
      </c>
      <c r="AP40" s="2" t="s">
        <v>13783</v>
      </c>
      <c r="AQ40" s="2" t="s">
        <v>1155</v>
      </c>
      <c r="AR40" s="1" t="s">
        <v>286</v>
      </c>
      <c r="AS40" s="1" t="s">
        <v>13784</v>
      </c>
      <c r="AT40" s="1" t="s">
        <v>5</v>
      </c>
    </row>
    <row r="41" spans="1:46" x14ac:dyDescent="0.4">
      <c r="A41" s="1" t="s">
        <v>13785</v>
      </c>
      <c r="B41" s="10">
        <v>0</v>
      </c>
      <c r="C41" s="1" t="s">
        <v>0</v>
      </c>
      <c r="D41" s="1" t="s">
        <v>11999</v>
      </c>
      <c r="E41" s="1" t="s">
        <v>2291</v>
      </c>
      <c r="F41" s="1" t="s">
        <v>14</v>
      </c>
      <c r="G41" s="1" t="s">
        <v>1</v>
      </c>
      <c r="H41" s="1" t="s">
        <v>6</v>
      </c>
      <c r="I41" s="1" t="s">
        <v>2</v>
      </c>
      <c r="J41" s="1" t="s">
        <v>3</v>
      </c>
      <c r="K41" s="1" t="s">
        <v>13786</v>
      </c>
      <c r="L41" s="1" t="s">
        <v>7</v>
      </c>
      <c r="M41" s="1" t="s">
        <v>9</v>
      </c>
      <c r="N41" s="1" t="s">
        <v>13787</v>
      </c>
      <c r="O41" s="1" t="s">
        <v>12501</v>
      </c>
      <c r="P41" s="1"/>
      <c r="Q41" s="1"/>
      <c r="R41" s="1" t="s">
        <v>11</v>
      </c>
      <c r="S41" s="1"/>
      <c r="T41" s="1"/>
      <c r="U41" s="1"/>
      <c r="V41" s="1"/>
      <c r="W41" s="1"/>
      <c r="X41" s="1" t="s">
        <v>12038</v>
      </c>
      <c r="Y41" s="1"/>
      <c r="Z41" s="1"/>
      <c r="AA41" s="1"/>
      <c r="AB41" s="1" t="s">
        <v>13778</v>
      </c>
      <c r="AC41" s="1"/>
      <c r="AD41" s="1"/>
      <c r="AE41" s="1" t="s">
        <v>13779</v>
      </c>
      <c r="AF41" s="1"/>
      <c r="AG41" s="1"/>
      <c r="AH41" s="1" t="s">
        <v>13788</v>
      </c>
      <c r="AI41" s="1"/>
      <c r="AJ41" s="1" t="s">
        <v>1277</v>
      </c>
      <c r="AK41" s="1" t="s">
        <v>598</v>
      </c>
      <c r="AL41" s="1" t="s">
        <v>1278</v>
      </c>
      <c r="AM41" s="1" t="s">
        <v>13781</v>
      </c>
      <c r="AN41" s="1" t="s">
        <v>598</v>
      </c>
      <c r="AO41" s="1" t="s">
        <v>13782</v>
      </c>
      <c r="AP41" s="2" t="s">
        <v>13789</v>
      </c>
      <c r="AQ41" s="2" t="s">
        <v>1155</v>
      </c>
      <c r="AR41" s="1" t="s">
        <v>286</v>
      </c>
      <c r="AS41" s="1" t="s">
        <v>13790</v>
      </c>
      <c r="AT41" s="1" t="s">
        <v>5</v>
      </c>
    </row>
    <row r="42" spans="1:46" x14ac:dyDescent="0.4">
      <c r="A42" s="1" t="s">
        <v>13791</v>
      </c>
      <c r="B42" s="10">
        <v>0</v>
      </c>
      <c r="C42" s="1" t="s">
        <v>0</v>
      </c>
      <c r="D42" s="1" t="s">
        <v>11999</v>
      </c>
      <c r="E42" s="1" t="s">
        <v>2291</v>
      </c>
      <c r="F42" s="1" t="s">
        <v>14</v>
      </c>
      <c r="G42" s="1" t="s">
        <v>1</v>
      </c>
      <c r="H42" s="1" t="s">
        <v>6</v>
      </c>
      <c r="I42" s="1" t="s">
        <v>2</v>
      </c>
      <c r="J42" s="1" t="s">
        <v>3</v>
      </c>
      <c r="K42" s="1" t="s">
        <v>13792</v>
      </c>
      <c r="L42" s="1" t="s">
        <v>7</v>
      </c>
      <c r="M42" s="1" t="s">
        <v>9</v>
      </c>
      <c r="N42" s="1" t="s">
        <v>13793</v>
      </c>
      <c r="O42" s="1" t="s">
        <v>12501</v>
      </c>
      <c r="P42" s="1"/>
      <c r="Q42" s="1"/>
      <c r="R42" s="1" t="s">
        <v>11</v>
      </c>
      <c r="S42" s="1"/>
      <c r="T42" s="1"/>
      <c r="U42" s="1"/>
      <c r="V42" s="1"/>
      <c r="W42" s="1"/>
      <c r="X42" s="1" t="s">
        <v>12038</v>
      </c>
      <c r="Y42" s="1"/>
      <c r="Z42" s="1"/>
      <c r="AA42" s="1"/>
      <c r="AB42" s="1" t="s">
        <v>13778</v>
      </c>
      <c r="AC42" s="1"/>
      <c r="AD42" s="1"/>
      <c r="AE42" s="1" t="s">
        <v>13779</v>
      </c>
      <c r="AF42" s="1"/>
      <c r="AG42" s="1"/>
      <c r="AH42" s="1" t="s">
        <v>13794</v>
      </c>
      <c r="AI42" s="1"/>
      <c r="AJ42" s="1" t="s">
        <v>1277</v>
      </c>
      <c r="AK42" s="1" t="s">
        <v>598</v>
      </c>
      <c r="AL42" s="1" t="s">
        <v>1278</v>
      </c>
      <c r="AM42" s="1" t="s">
        <v>13781</v>
      </c>
      <c r="AN42" s="1" t="s">
        <v>598</v>
      </c>
      <c r="AO42" s="1" t="s">
        <v>13782</v>
      </c>
      <c r="AP42" s="2" t="s">
        <v>13795</v>
      </c>
      <c r="AQ42" s="2" t="s">
        <v>1155</v>
      </c>
      <c r="AR42" s="1" t="s">
        <v>286</v>
      </c>
      <c r="AS42" s="1" t="s">
        <v>13796</v>
      </c>
      <c r="AT42" s="1" t="s">
        <v>5</v>
      </c>
    </row>
    <row r="43" spans="1:46" x14ac:dyDescent="0.4">
      <c r="A43" s="1" t="s">
        <v>13994</v>
      </c>
      <c r="B43" s="10">
        <v>0</v>
      </c>
      <c r="C43" s="1" t="s">
        <v>93</v>
      </c>
      <c r="D43" s="1" t="s">
        <v>11999</v>
      </c>
      <c r="E43" s="1" t="s">
        <v>2291</v>
      </c>
      <c r="F43" s="1" t="s">
        <v>14</v>
      </c>
      <c r="G43" s="1" t="s">
        <v>1</v>
      </c>
      <c r="H43" s="1" t="s">
        <v>6</v>
      </c>
      <c r="I43" s="1" t="s">
        <v>2</v>
      </c>
      <c r="J43" s="1" t="s">
        <v>3</v>
      </c>
      <c r="K43" s="1" t="s">
        <v>13995</v>
      </c>
      <c r="L43" s="1" t="s">
        <v>7</v>
      </c>
      <c r="M43" s="1"/>
      <c r="N43" s="1" t="s">
        <v>13996</v>
      </c>
      <c r="O43" s="1" t="s">
        <v>12501</v>
      </c>
      <c r="P43" s="1"/>
      <c r="Q43" s="1"/>
      <c r="R43" s="1" t="s">
        <v>11</v>
      </c>
      <c r="S43" s="1"/>
      <c r="T43" s="1"/>
      <c r="U43" s="1"/>
      <c r="V43" s="1"/>
      <c r="W43" s="1"/>
      <c r="X43" s="1" t="s">
        <v>12038</v>
      </c>
      <c r="Y43" s="1"/>
      <c r="Z43" s="1"/>
      <c r="AA43" s="1"/>
      <c r="AB43" s="1" t="s">
        <v>13778</v>
      </c>
      <c r="AC43" s="1"/>
      <c r="AD43" s="1"/>
      <c r="AE43" s="1" t="s">
        <v>12741</v>
      </c>
      <c r="AF43" s="1"/>
      <c r="AG43" s="1"/>
      <c r="AH43" s="1" t="s">
        <v>13997</v>
      </c>
      <c r="AI43" s="1"/>
      <c r="AJ43" s="1" t="s">
        <v>10303</v>
      </c>
      <c r="AK43" s="1" t="s">
        <v>1787</v>
      </c>
      <c r="AL43" s="1" t="s">
        <v>10304</v>
      </c>
      <c r="AM43" s="1" t="s">
        <v>204</v>
      </c>
      <c r="AN43" s="1" t="s">
        <v>1787</v>
      </c>
      <c r="AO43" s="1" t="s">
        <v>13998</v>
      </c>
      <c r="AP43" s="2" t="s">
        <v>13999</v>
      </c>
      <c r="AQ43" s="2" t="s">
        <v>1155</v>
      </c>
      <c r="AR43" s="1" t="s">
        <v>286</v>
      </c>
      <c r="AS43" s="1" t="s">
        <v>970</v>
      </c>
      <c r="AT43" s="1" t="s">
        <v>5</v>
      </c>
    </row>
    <row r="44" spans="1:46" hidden="1" x14ac:dyDescent="0.4">
      <c r="A44" s="1" t="s">
        <v>13965</v>
      </c>
      <c r="B44" s="10"/>
      <c r="C44" s="1" t="s">
        <v>2454</v>
      </c>
      <c r="D44" s="1" t="s">
        <v>11999</v>
      </c>
      <c r="E44" s="1" t="s">
        <v>2291</v>
      </c>
      <c r="F44" s="1" t="s">
        <v>14</v>
      </c>
      <c r="G44" s="1" t="s">
        <v>1</v>
      </c>
      <c r="H44" s="1" t="s">
        <v>6</v>
      </c>
      <c r="I44" s="1" t="s">
        <v>2</v>
      </c>
      <c r="J44" s="1" t="s">
        <v>3676</v>
      </c>
      <c r="K44" s="1" t="s">
        <v>13966</v>
      </c>
      <c r="L44" s="1" t="s">
        <v>7</v>
      </c>
      <c r="M44" s="1"/>
      <c r="N44" s="1" t="s">
        <v>13967</v>
      </c>
      <c r="O44" s="1" t="s">
        <v>12103</v>
      </c>
      <c r="P44" s="1"/>
      <c r="Q44" s="1"/>
      <c r="R44" s="1" t="s">
        <v>11</v>
      </c>
      <c r="S44" s="1"/>
      <c r="T44" s="1"/>
      <c r="U44" s="1"/>
      <c r="V44" s="1"/>
      <c r="W44" s="1"/>
      <c r="X44" s="1" t="s">
        <v>12435</v>
      </c>
      <c r="Y44" s="1"/>
      <c r="Z44" s="1"/>
      <c r="AA44" s="1"/>
      <c r="AB44" s="1" t="s">
        <v>13968</v>
      </c>
      <c r="AC44" s="1"/>
      <c r="AD44" s="1"/>
      <c r="AE44" s="1" t="s">
        <v>13969</v>
      </c>
      <c r="AF44" s="1"/>
      <c r="AG44" s="1"/>
      <c r="AH44" s="1" t="s">
        <v>13970</v>
      </c>
      <c r="AI44" s="1"/>
      <c r="AJ44" s="1" t="s">
        <v>12663</v>
      </c>
      <c r="AK44" s="1" t="s">
        <v>3106</v>
      </c>
      <c r="AL44" s="1" t="s">
        <v>12664</v>
      </c>
      <c r="AM44" s="1" t="s">
        <v>12663</v>
      </c>
      <c r="AN44" s="1" t="s">
        <v>3106</v>
      </c>
      <c r="AO44" s="1" t="s">
        <v>12664</v>
      </c>
      <c r="AP44" s="2" t="s">
        <v>13971</v>
      </c>
      <c r="AQ44" s="2" t="s">
        <v>1155</v>
      </c>
      <c r="AR44" s="1" t="s">
        <v>286</v>
      </c>
      <c r="AS44" s="1" t="s">
        <v>10513</v>
      </c>
      <c r="AT44" s="1" t="s">
        <v>5</v>
      </c>
    </row>
    <row r="45" spans="1:46" hidden="1" x14ac:dyDescent="0.4">
      <c r="A45" s="1" t="s">
        <v>13313</v>
      </c>
      <c r="B45" s="10"/>
      <c r="C45" s="1" t="s">
        <v>0</v>
      </c>
      <c r="D45" s="1" t="s">
        <v>11999</v>
      </c>
      <c r="E45" s="1" t="s">
        <v>2291</v>
      </c>
      <c r="F45" s="1" t="s">
        <v>14</v>
      </c>
      <c r="G45" s="1" t="s">
        <v>1</v>
      </c>
      <c r="H45" s="1" t="s">
        <v>6</v>
      </c>
      <c r="I45" s="1" t="s">
        <v>2</v>
      </c>
      <c r="J45" s="1" t="s">
        <v>3</v>
      </c>
      <c r="K45" s="1" t="s">
        <v>13314</v>
      </c>
      <c r="L45" s="1" t="s">
        <v>7</v>
      </c>
      <c r="M45" s="1" t="s">
        <v>9</v>
      </c>
      <c r="N45" s="1" t="s">
        <v>13315</v>
      </c>
      <c r="O45" s="1" t="s">
        <v>13117</v>
      </c>
      <c r="P45" s="1"/>
      <c r="Q45" s="1"/>
      <c r="R45" s="1" t="s">
        <v>11</v>
      </c>
      <c r="S45" s="1"/>
      <c r="T45" s="1"/>
      <c r="U45" s="1"/>
      <c r="V45" s="1"/>
      <c r="W45" s="1"/>
      <c r="X45" s="1" t="s">
        <v>12038</v>
      </c>
      <c r="Y45" s="1"/>
      <c r="Z45" s="1"/>
      <c r="AA45" s="1"/>
      <c r="AB45" s="1" t="s">
        <v>13316</v>
      </c>
      <c r="AC45" s="1"/>
      <c r="AD45" s="1"/>
      <c r="AE45" s="1" t="s">
        <v>13317</v>
      </c>
      <c r="AF45" s="1"/>
      <c r="AG45" s="1"/>
      <c r="AH45" s="1" t="s">
        <v>13318</v>
      </c>
      <c r="AI45" s="1"/>
      <c r="AJ45" s="1" t="s">
        <v>23</v>
      </c>
      <c r="AK45" s="1" t="s">
        <v>516</v>
      </c>
      <c r="AL45" s="1" t="s">
        <v>567</v>
      </c>
      <c r="AM45" s="1" t="s">
        <v>13319</v>
      </c>
      <c r="AN45" s="1" t="s">
        <v>516</v>
      </c>
      <c r="AO45" s="1"/>
      <c r="AP45" s="2" t="s">
        <v>13320</v>
      </c>
      <c r="AQ45" s="2" t="s">
        <v>1154</v>
      </c>
      <c r="AR45" s="1" t="s">
        <v>286</v>
      </c>
      <c r="AS45" s="1" t="s">
        <v>13321</v>
      </c>
      <c r="AT45" s="1" t="s">
        <v>5</v>
      </c>
    </row>
    <row r="46" spans="1:46" hidden="1" x14ac:dyDescent="0.4">
      <c r="A46" s="1" t="s">
        <v>12618</v>
      </c>
      <c r="B46" s="10"/>
      <c r="C46" s="1" t="s">
        <v>3626</v>
      </c>
      <c r="D46" s="1" t="s">
        <v>11999</v>
      </c>
      <c r="E46" s="1" t="s">
        <v>2291</v>
      </c>
      <c r="F46" s="1" t="s">
        <v>14</v>
      </c>
      <c r="G46" s="1" t="s">
        <v>1</v>
      </c>
      <c r="H46" s="1" t="s">
        <v>6</v>
      </c>
      <c r="I46" s="1" t="s">
        <v>2</v>
      </c>
      <c r="J46" s="1" t="s">
        <v>3514</v>
      </c>
      <c r="K46" s="1" t="s">
        <v>12619</v>
      </c>
      <c r="L46" s="1" t="s">
        <v>7</v>
      </c>
      <c r="M46" s="1" t="s">
        <v>9</v>
      </c>
      <c r="N46" s="1" t="s">
        <v>12620</v>
      </c>
      <c r="O46" s="1" t="s">
        <v>3426</v>
      </c>
      <c r="P46" s="1" t="s">
        <v>12621</v>
      </c>
      <c r="Q46" s="1"/>
      <c r="R46" s="1" t="s">
        <v>11</v>
      </c>
      <c r="S46" s="1"/>
      <c r="T46" s="1"/>
      <c r="U46" s="1"/>
      <c r="V46" s="1"/>
      <c r="W46" s="1"/>
      <c r="X46" s="1" t="s">
        <v>10021</v>
      </c>
      <c r="Y46" s="1"/>
      <c r="Z46" s="1"/>
      <c r="AA46" s="1"/>
      <c r="AB46" s="1" t="s">
        <v>12622</v>
      </c>
      <c r="AC46" s="1"/>
      <c r="AD46" s="1"/>
      <c r="AE46" s="1"/>
      <c r="AF46" s="1"/>
      <c r="AG46" s="1"/>
      <c r="AH46" s="1" t="s">
        <v>12623</v>
      </c>
      <c r="AI46" s="1"/>
      <c r="AJ46" s="1" t="s">
        <v>12624</v>
      </c>
      <c r="AK46" s="1" t="s">
        <v>5314</v>
      </c>
      <c r="AL46" s="1" t="s">
        <v>12625</v>
      </c>
      <c r="AM46" s="1" t="s">
        <v>12624</v>
      </c>
      <c r="AN46" s="1" t="s">
        <v>5314</v>
      </c>
      <c r="AO46" s="1" t="s">
        <v>12625</v>
      </c>
      <c r="AP46" s="2" t="s">
        <v>12626</v>
      </c>
      <c r="AQ46" s="2" t="s">
        <v>1153</v>
      </c>
      <c r="AR46" s="1" t="s">
        <v>287</v>
      </c>
      <c r="AS46" s="1"/>
      <c r="AT46" s="1" t="s">
        <v>5</v>
      </c>
    </row>
    <row r="47" spans="1:46" hidden="1" x14ac:dyDescent="0.4">
      <c r="A47" s="1" t="s">
        <v>13766</v>
      </c>
      <c r="B47" s="10"/>
      <c r="C47" s="1" t="s">
        <v>2705</v>
      </c>
      <c r="D47" s="1" t="s">
        <v>11999</v>
      </c>
      <c r="E47" s="1" t="s">
        <v>2291</v>
      </c>
      <c r="F47" s="1" t="s">
        <v>14</v>
      </c>
      <c r="G47" s="1" t="s">
        <v>1</v>
      </c>
      <c r="H47" s="1" t="s">
        <v>6</v>
      </c>
      <c r="I47" s="1" t="s">
        <v>2</v>
      </c>
      <c r="J47" s="1" t="s">
        <v>2813</v>
      </c>
      <c r="K47" s="1" t="s">
        <v>13767</v>
      </c>
      <c r="L47" s="1" t="s">
        <v>7</v>
      </c>
      <c r="M47" s="1" t="s">
        <v>9</v>
      </c>
      <c r="N47" s="1" t="s">
        <v>13768</v>
      </c>
      <c r="O47" s="1" t="s">
        <v>13769</v>
      </c>
      <c r="P47" s="1"/>
      <c r="Q47" s="1"/>
      <c r="R47" s="1" t="s">
        <v>11</v>
      </c>
      <c r="S47" s="1"/>
      <c r="T47" s="1"/>
      <c r="U47" s="1"/>
      <c r="V47" s="1"/>
      <c r="W47" s="1" t="s">
        <v>13770</v>
      </c>
      <c r="X47" s="1" t="s">
        <v>12038</v>
      </c>
      <c r="Y47" s="1"/>
      <c r="Z47" s="1"/>
      <c r="AA47" s="1"/>
      <c r="AB47" s="1" t="s">
        <v>13771</v>
      </c>
      <c r="AC47" s="1"/>
      <c r="AD47" s="1"/>
      <c r="AE47" s="1" t="s">
        <v>13750</v>
      </c>
      <c r="AF47" s="1"/>
      <c r="AG47" s="1"/>
      <c r="AH47" s="1" t="s">
        <v>13772</v>
      </c>
      <c r="AI47" s="1" t="s">
        <v>13773</v>
      </c>
      <c r="AJ47" s="1" t="s">
        <v>13752</v>
      </c>
      <c r="AK47" s="1" t="s">
        <v>9480</v>
      </c>
      <c r="AL47" s="1" t="s">
        <v>13753</v>
      </c>
      <c r="AM47" s="1" t="s">
        <v>13752</v>
      </c>
      <c r="AN47" s="1" t="s">
        <v>9480</v>
      </c>
      <c r="AO47" s="1" t="s">
        <v>13753</v>
      </c>
      <c r="AP47" s="2" t="s">
        <v>13774</v>
      </c>
      <c r="AQ47" s="2" t="s">
        <v>1155</v>
      </c>
      <c r="AR47" s="1" t="s">
        <v>286</v>
      </c>
      <c r="AS47" s="1"/>
      <c r="AT47" s="1" t="s">
        <v>5</v>
      </c>
    </row>
    <row r="48" spans="1:46" hidden="1" x14ac:dyDescent="0.4">
      <c r="A48" s="1" t="s">
        <v>12638</v>
      </c>
      <c r="B48" s="10"/>
      <c r="C48" s="1" t="s">
        <v>6246</v>
      </c>
      <c r="D48" s="1" t="s">
        <v>11999</v>
      </c>
      <c r="E48" s="1" t="s">
        <v>2291</v>
      </c>
      <c r="F48" s="1" t="s">
        <v>14</v>
      </c>
      <c r="G48" s="1" t="s">
        <v>1</v>
      </c>
      <c r="H48" s="1" t="s">
        <v>6</v>
      </c>
      <c r="I48" s="1" t="s">
        <v>2</v>
      </c>
      <c r="J48" s="1" t="s">
        <v>3514</v>
      </c>
      <c r="K48" s="1" t="s">
        <v>12639</v>
      </c>
      <c r="L48" s="1" t="s">
        <v>7</v>
      </c>
      <c r="M48" s="1"/>
      <c r="N48" s="1" t="s">
        <v>12640</v>
      </c>
      <c r="O48" s="1" t="s">
        <v>12641</v>
      </c>
      <c r="P48" s="1"/>
      <c r="Q48" s="1"/>
      <c r="R48" s="1" t="s">
        <v>11</v>
      </c>
      <c r="S48" s="1"/>
      <c r="T48" s="1"/>
      <c r="U48" s="1"/>
      <c r="V48" s="1"/>
      <c r="W48" s="1" t="s">
        <v>12642</v>
      </c>
      <c r="X48" s="1" t="s">
        <v>12293</v>
      </c>
      <c r="Y48" s="1"/>
      <c r="Z48" s="1"/>
      <c r="AA48" s="1"/>
      <c r="AB48" s="1" t="s">
        <v>12643</v>
      </c>
      <c r="AC48" s="1"/>
      <c r="AD48" s="1"/>
      <c r="AE48" s="1"/>
      <c r="AF48" s="1"/>
      <c r="AG48" s="1"/>
      <c r="AH48" s="1" t="s">
        <v>12644</v>
      </c>
      <c r="AI48" s="1"/>
      <c r="AJ48" s="1" t="s">
        <v>6254</v>
      </c>
      <c r="AK48" s="1" t="s">
        <v>6255</v>
      </c>
      <c r="AL48" s="1" t="s">
        <v>6256</v>
      </c>
      <c r="AM48" s="1" t="s">
        <v>6257</v>
      </c>
      <c r="AN48" s="1" t="s">
        <v>3521</v>
      </c>
      <c r="AO48" s="1"/>
      <c r="AP48" s="2" t="s">
        <v>12645</v>
      </c>
      <c r="AQ48" s="2" t="s">
        <v>1153</v>
      </c>
      <c r="AR48" s="1" t="s">
        <v>287</v>
      </c>
      <c r="AS48" s="1"/>
      <c r="AT48" s="1" t="s">
        <v>5</v>
      </c>
    </row>
    <row r="49" spans="1:46" hidden="1" x14ac:dyDescent="0.4">
      <c r="A49" s="1" t="s">
        <v>14107</v>
      </c>
      <c r="B49" s="10"/>
      <c r="C49" s="1" t="s">
        <v>0</v>
      </c>
      <c r="D49" s="1" t="s">
        <v>11999</v>
      </c>
      <c r="E49" s="1" t="s">
        <v>2291</v>
      </c>
      <c r="F49" s="1" t="s">
        <v>14</v>
      </c>
      <c r="G49" s="1" t="s">
        <v>1</v>
      </c>
      <c r="H49" s="1" t="s">
        <v>6</v>
      </c>
      <c r="I49" s="1" t="s">
        <v>2</v>
      </c>
      <c r="J49" s="1" t="s">
        <v>3</v>
      </c>
      <c r="K49" s="1" t="s">
        <v>14108</v>
      </c>
      <c r="L49" s="1" t="s">
        <v>7</v>
      </c>
      <c r="M49" s="1"/>
      <c r="N49" s="1" t="s">
        <v>14109</v>
      </c>
      <c r="O49" s="1" t="s">
        <v>12405</v>
      </c>
      <c r="P49" s="1" t="s">
        <v>14110</v>
      </c>
      <c r="Q49" s="1"/>
      <c r="R49" s="1" t="s">
        <v>11</v>
      </c>
      <c r="S49" s="1"/>
      <c r="T49" s="1"/>
      <c r="U49" s="1"/>
      <c r="V49" s="1"/>
      <c r="W49" s="1"/>
      <c r="X49" s="1" t="s">
        <v>12038</v>
      </c>
      <c r="Y49" s="1"/>
      <c r="Z49" s="1"/>
      <c r="AA49" s="1"/>
      <c r="AB49" s="1" t="s">
        <v>14111</v>
      </c>
      <c r="AC49" s="1"/>
      <c r="AD49" s="1"/>
      <c r="AE49" s="1" t="s">
        <v>14112</v>
      </c>
      <c r="AF49" s="1"/>
      <c r="AG49" s="1"/>
      <c r="AH49" s="1" t="s">
        <v>14113</v>
      </c>
      <c r="AI49" s="1"/>
      <c r="AJ49" s="1" t="s">
        <v>1828</v>
      </c>
      <c r="AK49" s="1" t="s">
        <v>1829</v>
      </c>
      <c r="AL49" s="1"/>
      <c r="AM49" s="1" t="s">
        <v>1828</v>
      </c>
      <c r="AN49" s="1" t="s">
        <v>1829</v>
      </c>
      <c r="AO49" s="1"/>
      <c r="AP49" s="2" t="s">
        <v>14114</v>
      </c>
      <c r="AQ49" s="2" t="s">
        <v>1155</v>
      </c>
      <c r="AR49" s="1" t="s">
        <v>286</v>
      </c>
      <c r="AS49" s="1"/>
      <c r="AT49" s="1" t="s">
        <v>5</v>
      </c>
    </row>
    <row r="50" spans="1:46" hidden="1" x14ac:dyDescent="0.4">
      <c r="A50" s="1" t="s">
        <v>14115</v>
      </c>
      <c r="B50" s="10"/>
      <c r="C50" s="1" t="s">
        <v>0</v>
      </c>
      <c r="D50" s="1" t="s">
        <v>11999</v>
      </c>
      <c r="E50" s="1" t="s">
        <v>2291</v>
      </c>
      <c r="F50" s="1" t="s">
        <v>14</v>
      </c>
      <c r="G50" s="1" t="s">
        <v>1</v>
      </c>
      <c r="H50" s="1" t="s">
        <v>6</v>
      </c>
      <c r="I50" s="1" t="s">
        <v>2</v>
      </c>
      <c r="J50" s="1" t="s">
        <v>3</v>
      </c>
      <c r="K50" s="1" t="s">
        <v>14116</v>
      </c>
      <c r="L50" s="1" t="s">
        <v>7</v>
      </c>
      <c r="M50" s="1" t="s">
        <v>9</v>
      </c>
      <c r="N50" s="1" t="s">
        <v>14117</v>
      </c>
      <c r="O50" s="1" t="s">
        <v>12405</v>
      </c>
      <c r="P50" s="1" t="s">
        <v>14110</v>
      </c>
      <c r="Q50" s="1"/>
      <c r="R50" s="1" t="s">
        <v>11</v>
      </c>
      <c r="S50" s="1"/>
      <c r="T50" s="1"/>
      <c r="U50" s="1"/>
      <c r="V50" s="1"/>
      <c r="W50" s="1"/>
      <c r="X50" s="1" t="s">
        <v>12038</v>
      </c>
      <c r="Y50" s="1"/>
      <c r="Z50" s="1"/>
      <c r="AA50" s="1"/>
      <c r="AB50" s="1" t="s">
        <v>14118</v>
      </c>
      <c r="AC50" s="1"/>
      <c r="AD50" s="1"/>
      <c r="AE50" s="1" t="s">
        <v>14112</v>
      </c>
      <c r="AF50" s="1"/>
      <c r="AG50" s="1"/>
      <c r="AH50" s="1" t="s">
        <v>14119</v>
      </c>
      <c r="AI50" s="1"/>
      <c r="AJ50" s="1" t="s">
        <v>1828</v>
      </c>
      <c r="AK50" s="1" t="s">
        <v>1829</v>
      </c>
      <c r="AL50" s="1"/>
      <c r="AM50" s="1" t="s">
        <v>1828</v>
      </c>
      <c r="AN50" s="1" t="s">
        <v>1829</v>
      </c>
      <c r="AO50" s="1"/>
      <c r="AP50" s="2" t="s">
        <v>14120</v>
      </c>
      <c r="AQ50" s="2" t="s">
        <v>1155</v>
      </c>
      <c r="AR50" s="1" t="s">
        <v>286</v>
      </c>
      <c r="AS50" s="1"/>
      <c r="AT50" s="1" t="s">
        <v>5</v>
      </c>
    </row>
    <row r="51" spans="1:46" hidden="1" x14ac:dyDescent="0.4">
      <c r="A51" s="1" t="s">
        <v>12657</v>
      </c>
      <c r="B51" s="10"/>
      <c r="C51" s="1" t="s">
        <v>2454</v>
      </c>
      <c r="D51" s="1" t="s">
        <v>11999</v>
      </c>
      <c r="E51" s="1" t="s">
        <v>2291</v>
      </c>
      <c r="F51" s="1" t="s">
        <v>14</v>
      </c>
      <c r="G51" s="1" t="s">
        <v>1</v>
      </c>
      <c r="H51" s="1" t="s">
        <v>6</v>
      </c>
      <c r="I51" s="1" t="s">
        <v>2</v>
      </c>
      <c r="J51" s="1" t="s">
        <v>3676</v>
      </c>
      <c r="K51" s="1" t="s">
        <v>12658</v>
      </c>
      <c r="L51" s="1" t="s">
        <v>7</v>
      </c>
      <c r="M51" s="1"/>
      <c r="N51" s="1" t="s">
        <v>12659</v>
      </c>
      <c r="O51" s="1" t="s">
        <v>12103</v>
      </c>
      <c r="P51" s="1"/>
      <c r="Q51" s="1"/>
      <c r="R51" s="1" t="s">
        <v>11</v>
      </c>
      <c r="S51" s="1"/>
      <c r="T51" s="1"/>
      <c r="U51" s="1"/>
      <c r="V51" s="1"/>
      <c r="W51" s="1"/>
      <c r="X51" s="1" t="s">
        <v>12135</v>
      </c>
      <c r="Y51" s="1"/>
      <c r="Z51" s="1"/>
      <c r="AA51" s="1"/>
      <c r="AB51" s="1" t="s">
        <v>12660</v>
      </c>
      <c r="AC51" s="1"/>
      <c r="AD51" s="1"/>
      <c r="AE51" s="1" t="s">
        <v>12661</v>
      </c>
      <c r="AF51" s="1"/>
      <c r="AG51" s="1"/>
      <c r="AH51" s="1" t="s">
        <v>12662</v>
      </c>
      <c r="AI51" s="1"/>
      <c r="AJ51" s="1" t="s">
        <v>12663</v>
      </c>
      <c r="AK51" s="1" t="s">
        <v>3106</v>
      </c>
      <c r="AL51" s="1" t="s">
        <v>12664</v>
      </c>
      <c r="AM51" s="1" t="s">
        <v>12663</v>
      </c>
      <c r="AN51" s="1" t="s">
        <v>3106</v>
      </c>
      <c r="AO51" s="1" t="s">
        <v>12664</v>
      </c>
      <c r="AP51" s="2" t="s">
        <v>12665</v>
      </c>
      <c r="AQ51" s="2" t="s">
        <v>1153</v>
      </c>
      <c r="AR51" s="1" t="s">
        <v>287</v>
      </c>
      <c r="AS51" s="1"/>
      <c r="AT51" s="1" t="s">
        <v>5</v>
      </c>
    </row>
    <row r="52" spans="1:46" hidden="1" x14ac:dyDescent="0.4">
      <c r="A52" s="1" t="s">
        <v>13797</v>
      </c>
      <c r="B52" s="10"/>
      <c r="C52" s="1" t="s">
        <v>0</v>
      </c>
      <c r="D52" s="1" t="s">
        <v>11999</v>
      </c>
      <c r="E52" s="1" t="s">
        <v>2291</v>
      </c>
      <c r="F52" s="1" t="s">
        <v>14</v>
      </c>
      <c r="G52" s="1" t="s">
        <v>1</v>
      </c>
      <c r="H52" s="1" t="s">
        <v>6</v>
      </c>
      <c r="I52" s="1" t="s">
        <v>2</v>
      </c>
      <c r="J52" s="1" t="s">
        <v>3</v>
      </c>
      <c r="K52" s="1" t="s">
        <v>13798</v>
      </c>
      <c r="L52" s="1" t="s">
        <v>7</v>
      </c>
      <c r="M52" s="1" t="s">
        <v>9</v>
      </c>
      <c r="N52" s="1" t="s">
        <v>13799</v>
      </c>
      <c r="O52" s="1" t="s">
        <v>12405</v>
      </c>
      <c r="P52" s="1"/>
      <c r="Q52" s="1"/>
      <c r="R52" s="1" t="s">
        <v>11</v>
      </c>
      <c r="S52" s="1"/>
      <c r="T52" s="1"/>
      <c r="U52" s="1"/>
      <c r="V52" s="1"/>
      <c r="W52" s="1" t="s">
        <v>13800</v>
      </c>
      <c r="X52" s="1" t="s">
        <v>12038</v>
      </c>
      <c r="Y52" s="1"/>
      <c r="Z52" s="1"/>
      <c r="AA52" s="1"/>
      <c r="AB52" s="1" t="s">
        <v>13801</v>
      </c>
      <c r="AC52" s="1"/>
      <c r="AD52" s="1"/>
      <c r="AE52" s="1" t="s">
        <v>13802</v>
      </c>
      <c r="AF52" s="1"/>
      <c r="AG52" s="1"/>
      <c r="AH52" s="1" t="s">
        <v>13803</v>
      </c>
      <c r="AI52" s="1"/>
      <c r="AJ52" s="1" t="s">
        <v>1528</v>
      </c>
      <c r="AK52" s="1" t="s">
        <v>279</v>
      </c>
      <c r="AL52" s="1" t="s">
        <v>1529</v>
      </c>
      <c r="AM52" s="1" t="s">
        <v>11526</v>
      </c>
      <c r="AN52" s="1" t="s">
        <v>279</v>
      </c>
      <c r="AO52" s="1" t="s">
        <v>12948</v>
      </c>
      <c r="AP52" s="2" t="s">
        <v>13804</v>
      </c>
      <c r="AQ52" s="2" t="s">
        <v>1155</v>
      </c>
      <c r="AR52" s="1" t="s">
        <v>286</v>
      </c>
      <c r="AS52" s="1" t="s">
        <v>13805</v>
      </c>
      <c r="AT52" s="1" t="s">
        <v>5</v>
      </c>
    </row>
    <row r="53" spans="1:46" hidden="1" x14ac:dyDescent="0.4">
      <c r="A53" s="1" t="s">
        <v>12821</v>
      </c>
      <c r="B53" s="10"/>
      <c r="C53" s="1" t="s">
        <v>93</v>
      </c>
      <c r="D53" s="1" t="s">
        <v>11999</v>
      </c>
      <c r="E53" s="1" t="s">
        <v>2291</v>
      </c>
      <c r="F53" s="1" t="s">
        <v>14</v>
      </c>
      <c r="G53" s="1" t="s">
        <v>1</v>
      </c>
      <c r="H53" s="1" t="s">
        <v>6</v>
      </c>
      <c r="I53" s="1" t="s">
        <v>2</v>
      </c>
      <c r="J53" s="1" t="s">
        <v>3</v>
      </c>
      <c r="K53" s="1" t="s">
        <v>12822</v>
      </c>
      <c r="L53" s="1" t="s">
        <v>7</v>
      </c>
      <c r="M53" s="1"/>
      <c r="N53" s="1" t="s">
        <v>12823</v>
      </c>
      <c r="O53" s="1" t="s">
        <v>12824</v>
      </c>
      <c r="P53" s="1"/>
      <c r="Q53" s="1"/>
      <c r="R53" s="1" t="s">
        <v>11</v>
      </c>
      <c r="S53" s="1"/>
      <c r="T53" s="1"/>
      <c r="U53" s="1"/>
      <c r="V53" s="1"/>
      <c r="W53" s="1"/>
      <c r="X53" s="1" t="s">
        <v>10021</v>
      </c>
      <c r="Y53" s="1"/>
      <c r="Z53" s="1"/>
      <c r="AA53" s="1"/>
      <c r="AB53" s="1" t="s">
        <v>12825</v>
      </c>
      <c r="AC53" s="1"/>
      <c r="AD53" s="1"/>
      <c r="AE53" s="1" t="s">
        <v>12826</v>
      </c>
      <c r="AF53" s="1"/>
      <c r="AG53" s="1"/>
      <c r="AH53" s="1" t="s">
        <v>12827</v>
      </c>
      <c r="AI53" s="1"/>
      <c r="AJ53" s="1" t="s">
        <v>4272</v>
      </c>
      <c r="AK53" s="1" t="s">
        <v>4273</v>
      </c>
      <c r="AL53" s="1" t="s">
        <v>4274</v>
      </c>
      <c r="AM53" s="1" t="s">
        <v>4272</v>
      </c>
      <c r="AN53" s="1" t="s">
        <v>4273</v>
      </c>
      <c r="AO53" s="1" t="s">
        <v>4274</v>
      </c>
      <c r="AP53" s="2" t="s">
        <v>12828</v>
      </c>
      <c r="AQ53" s="2" t="s">
        <v>1077</v>
      </c>
      <c r="AR53" s="1" t="s">
        <v>287</v>
      </c>
      <c r="AS53" s="1"/>
      <c r="AT53" s="1" t="s">
        <v>5</v>
      </c>
    </row>
    <row r="54" spans="1:46" hidden="1" x14ac:dyDescent="0.4">
      <c r="A54" s="1" t="s">
        <v>12836</v>
      </c>
      <c r="B54" s="10"/>
      <c r="C54" s="1" t="s">
        <v>93</v>
      </c>
      <c r="D54" s="1" t="s">
        <v>11999</v>
      </c>
      <c r="E54" s="1" t="s">
        <v>2291</v>
      </c>
      <c r="F54" s="1" t="s">
        <v>14</v>
      </c>
      <c r="G54" s="1" t="s">
        <v>1</v>
      </c>
      <c r="H54" s="1" t="s">
        <v>6</v>
      </c>
      <c r="I54" s="1" t="s">
        <v>2</v>
      </c>
      <c r="J54" s="1" t="s">
        <v>3</v>
      </c>
      <c r="K54" s="1" t="s">
        <v>12837</v>
      </c>
      <c r="L54" s="1" t="s">
        <v>7</v>
      </c>
      <c r="M54" s="1"/>
      <c r="N54" s="1" t="s">
        <v>12838</v>
      </c>
      <c r="O54" s="1" t="s">
        <v>12839</v>
      </c>
      <c r="P54" s="1"/>
      <c r="Q54" s="1"/>
      <c r="R54" s="1" t="s">
        <v>11</v>
      </c>
      <c r="S54" s="1"/>
      <c r="T54" s="1"/>
      <c r="U54" s="1"/>
      <c r="V54" s="1"/>
      <c r="W54" s="1"/>
      <c r="X54" s="1" t="s">
        <v>10021</v>
      </c>
      <c r="Y54" s="1"/>
      <c r="Z54" s="1"/>
      <c r="AA54" s="1"/>
      <c r="AB54" s="1" t="s">
        <v>12840</v>
      </c>
      <c r="AC54" s="1"/>
      <c r="AD54" s="1"/>
      <c r="AE54" s="1" t="s">
        <v>12826</v>
      </c>
      <c r="AF54" s="1"/>
      <c r="AG54" s="1"/>
      <c r="AH54" s="1" t="s">
        <v>12841</v>
      </c>
      <c r="AI54" s="1"/>
      <c r="AJ54" s="1" t="s">
        <v>4272</v>
      </c>
      <c r="AK54" s="1" t="s">
        <v>4273</v>
      </c>
      <c r="AL54" s="1" t="s">
        <v>4274</v>
      </c>
      <c r="AM54" s="1" t="s">
        <v>4272</v>
      </c>
      <c r="AN54" s="1" t="s">
        <v>4273</v>
      </c>
      <c r="AO54" s="1" t="s">
        <v>4274</v>
      </c>
      <c r="AP54" s="2" t="s">
        <v>12842</v>
      </c>
      <c r="AQ54" s="2" t="s">
        <v>1077</v>
      </c>
      <c r="AR54" s="1" t="s">
        <v>287</v>
      </c>
      <c r="AS54" s="1"/>
      <c r="AT54" s="1" t="s">
        <v>5</v>
      </c>
    </row>
    <row r="55" spans="1:46" hidden="1" x14ac:dyDescent="0.4">
      <c r="A55" s="1" t="s">
        <v>14174</v>
      </c>
      <c r="B55" s="10"/>
      <c r="C55" s="1" t="s">
        <v>0</v>
      </c>
      <c r="D55" s="1" t="s">
        <v>11999</v>
      </c>
      <c r="E55" s="1" t="s">
        <v>2291</v>
      </c>
      <c r="F55" s="1" t="s">
        <v>14</v>
      </c>
      <c r="G55" s="1" t="s">
        <v>1</v>
      </c>
      <c r="H55" s="1" t="s">
        <v>6</v>
      </c>
      <c r="I55" s="1" t="s">
        <v>2</v>
      </c>
      <c r="J55" s="1" t="s">
        <v>3</v>
      </c>
      <c r="K55" s="1" t="s">
        <v>14175</v>
      </c>
      <c r="L55" s="1" t="s">
        <v>7</v>
      </c>
      <c r="M55" s="1" t="s">
        <v>9</v>
      </c>
      <c r="N55" s="1" t="s">
        <v>14176</v>
      </c>
      <c r="O55" s="1" t="s">
        <v>12154</v>
      </c>
      <c r="P55" s="1"/>
      <c r="Q55" s="1"/>
      <c r="R55" s="1" t="s">
        <v>11</v>
      </c>
      <c r="S55" s="1"/>
      <c r="T55" s="1"/>
      <c r="U55" s="1"/>
      <c r="V55" s="1"/>
      <c r="W55" s="1"/>
      <c r="X55" s="1" t="s">
        <v>12279</v>
      </c>
      <c r="Y55" s="1"/>
      <c r="Z55" s="1"/>
      <c r="AA55" s="1"/>
      <c r="AB55" s="1" t="s">
        <v>14177</v>
      </c>
      <c r="AC55" s="1"/>
      <c r="AD55" s="1"/>
      <c r="AE55" s="1" t="s">
        <v>14178</v>
      </c>
      <c r="AF55" s="1"/>
      <c r="AG55" s="1"/>
      <c r="AH55" s="1" t="s">
        <v>14179</v>
      </c>
      <c r="AI55" s="1"/>
      <c r="AJ55" s="1" t="s">
        <v>79</v>
      </c>
      <c r="AK55" s="1" t="s">
        <v>503</v>
      </c>
      <c r="AL55" s="1" t="s">
        <v>121</v>
      </c>
      <c r="AM55" s="1" t="s">
        <v>14180</v>
      </c>
      <c r="AN55" s="1" t="s">
        <v>503</v>
      </c>
      <c r="AO55" s="1" t="s">
        <v>14181</v>
      </c>
      <c r="AP55" s="2" t="s">
        <v>14182</v>
      </c>
      <c r="AQ55" s="2" t="s">
        <v>1155</v>
      </c>
      <c r="AR55" s="1" t="s">
        <v>286</v>
      </c>
      <c r="AS55" s="1" t="s">
        <v>1068</v>
      </c>
      <c r="AT55" s="1" t="s">
        <v>5</v>
      </c>
    </row>
    <row r="56" spans="1:46" hidden="1" x14ac:dyDescent="0.4">
      <c r="A56" s="1" t="s">
        <v>14183</v>
      </c>
      <c r="B56" s="10"/>
      <c r="C56" s="1" t="s">
        <v>0</v>
      </c>
      <c r="D56" s="1" t="s">
        <v>11999</v>
      </c>
      <c r="E56" s="1" t="s">
        <v>2291</v>
      </c>
      <c r="F56" s="1" t="s">
        <v>14</v>
      </c>
      <c r="G56" s="1" t="s">
        <v>1</v>
      </c>
      <c r="H56" s="1" t="s">
        <v>6</v>
      </c>
      <c r="I56" s="1" t="s">
        <v>2</v>
      </c>
      <c r="J56" s="1" t="s">
        <v>3</v>
      </c>
      <c r="K56" s="1" t="s">
        <v>14184</v>
      </c>
      <c r="L56" s="1" t="s">
        <v>7</v>
      </c>
      <c r="M56" s="1" t="s">
        <v>9</v>
      </c>
      <c r="N56" s="1" t="s">
        <v>14185</v>
      </c>
      <c r="O56" s="1" t="s">
        <v>12154</v>
      </c>
      <c r="P56" s="1"/>
      <c r="Q56" s="1"/>
      <c r="R56" s="1" t="s">
        <v>11</v>
      </c>
      <c r="S56" s="1"/>
      <c r="T56" s="1"/>
      <c r="U56" s="1"/>
      <c r="V56" s="1"/>
      <c r="W56" s="1"/>
      <c r="X56" s="1" t="s">
        <v>12279</v>
      </c>
      <c r="Y56" s="1"/>
      <c r="Z56" s="1"/>
      <c r="AA56" s="1"/>
      <c r="AB56" s="1" t="s">
        <v>14186</v>
      </c>
      <c r="AC56" s="1"/>
      <c r="AD56" s="1"/>
      <c r="AE56" s="1" t="s">
        <v>14178</v>
      </c>
      <c r="AF56" s="1"/>
      <c r="AG56" s="1"/>
      <c r="AH56" s="1" t="s">
        <v>14187</v>
      </c>
      <c r="AI56" s="1"/>
      <c r="AJ56" s="1" t="s">
        <v>79</v>
      </c>
      <c r="AK56" s="1" t="s">
        <v>503</v>
      </c>
      <c r="AL56" s="1" t="s">
        <v>121</v>
      </c>
      <c r="AM56" s="1" t="s">
        <v>14180</v>
      </c>
      <c r="AN56" s="1" t="s">
        <v>503</v>
      </c>
      <c r="AO56" s="1" t="s">
        <v>14181</v>
      </c>
      <c r="AP56" s="2" t="s">
        <v>14188</v>
      </c>
      <c r="AQ56" s="2" t="s">
        <v>1155</v>
      </c>
      <c r="AR56" s="1" t="s">
        <v>286</v>
      </c>
      <c r="AS56" s="1" t="s">
        <v>1068</v>
      </c>
      <c r="AT56" s="1" t="s">
        <v>5</v>
      </c>
    </row>
    <row r="57" spans="1:46" hidden="1" x14ac:dyDescent="0.4">
      <c r="A57" s="1" t="s">
        <v>13570</v>
      </c>
      <c r="B57" s="10"/>
      <c r="C57" s="1" t="s">
        <v>93</v>
      </c>
      <c r="D57" s="1" t="s">
        <v>11999</v>
      </c>
      <c r="E57" s="1" t="s">
        <v>2291</v>
      </c>
      <c r="F57" s="1" t="s">
        <v>14</v>
      </c>
      <c r="G57" s="1" t="s">
        <v>1</v>
      </c>
      <c r="H57" s="1" t="s">
        <v>6</v>
      </c>
      <c r="I57" s="1" t="s">
        <v>2</v>
      </c>
      <c r="J57" s="1" t="s">
        <v>3</v>
      </c>
      <c r="K57" s="1" t="s">
        <v>13571</v>
      </c>
      <c r="L57" s="1" t="s">
        <v>7</v>
      </c>
      <c r="M57" s="1"/>
      <c r="N57" s="1" t="s">
        <v>13572</v>
      </c>
      <c r="O57" s="1" t="s">
        <v>12077</v>
      </c>
      <c r="P57" s="1"/>
      <c r="Q57" s="1"/>
      <c r="R57" s="1" t="s">
        <v>11</v>
      </c>
      <c r="S57" s="1"/>
      <c r="T57" s="1"/>
      <c r="U57" s="1"/>
      <c r="V57" s="1"/>
      <c r="W57" s="1" t="s">
        <v>13573</v>
      </c>
      <c r="X57" s="1" t="s">
        <v>12038</v>
      </c>
      <c r="Y57" s="1"/>
      <c r="Z57" s="1"/>
      <c r="AA57" s="1"/>
      <c r="AB57" s="1" t="s">
        <v>13574</v>
      </c>
      <c r="AC57" s="1"/>
      <c r="AD57" s="1"/>
      <c r="AE57" s="1" t="s">
        <v>13575</v>
      </c>
      <c r="AF57" s="1"/>
      <c r="AG57" s="1"/>
      <c r="AH57" s="1" t="s">
        <v>13576</v>
      </c>
      <c r="AI57" s="1"/>
      <c r="AJ57" s="1" t="s">
        <v>8008</v>
      </c>
      <c r="AK57" s="1" t="s">
        <v>1787</v>
      </c>
      <c r="AL57" s="1" t="s">
        <v>8009</v>
      </c>
      <c r="AM57" s="1" t="s">
        <v>8008</v>
      </c>
      <c r="AN57" s="1" t="s">
        <v>1787</v>
      </c>
      <c r="AO57" s="1" t="s">
        <v>8009</v>
      </c>
      <c r="AP57" s="2" t="s">
        <v>13577</v>
      </c>
      <c r="AQ57" s="2" t="s">
        <v>1154</v>
      </c>
      <c r="AR57" s="1" t="s">
        <v>286</v>
      </c>
      <c r="AS57" s="1"/>
      <c r="AT57" s="1" t="s">
        <v>5</v>
      </c>
    </row>
    <row r="58" spans="1:46" hidden="1" x14ac:dyDescent="0.4">
      <c r="A58" s="1" t="s">
        <v>13651</v>
      </c>
      <c r="B58" s="10"/>
      <c r="C58" s="1" t="s">
        <v>93</v>
      </c>
      <c r="D58" s="1" t="s">
        <v>11999</v>
      </c>
      <c r="E58" s="1" t="s">
        <v>2291</v>
      </c>
      <c r="F58" s="1" t="s">
        <v>14</v>
      </c>
      <c r="G58" s="1" t="s">
        <v>1</v>
      </c>
      <c r="H58" s="1" t="s">
        <v>6</v>
      </c>
      <c r="I58" s="1" t="s">
        <v>2</v>
      </c>
      <c r="J58" s="1" t="s">
        <v>3</v>
      </c>
      <c r="K58" s="1" t="s">
        <v>13652</v>
      </c>
      <c r="L58" s="1" t="s">
        <v>7</v>
      </c>
      <c r="M58" s="1"/>
      <c r="N58" s="1" t="s">
        <v>13653</v>
      </c>
      <c r="O58" s="1" t="s">
        <v>12103</v>
      </c>
      <c r="P58" s="1"/>
      <c r="Q58" s="1"/>
      <c r="R58" s="1" t="s">
        <v>11</v>
      </c>
      <c r="S58" s="1"/>
      <c r="T58" s="1"/>
      <c r="U58" s="1"/>
      <c r="V58" s="1"/>
      <c r="W58" s="1"/>
      <c r="X58" s="1" t="s">
        <v>12038</v>
      </c>
      <c r="Y58" s="1"/>
      <c r="Z58" s="1"/>
      <c r="AA58" s="1"/>
      <c r="AB58" s="1" t="s">
        <v>13654</v>
      </c>
      <c r="AC58" s="1"/>
      <c r="AD58" s="1"/>
      <c r="AE58" s="1" t="s">
        <v>13655</v>
      </c>
      <c r="AF58" s="1"/>
      <c r="AG58" s="1"/>
      <c r="AH58" s="1" t="s">
        <v>13656</v>
      </c>
      <c r="AI58" s="1"/>
      <c r="AJ58" s="1" t="s">
        <v>13657</v>
      </c>
      <c r="AK58" s="1" t="s">
        <v>8396</v>
      </c>
      <c r="AL58" s="1" t="s">
        <v>13658</v>
      </c>
      <c r="AM58" s="1" t="s">
        <v>13657</v>
      </c>
      <c r="AN58" s="1" t="s">
        <v>8396</v>
      </c>
      <c r="AO58" s="1" t="s">
        <v>13658</v>
      </c>
      <c r="AP58" s="2" t="s">
        <v>13659</v>
      </c>
      <c r="AQ58" s="2" t="s">
        <v>1154</v>
      </c>
      <c r="AR58" s="1" t="s">
        <v>286</v>
      </c>
      <c r="AS58" s="1" t="s">
        <v>13660</v>
      </c>
      <c r="AT58" s="1" t="s">
        <v>5</v>
      </c>
    </row>
    <row r="59" spans="1:46" hidden="1" x14ac:dyDescent="0.4">
      <c r="A59" s="1" t="s">
        <v>13737</v>
      </c>
      <c r="B59" s="10"/>
      <c r="C59" s="1" t="s">
        <v>0</v>
      </c>
      <c r="D59" s="1" t="s">
        <v>11999</v>
      </c>
      <c r="E59" s="1" t="s">
        <v>2291</v>
      </c>
      <c r="F59" s="1" t="s">
        <v>14</v>
      </c>
      <c r="G59" s="1" t="s">
        <v>1</v>
      </c>
      <c r="H59" s="1" t="s">
        <v>6</v>
      </c>
      <c r="I59" s="1" t="s">
        <v>2</v>
      </c>
      <c r="J59" s="1" t="s">
        <v>3</v>
      </c>
      <c r="K59" s="1" t="s">
        <v>13738</v>
      </c>
      <c r="L59" s="1" t="s">
        <v>4</v>
      </c>
      <c r="M59" s="1" t="s">
        <v>9</v>
      </c>
      <c r="N59" s="1" t="s">
        <v>13739</v>
      </c>
      <c r="O59" s="1" t="s">
        <v>12103</v>
      </c>
      <c r="P59" s="1"/>
      <c r="Q59" s="1"/>
      <c r="R59" s="1" t="s">
        <v>11</v>
      </c>
      <c r="S59" s="1"/>
      <c r="T59" s="1"/>
      <c r="U59" s="1"/>
      <c r="V59" s="1"/>
      <c r="W59" s="1" t="s">
        <v>13740</v>
      </c>
      <c r="X59" s="1" t="s">
        <v>12038</v>
      </c>
      <c r="Y59" s="1"/>
      <c r="Z59" s="1"/>
      <c r="AA59" s="1"/>
      <c r="AB59" s="1" t="s">
        <v>13741</v>
      </c>
      <c r="AC59" s="1"/>
      <c r="AD59" s="1"/>
      <c r="AE59" s="1" t="s">
        <v>13742</v>
      </c>
      <c r="AF59" s="1"/>
      <c r="AG59" s="1"/>
      <c r="AH59" s="1" t="s">
        <v>13743</v>
      </c>
      <c r="AI59" s="1"/>
      <c r="AJ59" s="1" t="s">
        <v>2085</v>
      </c>
      <c r="AK59" s="1" t="s">
        <v>5322</v>
      </c>
      <c r="AL59" s="1"/>
      <c r="AM59" s="1" t="s">
        <v>13414</v>
      </c>
      <c r="AN59" s="1" t="s">
        <v>5322</v>
      </c>
      <c r="AO59" s="1" t="s">
        <v>13415</v>
      </c>
      <c r="AP59" s="2" t="s">
        <v>13744</v>
      </c>
      <c r="AQ59" s="2" t="s">
        <v>1155</v>
      </c>
      <c r="AR59" s="1" t="s">
        <v>286</v>
      </c>
      <c r="AS59" s="1" t="s">
        <v>13745</v>
      </c>
      <c r="AT59" s="1" t="s">
        <v>5</v>
      </c>
    </row>
    <row r="60" spans="1:46" hidden="1" x14ac:dyDescent="0.4">
      <c r="A60" s="1" t="s">
        <v>13578</v>
      </c>
      <c r="B60" s="10"/>
      <c r="C60" s="1" t="s">
        <v>93</v>
      </c>
      <c r="D60" s="1" t="s">
        <v>11999</v>
      </c>
      <c r="E60" s="1" t="s">
        <v>2291</v>
      </c>
      <c r="F60" s="1" t="s">
        <v>14</v>
      </c>
      <c r="G60" s="1" t="s">
        <v>1</v>
      </c>
      <c r="H60" s="1" t="s">
        <v>6</v>
      </c>
      <c r="I60" s="1" t="s">
        <v>2</v>
      </c>
      <c r="J60" s="1" t="s">
        <v>3</v>
      </c>
      <c r="K60" s="1" t="s">
        <v>13579</v>
      </c>
      <c r="L60" s="1" t="s">
        <v>7</v>
      </c>
      <c r="M60" s="1" t="s">
        <v>9</v>
      </c>
      <c r="N60" s="1" t="s">
        <v>13580</v>
      </c>
      <c r="O60" s="1" t="s">
        <v>12103</v>
      </c>
      <c r="P60" s="1"/>
      <c r="Q60" s="1"/>
      <c r="R60" s="1" t="s">
        <v>11</v>
      </c>
      <c r="S60" s="1"/>
      <c r="T60" s="1"/>
      <c r="U60" s="1"/>
      <c r="V60" s="1"/>
      <c r="W60" s="1" t="s">
        <v>13581</v>
      </c>
      <c r="X60" s="1" t="s">
        <v>12038</v>
      </c>
      <c r="Y60" s="1"/>
      <c r="Z60" s="1"/>
      <c r="AA60" s="1"/>
      <c r="AB60" s="1" t="s">
        <v>13582</v>
      </c>
      <c r="AC60" s="1"/>
      <c r="AD60" s="1"/>
      <c r="AE60" s="1" t="s">
        <v>13583</v>
      </c>
      <c r="AF60" s="1"/>
      <c r="AG60" s="1"/>
      <c r="AH60" s="1" t="s">
        <v>13584</v>
      </c>
      <c r="AI60" s="1"/>
      <c r="AJ60" s="1" t="s">
        <v>8008</v>
      </c>
      <c r="AK60" s="1" t="s">
        <v>1787</v>
      </c>
      <c r="AL60" s="1" t="s">
        <v>8009</v>
      </c>
      <c r="AM60" s="1" t="s">
        <v>8008</v>
      </c>
      <c r="AN60" s="1" t="s">
        <v>1787</v>
      </c>
      <c r="AO60" s="1" t="s">
        <v>8009</v>
      </c>
      <c r="AP60" s="2" t="s">
        <v>13585</v>
      </c>
      <c r="AQ60" s="2" t="s">
        <v>1154</v>
      </c>
      <c r="AR60" s="1" t="s">
        <v>286</v>
      </c>
      <c r="AS60" s="1"/>
      <c r="AT60" s="1" t="s">
        <v>5</v>
      </c>
    </row>
    <row r="61" spans="1:46" hidden="1" x14ac:dyDescent="0.4">
      <c r="A61" s="1" t="s">
        <v>12122</v>
      </c>
      <c r="B61" s="10"/>
      <c r="C61" s="1" t="s">
        <v>0</v>
      </c>
      <c r="D61" s="1" t="s">
        <v>11999</v>
      </c>
      <c r="E61" s="1" t="s">
        <v>2291</v>
      </c>
      <c r="F61" s="1" t="s">
        <v>14</v>
      </c>
      <c r="G61" s="1" t="s">
        <v>1</v>
      </c>
      <c r="H61" s="1" t="s">
        <v>6</v>
      </c>
      <c r="I61" s="1" t="s">
        <v>2</v>
      </c>
      <c r="J61" s="1" t="s">
        <v>3</v>
      </c>
      <c r="K61" s="1" t="s">
        <v>12123</v>
      </c>
      <c r="L61" s="1" t="s">
        <v>7</v>
      </c>
      <c r="M61" s="1" t="s">
        <v>9</v>
      </c>
      <c r="N61" s="1" t="s">
        <v>12124</v>
      </c>
      <c r="O61" s="1" t="s">
        <v>12060</v>
      </c>
      <c r="P61" s="1"/>
      <c r="Q61" s="1"/>
      <c r="R61" s="1" t="s">
        <v>11</v>
      </c>
      <c r="S61" s="1"/>
      <c r="T61" s="1"/>
      <c r="U61" s="1"/>
      <c r="V61" s="1"/>
      <c r="W61" s="1"/>
      <c r="X61" s="1" t="s">
        <v>12038</v>
      </c>
      <c r="Y61" s="1"/>
      <c r="Z61" s="1"/>
      <c r="AA61" s="1"/>
      <c r="AB61" s="1" t="s">
        <v>12125</v>
      </c>
      <c r="AC61" s="1"/>
      <c r="AD61" s="1"/>
      <c r="AE61" s="1" t="s">
        <v>12126</v>
      </c>
      <c r="AF61" s="1"/>
      <c r="AG61" s="1"/>
      <c r="AH61" s="1" t="s">
        <v>12127</v>
      </c>
      <c r="AI61" s="1"/>
      <c r="AJ61" s="1" t="s">
        <v>12128</v>
      </c>
      <c r="AK61" s="1" t="s">
        <v>2721</v>
      </c>
      <c r="AL61" s="1" t="s">
        <v>12129</v>
      </c>
      <c r="AM61" s="1" t="s">
        <v>12128</v>
      </c>
      <c r="AN61" s="1" t="s">
        <v>2721</v>
      </c>
      <c r="AO61" s="1" t="s">
        <v>12129</v>
      </c>
      <c r="AP61" s="2" t="s">
        <v>12130</v>
      </c>
      <c r="AQ61" s="2" t="s">
        <v>1154</v>
      </c>
      <c r="AR61" s="1"/>
      <c r="AS61" s="1"/>
      <c r="AT61" s="1" t="s">
        <v>5</v>
      </c>
    </row>
    <row r="62" spans="1:46" hidden="1" x14ac:dyDescent="0.4">
      <c r="A62" s="1" t="s">
        <v>13616</v>
      </c>
      <c r="B62" s="10"/>
      <c r="C62" s="1" t="s">
        <v>93</v>
      </c>
      <c r="D62" s="1" t="s">
        <v>11999</v>
      </c>
      <c r="E62" s="1" t="s">
        <v>2291</v>
      </c>
      <c r="F62" s="1" t="s">
        <v>14</v>
      </c>
      <c r="G62" s="1" t="s">
        <v>1</v>
      </c>
      <c r="H62" s="1" t="s">
        <v>6</v>
      </c>
      <c r="I62" s="1" t="s">
        <v>2</v>
      </c>
      <c r="J62" s="1" t="s">
        <v>3</v>
      </c>
      <c r="K62" s="1" t="s">
        <v>13617</v>
      </c>
      <c r="L62" s="1" t="s">
        <v>7</v>
      </c>
      <c r="M62" s="1" t="s">
        <v>9</v>
      </c>
      <c r="N62" s="1" t="s">
        <v>13618</v>
      </c>
      <c r="O62" s="1" t="s">
        <v>12060</v>
      </c>
      <c r="P62" s="1"/>
      <c r="Q62" s="1"/>
      <c r="R62" s="1" t="s">
        <v>11</v>
      </c>
      <c r="S62" s="1"/>
      <c r="T62" s="1"/>
      <c r="U62" s="1"/>
      <c r="V62" s="1"/>
      <c r="W62" s="1"/>
      <c r="X62" s="1" t="s">
        <v>10021</v>
      </c>
      <c r="Y62" s="1"/>
      <c r="Z62" s="1"/>
      <c r="AA62" s="1"/>
      <c r="AB62" s="1" t="s">
        <v>13619</v>
      </c>
      <c r="AC62" s="1"/>
      <c r="AD62" s="1"/>
      <c r="AE62" s="1" t="s">
        <v>13620</v>
      </c>
      <c r="AF62" s="1"/>
      <c r="AG62" s="1"/>
      <c r="AH62" s="1" t="s">
        <v>13621</v>
      </c>
      <c r="AI62" s="1"/>
      <c r="AJ62" s="1" t="s">
        <v>8659</v>
      </c>
      <c r="AK62" s="1" t="s">
        <v>8396</v>
      </c>
      <c r="AL62" s="1" t="s">
        <v>8660</v>
      </c>
      <c r="AM62" s="1" t="s">
        <v>8659</v>
      </c>
      <c r="AN62" s="1" t="s">
        <v>8396</v>
      </c>
      <c r="AO62" s="1" t="s">
        <v>8660</v>
      </c>
      <c r="AP62" s="2" t="s">
        <v>13622</v>
      </c>
      <c r="AQ62" s="2" t="s">
        <v>1154</v>
      </c>
      <c r="AR62" s="1" t="s">
        <v>286</v>
      </c>
      <c r="AS62" s="1" t="s">
        <v>13623</v>
      </c>
      <c r="AT62" s="1" t="s">
        <v>5</v>
      </c>
    </row>
    <row r="63" spans="1:46" hidden="1" x14ac:dyDescent="0.4">
      <c r="A63" s="1" t="s">
        <v>13366</v>
      </c>
      <c r="B63" s="10"/>
      <c r="C63" s="1" t="s">
        <v>12549</v>
      </c>
      <c r="D63" s="1" t="s">
        <v>11999</v>
      </c>
      <c r="E63" s="1" t="s">
        <v>2291</v>
      </c>
      <c r="F63" s="1" t="s">
        <v>14</v>
      </c>
      <c r="G63" s="1" t="s">
        <v>1</v>
      </c>
      <c r="H63" s="1" t="s">
        <v>6</v>
      </c>
      <c r="I63" s="1" t="s">
        <v>2</v>
      </c>
      <c r="J63" s="1" t="s">
        <v>2451</v>
      </c>
      <c r="K63" s="1" t="s">
        <v>13367</v>
      </c>
      <c r="L63" s="1" t="s">
        <v>7</v>
      </c>
      <c r="M63" s="1"/>
      <c r="N63" s="1" t="s">
        <v>13368</v>
      </c>
      <c r="O63" s="1" t="s">
        <v>13369</v>
      </c>
      <c r="P63" s="1"/>
      <c r="Q63" s="1"/>
      <c r="R63" s="1" t="s">
        <v>11</v>
      </c>
      <c r="S63" s="1"/>
      <c r="T63" s="1"/>
      <c r="U63" s="1"/>
      <c r="V63" s="1"/>
      <c r="W63" s="1"/>
      <c r="X63" s="1" t="s">
        <v>12026</v>
      </c>
      <c r="Y63" s="1"/>
      <c r="Z63" s="1"/>
      <c r="AA63" s="1"/>
      <c r="AB63" s="1" t="s">
        <v>13370</v>
      </c>
      <c r="AC63" s="1"/>
      <c r="AD63" s="1"/>
      <c r="AE63" s="1" t="s">
        <v>13371</v>
      </c>
      <c r="AF63" s="1"/>
      <c r="AG63" s="1"/>
      <c r="AH63" s="1" t="s">
        <v>13372</v>
      </c>
      <c r="AI63" s="1"/>
      <c r="AJ63" s="1" t="s">
        <v>13373</v>
      </c>
      <c r="AK63" s="1" t="s">
        <v>13374</v>
      </c>
      <c r="AL63" s="1" t="s">
        <v>13375</v>
      </c>
      <c r="AM63" s="1" t="s">
        <v>13373</v>
      </c>
      <c r="AN63" s="1" t="s">
        <v>13374</v>
      </c>
      <c r="AO63" s="1" t="s">
        <v>13375</v>
      </c>
      <c r="AP63" s="2" t="s">
        <v>13376</v>
      </c>
      <c r="AQ63" s="2" t="s">
        <v>1154</v>
      </c>
      <c r="AR63" s="1" t="s">
        <v>286</v>
      </c>
      <c r="AS63" s="1"/>
      <c r="AT63" s="1" t="s">
        <v>5</v>
      </c>
    </row>
    <row r="64" spans="1:46" hidden="1" x14ac:dyDescent="0.4">
      <c r="A64" s="1" t="s">
        <v>13593</v>
      </c>
      <c r="B64" s="10"/>
      <c r="C64" s="1" t="s">
        <v>93</v>
      </c>
      <c r="D64" s="1" t="s">
        <v>11999</v>
      </c>
      <c r="E64" s="1" t="s">
        <v>2291</v>
      </c>
      <c r="F64" s="1" t="s">
        <v>14</v>
      </c>
      <c r="G64" s="1" t="s">
        <v>1</v>
      </c>
      <c r="H64" s="1" t="s">
        <v>6</v>
      </c>
      <c r="I64" s="1" t="s">
        <v>2</v>
      </c>
      <c r="J64" s="1" t="s">
        <v>3</v>
      </c>
      <c r="K64" s="1" t="s">
        <v>13594</v>
      </c>
      <c r="L64" s="1" t="s">
        <v>7</v>
      </c>
      <c r="M64" s="1"/>
      <c r="N64" s="1" t="s">
        <v>13595</v>
      </c>
      <c r="O64" s="1" t="s">
        <v>12739</v>
      </c>
      <c r="P64" s="1"/>
      <c r="Q64" s="1"/>
      <c r="R64" s="1" t="s">
        <v>11</v>
      </c>
      <c r="S64" s="1"/>
      <c r="T64" s="1"/>
      <c r="U64" s="1"/>
      <c r="V64" s="1"/>
      <c r="W64" s="1" t="s">
        <v>13596</v>
      </c>
      <c r="X64" s="1" t="s">
        <v>12038</v>
      </c>
      <c r="Y64" s="1"/>
      <c r="Z64" s="1"/>
      <c r="AA64" s="1"/>
      <c r="AB64" s="1" t="s">
        <v>13597</v>
      </c>
      <c r="AC64" s="1"/>
      <c r="AD64" s="1"/>
      <c r="AE64" s="1" t="s">
        <v>13598</v>
      </c>
      <c r="AF64" s="1"/>
      <c r="AG64" s="1"/>
      <c r="AH64" s="1" t="s">
        <v>13599</v>
      </c>
      <c r="AI64" s="1"/>
      <c r="AJ64" s="1" t="s">
        <v>8659</v>
      </c>
      <c r="AK64" s="1" t="s">
        <v>8396</v>
      </c>
      <c r="AL64" s="1" t="s">
        <v>8660</v>
      </c>
      <c r="AM64" s="1" t="s">
        <v>8659</v>
      </c>
      <c r="AN64" s="1" t="s">
        <v>8396</v>
      </c>
      <c r="AO64" s="1" t="s">
        <v>8660</v>
      </c>
      <c r="AP64" s="2" t="s">
        <v>13600</v>
      </c>
      <c r="AQ64" s="2" t="s">
        <v>1154</v>
      </c>
      <c r="AR64" s="1" t="s">
        <v>286</v>
      </c>
      <c r="AS64" s="1" t="s">
        <v>13601</v>
      </c>
      <c r="AT64" s="1" t="s">
        <v>5</v>
      </c>
    </row>
    <row r="65" spans="1:46" hidden="1" x14ac:dyDescent="0.4">
      <c r="A65" s="1" t="s">
        <v>13177</v>
      </c>
      <c r="B65" s="10"/>
      <c r="C65" s="1" t="s">
        <v>0</v>
      </c>
      <c r="D65" s="1" t="s">
        <v>11999</v>
      </c>
      <c r="E65" s="1" t="s">
        <v>2291</v>
      </c>
      <c r="F65" s="1" t="s">
        <v>14</v>
      </c>
      <c r="G65" s="1" t="s">
        <v>1</v>
      </c>
      <c r="H65" s="1" t="s">
        <v>6</v>
      </c>
      <c r="I65" s="1" t="s">
        <v>2</v>
      </c>
      <c r="J65" s="1" t="s">
        <v>3</v>
      </c>
      <c r="K65" s="1" t="s">
        <v>13178</v>
      </c>
      <c r="L65" s="1" t="s">
        <v>7</v>
      </c>
      <c r="M65" s="1" t="s">
        <v>9</v>
      </c>
      <c r="N65" s="1" t="s">
        <v>13179</v>
      </c>
      <c r="O65" s="1" t="s">
        <v>12405</v>
      </c>
      <c r="P65" s="1"/>
      <c r="Q65" s="1"/>
      <c r="R65" s="1" t="s">
        <v>11</v>
      </c>
      <c r="S65" s="1"/>
      <c r="T65" s="1"/>
      <c r="U65" s="1"/>
      <c r="V65" s="1"/>
      <c r="W65" s="1" t="s">
        <v>13180</v>
      </c>
      <c r="X65" s="1" t="s">
        <v>12038</v>
      </c>
      <c r="Y65" s="1"/>
      <c r="Z65" s="1"/>
      <c r="AA65" s="1"/>
      <c r="AB65" s="1" t="s">
        <v>13181</v>
      </c>
      <c r="AC65" s="1"/>
      <c r="AD65" s="1"/>
      <c r="AE65" s="1" t="s">
        <v>13182</v>
      </c>
      <c r="AF65" s="1"/>
      <c r="AG65" s="1"/>
      <c r="AH65" s="1" t="s">
        <v>13183</v>
      </c>
      <c r="AI65" s="1"/>
      <c r="AJ65" s="1" t="s">
        <v>13184</v>
      </c>
      <c r="AK65" s="1" t="s">
        <v>281</v>
      </c>
      <c r="AL65" s="1" t="s">
        <v>13185</v>
      </c>
      <c r="AM65" s="1" t="s">
        <v>13184</v>
      </c>
      <c r="AN65" s="1" t="s">
        <v>281</v>
      </c>
      <c r="AO65" s="1" t="s">
        <v>13185</v>
      </c>
      <c r="AP65" s="2" t="s">
        <v>13186</v>
      </c>
      <c r="AQ65" s="2" t="s">
        <v>1077</v>
      </c>
      <c r="AR65" s="1" t="s">
        <v>286</v>
      </c>
      <c r="AS65" s="1" t="s">
        <v>735</v>
      </c>
      <c r="AT65" s="1" t="s">
        <v>5</v>
      </c>
    </row>
    <row r="66" spans="1:46" hidden="1" x14ac:dyDescent="0.4">
      <c r="A66" s="1" t="s">
        <v>12950</v>
      </c>
      <c r="B66" s="10"/>
      <c r="C66" s="1" t="s">
        <v>0</v>
      </c>
      <c r="D66" s="1" t="s">
        <v>11999</v>
      </c>
      <c r="E66" s="1" t="s">
        <v>2291</v>
      </c>
      <c r="F66" s="1" t="s">
        <v>14</v>
      </c>
      <c r="G66" s="1" t="s">
        <v>1</v>
      </c>
      <c r="H66" s="1" t="s">
        <v>6</v>
      </c>
      <c r="I66" s="1" t="s">
        <v>2</v>
      </c>
      <c r="J66" s="1" t="s">
        <v>3</v>
      </c>
      <c r="K66" s="1" t="s">
        <v>12951</v>
      </c>
      <c r="L66" s="1" t="s">
        <v>4</v>
      </c>
      <c r="M66" s="1" t="s">
        <v>9</v>
      </c>
      <c r="N66" s="1" t="s">
        <v>12952</v>
      </c>
      <c r="O66" s="1" t="s">
        <v>12405</v>
      </c>
      <c r="P66" s="1"/>
      <c r="Q66" s="1"/>
      <c r="R66" s="1" t="s">
        <v>11</v>
      </c>
      <c r="S66" s="1"/>
      <c r="T66" s="1"/>
      <c r="U66" s="1"/>
      <c r="V66" s="1"/>
      <c r="W66" s="1"/>
      <c r="X66" s="1" t="s">
        <v>12038</v>
      </c>
      <c r="Y66" s="1"/>
      <c r="Z66" s="1"/>
      <c r="AA66" s="1"/>
      <c r="AB66" s="1" t="s">
        <v>12953</v>
      </c>
      <c r="AC66" s="1"/>
      <c r="AD66" s="1"/>
      <c r="AE66" s="1" t="s">
        <v>12741</v>
      </c>
      <c r="AF66" s="1"/>
      <c r="AG66" s="1"/>
      <c r="AH66" s="1" t="s">
        <v>12954</v>
      </c>
      <c r="AI66" s="1"/>
      <c r="AJ66" s="1" t="s">
        <v>12487</v>
      </c>
      <c r="AK66" s="1" t="s">
        <v>285</v>
      </c>
      <c r="AL66" s="1"/>
      <c r="AM66" s="1" t="s">
        <v>11027</v>
      </c>
      <c r="AN66" s="1" t="s">
        <v>3907</v>
      </c>
      <c r="AO66" s="1" t="s">
        <v>11028</v>
      </c>
      <c r="AP66" s="2" t="s">
        <v>12955</v>
      </c>
      <c r="AQ66" s="2" t="s">
        <v>1077</v>
      </c>
      <c r="AR66" s="1" t="s">
        <v>287</v>
      </c>
      <c r="AS66" s="1"/>
      <c r="AT66" s="1" t="s">
        <v>5</v>
      </c>
    </row>
    <row r="67" spans="1:46" hidden="1" x14ac:dyDescent="0.4">
      <c r="A67" s="1" t="s">
        <v>13121</v>
      </c>
      <c r="B67" s="10"/>
      <c r="C67" s="1" t="s">
        <v>0</v>
      </c>
      <c r="D67" s="1" t="s">
        <v>11999</v>
      </c>
      <c r="E67" s="1" t="s">
        <v>2291</v>
      </c>
      <c r="F67" s="1" t="s">
        <v>14</v>
      </c>
      <c r="G67" s="1" t="s">
        <v>1</v>
      </c>
      <c r="H67" s="1" t="s">
        <v>6</v>
      </c>
      <c r="I67" s="1" t="s">
        <v>2</v>
      </c>
      <c r="J67" s="1" t="s">
        <v>3</v>
      </c>
      <c r="K67" s="1" t="s">
        <v>13122</v>
      </c>
      <c r="L67" s="1" t="s">
        <v>4</v>
      </c>
      <c r="M67" s="1" t="s">
        <v>8</v>
      </c>
      <c r="N67" s="1" t="s">
        <v>13123</v>
      </c>
      <c r="O67" s="1" t="s">
        <v>12501</v>
      </c>
      <c r="P67" s="1"/>
      <c r="Q67" s="1"/>
      <c r="R67" s="1" t="s">
        <v>11</v>
      </c>
      <c r="S67" s="1"/>
      <c r="T67" s="1"/>
      <c r="U67" s="1"/>
      <c r="V67" s="1"/>
      <c r="W67" s="1" t="s">
        <v>13124</v>
      </c>
      <c r="X67" s="1" t="s">
        <v>12038</v>
      </c>
      <c r="Y67" s="1"/>
      <c r="Z67" s="1"/>
      <c r="AA67" s="1"/>
      <c r="AB67" s="1" t="s">
        <v>13125</v>
      </c>
      <c r="AC67" s="1"/>
      <c r="AD67" s="1"/>
      <c r="AE67" s="1" t="s">
        <v>12944</v>
      </c>
      <c r="AF67" s="1"/>
      <c r="AG67" s="1"/>
      <c r="AH67" s="1" t="s">
        <v>13126</v>
      </c>
      <c r="AI67" s="1"/>
      <c r="AJ67" s="1" t="s">
        <v>12946</v>
      </c>
      <c r="AK67" s="1" t="s">
        <v>285</v>
      </c>
      <c r="AL67" s="1" t="s">
        <v>12947</v>
      </c>
      <c r="AM67" s="1" t="s">
        <v>11526</v>
      </c>
      <c r="AN67" s="1" t="s">
        <v>279</v>
      </c>
      <c r="AO67" s="1" t="s">
        <v>12948</v>
      </c>
      <c r="AP67" s="2" t="s">
        <v>13127</v>
      </c>
      <c r="AQ67" s="2" t="s">
        <v>1077</v>
      </c>
      <c r="AR67" s="1" t="s">
        <v>287</v>
      </c>
      <c r="AS67" s="1"/>
      <c r="AT67" s="1" t="s">
        <v>5</v>
      </c>
    </row>
    <row r="68" spans="1:46" hidden="1" x14ac:dyDescent="0.4">
      <c r="A68" s="1" t="s">
        <v>13602</v>
      </c>
      <c r="B68" s="10"/>
      <c r="C68" s="1" t="s">
        <v>13603</v>
      </c>
      <c r="D68" s="1" t="s">
        <v>11999</v>
      </c>
      <c r="E68" s="1" t="s">
        <v>2291</v>
      </c>
      <c r="F68" s="1" t="s">
        <v>14</v>
      </c>
      <c r="G68" s="1" t="s">
        <v>1</v>
      </c>
      <c r="H68" s="1" t="s">
        <v>6</v>
      </c>
      <c r="I68" s="1" t="s">
        <v>2</v>
      </c>
      <c r="J68" s="1" t="s">
        <v>3</v>
      </c>
      <c r="K68" s="1" t="s">
        <v>13604</v>
      </c>
      <c r="L68" s="1" t="s">
        <v>4</v>
      </c>
      <c r="M68" s="1" t="s">
        <v>9</v>
      </c>
      <c r="N68" s="1" t="s">
        <v>13605</v>
      </c>
      <c r="O68" s="1" t="s">
        <v>12501</v>
      </c>
      <c r="P68" s="1"/>
      <c r="Q68" s="1"/>
      <c r="R68" s="1" t="s">
        <v>11</v>
      </c>
      <c r="S68" s="1"/>
      <c r="T68" s="1"/>
      <c r="U68" s="1"/>
      <c r="V68" s="1"/>
      <c r="W68" s="1" t="s">
        <v>13606</v>
      </c>
      <c r="X68" s="1" t="s">
        <v>12038</v>
      </c>
      <c r="Y68" s="1"/>
      <c r="Z68" s="1"/>
      <c r="AA68" s="1"/>
      <c r="AB68" s="1" t="s">
        <v>13607</v>
      </c>
      <c r="AC68" s="1"/>
      <c r="AD68" s="1"/>
      <c r="AE68" s="1" t="s">
        <v>12944</v>
      </c>
      <c r="AF68" s="1"/>
      <c r="AG68" s="1"/>
      <c r="AH68" s="1" t="s">
        <v>13608</v>
      </c>
      <c r="AI68" s="1"/>
      <c r="AJ68" s="1" t="s">
        <v>13609</v>
      </c>
      <c r="AK68" s="1" t="s">
        <v>13610</v>
      </c>
      <c r="AL68" s="1" t="s">
        <v>13611</v>
      </c>
      <c r="AM68" s="1" t="s">
        <v>13612</v>
      </c>
      <c r="AN68" s="1" t="s">
        <v>13610</v>
      </c>
      <c r="AO68" s="1" t="s">
        <v>13613</v>
      </c>
      <c r="AP68" s="2" t="s">
        <v>13614</v>
      </c>
      <c r="AQ68" s="2" t="s">
        <v>1154</v>
      </c>
      <c r="AR68" s="1" t="s">
        <v>286</v>
      </c>
      <c r="AS68" s="1" t="s">
        <v>13615</v>
      </c>
      <c r="AT68" s="1" t="s">
        <v>5</v>
      </c>
    </row>
    <row r="69" spans="1:46" hidden="1" x14ac:dyDescent="0.4">
      <c r="A69" s="1" t="s">
        <v>12939</v>
      </c>
      <c r="B69" s="10"/>
      <c r="C69" s="1" t="s">
        <v>0</v>
      </c>
      <c r="D69" s="1" t="s">
        <v>11999</v>
      </c>
      <c r="E69" s="1" t="s">
        <v>2291</v>
      </c>
      <c r="F69" s="1" t="s">
        <v>14</v>
      </c>
      <c r="G69" s="1" t="s">
        <v>1</v>
      </c>
      <c r="H69" s="1" t="s">
        <v>6</v>
      </c>
      <c r="I69" s="1" t="s">
        <v>2</v>
      </c>
      <c r="J69" s="1" t="s">
        <v>3</v>
      </c>
      <c r="K69" s="1" t="s">
        <v>12940</v>
      </c>
      <c r="L69" s="1" t="s">
        <v>4</v>
      </c>
      <c r="M69" s="1" t="s">
        <v>9</v>
      </c>
      <c r="N69" s="1" t="s">
        <v>12941</v>
      </c>
      <c r="O69" s="1" t="s">
        <v>12405</v>
      </c>
      <c r="P69" s="1"/>
      <c r="Q69" s="1"/>
      <c r="R69" s="1" t="s">
        <v>11</v>
      </c>
      <c r="S69" s="1"/>
      <c r="T69" s="1"/>
      <c r="U69" s="1"/>
      <c r="V69" s="1"/>
      <c r="W69" s="1" t="s">
        <v>12942</v>
      </c>
      <c r="X69" s="1" t="s">
        <v>12038</v>
      </c>
      <c r="Y69" s="1"/>
      <c r="Z69" s="1"/>
      <c r="AA69" s="1"/>
      <c r="AB69" s="1" t="s">
        <v>12943</v>
      </c>
      <c r="AC69" s="1"/>
      <c r="AD69" s="1"/>
      <c r="AE69" s="1" t="s">
        <v>12944</v>
      </c>
      <c r="AF69" s="1"/>
      <c r="AG69" s="1"/>
      <c r="AH69" s="1" t="s">
        <v>12945</v>
      </c>
      <c r="AI69" s="1"/>
      <c r="AJ69" s="1" t="s">
        <v>12946</v>
      </c>
      <c r="AK69" s="1" t="s">
        <v>285</v>
      </c>
      <c r="AL69" s="1" t="s">
        <v>12947</v>
      </c>
      <c r="AM69" s="1" t="s">
        <v>11526</v>
      </c>
      <c r="AN69" s="1" t="s">
        <v>279</v>
      </c>
      <c r="AO69" s="1" t="s">
        <v>12948</v>
      </c>
      <c r="AP69" s="2" t="s">
        <v>12949</v>
      </c>
      <c r="AQ69" s="2" t="s">
        <v>1077</v>
      </c>
      <c r="AR69" s="1" t="s">
        <v>287</v>
      </c>
      <c r="AS69" s="1"/>
      <c r="AT69" s="1" t="s">
        <v>5</v>
      </c>
    </row>
    <row r="70" spans="1:46" hidden="1" x14ac:dyDescent="0.4">
      <c r="A70" s="1" t="s">
        <v>13098</v>
      </c>
      <c r="B70" s="10"/>
      <c r="C70" s="1" t="s">
        <v>0</v>
      </c>
      <c r="D70" s="1" t="s">
        <v>11999</v>
      </c>
      <c r="E70" s="1" t="s">
        <v>2291</v>
      </c>
      <c r="F70" s="1" t="s">
        <v>14</v>
      </c>
      <c r="G70" s="1" t="s">
        <v>1</v>
      </c>
      <c r="H70" s="1" t="s">
        <v>6</v>
      </c>
      <c r="I70" s="1" t="s">
        <v>2</v>
      </c>
      <c r="J70" s="1" t="s">
        <v>3</v>
      </c>
      <c r="K70" s="1" t="s">
        <v>13099</v>
      </c>
      <c r="L70" s="1" t="s">
        <v>7</v>
      </c>
      <c r="M70" s="1" t="s">
        <v>9</v>
      </c>
      <c r="N70" s="1" t="s">
        <v>13100</v>
      </c>
      <c r="O70" s="1" t="s">
        <v>12405</v>
      </c>
      <c r="P70" s="1"/>
      <c r="Q70" s="1"/>
      <c r="R70" s="1" t="s">
        <v>11</v>
      </c>
      <c r="S70" s="1"/>
      <c r="T70" s="1"/>
      <c r="U70" s="1"/>
      <c r="V70" s="1"/>
      <c r="W70" s="1" t="s">
        <v>13093</v>
      </c>
      <c r="X70" s="1" t="s">
        <v>12038</v>
      </c>
      <c r="Y70" s="1"/>
      <c r="Z70" s="1"/>
      <c r="AA70" s="1"/>
      <c r="AB70" s="1" t="s">
        <v>13101</v>
      </c>
      <c r="AC70" s="1"/>
      <c r="AD70" s="1"/>
      <c r="AE70" s="1" t="s">
        <v>13102</v>
      </c>
      <c r="AF70" s="1"/>
      <c r="AG70" s="1"/>
      <c r="AH70" s="1" t="s">
        <v>13103</v>
      </c>
      <c r="AI70" s="1"/>
      <c r="AJ70" s="1" t="s">
        <v>79</v>
      </c>
      <c r="AK70" s="1" t="s">
        <v>503</v>
      </c>
      <c r="AL70" s="1" t="s">
        <v>121</v>
      </c>
      <c r="AM70" s="1" t="s">
        <v>12324</v>
      </c>
      <c r="AN70" s="1" t="s">
        <v>503</v>
      </c>
      <c r="AO70" s="1" t="s">
        <v>12325</v>
      </c>
      <c r="AP70" s="2" t="s">
        <v>13104</v>
      </c>
      <c r="AQ70" s="2" t="s">
        <v>1077</v>
      </c>
      <c r="AR70" s="1" t="s">
        <v>287</v>
      </c>
      <c r="AS70" s="1"/>
      <c r="AT70" s="1" t="s">
        <v>5</v>
      </c>
    </row>
    <row r="71" spans="1:46" hidden="1" x14ac:dyDescent="0.4">
      <c r="A71" s="1" t="s">
        <v>14072</v>
      </c>
      <c r="B71" s="10"/>
      <c r="C71" s="1" t="s">
        <v>0</v>
      </c>
      <c r="D71" s="1" t="s">
        <v>11999</v>
      </c>
      <c r="E71" s="1" t="s">
        <v>2291</v>
      </c>
      <c r="F71" s="1" t="s">
        <v>14</v>
      </c>
      <c r="G71" s="1" t="s">
        <v>1</v>
      </c>
      <c r="H71" s="1" t="s">
        <v>6</v>
      </c>
      <c r="I71" s="1" t="s">
        <v>2</v>
      </c>
      <c r="J71" s="1" t="s">
        <v>3</v>
      </c>
      <c r="K71" s="1" t="s">
        <v>14073</v>
      </c>
      <c r="L71" s="1" t="s">
        <v>4</v>
      </c>
      <c r="M71" s="1" t="s">
        <v>9</v>
      </c>
      <c r="N71" s="1" t="s">
        <v>14074</v>
      </c>
      <c r="O71" s="1" t="s">
        <v>12405</v>
      </c>
      <c r="P71" s="1"/>
      <c r="Q71" s="1"/>
      <c r="R71" s="1" t="s">
        <v>11</v>
      </c>
      <c r="S71" s="1"/>
      <c r="T71" s="1"/>
      <c r="U71" s="1"/>
      <c r="V71" s="1"/>
      <c r="W71" s="1"/>
      <c r="X71" s="1" t="s">
        <v>12038</v>
      </c>
      <c r="Y71" s="1"/>
      <c r="Z71" s="1"/>
      <c r="AA71" s="1"/>
      <c r="AB71" s="1" t="s">
        <v>14075</v>
      </c>
      <c r="AC71" s="1"/>
      <c r="AD71" s="1"/>
      <c r="AE71" s="1" t="s">
        <v>14076</v>
      </c>
      <c r="AF71" s="1"/>
      <c r="AG71" s="1"/>
      <c r="AH71" s="1" t="s">
        <v>14077</v>
      </c>
      <c r="AI71" s="1"/>
      <c r="AJ71" s="1" t="s">
        <v>2090</v>
      </c>
      <c r="AK71" s="1" t="s">
        <v>502</v>
      </c>
      <c r="AL71" s="1" t="s">
        <v>1935</v>
      </c>
      <c r="AM71" s="1" t="s">
        <v>14078</v>
      </c>
      <c r="AN71" s="1" t="s">
        <v>502</v>
      </c>
      <c r="AO71" s="1" t="s">
        <v>14079</v>
      </c>
      <c r="AP71" s="2" t="s">
        <v>14080</v>
      </c>
      <c r="AQ71" s="2" t="s">
        <v>1155</v>
      </c>
      <c r="AR71" s="1" t="s">
        <v>286</v>
      </c>
      <c r="AS71" s="1" t="s">
        <v>14081</v>
      </c>
      <c r="AT71" s="1" t="s">
        <v>5</v>
      </c>
    </row>
    <row r="72" spans="1:46" hidden="1" x14ac:dyDescent="0.4">
      <c r="A72" s="1" t="s">
        <v>14199</v>
      </c>
      <c r="B72" s="10"/>
      <c r="C72" s="1" t="s">
        <v>0</v>
      </c>
      <c r="D72" s="1" t="s">
        <v>11999</v>
      </c>
      <c r="E72" s="1" t="s">
        <v>2291</v>
      </c>
      <c r="F72" s="1" t="s">
        <v>14</v>
      </c>
      <c r="G72" s="1" t="s">
        <v>1</v>
      </c>
      <c r="H72" s="1" t="s">
        <v>6</v>
      </c>
      <c r="I72" s="1" t="s">
        <v>2</v>
      </c>
      <c r="J72" s="1" t="s">
        <v>3</v>
      </c>
      <c r="K72" s="1" t="s">
        <v>14200</v>
      </c>
      <c r="L72" s="1" t="s">
        <v>4</v>
      </c>
      <c r="M72" s="1" t="s">
        <v>9</v>
      </c>
      <c r="N72" s="1" t="s">
        <v>14201</v>
      </c>
      <c r="O72" s="1" t="s">
        <v>12405</v>
      </c>
      <c r="P72" s="1"/>
      <c r="Q72" s="1"/>
      <c r="R72" s="1" t="s">
        <v>11</v>
      </c>
      <c r="S72" s="1"/>
      <c r="T72" s="1"/>
      <c r="U72" s="1"/>
      <c r="V72" s="1"/>
      <c r="W72" s="1" t="s">
        <v>14202</v>
      </c>
      <c r="X72" s="1" t="s">
        <v>12038</v>
      </c>
      <c r="Y72" s="1"/>
      <c r="Z72" s="1"/>
      <c r="AA72" s="1"/>
      <c r="AB72" s="1" t="s">
        <v>14203</v>
      </c>
      <c r="AC72" s="1"/>
      <c r="AD72" s="1"/>
      <c r="AE72" s="1" t="s">
        <v>13095</v>
      </c>
      <c r="AF72" s="1"/>
      <c r="AG72" s="1"/>
      <c r="AH72" s="1" t="s">
        <v>14204</v>
      </c>
      <c r="AI72" s="1"/>
      <c r="AJ72" s="1" t="s">
        <v>49</v>
      </c>
      <c r="AK72" s="1" t="s">
        <v>520</v>
      </c>
      <c r="AL72" s="1" t="s">
        <v>108</v>
      </c>
      <c r="AM72" s="1" t="s">
        <v>14205</v>
      </c>
      <c r="AN72" s="1" t="s">
        <v>520</v>
      </c>
      <c r="AO72" s="1" t="s">
        <v>14206</v>
      </c>
      <c r="AP72" s="2" t="s">
        <v>14207</v>
      </c>
      <c r="AQ72" s="2" t="s">
        <v>1155</v>
      </c>
      <c r="AR72" s="1" t="s">
        <v>286</v>
      </c>
      <c r="AS72" s="1" t="s">
        <v>1068</v>
      </c>
      <c r="AT72" s="1" t="s">
        <v>5</v>
      </c>
    </row>
    <row r="73" spans="1:46" hidden="1" x14ac:dyDescent="0.4">
      <c r="A73" s="1" t="s">
        <v>13089</v>
      </c>
      <c r="B73" s="10"/>
      <c r="C73" s="1" t="s">
        <v>0</v>
      </c>
      <c r="D73" s="1" t="s">
        <v>11999</v>
      </c>
      <c r="E73" s="1" t="s">
        <v>2291</v>
      </c>
      <c r="F73" s="1" t="s">
        <v>14</v>
      </c>
      <c r="G73" s="1" t="s">
        <v>1</v>
      </c>
      <c r="H73" s="1" t="s">
        <v>6</v>
      </c>
      <c r="I73" s="1" t="s">
        <v>2</v>
      </c>
      <c r="J73" s="1" t="s">
        <v>3</v>
      </c>
      <c r="K73" s="1" t="s">
        <v>13090</v>
      </c>
      <c r="L73" s="1" t="s">
        <v>7</v>
      </c>
      <c r="M73" s="1" t="s">
        <v>9</v>
      </c>
      <c r="N73" s="1" t="s">
        <v>13091</v>
      </c>
      <c r="O73" s="1" t="s">
        <v>13092</v>
      </c>
      <c r="P73" s="1"/>
      <c r="Q73" s="1"/>
      <c r="R73" s="1" t="s">
        <v>11</v>
      </c>
      <c r="S73" s="1"/>
      <c r="T73" s="1"/>
      <c r="U73" s="1"/>
      <c r="V73" s="1"/>
      <c r="W73" s="1" t="s">
        <v>13093</v>
      </c>
      <c r="X73" s="1" t="s">
        <v>12038</v>
      </c>
      <c r="Y73" s="1"/>
      <c r="Z73" s="1"/>
      <c r="AA73" s="1"/>
      <c r="AB73" s="1" t="s">
        <v>13094</v>
      </c>
      <c r="AC73" s="1"/>
      <c r="AD73" s="1"/>
      <c r="AE73" s="1" t="s">
        <v>13095</v>
      </c>
      <c r="AF73" s="1"/>
      <c r="AG73" s="1"/>
      <c r="AH73" s="1" t="s">
        <v>13096</v>
      </c>
      <c r="AI73" s="1"/>
      <c r="AJ73" s="1" t="s">
        <v>79</v>
      </c>
      <c r="AK73" s="1" t="s">
        <v>503</v>
      </c>
      <c r="AL73" s="1" t="s">
        <v>121</v>
      </c>
      <c r="AM73" s="1" t="s">
        <v>12324</v>
      </c>
      <c r="AN73" s="1" t="s">
        <v>503</v>
      </c>
      <c r="AO73" s="1" t="s">
        <v>12325</v>
      </c>
      <c r="AP73" s="2" t="s">
        <v>13097</v>
      </c>
      <c r="AQ73" s="2" t="s">
        <v>1155</v>
      </c>
      <c r="AR73" s="1" t="s">
        <v>287</v>
      </c>
      <c r="AS73" s="1"/>
      <c r="AT73" s="1" t="s">
        <v>5</v>
      </c>
    </row>
    <row r="74" spans="1:46" hidden="1" x14ac:dyDescent="0.4">
      <c r="A74" s="1" t="s">
        <v>12206</v>
      </c>
      <c r="B74" s="10"/>
      <c r="C74" s="1" t="s">
        <v>0</v>
      </c>
      <c r="D74" s="1" t="s">
        <v>11999</v>
      </c>
      <c r="E74" s="1" t="s">
        <v>2291</v>
      </c>
      <c r="F74" s="1" t="s">
        <v>14</v>
      </c>
      <c r="G74" s="1" t="s">
        <v>1</v>
      </c>
      <c r="H74" s="1" t="s">
        <v>6</v>
      </c>
      <c r="I74" s="1" t="s">
        <v>2</v>
      </c>
      <c r="J74" s="1" t="s">
        <v>3</v>
      </c>
      <c r="K74" s="1" t="s">
        <v>12207</v>
      </c>
      <c r="L74" s="1" t="s">
        <v>7</v>
      </c>
      <c r="M74" s="1" t="s">
        <v>9</v>
      </c>
      <c r="N74" s="1" t="s">
        <v>12208</v>
      </c>
      <c r="O74" s="1" t="s">
        <v>3756</v>
      </c>
      <c r="P74" s="1"/>
      <c r="Q74" s="1"/>
      <c r="R74" s="1" t="s">
        <v>11</v>
      </c>
      <c r="S74" s="1"/>
      <c r="T74" s="1"/>
      <c r="U74" s="1"/>
      <c r="V74" s="1"/>
      <c r="W74" s="1" t="s">
        <v>12209</v>
      </c>
      <c r="X74" s="1" t="s">
        <v>10021</v>
      </c>
      <c r="Y74" s="1"/>
      <c r="Z74" s="1"/>
      <c r="AA74" s="1"/>
      <c r="AB74" s="1" t="s">
        <v>12210</v>
      </c>
      <c r="AC74" s="1"/>
      <c r="AD74" s="1"/>
      <c r="AE74" s="1"/>
      <c r="AF74" s="1"/>
      <c r="AG74" s="1"/>
      <c r="AH74" s="1" t="s">
        <v>12211</v>
      </c>
      <c r="AI74" s="1"/>
      <c r="AJ74" s="1" t="s">
        <v>12212</v>
      </c>
      <c r="AK74" s="1" t="s">
        <v>12213</v>
      </c>
      <c r="AL74" s="1"/>
      <c r="AM74" s="1" t="s">
        <v>12212</v>
      </c>
      <c r="AN74" s="1" t="s">
        <v>12213</v>
      </c>
      <c r="AO74" s="1"/>
      <c r="AP74" s="2" t="s">
        <v>12214</v>
      </c>
      <c r="AQ74" s="2" t="s">
        <v>1153</v>
      </c>
      <c r="AR74" s="1"/>
      <c r="AS74" s="1"/>
      <c r="AT74" s="1" t="s">
        <v>5</v>
      </c>
    </row>
    <row r="75" spans="1:46" hidden="1" x14ac:dyDescent="0.4">
      <c r="A75" s="1" t="s">
        <v>12309</v>
      </c>
      <c r="B75" s="10"/>
      <c r="C75" s="1" t="s">
        <v>0</v>
      </c>
      <c r="D75" s="1" t="s">
        <v>11999</v>
      </c>
      <c r="E75" s="1" t="s">
        <v>2291</v>
      </c>
      <c r="F75" s="1" t="s">
        <v>14</v>
      </c>
      <c r="G75" s="1" t="s">
        <v>1</v>
      </c>
      <c r="H75" s="1" t="s">
        <v>6</v>
      </c>
      <c r="I75" s="1" t="s">
        <v>2</v>
      </c>
      <c r="J75" s="1" t="s">
        <v>3</v>
      </c>
      <c r="K75" s="1" t="s">
        <v>12310</v>
      </c>
      <c r="L75" s="1" t="s">
        <v>7</v>
      </c>
      <c r="M75" s="1" t="s">
        <v>9</v>
      </c>
      <c r="N75" s="1" t="s">
        <v>12311</v>
      </c>
      <c r="O75" s="1" t="s">
        <v>12060</v>
      </c>
      <c r="P75" s="1"/>
      <c r="Q75" s="1"/>
      <c r="R75" s="1" t="s">
        <v>11</v>
      </c>
      <c r="S75" s="1"/>
      <c r="T75" s="1"/>
      <c r="U75" s="1"/>
      <c r="V75" s="1"/>
      <c r="W75" s="1"/>
      <c r="X75" s="1" t="s">
        <v>12038</v>
      </c>
      <c r="Y75" s="1"/>
      <c r="Z75" s="1"/>
      <c r="AA75" s="1"/>
      <c r="AB75" s="1" t="s">
        <v>12312</v>
      </c>
      <c r="AC75" s="1"/>
      <c r="AD75" s="1"/>
      <c r="AE75" s="1" t="s">
        <v>12126</v>
      </c>
      <c r="AF75" s="1"/>
      <c r="AG75" s="1"/>
      <c r="AH75" s="1" t="s">
        <v>12313</v>
      </c>
      <c r="AI75" s="1"/>
      <c r="AJ75" s="1" t="s">
        <v>12314</v>
      </c>
      <c r="AK75" s="1" t="s">
        <v>12315</v>
      </c>
      <c r="AL75" s="1" t="s">
        <v>12316</v>
      </c>
      <c r="AM75" s="1" t="s">
        <v>12314</v>
      </c>
      <c r="AN75" s="1" t="s">
        <v>12315</v>
      </c>
      <c r="AO75" s="1" t="s">
        <v>12316</v>
      </c>
      <c r="AP75" s="2" t="s">
        <v>12317</v>
      </c>
      <c r="AQ75" s="2" t="s">
        <v>1154</v>
      </c>
      <c r="AR75" s="1"/>
      <c r="AS75" s="1"/>
      <c r="AT75" s="1" t="s">
        <v>5</v>
      </c>
    </row>
    <row r="76" spans="1:46" hidden="1" x14ac:dyDescent="0.4">
      <c r="A76" s="1" t="s">
        <v>12781</v>
      </c>
      <c r="B76" s="10"/>
      <c r="C76" s="1" t="s">
        <v>0</v>
      </c>
      <c r="D76" s="1" t="s">
        <v>11999</v>
      </c>
      <c r="E76" s="1" t="s">
        <v>2291</v>
      </c>
      <c r="F76" s="1" t="s">
        <v>14</v>
      </c>
      <c r="G76" s="1" t="s">
        <v>1</v>
      </c>
      <c r="H76" s="1" t="s">
        <v>6</v>
      </c>
      <c r="I76" s="1" t="s">
        <v>2</v>
      </c>
      <c r="J76" s="1" t="s">
        <v>3</v>
      </c>
      <c r="K76" s="1" t="s">
        <v>12782</v>
      </c>
      <c r="L76" s="1" t="s">
        <v>7</v>
      </c>
      <c r="M76" s="1" t="s">
        <v>9</v>
      </c>
      <c r="N76" s="1" t="s">
        <v>12783</v>
      </c>
      <c r="O76" s="1" t="s">
        <v>12060</v>
      </c>
      <c r="P76" s="1"/>
      <c r="Q76" s="1" t="s">
        <v>12</v>
      </c>
      <c r="R76" s="1" t="s">
        <v>11</v>
      </c>
      <c r="S76" s="1"/>
      <c r="T76" s="1" t="s">
        <v>12</v>
      </c>
      <c r="U76" s="1" t="s">
        <v>11</v>
      </c>
      <c r="V76" s="1"/>
      <c r="W76" s="1"/>
      <c r="X76" s="1" t="s">
        <v>12038</v>
      </c>
      <c r="Y76" s="1"/>
      <c r="Z76" s="1"/>
      <c r="AA76" s="1"/>
      <c r="AB76" s="1" t="s">
        <v>12784</v>
      </c>
      <c r="AC76" s="1"/>
      <c r="AD76" s="1"/>
      <c r="AE76" s="1" t="s">
        <v>12785</v>
      </c>
      <c r="AF76" s="1"/>
      <c r="AG76" s="1"/>
      <c r="AH76" s="1" t="s">
        <v>12786</v>
      </c>
      <c r="AI76" s="1"/>
      <c r="AJ76" s="1" t="s">
        <v>12750</v>
      </c>
      <c r="AK76" s="1" t="s">
        <v>12315</v>
      </c>
      <c r="AL76" s="1" t="s">
        <v>12751</v>
      </c>
      <c r="AM76" s="1" t="s">
        <v>12750</v>
      </c>
      <c r="AN76" s="1" t="s">
        <v>12315</v>
      </c>
      <c r="AO76" s="1" t="s">
        <v>12751</v>
      </c>
      <c r="AP76" s="2" t="s">
        <v>12787</v>
      </c>
      <c r="AQ76" s="2" t="s">
        <v>1155</v>
      </c>
      <c r="AR76" s="1" t="s">
        <v>287</v>
      </c>
      <c r="AS76" s="1"/>
      <c r="AT76" s="1" t="s">
        <v>5</v>
      </c>
    </row>
    <row r="77" spans="1:46" hidden="1" x14ac:dyDescent="0.4">
      <c r="A77" s="1" t="s">
        <v>14047</v>
      </c>
      <c r="B77" s="10"/>
      <c r="C77" s="1" t="s">
        <v>93</v>
      </c>
      <c r="D77" s="1" t="s">
        <v>11999</v>
      </c>
      <c r="E77" s="1" t="s">
        <v>2291</v>
      </c>
      <c r="F77" s="1" t="s">
        <v>14</v>
      </c>
      <c r="G77" s="1" t="s">
        <v>1</v>
      </c>
      <c r="H77" s="1" t="s">
        <v>6</v>
      </c>
      <c r="I77" s="1" t="s">
        <v>2</v>
      </c>
      <c r="J77" s="1" t="s">
        <v>3</v>
      </c>
      <c r="K77" s="1" t="s">
        <v>14048</v>
      </c>
      <c r="L77" s="1" t="s">
        <v>7</v>
      </c>
      <c r="M77" s="1"/>
      <c r="N77" s="1" t="s">
        <v>14049</v>
      </c>
      <c r="O77" s="1" t="s">
        <v>14050</v>
      </c>
      <c r="P77" s="1"/>
      <c r="Q77" s="1"/>
      <c r="R77" s="1" t="s">
        <v>11</v>
      </c>
      <c r="S77" s="1"/>
      <c r="T77" s="1"/>
      <c r="U77" s="1"/>
      <c r="V77" s="1"/>
      <c r="W77" s="1"/>
      <c r="X77" s="1" t="s">
        <v>12038</v>
      </c>
      <c r="Y77" s="1"/>
      <c r="Z77" s="1"/>
      <c r="AA77" s="1"/>
      <c r="AB77" s="1" t="s">
        <v>14051</v>
      </c>
      <c r="AC77" s="1"/>
      <c r="AD77" s="1"/>
      <c r="AE77" s="1" t="s">
        <v>14052</v>
      </c>
      <c r="AF77" s="1"/>
      <c r="AG77" s="1"/>
      <c r="AH77" s="1" t="s">
        <v>14053</v>
      </c>
      <c r="AI77" s="1"/>
      <c r="AJ77" s="1" t="s">
        <v>1786</v>
      </c>
      <c r="AK77" s="1" t="s">
        <v>1787</v>
      </c>
      <c r="AL77" s="1" t="s">
        <v>1788</v>
      </c>
      <c r="AM77" s="1" t="s">
        <v>1786</v>
      </c>
      <c r="AN77" s="1" t="s">
        <v>1787</v>
      </c>
      <c r="AO77" s="1" t="s">
        <v>1788</v>
      </c>
      <c r="AP77" s="2" t="s">
        <v>14054</v>
      </c>
      <c r="AQ77" s="2" t="s">
        <v>1155</v>
      </c>
      <c r="AR77" s="1" t="s">
        <v>286</v>
      </c>
      <c r="AS77" s="1" t="s">
        <v>14055</v>
      </c>
      <c r="AT77" s="1" t="s">
        <v>5</v>
      </c>
    </row>
    <row r="78" spans="1:46" hidden="1" x14ac:dyDescent="0.4">
      <c r="A78" s="1" t="s">
        <v>12318</v>
      </c>
      <c r="B78" s="10"/>
      <c r="C78" s="1" t="s">
        <v>0</v>
      </c>
      <c r="D78" s="1" t="s">
        <v>11999</v>
      </c>
      <c r="E78" s="1" t="s">
        <v>2291</v>
      </c>
      <c r="F78" s="1" t="s">
        <v>14</v>
      </c>
      <c r="G78" s="1" t="s">
        <v>1</v>
      </c>
      <c r="H78" s="1" t="s">
        <v>6</v>
      </c>
      <c r="I78" s="1" t="s">
        <v>2</v>
      </c>
      <c r="J78" s="1" t="s">
        <v>3</v>
      </c>
      <c r="K78" s="1" t="s">
        <v>12319</v>
      </c>
      <c r="L78" s="1" t="s">
        <v>4</v>
      </c>
      <c r="M78" s="1" t="s">
        <v>9</v>
      </c>
      <c r="N78" s="1" t="s">
        <v>12320</v>
      </c>
      <c r="O78" s="1" t="s">
        <v>12077</v>
      </c>
      <c r="P78" s="1"/>
      <c r="Q78" s="1"/>
      <c r="R78" s="1" t="s">
        <v>11</v>
      </c>
      <c r="S78" s="1"/>
      <c r="T78" s="1"/>
      <c r="U78" s="1"/>
      <c r="V78" s="1"/>
      <c r="W78" s="1"/>
      <c r="X78" s="1" t="s">
        <v>12038</v>
      </c>
      <c r="Y78" s="1"/>
      <c r="Z78" s="1"/>
      <c r="AA78" s="1"/>
      <c r="AB78" s="1" t="s">
        <v>12321</v>
      </c>
      <c r="AC78" s="1"/>
      <c r="AD78" s="1"/>
      <c r="AE78" s="1" t="s">
        <v>12322</v>
      </c>
      <c r="AF78" s="1"/>
      <c r="AG78" s="1"/>
      <c r="AH78" s="1" t="s">
        <v>12323</v>
      </c>
      <c r="AI78" s="1"/>
      <c r="AJ78" s="1" t="s">
        <v>3552</v>
      </c>
      <c r="AK78" s="1" t="s">
        <v>3553</v>
      </c>
      <c r="AL78" s="1"/>
      <c r="AM78" s="1" t="s">
        <v>12324</v>
      </c>
      <c r="AN78" s="1" t="s">
        <v>3553</v>
      </c>
      <c r="AO78" s="1" t="s">
        <v>12325</v>
      </c>
      <c r="AP78" s="2" t="s">
        <v>12326</v>
      </c>
      <c r="AQ78" s="2" t="s">
        <v>1154</v>
      </c>
      <c r="AR78" s="1" t="s">
        <v>287</v>
      </c>
      <c r="AS78" s="1"/>
      <c r="AT78" s="1" t="s">
        <v>5</v>
      </c>
    </row>
    <row r="79" spans="1:46" hidden="1" x14ac:dyDescent="0.4">
      <c r="A79" s="1" t="s">
        <v>12698</v>
      </c>
      <c r="B79" s="10"/>
      <c r="C79" s="1" t="s">
        <v>4518</v>
      </c>
      <c r="D79" s="1" t="s">
        <v>11999</v>
      </c>
      <c r="E79" s="1" t="s">
        <v>2291</v>
      </c>
      <c r="F79" s="1" t="s">
        <v>14</v>
      </c>
      <c r="G79" s="1" t="s">
        <v>1</v>
      </c>
      <c r="H79" s="1" t="s">
        <v>6</v>
      </c>
      <c r="I79" s="1" t="s">
        <v>2</v>
      </c>
      <c r="J79" s="1" t="s">
        <v>4519</v>
      </c>
      <c r="K79" s="1" t="s">
        <v>12699</v>
      </c>
      <c r="L79" s="1" t="s">
        <v>7</v>
      </c>
      <c r="M79" s="1"/>
      <c r="N79" s="1" t="s">
        <v>12700</v>
      </c>
      <c r="O79" s="1" t="s">
        <v>12701</v>
      </c>
      <c r="P79" s="1"/>
      <c r="Q79" s="1"/>
      <c r="R79" s="1" t="s">
        <v>11</v>
      </c>
      <c r="S79" s="1"/>
      <c r="T79" s="1"/>
      <c r="U79" s="1"/>
      <c r="V79" s="1"/>
      <c r="W79" s="1" t="s">
        <v>12702</v>
      </c>
      <c r="X79" s="1" t="s">
        <v>12038</v>
      </c>
      <c r="Y79" s="1"/>
      <c r="Z79" s="1"/>
      <c r="AA79" s="1"/>
      <c r="AB79" s="1" t="s">
        <v>12703</v>
      </c>
      <c r="AC79" s="1"/>
      <c r="AD79" s="1"/>
      <c r="AE79" s="1" t="s">
        <v>12704</v>
      </c>
      <c r="AF79" s="1"/>
      <c r="AG79" s="1"/>
      <c r="AH79" s="1" t="s">
        <v>12705</v>
      </c>
      <c r="AI79" s="1"/>
      <c r="AJ79" s="1" t="s">
        <v>4526</v>
      </c>
      <c r="AK79" s="1" t="s">
        <v>4527</v>
      </c>
      <c r="AL79" s="1" t="s">
        <v>4528</v>
      </c>
      <c r="AM79" s="1" t="s">
        <v>4529</v>
      </c>
      <c r="AN79" s="1" t="s">
        <v>4527</v>
      </c>
      <c r="AO79" s="1" t="s">
        <v>4530</v>
      </c>
      <c r="AP79" s="2" t="s">
        <v>12706</v>
      </c>
      <c r="AQ79" s="2" t="s">
        <v>1077</v>
      </c>
      <c r="AR79" s="1" t="s">
        <v>287</v>
      </c>
      <c r="AS79" s="1"/>
      <c r="AT79" s="1" t="s">
        <v>5</v>
      </c>
    </row>
    <row r="80" spans="1:46" hidden="1" x14ac:dyDescent="0.4">
      <c r="A80" s="1" t="s">
        <v>13045</v>
      </c>
      <c r="B80" s="10"/>
      <c r="C80" s="1" t="s">
        <v>93</v>
      </c>
      <c r="D80" s="1" t="s">
        <v>11999</v>
      </c>
      <c r="E80" s="1" t="s">
        <v>2291</v>
      </c>
      <c r="F80" s="1" t="s">
        <v>14</v>
      </c>
      <c r="G80" s="1" t="s">
        <v>1</v>
      </c>
      <c r="H80" s="1" t="s">
        <v>6</v>
      </c>
      <c r="I80" s="1" t="s">
        <v>2</v>
      </c>
      <c r="J80" s="1" t="s">
        <v>3</v>
      </c>
      <c r="K80" s="1" t="s">
        <v>13046</v>
      </c>
      <c r="L80" s="1" t="s">
        <v>7</v>
      </c>
      <c r="M80" s="1"/>
      <c r="N80" s="1" t="s">
        <v>12783</v>
      </c>
      <c r="O80" s="1" t="s">
        <v>12060</v>
      </c>
      <c r="P80" s="1"/>
      <c r="Q80" s="1"/>
      <c r="R80" s="1" t="s">
        <v>11</v>
      </c>
      <c r="S80" s="1"/>
      <c r="T80" s="1"/>
      <c r="U80" s="1"/>
      <c r="V80" s="1"/>
      <c r="W80" s="1"/>
      <c r="X80" s="1" t="s">
        <v>12038</v>
      </c>
      <c r="Y80" s="1"/>
      <c r="Z80" s="1"/>
      <c r="AA80" s="1"/>
      <c r="AB80" s="1" t="s">
        <v>13047</v>
      </c>
      <c r="AC80" s="1"/>
      <c r="AD80" s="1"/>
      <c r="AE80" s="1" t="s">
        <v>13048</v>
      </c>
      <c r="AF80" s="1"/>
      <c r="AG80" s="1"/>
      <c r="AH80" s="1" t="s">
        <v>13049</v>
      </c>
      <c r="AI80" s="1"/>
      <c r="AJ80" s="1" t="s">
        <v>5110</v>
      </c>
      <c r="AK80" s="1" t="s">
        <v>5111</v>
      </c>
      <c r="AL80" s="1" t="s">
        <v>5112</v>
      </c>
      <c r="AM80" s="1" t="s">
        <v>5110</v>
      </c>
      <c r="AN80" s="1" t="s">
        <v>5111</v>
      </c>
      <c r="AO80" s="1" t="s">
        <v>5112</v>
      </c>
      <c r="AP80" s="2" t="s">
        <v>13050</v>
      </c>
      <c r="AQ80" s="2" t="s">
        <v>1077</v>
      </c>
      <c r="AR80" s="1" t="s">
        <v>287</v>
      </c>
      <c r="AS80" s="1"/>
      <c r="AT80" s="1" t="s">
        <v>5</v>
      </c>
    </row>
    <row r="81" spans="1:46" hidden="1" x14ac:dyDescent="0.4">
      <c r="A81" s="1" t="s">
        <v>12044</v>
      </c>
      <c r="B81" s="10"/>
      <c r="C81" s="1" t="s">
        <v>0</v>
      </c>
      <c r="D81" s="1" t="s">
        <v>11999</v>
      </c>
      <c r="E81" s="1" t="s">
        <v>2291</v>
      </c>
      <c r="F81" s="1" t="s">
        <v>14</v>
      </c>
      <c r="G81" s="1" t="s">
        <v>1</v>
      </c>
      <c r="H81" s="1" t="s">
        <v>6</v>
      </c>
      <c r="I81" s="1" t="s">
        <v>2</v>
      </c>
      <c r="J81" s="1" t="s">
        <v>3</v>
      </c>
      <c r="K81" s="1" t="s">
        <v>12045</v>
      </c>
      <c r="L81" s="1" t="s">
        <v>7</v>
      </c>
      <c r="M81" s="1" t="s">
        <v>9</v>
      </c>
      <c r="N81" s="1" t="s">
        <v>12046</v>
      </c>
      <c r="O81" s="1" t="s">
        <v>12047</v>
      </c>
      <c r="P81" s="1"/>
      <c r="Q81" s="1"/>
      <c r="R81" s="1" t="s">
        <v>11</v>
      </c>
      <c r="S81" s="1"/>
      <c r="T81" s="1"/>
      <c r="U81" s="1"/>
      <c r="V81" s="1"/>
      <c r="W81" s="1" t="s">
        <v>12048</v>
      </c>
      <c r="X81" s="1" t="s">
        <v>12038</v>
      </c>
      <c r="Y81" s="1"/>
      <c r="Z81" s="1"/>
      <c r="AA81" s="1"/>
      <c r="AB81" s="1" t="s">
        <v>12049</v>
      </c>
      <c r="AC81" s="1"/>
      <c r="AD81" s="1"/>
      <c r="AE81" s="1" t="s">
        <v>12050</v>
      </c>
      <c r="AF81" s="1"/>
      <c r="AG81" s="1"/>
      <c r="AH81" s="1" t="s">
        <v>12051</v>
      </c>
      <c r="AI81" s="1"/>
      <c r="AJ81" s="1" t="s">
        <v>12052</v>
      </c>
      <c r="AK81" s="1" t="s">
        <v>12053</v>
      </c>
      <c r="AL81" s="1" t="s">
        <v>12054</v>
      </c>
      <c r="AM81" s="1" t="s">
        <v>12055</v>
      </c>
      <c r="AN81" s="1" t="s">
        <v>12053</v>
      </c>
      <c r="AO81" s="1"/>
      <c r="AP81" s="2" t="s">
        <v>12056</v>
      </c>
      <c r="AQ81" s="2" t="s">
        <v>1077</v>
      </c>
      <c r="AR81" s="1"/>
      <c r="AS81" s="1"/>
      <c r="AT81" s="1" t="s">
        <v>5</v>
      </c>
    </row>
    <row r="82" spans="1:46" hidden="1" x14ac:dyDescent="0.4">
      <c r="A82" s="1" t="s">
        <v>13238</v>
      </c>
      <c r="B82" s="10"/>
      <c r="C82" s="1" t="s">
        <v>0</v>
      </c>
      <c r="D82" s="1" t="s">
        <v>11999</v>
      </c>
      <c r="E82" s="1" t="s">
        <v>2291</v>
      </c>
      <c r="F82" s="1" t="s">
        <v>14</v>
      </c>
      <c r="G82" s="1" t="s">
        <v>1</v>
      </c>
      <c r="H82" s="1" t="s">
        <v>6</v>
      </c>
      <c r="I82" s="1" t="s">
        <v>2</v>
      </c>
      <c r="J82" s="1" t="s">
        <v>3</v>
      </c>
      <c r="K82" s="1" t="s">
        <v>13239</v>
      </c>
      <c r="L82" s="1" t="s">
        <v>7</v>
      </c>
      <c r="M82" s="1" t="s">
        <v>8</v>
      </c>
      <c r="N82" s="1" t="s">
        <v>13240</v>
      </c>
      <c r="O82" s="1" t="s">
        <v>12103</v>
      </c>
      <c r="P82" s="1"/>
      <c r="Q82" s="1"/>
      <c r="R82" s="1" t="s">
        <v>11</v>
      </c>
      <c r="S82" s="1"/>
      <c r="T82" s="1"/>
      <c r="U82" s="1"/>
      <c r="V82" s="1"/>
      <c r="W82" s="1" t="s">
        <v>13241</v>
      </c>
      <c r="X82" s="1" t="s">
        <v>12038</v>
      </c>
      <c r="Y82" s="1"/>
      <c r="Z82" s="1"/>
      <c r="AA82" s="1"/>
      <c r="AB82" s="1" t="s">
        <v>13242</v>
      </c>
      <c r="AC82" s="1"/>
      <c r="AD82" s="1"/>
      <c r="AE82" s="1" t="s">
        <v>13243</v>
      </c>
      <c r="AF82" s="1"/>
      <c r="AG82" s="1"/>
      <c r="AH82" s="1" t="s">
        <v>13244</v>
      </c>
      <c r="AI82" s="1"/>
      <c r="AJ82" s="1" t="s">
        <v>51</v>
      </c>
      <c r="AK82" s="1" t="s">
        <v>518</v>
      </c>
      <c r="AL82" s="1" t="s">
        <v>136</v>
      </c>
      <c r="AM82" s="1" t="s">
        <v>13245</v>
      </c>
      <c r="AN82" s="1" t="s">
        <v>518</v>
      </c>
      <c r="AO82" s="1"/>
      <c r="AP82" s="2" t="s">
        <v>13246</v>
      </c>
      <c r="AQ82" s="2" t="s">
        <v>1077</v>
      </c>
      <c r="AR82" s="1" t="s">
        <v>286</v>
      </c>
      <c r="AS82" s="1"/>
      <c r="AT82" s="1" t="s">
        <v>5</v>
      </c>
    </row>
    <row r="83" spans="1:46" hidden="1" x14ac:dyDescent="0.4">
      <c r="A83" s="1" t="s">
        <v>12112</v>
      </c>
      <c r="B83" s="10"/>
      <c r="C83" s="1" t="s">
        <v>0</v>
      </c>
      <c r="D83" s="1" t="s">
        <v>11999</v>
      </c>
      <c r="E83" s="1" t="s">
        <v>2291</v>
      </c>
      <c r="F83" s="1" t="s">
        <v>14</v>
      </c>
      <c r="G83" s="1" t="s">
        <v>1</v>
      </c>
      <c r="H83" s="1" t="s">
        <v>6</v>
      </c>
      <c r="I83" s="1" t="s">
        <v>2</v>
      </c>
      <c r="J83" s="1" t="s">
        <v>3</v>
      </c>
      <c r="K83" s="1" t="s">
        <v>12113</v>
      </c>
      <c r="L83" s="1" t="s">
        <v>7</v>
      </c>
      <c r="M83" s="1" t="s">
        <v>9</v>
      </c>
      <c r="N83" s="1" t="s">
        <v>12114</v>
      </c>
      <c r="O83" s="1" t="s">
        <v>12103</v>
      </c>
      <c r="P83" s="1"/>
      <c r="Q83" s="1"/>
      <c r="R83" s="1" t="s">
        <v>11</v>
      </c>
      <c r="S83" s="1"/>
      <c r="T83" s="1"/>
      <c r="U83" s="1"/>
      <c r="V83" s="1"/>
      <c r="W83" s="1"/>
      <c r="X83" s="1" t="s">
        <v>12038</v>
      </c>
      <c r="Y83" s="1"/>
      <c r="Z83" s="1"/>
      <c r="AA83" s="1"/>
      <c r="AB83" s="1" t="s">
        <v>12115</v>
      </c>
      <c r="AC83" s="1"/>
      <c r="AD83" s="1"/>
      <c r="AE83" s="1" t="s">
        <v>12116</v>
      </c>
      <c r="AF83" s="1"/>
      <c r="AG83" s="1"/>
      <c r="AH83" s="1" t="s">
        <v>12117</v>
      </c>
      <c r="AI83" s="1"/>
      <c r="AJ83" s="1" t="s">
        <v>12118</v>
      </c>
      <c r="AK83" s="1" t="s">
        <v>12119</v>
      </c>
      <c r="AL83" s="1"/>
      <c r="AM83" s="1" t="s">
        <v>12120</v>
      </c>
      <c r="AN83" s="1" t="s">
        <v>12119</v>
      </c>
      <c r="AO83" s="1"/>
      <c r="AP83" s="2" t="s">
        <v>12121</v>
      </c>
      <c r="AQ83" s="2" t="s">
        <v>1155</v>
      </c>
      <c r="AR83" s="1"/>
      <c r="AS83" s="1"/>
      <c r="AT83" s="1" t="s">
        <v>5</v>
      </c>
    </row>
    <row r="84" spans="1:46" hidden="1" x14ac:dyDescent="0.4">
      <c r="A84" s="1" t="s">
        <v>12908</v>
      </c>
      <c r="B84" s="10"/>
      <c r="C84" s="1" t="s">
        <v>93</v>
      </c>
      <c r="D84" s="1" t="s">
        <v>11999</v>
      </c>
      <c r="E84" s="1" t="s">
        <v>2291</v>
      </c>
      <c r="F84" s="1" t="s">
        <v>14</v>
      </c>
      <c r="G84" s="1" t="s">
        <v>1</v>
      </c>
      <c r="H84" s="1" t="s">
        <v>6</v>
      </c>
      <c r="I84" s="1" t="s">
        <v>2</v>
      </c>
      <c r="J84" s="1" t="s">
        <v>3</v>
      </c>
      <c r="K84" s="1" t="s">
        <v>12909</v>
      </c>
      <c r="L84" s="1" t="s">
        <v>7</v>
      </c>
      <c r="M84" s="1"/>
      <c r="N84" s="1" t="s">
        <v>12910</v>
      </c>
      <c r="O84" s="1" t="s">
        <v>12103</v>
      </c>
      <c r="P84" s="1"/>
      <c r="Q84" s="1"/>
      <c r="R84" s="1" t="s">
        <v>11</v>
      </c>
      <c r="S84" s="1"/>
      <c r="T84" s="1"/>
      <c r="U84" s="1"/>
      <c r="V84" s="1"/>
      <c r="W84" s="1"/>
      <c r="X84" s="1" t="s">
        <v>12038</v>
      </c>
      <c r="Y84" s="1"/>
      <c r="Z84" s="1"/>
      <c r="AA84" s="1"/>
      <c r="AB84" s="1" t="s">
        <v>12911</v>
      </c>
      <c r="AC84" s="1"/>
      <c r="AD84" s="1"/>
      <c r="AE84" s="1" t="s">
        <v>12912</v>
      </c>
      <c r="AF84" s="1"/>
      <c r="AG84" s="1"/>
      <c r="AH84" s="1" t="s">
        <v>12913</v>
      </c>
      <c r="AI84" s="1"/>
      <c r="AJ84" s="1" t="s">
        <v>5631</v>
      </c>
      <c r="AK84" s="1" t="s">
        <v>5632</v>
      </c>
      <c r="AL84" s="1" t="s">
        <v>5633</v>
      </c>
      <c r="AM84" s="1" t="s">
        <v>5631</v>
      </c>
      <c r="AN84" s="1" t="s">
        <v>5632</v>
      </c>
      <c r="AO84" s="1" t="s">
        <v>5633</v>
      </c>
      <c r="AP84" s="2" t="s">
        <v>12914</v>
      </c>
      <c r="AQ84" s="2" t="s">
        <v>1077</v>
      </c>
      <c r="AR84" s="1" t="s">
        <v>286</v>
      </c>
      <c r="AS84" s="1"/>
      <c r="AT84" s="1" t="s">
        <v>5</v>
      </c>
    </row>
    <row r="85" spans="1:46" hidden="1" x14ac:dyDescent="0.4">
      <c r="A85" s="1" t="s">
        <v>12666</v>
      </c>
      <c r="B85" s="10"/>
      <c r="C85" s="1" t="s">
        <v>3626</v>
      </c>
      <c r="D85" s="1" t="s">
        <v>11999</v>
      </c>
      <c r="E85" s="1" t="s">
        <v>2291</v>
      </c>
      <c r="F85" s="1" t="s">
        <v>14</v>
      </c>
      <c r="G85" s="1" t="s">
        <v>1</v>
      </c>
      <c r="H85" s="1" t="s">
        <v>6</v>
      </c>
      <c r="I85" s="1" t="s">
        <v>2</v>
      </c>
      <c r="J85" s="1" t="s">
        <v>3514</v>
      </c>
      <c r="K85" s="1" t="s">
        <v>12667</v>
      </c>
      <c r="L85" s="1" t="s">
        <v>7</v>
      </c>
      <c r="M85" s="1"/>
      <c r="N85" s="1" t="s">
        <v>12668</v>
      </c>
      <c r="O85" s="1" t="s">
        <v>12669</v>
      </c>
      <c r="P85" s="1"/>
      <c r="Q85" s="1"/>
      <c r="R85" s="1" t="s">
        <v>11</v>
      </c>
      <c r="S85" s="1"/>
      <c r="T85" s="1"/>
      <c r="U85" s="1"/>
      <c r="V85" s="1"/>
      <c r="W85" s="1"/>
      <c r="X85" s="1" t="s">
        <v>10021</v>
      </c>
      <c r="Y85" s="1"/>
      <c r="Z85" s="1"/>
      <c r="AA85" s="1"/>
      <c r="AB85" s="1" t="s">
        <v>12670</v>
      </c>
      <c r="AC85" s="1"/>
      <c r="AD85" s="1"/>
      <c r="AE85" s="1" t="s">
        <v>12671</v>
      </c>
      <c r="AF85" s="1"/>
      <c r="AG85" s="1"/>
      <c r="AH85" s="1" t="s">
        <v>12672</v>
      </c>
      <c r="AI85" s="1"/>
      <c r="AJ85" s="1" t="s">
        <v>12673</v>
      </c>
      <c r="AK85" s="1" t="s">
        <v>5314</v>
      </c>
      <c r="AL85" s="1"/>
      <c r="AM85" s="1" t="s">
        <v>12673</v>
      </c>
      <c r="AN85" s="1" t="s">
        <v>5314</v>
      </c>
      <c r="AO85" s="1"/>
      <c r="AP85" s="2" t="s">
        <v>12674</v>
      </c>
      <c r="AQ85" s="2" t="s">
        <v>1153</v>
      </c>
      <c r="AR85" s="1" t="s">
        <v>287</v>
      </c>
      <c r="AS85" s="1"/>
      <c r="AT85" s="1" t="s">
        <v>5</v>
      </c>
    </row>
    <row r="86" spans="1:46" hidden="1" x14ac:dyDescent="0.4">
      <c r="A86" s="1" t="s">
        <v>13255</v>
      </c>
      <c r="B86" s="10"/>
      <c r="C86" s="1" t="s">
        <v>93</v>
      </c>
      <c r="D86" s="1" t="s">
        <v>11999</v>
      </c>
      <c r="E86" s="1" t="s">
        <v>2291</v>
      </c>
      <c r="F86" s="1" t="s">
        <v>14</v>
      </c>
      <c r="G86" s="1" t="s">
        <v>1</v>
      </c>
      <c r="H86" s="1" t="s">
        <v>6</v>
      </c>
      <c r="I86" s="1" t="s">
        <v>2</v>
      </c>
      <c r="J86" s="1" t="s">
        <v>3</v>
      </c>
      <c r="K86" s="1" t="s">
        <v>13256</v>
      </c>
      <c r="L86" s="1" t="s">
        <v>7</v>
      </c>
      <c r="M86" s="1"/>
      <c r="N86" s="1" t="s">
        <v>13257</v>
      </c>
      <c r="O86" s="1" t="s">
        <v>12103</v>
      </c>
      <c r="P86" s="1"/>
      <c r="Q86" s="1" t="s">
        <v>12</v>
      </c>
      <c r="R86" s="1" t="s">
        <v>11</v>
      </c>
      <c r="S86" s="1"/>
      <c r="T86" s="1" t="s">
        <v>12</v>
      </c>
      <c r="U86" s="1" t="s">
        <v>11</v>
      </c>
      <c r="V86" s="1"/>
      <c r="W86" s="1" t="s">
        <v>13258</v>
      </c>
      <c r="X86" s="1" t="s">
        <v>12038</v>
      </c>
      <c r="Y86" s="1"/>
      <c r="Z86" s="1"/>
      <c r="AA86" s="1"/>
      <c r="AB86" s="1" t="s">
        <v>13259</v>
      </c>
      <c r="AC86" s="1"/>
      <c r="AD86" s="1"/>
      <c r="AE86" s="1" t="s">
        <v>13260</v>
      </c>
      <c r="AF86" s="1"/>
      <c r="AG86" s="1"/>
      <c r="AH86" s="1" t="s">
        <v>13261</v>
      </c>
      <c r="AI86" s="1"/>
      <c r="AJ86" s="1" t="s">
        <v>13262</v>
      </c>
      <c r="AK86" s="1" t="s">
        <v>6115</v>
      </c>
      <c r="AL86" s="1" t="s">
        <v>13263</v>
      </c>
      <c r="AM86" s="1" t="s">
        <v>13262</v>
      </c>
      <c r="AN86" s="1" t="s">
        <v>6115</v>
      </c>
      <c r="AO86" s="1" t="s">
        <v>13263</v>
      </c>
      <c r="AP86" s="2" t="s">
        <v>13264</v>
      </c>
      <c r="AQ86" s="2" t="s">
        <v>1156</v>
      </c>
      <c r="AR86" s="1" t="s">
        <v>286</v>
      </c>
      <c r="AS86" s="1" t="s">
        <v>13265</v>
      </c>
      <c r="AT86" s="1" t="s">
        <v>5</v>
      </c>
    </row>
    <row r="87" spans="1:46" hidden="1" x14ac:dyDescent="0.4">
      <c r="A87" s="1" t="s">
        <v>12265</v>
      </c>
      <c r="B87" s="10"/>
      <c r="C87" s="1" t="s">
        <v>0</v>
      </c>
      <c r="D87" s="1" t="s">
        <v>11999</v>
      </c>
      <c r="E87" s="1" t="s">
        <v>2291</v>
      </c>
      <c r="F87" s="1" t="s">
        <v>14</v>
      </c>
      <c r="G87" s="1" t="s">
        <v>1</v>
      </c>
      <c r="H87" s="1" t="s">
        <v>6</v>
      </c>
      <c r="I87" s="1" t="s">
        <v>2</v>
      </c>
      <c r="J87" s="1" t="s">
        <v>3</v>
      </c>
      <c r="K87" s="1" t="s">
        <v>12266</v>
      </c>
      <c r="L87" s="1" t="s">
        <v>7</v>
      </c>
      <c r="M87" s="1" t="s">
        <v>8</v>
      </c>
      <c r="N87" s="1" t="s">
        <v>12267</v>
      </c>
      <c r="O87" s="1" t="s">
        <v>12103</v>
      </c>
      <c r="P87" s="1"/>
      <c r="Q87" s="1"/>
      <c r="R87" s="1" t="s">
        <v>11</v>
      </c>
      <c r="S87" s="1"/>
      <c r="T87" s="1"/>
      <c r="U87" s="1"/>
      <c r="V87" s="1"/>
      <c r="W87" s="1" t="s">
        <v>12268</v>
      </c>
      <c r="X87" s="1" t="s">
        <v>12038</v>
      </c>
      <c r="Y87" s="1"/>
      <c r="Z87" s="1"/>
      <c r="AA87" s="1"/>
      <c r="AB87" s="1" t="s">
        <v>12269</v>
      </c>
      <c r="AC87" s="1"/>
      <c r="AD87" s="1"/>
      <c r="AE87" s="1" t="s">
        <v>12270</v>
      </c>
      <c r="AF87" s="1"/>
      <c r="AG87" s="1"/>
      <c r="AH87" s="1" t="s">
        <v>12271</v>
      </c>
      <c r="AI87" s="1"/>
      <c r="AJ87" s="1" t="s">
        <v>12272</v>
      </c>
      <c r="AK87" s="1" t="s">
        <v>12273</v>
      </c>
      <c r="AL87" s="1"/>
      <c r="AM87" s="1" t="s">
        <v>12272</v>
      </c>
      <c r="AN87" s="1" t="s">
        <v>12273</v>
      </c>
      <c r="AO87" s="1"/>
      <c r="AP87" s="2" t="s">
        <v>12274</v>
      </c>
      <c r="AQ87" s="2" t="s">
        <v>1154</v>
      </c>
      <c r="AR87" s="1"/>
      <c r="AS87" s="1"/>
      <c r="AT87" s="1" t="s">
        <v>5</v>
      </c>
    </row>
    <row r="88" spans="1:46" hidden="1" x14ac:dyDescent="0.4">
      <c r="A88" s="1" t="s">
        <v>14129</v>
      </c>
      <c r="B88" s="10"/>
      <c r="C88" s="1" t="s">
        <v>0</v>
      </c>
      <c r="D88" s="1" t="s">
        <v>11999</v>
      </c>
      <c r="E88" s="1" t="s">
        <v>2291</v>
      </c>
      <c r="F88" s="1" t="s">
        <v>14</v>
      </c>
      <c r="G88" s="1" t="s">
        <v>1</v>
      </c>
      <c r="H88" s="1" t="s">
        <v>6</v>
      </c>
      <c r="I88" s="1" t="s">
        <v>2</v>
      </c>
      <c r="J88" s="1" t="s">
        <v>3</v>
      </c>
      <c r="K88" s="1" t="s">
        <v>14130</v>
      </c>
      <c r="L88" s="1" t="s">
        <v>7</v>
      </c>
      <c r="M88" s="1" t="s">
        <v>9</v>
      </c>
      <c r="N88" s="1" t="s">
        <v>14131</v>
      </c>
      <c r="O88" s="1" t="s">
        <v>12077</v>
      </c>
      <c r="P88" s="1"/>
      <c r="Q88" s="1"/>
      <c r="R88" s="1" t="s">
        <v>11</v>
      </c>
      <c r="S88" s="1"/>
      <c r="T88" s="1"/>
      <c r="U88" s="1"/>
      <c r="V88" s="1"/>
      <c r="W88" s="1"/>
      <c r="X88" s="1" t="s">
        <v>12038</v>
      </c>
      <c r="Y88" s="1"/>
      <c r="Z88" s="1"/>
      <c r="AA88" s="1"/>
      <c r="AB88" s="1" t="s">
        <v>14132</v>
      </c>
      <c r="AC88" s="1"/>
      <c r="AD88" s="1"/>
      <c r="AE88" s="1" t="s">
        <v>14133</v>
      </c>
      <c r="AF88" s="1"/>
      <c r="AG88" s="1"/>
      <c r="AH88" s="1" t="s">
        <v>14134</v>
      </c>
      <c r="AI88" s="1"/>
      <c r="AJ88" s="1" t="s">
        <v>1431</v>
      </c>
      <c r="AK88" s="1" t="s">
        <v>515</v>
      </c>
      <c r="AL88" s="1" t="s">
        <v>1432</v>
      </c>
      <c r="AM88" s="1" t="s">
        <v>14135</v>
      </c>
      <c r="AN88" s="1" t="s">
        <v>515</v>
      </c>
      <c r="AO88" s="1" t="s">
        <v>14136</v>
      </c>
      <c r="AP88" s="2" t="s">
        <v>14137</v>
      </c>
      <c r="AQ88" s="2" t="s">
        <v>1155</v>
      </c>
      <c r="AR88" s="1" t="s">
        <v>286</v>
      </c>
      <c r="AS88" s="1" t="s">
        <v>1882</v>
      </c>
      <c r="AT88" s="1" t="s">
        <v>5</v>
      </c>
    </row>
    <row r="89" spans="1:46" hidden="1" x14ac:dyDescent="0.4">
      <c r="A89" s="1" t="s">
        <v>12247</v>
      </c>
      <c r="B89" s="10"/>
      <c r="C89" s="1" t="s">
        <v>0</v>
      </c>
      <c r="D89" s="1" t="s">
        <v>11999</v>
      </c>
      <c r="E89" s="1" t="s">
        <v>2291</v>
      </c>
      <c r="F89" s="1" t="s">
        <v>14</v>
      </c>
      <c r="G89" s="1" t="s">
        <v>1</v>
      </c>
      <c r="H89" s="1" t="s">
        <v>6</v>
      </c>
      <c r="I89" s="1" t="s">
        <v>2</v>
      </c>
      <c r="J89" s="1" t="s">
        <v>3</v>
      </c>
      <c r="K89" s="1" t="s">
        <v>12248</v>
      </c>
      <c r="L89" s="1" t="s">
        <v>7</v>
      </c>
      <c r="M89" s="1" t="s">
        <v>9</v>
      </c>
      <c r="N89" s="1" t="s">
        <v>12249</v>
      </c>
      <c r="O89" s="1" t="s">
        <v>12250</v>
      </c>
      <c r="P89" s="1"/>
      <c r="Q89" s="1"/>
      <c r="R89" s="1" t="s">
        <v>11</v>
      </c>
      <c r="S89" s="1"/>
      <c r="T89" s="1"/>
      <c r="U89" s="1"/>
      <c r="V89" s="1"/>
      <c r="W89" s="1"/>
      <c r="X89" s="1" t="s">
        <v>12038</v>
      </c>
      <c r="Y89" s="1"/>
      <c r="Z89" s="1"/>
      <c r="AA89" s="1"/>
      <c r="AB89" s="1" t="s">
        <v>12251</v>
      </c>
      <c r="AC89" s="1"/>
      <c r="AD89" s="1"/>
      <c r="AE89" s="1"/>
      <c r="AF89" s="1"/>
      <c r="AG89" s="1"/>
      <c r="AH89" s="1" t="s">
        <v>12252</v>
      </c>
      <c r="AI89" s="1"/>
      <c r="AJ89" s="1" t="s">
        <v>2090</v>
      </c>
      <c r="AK89" s="1" t="s">
        <v>12253</v>
      </c>
      <c r="AL89" s="1"/>
      <c r="AM89" s="1" t="s">
        <v>2090</v>
      </c>
      <c r="AN89" s="1" t="s">
        <v>12253</v>
      </c>
      <c r="AO89" s="1"/>
      <c r="AP89" s="2" t="s">
        <v>12254</v>
      </c>
      <c r="AQ89" s="2" t="s">
        <v>1077</v>
      </c>
      <c r="AR89" s="1"/>
      <c r="AS89" s="1"/>
      <c r="AT89" s="1" t="s">
        <v>10</v>
      </c>
    </row>
    <row r="90" spans="1:46" hidden="1" x14ac:dyDescent="0.4">
      <c r="A90" s="1" t="s">
        <v>13356</v>
      </c>
      <c r="B90" s="10"/>
      <c r="C90" s="1" t="s">
        <v>93</v>
      </c>
      <c r="D90" s="1" t="s">
        <v>11999</v>
      </c>
      <c r="E90" s="1" t="s">
        <v>2291</v>
      </c>
      <c r="F90" s="1" t="s">
        <v>14</v>
      </c>
      <c r="G90" s="1" t="s">
        <v>1</v>
      </c>
      <c r="H90" s="1" t="s">
        <v>6</v>
      </c>
      <c r="I90" s="1" t="s">
        <v>2</v>
      </c>
      <c r="J90" s="1" t="s">
        <v>3</v>
      </c>
      <c r="K90" s="1" t="s">
        <v>13357</v>
      </c>
      <c r="L90" s="1" t="s">
        <v>7</v>
      </c>
      <c r="M90" s="1" t="s">
        <v>9</v>
      </c>
      <c r="N90" s="1" t="s">
        <v>13358</v>
      </c>
      <c r="O90" s="1" t="s">
        <v>13359</v>
      </c>
      <c r="P90" s="1"/>
      <c r="Q90" s="1"/>
      <c r="R90" s="1" t="s">
        <v>11</v>
      </c>
      <c r="S90" s="1"/>
      <c r="T90" s="1"/>
      <c r="U90" s="1"/>
      <c r="V90" s="1"/>
      <c r="W90" s="1"/>
      <c r="X90" s="1" t="s">
        <v>12038</v>
      </c>
      <c r="Y90" s="1"/>
      <c r="Z90" s="1"/>
      <c r="AA90" s="1"/>
      <c r="AB90" s="1" t="s">
        <v>13360</v>
      </c>
      <c r="AC90" s="1"/>
      <c r="AD90" s="1"/>
      <c r="AE90" s="1" t="s">
        <v>13361</v>
      </c>
      <c r="AF90" s="1"/>
      <c r="AG90" s="1"/>
      <c r="AH90" s="1" t="s">
        <v>13362</v>
      </c>
      <c r="AI90" s="1"/>
      <c r="AJ90" s="1" t="s">
        <v>13363</v>
      </c>
      <c r="AK90" s="1" t="s">
        <v>8396</v>
      </c>
      <c r="AL90" s="1" t="s">
        <v>13364</v>
      </c>
      <c r="AM90" s="1" t="s">
        <v>13363</v>
      </c>
      <c r="AN90" s="1" t="s">
        <v>8396</v>
      </c>
      <c r="AO90" s="1" t="s">
        <v>13364</v>
      </c>
      <c r="AP90" s="2" t="s">
        <v>13365</v>
      </c>
      <c r="AQ90" s="2" t="s">
        <v>1154</v>
      </c>
      <c r="AR90" s="1" t="s">
        <v>286</v>
      </c>
      <c r="AS90" s="1"/>
      <c r="AT90" s="1" t="s">
        <v>5</v>
      </c>
    </row>
    <row r="91" spans="1:46" hidden="1" x14ac:dyDescent="0.4">
      <c r="A91" s="1" t="s">
        <v>14040</v>
      </c>
      <c r="B91" s="10"/>
      <c r="C91" s="1" t="s">
        <v>93</v>
      </c>
      <c r="D91" s="1" t="s">
        <v>11999</v>
      </c>
      <c r="E91" s="1" t="s">
        <v>2291</v>
      </c>
      <c r="F91" s="1" t="s">
        <v>14</v>
      </c>
      <c r="G91" s="1" t="s">
        <v>1</v>
      </c>
      <c r="H91" s="1" t="s">
        <v>6</v>
      </c>
      <c r="I91" s="1" t="s">
        <v>2</v>
      </c>
      <c r="J91" s="1" t="s">
        <v>3</v>
      </c>
      <c r="K91" s="1" t="s">
        <v>14041</v>
      </c>
      <c r="L91" s="1" t="s">
        <v>7</v>
      </c>
      <c r="M91" s="1"/>
      <c r="N91" s="1" t="s">
        <v>14042</v>
      </c>
      <c r="O91" s="1" t="s">
        <v>14043</v>
      </c>
      <c r="P91" s="1"/>
      <c r="Q91" s="1"/>
      <c r="R91" s="1" t="s">
        <v>11</v>
      </c>
      <c r="S91" s="1"/>
      <c r="T91" s="1"/>
      <c r="U91" s="1"/>
      <c r="V91" s="1"/>
      <c r="W91" s="1"/>
      <c r="X91" s="1" t="s">
        <v>12038</v>
      </c>
      <c r="Y91" s="1"/>
      <c r="Z91" s="1"/>
      <c r="AA91" s="1"/>
      <c r="AB91" s="1" t="s">
        <v>14044</v>
      </c>
      <c r="AC91" s="1"/>
      <c r="AD91" s="1"/>
      <c r="AE91" s="1" t="s">
        <v>13361</v>
      </c>
      <c r="AF91" s="1"/>
      <c r="AG91" s="1"/>
      <c r="AH91" s="1" t="s">
        <v>14045</v>
      </c>
      <c r="AI91" s="1"/>
      <c r="AJ91" s="1" t="s">
        <v>10826</v>
      </c>
      <c r="AK91" s="1" t="s">
        <v>1787</v>
      </c>
      <c r="AL91" s="1" t="s">
        <v>10827</v>
      </c>
      <c r="AM91" s="1" t="s">
        <v>10826</v>
      </c>
      <c r="AN91" s="1" t="s">
        <v>1787</v>
      </c>
      <c r="AO91" s="1" t="s">
        <v>10827</v>
      </c>
      <c r="AP91" s="2" t="s">
        <v>14046</v>
      </c>
      <c r="AQ91" s="2" t="s">
        <v>1155</v>
      </c>
      <c r="AR91" s="1" t="s">
        <v>286</v>
      </c>
      <c r="AS91" s="1" t="s">
        <v>970</v>
      </c>
      <c r="AT91" s="1" t="s">
        <v>5</v>
      </c>
    </row>
    <row r="92" spans="1:46" hidden="1" x14ac:dyDescent="0.4">
      <c r="A92" s="1" t="s">
        <v>14138</v>
      </c>
      <c r="B92" s="10"/>
      <c r="C92" s="1" t="s">
        <v>0</v>
      </c>
      <c r="D92" s="1" t="s">
        <v>11999</v>
      </c>
      <c r="E92" s="1" t="s">
        <v>2291</v>
      </c>
      <c r="F92" s="1" t="s">
        <v>14</v>
      </c>
      <c r="G92" s="1" t="s">
        <v>1</v>
      </c>
      <c r="H92" s="1" t="s">
        <v>6</v>
      </c>
      <c r="I92" s="1" t="s">
        <v>2</v>
      </c>
      <c r="J92" s="1" t="s">
        <v>3</v>
      </c>
      <c r="K92" s="1" t="s">
        <v>14139</v>
      </c>
      <c r="L92" s="1" t="s">
        <v>4</v>
      </c>
      <c r="M92" s="1" t="s">
        <v>9</v>
      </c>
      <c r="N92" s="1" t="s">
        <v>12085</v>
      </c>
      <c r="O92" s="1" t="s">
        <v>12037</v>
      </c>
      <c r="P92" s="1" t="s">
        <v>14140</v>
      </c>
      <c r="Q92" s="1"/>
      <c r="R92" s="1" t="s">
        <v>11</v>
      </c>
      <c r="S92" s="1"/>
      <c r="T92" s="1"/>
      <c r="U92" s="1"/>
      <c r="V92" s="1"/>
      <c r="W92" s="1" t="s">
        <v>14141</v>
      </c>
      <c r="X92" s="1" t="s">
        <v>12038</v>
      </c>
      <c r="Y92" s="1"/>
      <c r="Z92" s="1"/>
      <c r="AA92" s="1"/>
      <c r="AB92" s="1" t="s">
        <v>14142</v>
      </c>
      <c r="AC92" s="1"/>
      <c r="AD92" s="1"/>
      <c r="AE92" s="1" t="s">
        <v>14143</v>
      </c>
      <c r="AF92" s="1"/>
      <c r="AG92" s="1"/>
      <c r="AH92" s="1" t="s">
        <v>14144</v>
      </c>
      <c r="AI92" s="1"/>
      <c r="AJ92" s="1" t="s">
        <v>1431</v>
      </c>
      <c r="AK92" s="1" t="s">
        <v>515</v>
      </c>
      <c r="AL92" s="1" t="s">
        <v>1432</v>
      </c>
      <c r="AM92" s="1" t="s">
        <v>14135</v>
      </c>
      <c r="AN92" s="1" t="s">
        <v>515</v>
      </c>
      <c r="AO92" s="1" t="s">
        <v>14136</v>
      </c>
      <c r="AP92" s="2" t="s">
        <v>14145</v>
      </c>
      <c r="AQ92" s="2" t="s">
        <v>1155</v>
      </c>
      <c r="AR92" s="1" t="s">
        <v>286</v>
      </c>
      <c r="AS92" s="1"/>
      <c r="AT92" s="1" t="s">
        <v>5</v>
      </c>
    </row>
    <row r="93" spans="1:46" hidden="1" x14ac:dyDescent="0.4">
      <c r="A93" s="1" t="s">
        <v>12346</v>
      </c>
      <c r="B93" s="10"/>
      <c r="C93" s="1" t="s">
        <v>93</v>
      </c>
      <c r="D93" s="1" t="s">
        <v>11999</v>
      </c>
      <c r="E93" s="1" t="s">
        <v>2291</v>
      </c>
      <c r="F93" s="1" t="s">
        <v>14</v>
      </c>
      <c r="G93" s="1" t="s">
        <v>1</v>
      </c>
      <c r="H93" s="1" t="s">
        <v>6</v>
      </c>
      <c r="I93" s="1" t="s">
        <v>2</v>
      </c>
      <c r="J93" s="1" t="s">
        <v>3</v>
      </c>
      <c r="K93" s="1" t="s">
        <v>12347</v>
      </c>
      <c r="L93" s="1" t="s">
        <v>7</v>
      </c>
      <c r="M93" s="1"/>
      <c r="N93" s="1" t="s">
        <v>12348</v>
      </c>
      <c r="O93" s="1" t="s">
        <v>12077</v>
      </c>
      <c r="P93" s="1"/>
      <c r="Q93" s="1"/>
      <c r="R93" s="1" t="s">
        <v>11</v>
      </c>
      <c r="S93" s="1"/>
      <c r="T93" s="1"/>
      <c r="U93" s="1"/>
      <c r="V93" s="1"/>
      <c r="W93" s="1"/>
      <c r="X93" s="1" t="s">
        <v>12038</v>
      </c>
      <c r="Y93" s="1"/>
      <c r="Z93" s="1"/>
      <c r="AA93" s="1"/>
      <c r="AB93" s="1" t="s">
        <v>12349</v>
      </c>
      <c r="AC93" s="1"/>
      <c r="AD93" s="1"/>
      <c r="AE93" s="1" t="s">
        <v>12350</v>
      </c>
      <c r="AF93" s="1"/>
      <c r="AG93" s="1"/>
      <c r="AH93" s="1" t="s">
        <v>12351</v>
      </c>
      <c r="AI93" s="1"/>
      <c r="AJ93" s="1" t="s">
        <v>12352</v>
      </c>
      <c r="AK93" s="1" t="s">
        <v>4273</v>
      </c>
      <c r="AL93" s="1" t="s">
        <v>12353</v>
      </c>
      <c r="AM93" s="1" t="s">
        <v>12352</v>
      </c>
      <c r="AN93" s="1" t="s">
        <v>4273</v>
      </c>
      <c r="AO93" s="1" t="s">
        <v>12353</v>
      </c>
      <c r="AP93" s="2" t="s">
        <v>12354</v>
      </c>
      <c r="AQ93" s="2" t="s">
        <v>1153</v>
      </c>
      <c r="AR93" s="1" t="s">
        <v>287</v>
      </c>
      <c r="AS93" s="1"/>
      <c r="AT93" s="1" t="s">
        <v>5</v>
      </c>
    </row>
    <row r="94" spans="1:46" hidden="1" x14ac:dyDescent="0.4">
      <c r="A94" s="1" t="s">
        <v>12366</v>
      </c>
      <c r="B94" s="10"/>
      <c r="C94" s="1" t="s">
        <v>3513</v>
      </c>
      <c r="D94" s="1" t="s">
        <v>11999</v>
      </c>
      <c r="E94" s="1" t="s">
        <v>2291</v>
      </c>
      <c r="F94" s="1" t="s">
        <v>14</v>
      </c>
      <c r="G94" s="1" t="s">
        <v>1</v>
      </c>
      <c r="H94" s="1" t="s">
        <v>6</v>
      </c>
      <c r="I94" s="1" t="s">
        <v>2</v>
      </c>
      <c r="J94" s="1" t="s">
        <v>3514</v>
      </c>
      <c r="K94" s="1" t="s">
        <v>12367</v>
      </c>
      <c r="L94" s="1" t="s">
        <v>7</v>
      </c>
      <c r="M94" s="1" t="s">
        <v>8</v>
      </c>
      <c r="N94" s="1" t="s">
        <v>12368</v>
      </c>
      <c r="O94" s="1" t="s">
        <v>12103</v>
      </c>
      <c r="P94" s="1"/>
      <c r="Q94" s="1"/>
      <c r="R94" s="1" t="s">
        <v>11</v>
      </c>
      <c r="S94" s="1"/>
      <c r="T94" s="1"/>
      <c r="U94" s="1"/>
      <c r="V94" s="1"/>
      <c r="W94" s="1" t="s">
        <v>12369</v>
      </c>
      <c r="X94" s="1" t="s">
        <v>12038</v>
      </c>
      <c r="Y94" s="1"/>
      <c r="Z94" s="1"/>
      <c r="AA94" s="1"/>
      <c r="AB94" s="1" t="s">
        <v>12370</v>
      </c>
      <c r="AC94" s="1"/>
      <c r="AD94" s="1"/>
      <c r="AE94" s="1" t="s">
        <v>12360</v>
      </c>
      <c r="AF94" s="1"/>
      <c r="AG94" s="1"/>
      <c r="AH94" s="1" t="s">
        <v>12371</v>
      </c>
      <c r="AI94" s="1"/>
      <c r="AJ94" s="1" t="s">
        <v>12362</v>
      </c>
      <c r="AK94" s="1" t="s">
        <v>12363</v>
      </c>
      <c r="AL94" s="1" t="s">
        <v>12364</v>
      </c>
      <c r="AM94" s="1" t="s">
        <v>12362</v>
      </c>
      <c r="AN94" s="1" t="s">
        <v>12363</v>
      </c>
      <c r="AO94" s="1" t="s">
        <v>12364</v>
      </c>
      <c r="AP94" s="2" t="s">
        <v>12372</v>
      </c>
      <c r="AQ94" s="2" t="s">
        <v>1153</v>
      </c>
      <c r="AR94" s="1" t="s">
        <v>287</v>
      </c>
      <c r="AS94" s="1"/>
      <c r="AT94" s="1" t="s">
        <v>5</v>
      </c>
    </row>
    <row r="95" spans="1:46" hidden="1" x14ac:dyDescent="0.4">
      <c r="A95" s="1" t="s">
        <v>12355</v>
      </c>
      <c r="B95" s="10"/>
      <c r="C95" s="1" t="s">
        <v>3513</v>
      </c>
      <c r="D95" s="1" t="s">
        <v>11999</v>
      </c>
      <c r="E95" s="1" t="s">
        <v>2291</v>
      </c>
      <c r="F95" s="1" t="s">
        <v>14</v>
      </c>
      <c r="G95" s="1" t="s">
        <v>1</v>
      </c>
      <c r="H95" s="1" t="s">
        <v>6</v>
      </c>
      <c r="I95" s="1" t="s">
        <v>2</v>
      </c>
      <c r="J95" s="1" t="s">
        <v>3514</v>
      </c>
      <c r="K95" s="1" t="s">
        <v>12356</v>
      </c>
      <c r="L95" s="1" t="s">
        <v>7</v>
      </c>
      <c r="M95" s="1"/>
      <c r="N95" s="1" t="s">
        <v>12357</v>
      </c>
      <c r="O95" s="1" t="s">
        <v>12103</v>
      </c>
      <c r="P95" s="1"/>
      <c r="Q95" s="1"/>
      <c r="R95" s="1" t="s">
        <v>11</v>
      </c>
      <c r="S95" s="1"/>
      <c r="T95" s="1"/>
      <c r="U95" s="1"/>
      <c r="V95" s="1"/>
      <c r="W95" s="1" t="s">
        <v>12358</v>
      </c>
      <c r="X95" s="1" t="s">
        <v>12038</v>
      </c>
      <c r="Y95" s="1"/>
      <c r="Z95" s="1"/>
      <c r="AA95" s="1"/>
      <c r="AB95" s="1" t="s">
        <v>12359</v>
      </c>
      <c r="AC95" s="1"/>
      <c r="AD95" s="1"/>
      <c r="AE95" s="1" t="s">
        <v>12360</v>
      </c>
      <c r="AF95" s="1"/>
      <c r="AG95" s="1"/>
      <c r="AH95" s="1" t="s">
        <v>12361</v>
      </c>
      <c r="AI95" s="1"/>
      <c r="AJ95" s="1" t="s">
        <v>12362</v>
      </c>
      <c r="AK95" s="1" t="s">
        <v>12363</v>
      </c>
      <c r="AL95" s="1" t="s">
        <v>12364</v>
      </c>
      <c r="AM95" s="1" t="s">
        <v>12362</v>
      </c>
      <c r="AN95" s="1" t="s">
        <v>12363</v>
      </c>
      <c r="AO95" s="1" t="s">
        <v>12364</v>
      </c>
      <c r="AP95" s="2" t="s">
        <v>12365</v>
      </c>
      <c r="AQ95" s="2" t="s">
        <v>1153</v>
      </c>
      <c r="AR95" s="1" t="s">
        <v>287</v>
      </c>
      <c r="AS95" s="1"/>
      <c r="AT95" s="1" t="s">
        <v>5</v>
      </c>
    </row>
    <row r="96" spans="1:46" hidden="1" x14ac:dyDescent="0.4">
      <c r="A96" s="1" t="s">
        <v>13231</v>
      </c>
      <c r="B96" s="10"/>
      <c r="C96" s="1" t="s">
        <v>93</v>
      </c>
      <c r="D96" s="1" t="s">
        <v>11999</v>
      </c>
      <c r="E96" s="1" t="s">
        <v>2291</v>
      </c>
      <c r="F96" s="1" t="s">
        <v>14</v>
      </c>
      <c r="G96" s="1" t="s">
        <v>1</v>
      </c>
      <c r="H96" s="1" t="s">
        <v>6</v>
      </c>
      <c r="I96" s="1" t="s">
        <v>2</v>
      </c>
      <c r="J96" s="1" t="s">
        <v>3</v>
      </c>
      <c r="K96" s="1" t="s">
        <v>13232</v>
      </c>
      <c r="L96" s="1" t="s">
        <v>7</v>
      </c>
      <c r="M96" s="1"/>
      <c r="N96" s="1" t="s">
        <v>13233</v>
      </c>
      <c r="O96" s="1" t="s">
        <v>12103</v>
      </c>
      <c r="P96" s="1"/>
      <c r="Q96" s="1"/>
      <c r="R96" s="1" t="s">
        <v>11</v>
      </c>
      <c r="S96" s="1"/>
      <c r="T96" s="1"/>
      <c r="U96" s="1"/>
      <c r="V96" s="1"/>
      <c r="W96" s="1"/>
      <c r="X96" s="1" t="s">
        <v>12038</v>
      </c>
      <c r="Y96" s="1"/>
      <c r="Z96" s="1"/>
      <c r="AA96" s="1"/>
      <c r="AB96" s="1" t="s">
        <v>13234</v>
      </c>
      <c r="AC96" s="1"/>
      <c r="AD96" s="1"/>
      <c r="AE96" s="1" t="s">
        <v>13235</v>
      </c>
      <c r="AF96" s="1"/>
      <c r="AG96" s="1"/>
      <c r="AH96" s="1" t="s">
        <v>13236</v>
      </c>
      <c r="AI96" s="1"/>
      <c r="AJ96" s="1" t="s">
        <v>6114</v>
      </c>
      <c r="AK96" s="1" t="s">
        <v>6115</v>
      </c>
      <c r="AL96" s="1" t="s">
        <v>6116</v>
      </c>
      <c r="AM96" s="1" t="s">
        <v>6114</v>
      </c>
      <c r="AN96" s="1" t="s">
        <v>6115</v>
      </c>
      <c r="AO96" s="1" t="s">
        <v>6116</v>
      </c>
      <c r="AP96" s="2" t="s">
        <v>13237</v>
      </c>
      <c r="AQ96" s="2" t="s">
        <v>1077</v>
      </c>
      <c r="AR96" s="1" t="s">
        <v>286</v>
      </c>
      <c r="AS96" s="1" t="s">
        <v>735</v>
      </c>
      <c r="AT96" s="1" t="s">
        <v>5</v>
      </c>
    </row>
    <row r="97" spans="1:46" hidden="1" x14ac:dyDescent="0.4">
      <c r="A97" s="1" t="s">
        <v>12760</v>
      </c>
      <c r="B97" s="10"/>
      <c r="C97" s="1" t="s">
        <v>5198</v>
      </c>
      <c r="D97" s="1" t="s">
        <v>11999</v>
      </c>
      <c r="E97" s="1" t="s">
        <v>2291</v>
      </c>
      <c r="F97" s="1" t="s">
        <v>14</v>
      </c>
      <c r="G97" s="1" t="s">
        <v>1</v>
      </c>
      <c r="H97" s="1" t="s">
        <v>6</v>
      </c>
      <c r="I97" s="1" t="s">
        <v>2</v>
      </c>
      <c r="J97" s="1" t="s">
        <v>5199</v>
      </c>
      <c r="K97" s="1" t="s">
        <v>12761</v>
      </c>
      <c r="L97" s="1" t="s">
        <v>7</v>
      </c>
      <c r="M97" s="1"/>
      <c r="N97" s="1" t="s">
        <v>12762</v>
      </c>
      <c r="O97" s="1" t="s">
        <v>12103</v>
      </c>
      <c r="P97" s="1"/>
      <c r="Q97" s="1"/>
      <c r="R97" s="1" t="s">
        <v>11</v>
      </c>
      <c r="S97" s="1"/>
      <c r="T97" s="1"/>
      <c r="U97" s="1"/>
      <c r="V97" s="1"/>
      <c r="W97" s="1"/>
      <c r="X97" s="1" t="s">
        <v>12038</v>
      </c>
      <c r="Y97" s="1"/>
      <c r="Z97" s="1"/>
      <c r="AA97" s="1"/>
      <c r="AB97" s="1" t="s">
        <v>12763</v>
      </c>
      <c r="AC97" s="1"/>
      <c r="AD97" s="1"/>
      <c r="AE97" s="1" t="s">
        <v>12764</v>
      </c>
      <c r="AF97" s="1"/>
      <c r="AG97" s="1"/>
      <c r="AH97" s="1" t="s">
        <v>12765</v>
      </c>
      <c r="AI97" s="1"/>
      <c r="AJ97" s="1" t="s">
        <v>5448</v>
      </c>
      <c r="AK97" s="1" t="s">
        <v>5449</v>
      </c>
      <c r="AL97" s="1" t="s">
        <v>5450</v>
      </c>
      <c r="AM97" s="1" t="s">
        <v>5451</v>
      </c>
      <c r="AN97" s="1" t="s">
        <v>5452</v>
      </c>
      <c r="AO97" s="1" t="s">
        <v>5453</v>
      </c>
      <c r="AP97" s="2" t="s">
        <v>12766</v>
      </c>
      <c r="AQ97" s="2" t="s">
        <v>1077</v>
      </c>
      <c r="AR97" s="1" t="s">
        <v>287</v>
      </c>
      <c r="AS97" s="1"/>
      <c r="AT97" s="1" t="s">
        <v>5</v>
      </c>
    </row>
    <row r="98" spans="1:46" hidden="1" x14ac:dyDescent="0.4">
      <c r="A98" s="1" t="s">
        <v>12882</v>
      </c>
      <c r="B98" s="10"/>
      <c r="C98" s="1" t="s">
        <v>93</v>
      </c>
      <c r="D98" s="1" t="s">
        <v>11999</v>
      </c>
      <c r="E98" s="1" t="s">
        <v>2291</v>
      </c>
      <c r="F98" s="1" t="s">
        <v>14</v>
      </c>
      <c r="G98" s="1" t="s">
        <v>1</v>
      </c>
      <c r="H98" s="1" t="s">
        <v>6</v>
      </c>
      <c r="I98" s="1" t="s">
        <v>2</v>
      </c>
      <c r="J98" s="1" t="s">
        <v>3</v>
      </c>
      <c r="K98" s="1" t="s">
        <v>12883</v>
      </c>
      <c r="L98" s="1" t="s">
        <v>7</v>
      </c>
      <c r="M98" s="1"/>
      <c r="N98" s="1" t="s">
        <v>12884</v>
      </c>
      <c r="O98" s="1" t="s">
        <v>12103</v>
      </c>
      <c r="P98" s="1"/>
      <c r="Q98" s="1"/>
      <c r="R98" s="1" t="s">
        <v>11</v>
      </c>
      <c r="S98" s="1"/>
      <c r="T98" s="1"/>
      <c r="U98" s="1"/>
      <c r="V98" s="1"/>
      <c r="W98" s="1" t="s">
        <v>12885</v>
      </c>
      <c r="X98" s="1" t="s">
        <v>12038</v>
      </c>
      <c r="Y98" s="1"/>
      <c r="Z98" s="1"/>
      <c r="AA98" s="1"/>
      <c r="AB98" s="1" t="s">
        <v>12886</v>
      </c>
      <c r="AC98" s="1"/>
      <c r="AD98" s="1"/>
      <c r="AE98" s="1" t="s">
        <v>12887</v>
      </c>
      <c r="AF98" s="1"/>
      <c r="AG98" s="1"/>
      <c r="AH98" s="1" t="s">
        <v>12888</v>
      </c>
      <c r="AI98" s="1"/>
      <c r="AJ98" s="1" t="s">
        <v>5631</v>
      </c>
      <c r="AK98" s="1" t="s">
        <v>5632</v>
      </c>
      <c r="AL98" s="1" t="s">
        <v>5633</v>
      </c>
      <c r="AM98" s="1" t="s">
        <v>5631</v>
      </c>
      <c r="AN98" s="1" t="s">
        <v>5632</v>
      </c>
      <c r="AO98" s="1" t="s">
        <v>5633</v>
      </c>
      <c r="AP98" s="2" t="s">
        <v>12889</v>
      </c>
      <c r="AQ98" s="2" t="s">
        <v>1077</v>
      </c>
      <c r="AR98" s="1" t="s">
        <v>287</v>
      </c>
      <c r="AS98" s="1"/>
      <c r="AT98" s="1" t="s">
        <v>5</v>
      </c>
    </row>
    <row r="99" spans="1:46" hidden="1" x14ac:dyDescent="0.4">
      <c r="A99" s="1" t="s">
        <v>12646</v>
      </c>
      <c r="B99" s="10"/>
      <c r="C99" s="1" t="s">
        <v>0</v>
      </c>
      <c r="D99" s="1" t="s">
        <v>11999</v>
      </c>
      <c r="E99" s="1" t="s">
        <v>2291</v>
      </c>
      <c r="F99" s="1" t="s">
        <v>14</v>
      </c>
      <c r="G99" s="1" t="s">
        <v>1</v>
      </c>
      <c r="H99" s="1" t="s">
        <v>6</v>
      </c>
      <c r="I99" s="1" t="s">
        <v>2</v>
      </c>
      <c r="J99" s="1" t="s">
        <v>3</v>
      </c>
      <c r="K99" s="1" t="s">
        <v>12647</v>
      </c>
      <c r="L99" s="1" t="s">
        <v>7</v>
      </c>
      <c r="M99" s="1" t="s">
        <v>9</v>
      </c>
      <c r="N99" s="1" t="s">
        <v>12648</v>
      </c>
      <c r="O99" s="1" t="s">
        <v>12649</v>
      </c>
      <c r="P99" s="1"/>
      <c r="Q99" s="1"/>
      <c r="R99" s="1" t="s">
        <v>11</v>
      </c>
      <c r="S99" s="1"/>
      <c r="T99" s="1"/>
      <c r="U99" s="1"/>
      <c r="V99" s="1"/>
      <c r="W99" s="1"/>
      <c r="X99" s="1" t="s">
        <v>10021</v>
      </c>
      <c r="Y99" s="1"/>
      <c r="Z99" s="1"/>
      <c r="AA99" s="1"/>
      <c r="AB99" s="1" t="s">
        <v>12650</v>
      </c>
      <c r="AC99" s="1"/>
      <c r="AD99" s="1"/>
      <c r="AE99" s="1" t="s">
        <v>12651</v>
      </c>
      <c r="AF99" s="1"/>
      <c r="AG99" s="1"/>
      <c r="AH99" s="1" t="s">
        <v>12652</v>
      </c>
      <c r="AI99" s="1" t="s">
        <v>12653</v>
      </c>
      <c r="AJ99" s="1" t="s">
        <v>124</v>
      </c>
      <c r="AK99" s="1" t="s">
        <v>12654</v>
      </c>
      <c r="AL99" s="1"/>
      <c r="AM99" s="1" t="s">
        <v>12655</v>
      </c>
      <c r="AN99" s="1" t="s">
        <v>12654</v>
      </c>
      <c r="AO99" s="1"/>
      <c r="AP99" s="2" t="s">
        <v>12656</v>
      </c>
      <c r="AQ99" s="2" t="s">
        <v>1153</v>
      </c>
      <c r="AR99" s="1" t="s">
        <v>287</v>
      </c>
      <c r="AS99" s="1"/>
      <c r="AT99" s="1" t="s">
        <v>5</v>
      </c>
    </row>
    <row r="100" spans="1:46" hidden="1" x14ac:dyDescent="0.4">
      <c r="A100" s="1" t="s">
        <v>12829</v>
      </c>
      <c r="B100" s="10"/>
      <c r="C100" s="1" t="s">
        <v>93</v>
      </c>
      <c r="D100" s="1" t="s">
        <v>11999</v>
      </c>
      <c r="E100" s="1" t="s">
        <v>2291</v>
      </c>
      <c r="F100" s="1" t="s">
        <v>14</v>
      </c>
      <c r="G100" s="1" t="s">
        <v>1</v>
      </c>
      <c r="H100" s="1" t="s">
        <v>6</v>
      </c>
      <c r="I100" s="1" t="s">
        <v>2</v>
      </c>
      <c r="J100" s="1" t="s">
        <v>3</v>
      </c>
      <c r="K100" s="1" t="s">
        <v>12830</v>
      </c>
      <c r="L100" s="1" t="s">
        <v>7</v>
      </c>
      <c r="M100" s="1" t="s">
        <v>9</v>
      </c>
      <c r="N100" s="1" t="s">
        <v>12831</v>
      </c>
      <c r="O100" s="1" t="s">
        <v>12103</v>
      </c>
      <c r="P100" s="1"/>
      <c r="Q100" s="1"/>
      <c r="R100" s="1" t="s">
        <v>11</v>
      </c>
      <c r="S100" s="1"/>
      <c r="T100" s="1"/>
      <c r="U100" s="1"/>
      <c r="V100" s="1"/>
      <c r="W100" s="1"/>
      <c r="X100" s="1" t="s">
        <v>12038</v>
      </c>
      <c r="Y100" s="1"/>
      <c r="Z100" s="1"/>
      <c r="AA100" s="1"/>
      <c r="AB100" s="1" t="s">
        <v>12832</v>
      </c>
      <c r="AC100" s="1"/>
      <c r="AD100" s="1"/>
      <c r="AE100" s="1" t="s">
        <v>12833</v>
      </c>
      <c r="AF100" s="1"/>
      <c r="AG100" s="1"/>
      <c r="AH100" s="1" t="s">
        <v>12834</v>
      </c>
      <c r="AI100" s="1"/>
      <c r="AJ100" s="1" t="s">
        <v>4272</v>
      </c>
      <c r="AK100" s="1" t="s">
        <v>4273</v>
      </c>
      <c r="AL100" s="1" t="s">
        <v>4274</v>
      </c>
      <c r="AM100" s="1" t="s">
        <v>4272</v>
      </c>
      <c r="AN100" s="1" t="s">
        <v>4273</v>
      </c>
      <c r="AO100" s="1" t="s">
        <v>4274</v>
      </c>
      <c r="AP100" s="2" t="s">
        <v>12835</v>
      </c>
      <c r="AQ100" s="2" t="s">
        <v>1077</v>
      </c>
      <c r="AR100" s="1" t="s">
        <v>287</v>
      </c>
      <c r="AS100" s="1"/>
      <c r="AT100" s="1" t="s">
        <v>5</v>
      </c>
    </row>
    <row r="101" spans="1:46" hidden="1" x14ac:dyDescent="0.4">
      <c r="A101" s="1" t="s">
        <v>13691</v>
      </c>
      <c r="B101" s="10"/>
      <c r="C101" s="1" t="s">
        <v>0</v>
      </c>
      <c r="D101" s="1" t="s">
        <v>11999</v>
      </c>
      <c r="E101" s="1" t="s">
        <v>2291</v>
      </c>
      <c r="F101" s="1" t="s">
        <v>14</v>
      </c>
      <c r="G101" s="1" t="s">
        <v>1</v>
      </c>
      <c r="H101" s="1" t="s">
        <v>6</v>
      </c>
      <c r="I101" s="1" t="s">
        <v>2</v>
      </c>
      <c r="J101" s="1" t="s">
        <v>3</v>
      </c>
      <c r="K101" s="1" t="s">
        <v>13692</v>
      </c>
      <c r="L101" s="1" t="s">
        <v>7</v>
      </c>
      <c r="M101" s="1" t="s">
        <v>9</v>
      </c>
      <c r="N101" s="1" t="s">
        <v>13693</v>
      </c>
      <c r="O101" s="1" t="s">
        <v>12103</v>
      </c>
      <c r="P101" s="1"/>
      <c r="Q101" s="1"/>
      <c r="R101" s="1" t="s">
        <v>11</v>
      </c>
      <c r="S101" s="1"/>
      <c r="T101" s="1"/>
      <c r="U101" s="1"/>
      <c r="V101" s="1"/>
      <c r="W101" s="1" t="s">
        <v>13694</v>
      </c>
      <c r="X101" s="1" t="s">
        <v>10021</v>
      </c>
      <c r="Y101" s="1"/>
      <c r="Z101" s="1"/>
      <c r="AA101" s="1"/>
      <c r="AB101" s="1" t="s">
        <v>13695</v>
      </c>
      <c r="AC101" s="1"/>
      <c r="AD101" s="1"/>
      <c r="AE101" s="1" t="s">
        <v>13696</v>
      </c>
      <c r="AF101" s="1"/>
      <c r="AG101" s="1"/>
      <c r="AH101" s="1" t="s">
        <v>13697</v>
      </c>
      <c r="AI101" s="1"/>
      <c r="AJ101" s="1" t="s">
        <v>6411</v>
      </c>
      <c r="AK101" s="1" t="s">
        <v>6412</v>
      </c>
      <c r="AL101" s="1" t="s">
        <v>6413</v>
      </c>
      <c r="AM101" s="1" t="s">
        <v>13698</v>
      </c>
      <c r="AN101" s="1" t="s">
        <v>6412</v>
      </c>
      <c r="AO101" s="1" t="s">
        <v>13699</v>
      </c>
      <c r="AP101" s="2" t="s">
        <v>13700</v>
      </c>
      <c r="AQ101" s="2" t="s">
        <v>1154</v>
      </c>
      <c r="AR101" s="1" t="s">
        <v>286</v>
      </c>
      <c r="AS101" s="1" t="s">
        <v>9340</v>
      </c>
      <c r="AT101" s="1" t="s">
        <v>5</v>
      </c>
    </row>
    <row r="102" spans="1:46" hidden="1" x14ac:dyDescent="0.4">
      <c r="A102" s="1" t="s">
        <v>13247</v>
      </c>
      <c r="B102" s="10"/>
      <c r="C102" s="1" t="s">
        <v>2705</v>
      </c>
      <c r="D102" s="1" t="s">
        <v>11999</v>
      </c>
      <c r="E102" s="1" t="s">
        <v>2291</v>
      </c>
      <c r="F102" s="1" t="s">
        <v>14</v>
      </c>
      <c r="G102" s="1" t="s">
        <v>1</v>
      </c>
      <c r="H102" s="1" t="s">
        <v>6</v>
      </c>
      <c r="I102" s="1" t="s">
        <v>2</v>
      </c>
      <c r="J102" s="1" t="s">
        <v>2813</v>
      </c>
      <c r="K102" s="1" t="s">
        <v>13248</v>
      </c>
      <c r="L102" s="1" t="s">
        <v>7</v>
      </c>
      <c r="M102" s="1" t="s">
        <v>9</v>
      </c>
      <c r="N102" s="1" t="s">
        <v>13249</v>
      </c>
      <c r="O102" s="1" t="s">
        <v>12009</v>
      </c>
      <c r="P102" s="1"/>
      <c r="Q102" s="1"/>
      <c r="R102" s="1" t="s">
        <v>11</v>
      </c>
      <c r="S102" s="1"/>
      <c r="T102" s="1"/>
      <c r="U102" s="1"/>
      <c r="V102" s="1"/>
      <c r="W102" s="1"/>
      <c r="X102" s="1" t="s">
        <v>10021</v>
      </c>
      <c r="Y102" s="1"/>
      <c r="Z102" s="1"/>
      <c r="AA102" s="1"/>
      <c r="AB102" s="1" t="s">
        <v>13250</v>
      </c>
      <c r="AC102" s="1"/>
      <c r="AD102" s="1"/>
      <c r="AE102" s="1" t="s">
        <v>12879</v>
      </c>
      <c r="AF102" s="1"/>
      <c r="AG102" s="1"/>
      <c r="AH102" s="1" t="s">
        <v>13251</v>
      </c>
      <c r="AI102" s="1"/>
      <c r="AJ102" s="1" t="s">
        <v>13252</v>
      </c>
      <c r="AK102" s="1" t="s">
        <v>6568</v>
      </c>
      <c r="AL102" s="1" t="s">
        <v>13253</v>
      </c>
      <c r="AM102" s="1" t="s">
        <v>13252</v>
      </c>
      <c r="AN102" s="1" t="s">
        <v>6568</v>
      </c>
      <c r="AO102" s="1" t="s">
        <v>13253</v>
      </c>
      <c r="AP102" s="2" t="s">
        <v>13254</v>
      </c>
      <c r="AQ102" s="2" t="s">
        <v>1077</v>
      </c>
      <c r="AR102" s="1" t="s">
        <v>286</v>
      </c>
      <c r="AS102" s="1"/>
      <c r="AT102" s="1" t="s">
        <v>5</v>
      </c>
    </row>
    <row r="103" spans="1:46" hidden="1" x14ac:dyDescent="0.4">
      <c r="A103" s="1" t="s">
        <v>12923</v>
      </c>
      <c r="B103" s="10"/>
      <c r="C103" s="1" t="s">
        <v>93</v>
      </c>
      <c r="D103" s="1" t="s">
        <v>11999</v>
      </c>
      <c r="E103" s="1" t="s">
        <v>2291</v>
      </c>
      <c r="F103" s="1" t="s">
        <v>14</v>
      </c>
      <c r="G103" s="1" t="s">
        <v>1</v>
      </c>
      <c r="H103" s="1" t="s">
        <v>6</v>
      </c>
      <c r="I103" s="1" t="s">
        <v>2</v>
      </c>
      <c r="J103" s="1" t="s">
        <v>3</v>
      </c>
      <c r="K103" s="1" t="s">
        <v>12924</v>
      </c>
      <c r="L103" s="1" t="s">
        <v>7</v>
      </c>
      <c r="M103" s="1" t="s">
        <v>9</v>
      </c>
      <c r="N103" s="1" t="s">
        <v>12925</v>
      </c>
      <c r="O103" s="1" t="s">
        <v>12926</v>
      </c>
      <c r="P103" s="1"/>
      <c r="Q103" s="1"/>
      <c r="R103" s="1" t="s">
        <v>11</v>
      </c>
      <c r="S103" s="1"/>
      <c r="T103" s="1"/>
      <c r="U103" s="1"/>
      <c r="V103" s="1"/>
      <c r="W103" s="1"/>
      <c r="X103" s="1" t="s">
        <v>10021</v>
      </c>
      <c r="Y103" s="1"/>
      <c r="Z103" s="1"/>
      <c r="AA103" s="1"/>
      <c r="AB103" s="1" t="s">
        <v>12927</v>
      </c>
      <c r="AC103" s="1"/>
      <c r="AD103" s="1"/>
      <c r="AE103" s="1" t="s">
        <v>12879</v>
      </c>
      <c r="AF103" s="1"/>
      <c r="AG103" s="1"/>
      <c r="AH103" s="1" t="s">
        <v>12928</v>
      </c>
      <c r="AI103" s="1"/>
      <c r="AJ103" s="1" t="s">
        <v>12929</v>
      </c>
      <c r="AK103" s="1" t="s">
        <v>4273</v>
      </c>
      <c r="AL103" s="1" t="s">
        <v>12930</v>
      </c>
      <c r="AM103" s="1" t="s">
        <v>12929</v>
      </c>
      <c r="AN103" s="1" t="s">
        <v>4273</v>
      </c>
      <c r="AO103" s="1" t="s">
        <v>12930</v>
      </c>
      <c r="AP103" s="2" t="s">
        <v>12931</v>
      </c>
      <c r="AQ103" s="2" t="s">
        <v>1077</v>
      </c>
      <c r="AR103" s="1" t="s">
        <v>287</v>
      </c>
      <c r="AS103" s="1"/>
      <c r="AT103" s="1" t="s">
        <v>5</v>
      </c>
    </row>
    <row r="104" spans="1:46" hidden="1" x14ac:dyDescent="0.4">
      <c r="A104" s="1" t="s">
        <v>13824</v>
      </c>
      <c r="B104" s="10"/>
      <c r="C104" s="1" t="s">
        <v>0</v>
      </c>
      <c r="D104" s="1" t="s">
        <v>11999</v>
      </c>
      <c r="E104" s="1" t="s">
        <v>2291</v>
      </c>
      <c r="F104" s="1" t="s">
        <v>14</v>
      </c>
      <c r="G104" s="1" t="s">
        <v>1</v>
      </c>
      <c r="H104" s="1" t="s">
        <v>6</v>
      </c>
      <c r="I104" s="1" t="s">
        <v>2</v>
      </c>
      <c r="J104" s="1" t="s">
        <v>3</v>
      </c>
      <c r="K104" s="1" t="s">
        <v>13825</v>
      </c>
      <c r="L104" s="1" t="s">
        <v>7</v>
      </c>
      <c r="M104" s="1"/>
      <c r="N104" s="1" t="s">
        <v>13826</v>
      </c>
      <c r="O104" s="1" t="s">
        <v>12009</v>
      </c>
      <c r="P104" s="1"/>
      <c r="Q104" s="1"/>
      <c r="R104" s="1" t="s">
        <v>11</v>
      </c>
      <c r="S104" s="1"/>
      <c r="T104" s="1"/>
      <c r="U104" s="1"/>
      <c r="V104" s="1"/>
      <c r="W104" s="1"/>
      <c r="X104" s="1" t="s">
        <v>12199</v>
      </c>
      <c r="Y104" s="1"/>
      <c r="Z104" s="1"/>
      <c r="AA104" s="1"/>
      <c r="AB104" s="1" t="s">
        <v>13827</v>
      </c>
      <c r="AC104" s="1"/>
      <c r="AD104" s="1"/>
      <c r="AE104" s="1" t="s">
        <v>13828</v>
      </c>
      <c r="AF104" s="1"/>
      <c r="AG104" s="1"/>
      <c r="AH104" s="1" t="s">
        <v>13829</v>
      </c>
      <c r="AI104" s="1"/>
      <c r="AJ104" s="1" t="s">
        <v>23</v>
      </c>
      <c r="AK104" s="1" t="s">
        <v>516</v>
      </c>
      <c r="AL104" s="1" t="s">
        <v>567</v>
      </c>
      <c r="AM104" s="1" t="s">
        <v>13830</v>
      </c>
      <c r="AN104" s="1" t="s">
        <v>516</v>
      </c>
      <c r="AO104" s="1" t="s">
        <v>13831</v>
      </c>
      <c r="AP104" s="2" t="s">
        <v>13832</v>
      </c>
      <c r="AQ104" s="2" t="s">
        <v>1155</v>
      </c>
      <c r="AR104" s="1" t="s">
        <v>286</v>
      </c>
      <c r="AS104" s="1" t="s">
        <v>13833</v>
      </c>
      <c r="AT104" s="1" t="s">
        <v>5</v>
      </c>
    </row>
    <row r="105" spans="1:46" hidden="1" x14ac:dyDescent="0.4">
      <c r="A105" s="1" t="s">
        <v>12901</v>
      </c>
      <c r="B105" s="10"/>
      <c r="C105" s="1" t="s">
        <v>93</v>
      </c>
      <c r="D105" s="1" t="s">
        <v>11999</v>
      </c>
      <c r="E105" s="1" t="s">
        <v>2291</v>
      </c>
      <c r="F105" s="1" t="s">
        <v>14</v>
      </c>
      <c r="G105" s="1" t="s">
        <v>1</v>
      </c>
      <c r="H105" s="1" t="s">
        <v>6</v>
      </c>
      <c r="I105" s="1" t="s">
        <v>2</v>
      </c>
      <c r="J105" s="1" t="s">
        <v>3</v>
      </c>
      <c r="K105" s="1" t="s">
        <v>12902</v>
      </c>
      <c r="L105" s="1" t="s">
        <v>7</v>
      </c>
      <c r="M105" s="1"/>
      <c r="N105" s="1" t="s">
        <v>12903</v>
      </c>
      <c r="O105" s="1" t="s">
        <v>12009</v>
      </c>
      <c r="P105" s="1"/>
      <c r="Q105" s="1"/>
      <c r="R105" s="1" t="s">
        <v>11</v>
      </c>
      <c r="S105" s="1"/>
      <c r="T105" s="1"/>
      <c r="U105" s="1"/>
      <c r="V105" s="1"/>
      <c r="W105" s="1" t="s">
        <v>12904</v>
      </c>
      <c r="X105" s="1" t="s">
        <v>10021</v>
      </c>
      <c r="Y105" s="1"/>
      <c r="Z105" s="1"/>
      <c r="AA105" s="1"/>
      <c r="AB105" s="1" t="s">
        <v>12905</v>
      </c>
      <c r="AC105" s="1"/>
      <c r="AD105" s="1"/>
      <c r="AE105" s="1" t="s">
        <v>12879</v>
      </c>
      <c r="AF105" s="1"/>
      <c r="AG105" s="1"/>
      <c r="AH105" s="1" t="s">
        <v>12906</v>
      </c>
      <c r="AI105" s="1"/>
      <c r="AJ105" s="1" t="s">
        <v>5631</v>
      </c>
      <c r="AK105" s="1" t="s">
        <v>5632</v>
      </c>
      <c r="AL105" s="1" t="s">
        <v>5633</v>
      </c>
      <c r="AM105" s="1" t="s">
        <v>5631</v>
      </c>
      <c r="AN105" s="1" t="s">
        <v>5632</v>
      </c>
      <c r="AO105" s="1" t="s">
        <v>5633</v>
      </c>
      <c r="AP105" s="2" t="s">
        <v>12907</v>
      </c>
      <c r="AQ105" s="2" t="s">
        <v>1077</v>
      </c>
      <c r="AR105" s="1" t="s">
        <v>286</v>
      </c>
      <c r="AS105" s="1"/>
      <c r="AT105" s="1" t="s">
        <v>5</v>
      </c>
    </row>
    <row r="106" spans="1:46" hidden="1" x14ac:dyDescent="0.4">
      <c r="A106" s="1" t="s">
        <v>14246</v>
      </c>
      <c r="B106" s="10"/>
      <c r="C106" s="1" t="s">
        <v>11219</v>
      </c>
      <c r="D106" s="1" t="s">
        <v>11999</v>
      </c>
      <c r="E106" s="1" t="s">
        <v>2291</v>
      </c>
      <c r="F106" s="1" t="s">
        <v>14</v>
      </c>
      <c r="G106" s="1" t="s">
        <v>1</v>
      </c>
      <c r="H106" s="1" t="s">
        <v>6</v>
      </c>
      <c r="I106" s="1" t="s">
        <v>2</v>
      </c>
      <c r="J106" s="1" t="s">
        <v>3</v>
      </c>
      <c r="K106" s="1" t="s">
        <v>14247</v>
      </c>
      <c r="L106" s="1" t="s">
        <v>7</v>
      </c>
      <c r="M106" s="1"/>
      <c r="N106" s="1" t="s">
        <v>14248</v>
      </c>
      <c r="O106" s="1" t="s">
        <v>12060</v>
      </c>
      <c r="P106" s="1"/>
      <c r="Q106" s="1" t="s">
        <v>12</v>
      </c>
      <c r="R106" s="1" t="s">
        <v>11</v>
      </c>
      <c r="S106" s="1"/>
      <c r="T106" s="1" t="s">
        <v>12</v>
      </c>
      <c r="U106" s="1" t="s">
        <v>11</v>
      </c>
      <c r="V106" s="1"/>
      <c r="W106" s="1"/>
      <c r="X106" s="1" t="s">
        <v>12038</v>
      </c>
      <c r="Y106" s="1"/>
      <c r="Z106" s="1"/>
      <c r="AA106" s="1"/>
      <c r="AB106" s="1" t="s">
        <v>14249</v>
      </c>
      <c r="AC106" s="1"/>
      <c r="AD106" s="1"/>
      <c r="AE106" s="1" t="s">
        <v>12778</v>
      </c>
      <c r="AF106" s="1"/>
      <c r="AG106" s="1"/>
      <c r="AH106" s="1" t="s">
        <v>14250</v>
      </c>
      <c r="AI106" s="1"/>
      <c r="AJ106" s="1" t="s">
        <v>14251</v>
      </c>
      <c r="AK106" s="1" t="s">
        <v>4889</v>
      </c>
      <c r="AL106" s="1" t="s">
        <v>14252</v>
      </c>
      <c r="AM106" s="1" t="s">
        <v>14251</v>
      </c>
      <c r="AN106" s="1" t="s">
        <v>4889</v>
      </c>
      <c r="AO106" s="1" t="s">
        <v>14252</v>
      </c>
      <c r="AP106" s="2" t="s">
        <v>14253</v>
      </c>
      <c r="AQ106" s="2" t="s">
        <v>1155</v>
      </c>
      <c r="AR106" s="1" t="s">
        <v>286</v>
      </c>
      <c r="AS106" s="1" t="s">
        <v>1076</v>
      </c>
      <c r="AT106" s="1" t="s">
        <v>5</v>
      </c>
    </row>
    <row r="107" spans="1:46" hidden="1" x14ac:dyDescent="0.4">
      <c r="A107" s="1" t="s">
        <v>13472</v>
      </c>
      <c r="B107" s="10"/>
      <c r="C107" s="1" t="s">
        <v>93</v>
      </c>
      <c r="D107" s="1" t="s">
        <v>11999</v>
      </c>
      <c r="E107" s="1" t="s">
        <v>2291</v>
      </c>
      <c r="F107" s="1" t="s">
        <v>14</v>
      </c>
      <c r="G107" s="1" t="s">
        <v>1</v>
      </c>
      <c r="H107" s="1" t="s">
        <v>6</v>
      </c>
      <c r="I107" s="1" t="s">
        <v>2</v>
      </c>
      <c r="J107" s="1" t="s">
        <v>3</v>
      </c>
      <c r="K107" s="1" t="s">
        <v>13473</v>
      </c>
      <c r="L107" s="1" t="s">
        <v>7</v>
      </c>
      <c r="M107" s="1" t="s">
        <v>9</v>
      </c>
      <c r="N107" s="1" t="s">
        <v>13474</v>
      </c>
      <c r="O107" s="1" t="s">
        <v>12060</v>
      </c>
      <c r="P107" s="1"/>
      <c r="Q107" s="1"/>
      <c r="R107" s="1" t="s">
        <v>11</v>
      </c>
      <c r="S107" s="1"/>
      <c r="T107" s="1"/>
      <c r="U107" s="1"/>
      <c r="V107" s="1"/>
      <c r="W107" s="1"/>
      <c r="X107" s="1" t="s">
        <v>12038</v>
      </c>
      <c r="Y107" s="1"/>
      <c r="Z107" s="1"/>
      <c r="AA107" s="1"/>
      <c r="AB107" s="1" t="s">
        <v>13475</v>
      </c>
      <c r="AC107" s="1"/>
      <c r="AD107" s="1"/>
      <c r="AE107" s="1" t="s">
        <v>13476</v>
      </c>
      <c r="AF107" s="1"/>
      <c r="AG107" s="1"/>
      <c r="AH107" s="1" t="s">
        <v>13477</v>
      </c>
      <c r="AI107" s="1"/>
      <c r="AJ107" s="1" t="s">
        <v>8659</v>
      </c>
      <c r="AK107" s="1" t="s">
        <v>8396</v>
      </c>
      <c r="AL107" s="1" t="s">
        <v>8660</v>
      </c>
      <c r="AM107" s="1" t="s">
        <v>8659</v>
      </c>
      <c r="AN107" s="1" t="s">
        <v>8396</v>
      </c>
      <c r="AO107" s="1" t="s">
        <v>8660</v>
      </c>
      <c r="AP107" s="2" t="s">
        <v>13478</v>
      </c>
      <c r="AQ107" s="2" t="s">
        <v>1154</v>
      </c>
      <c r="AR107" s="1" t="s">
        <v>286</v>
      </c>
      <c r="AS107" s="1" t="s">
        <v>13479</v>
      </c>
      <c r="AT107" s="1" t="s">
        <v>5</v>
      </c>
    </row>
    <row r="108" spans="1:46" hidden="1" x14ac:dyDescent="0.4">
      <c r="A108" s="1" t="s">
        <v>13586</v>
      </c>
      <c r="B108" s="10"/>
      <c r="C108" s="1" t="s">
        <v>92</v>
      </c>
      <c r="D108" s="1" t="s">
        <v>11999</v>
      </c>
      <c r="E108" s="1" t="s">
        <v>2291</v>
      </c>
      <c r="F108" s="1" t="s">
        <v>14</v>
      </c>
      <c r="G108" s="1" t="s">
        <v>1</v>
      </c>
      <c r="H108" s="1" t="s">
        <v>6</v>
      </c>
      <c r="I108" s="1" t="s">
        <v>2</v>
      </c>
      <c r="J108" s="1" t="s">
        <v>3</v>
      </c>
      <c r="K108" s="1" t="s">
        <v>13587</v>
      </c>
      <c r="L108" s="1" t="s">
        <v>7</v>
      </c>
      <c r="M108" s="1" t="s">
        <v>9</v>
      </c>
      <c r="N108" s="1" t="s">
        <v>13588</v>
      </c>
      <c r="O108" s="1" t="s">
        <v>12009</v>
      </c>
      <c r="P108" s="1"/>
      <c r="Q108" s="1"/>
      <c r="R108" s="1" t="s">
        <v>11</v>
      </c>
      <c r="S108" s="1"/>
      <c r="T108" s="1"/>
      <c r="U108" s="1"/>
      <c r="V108" s="1"/>
      <c r="W108" s="1" t="s">
        <v>13589</v>
      </c>
      <c r="X108" s="1" t="s">
        <v>12017</v>
      </c>
      <c r="Y108" s="1"/>
      <c r="Z108" s="1"/>
      <c r="AA108" s="1"/>
      <c r="AB108" s="1" t="s">
        <v>13590</v>
      </c>
      <c r="AC108" s="1"/>
      <c r="AD108" s="1"/>
      <c r="AE108" s="1" t="s">
        <v>12879</v>
      </c>
      <c r="AF108" s="1"/>
      <c r="AG108" s="1"/>
      <c r="AH108" s="1" t="s">
        <v>13591</v>
      </c>
      <c r="AI108" s="1"/>
      <c r="AJ108" s="1" t="s">
        <v>13564</v>
      </c>
      <c r="AK108" s="1" t="s">
        <v>13565</v>
      </c>
      <c r="AL108" s="1" t="s">
        <v>13566</v>
      </c>
      <c r="AM108" s="1" t="s">
        <v>13567</v>
      </c>
      <c r="AN108" s="1" t="s">
        <v>13565</v>
      </c>
      <c r="AO108" s="1" t="s">
        <v>13568</v>
      </c>
      <c r="AP108" s="2" t="s">
        <v>13592</v>
      </c>
      <c r="AQ108" s="2" t="s">
        <v>1154</v>
      </c>
      <c r="AR108" s="1" t="s">
        <v>286</v>
      </c>
      <c r="AS108" s="1"/>
      <c r="AT108" s="1" t="s">
        <v>5</v>
      </c>
    </row>
    <row r="109" spans="1:46" hidden="1" x14ac:dyDescent="0.4">
      <c r="A109" s="1" t="s">
        <v>12131</v>
      </c>
      <c r="B109" s="10"/>
      <c r="C109" s="1" t="s">
        <v>0</v>
      </c>
      <c r="D109" s="1" t="s">
        <v>11999</v>
      </c>
      <c r="E109" s="1" t="s">
        <v>2291</v>
      </c>
      <c r="F109" s="1" t="s">
        <v>14</v>
      </c>
      <c r="G109" s="1" t="s">
        <v>1</v>
      </c>
      <c r="H109" s="1" t="s">
        <v>6</v>
      </c>
      <c r="I109" s="1" t="s">
        <v>2</v>
      </c>
      <c r="J109" s="1" t="s">
        <v>3</v>
      </c>
      <c r="K109" s="1" t="s">
        <v>12132</v>
      </c>
      <c r="L109" s="1" t="s">
        <v>7</v>
      </c>
      <c r="M109" s="1" t="s">
        <v>9</v>
      </c>
      <c r="N109" s="1" t="s">
        <v>12133</v>
      </c>
      <c r="O109" s="1" t="s">
        <v>12060</v>
      </c>
      <c r="P109" s="1"/>
      <c r="Q109" s="1"/>
      <c r="R109" s="1" t="s">
        <v>11</v>
      </c>
      <c r="S109" s="1"/>
      <c r="T109" s="1"/>
      <c r="U109" s="1"/>
      <c r="V109" s="1"/>
      <c r="W109" s="1" t="s">
        <v>12134</v>
      </c>
      <c r="X109" s="1" t="s">
        <v>12135</v>
      </c>
      <c r="Y109" s="1"/>
      <c r="Z109" s="1"/>
      <c r="AA109" s="1"/>
      <c r="AB109" s="1" t="s">
        <v>12136</v>
      </c>
      <c r="AC109" s="1"/>
      <c r="AD109" s="1"/>
      <c r="AE109" s="1" t="s">
        <v>12137</v>
      </c>
      <c r="AF109" s="1"/>
      <c r="AG109" s="1"/>
      <c r="AH109" s="1" t="s">
        <v>12138</v>
      </c>
      <c r="AI109" s="1"/>
      <c r="AJ109" s="1" t="s">
        <v>12106</v>
      </c>
      <c r="AK109" s="1" t="s">
        <v>12107</v>
      </c>
      <c r="AL109" s="1" t="s">
        <v>12108</v>
      </c>
      <c r="AM109" s="1" t="s">
        <v>12139</v>
      </c>
      <c r="AN109" s="1" t="s">
        <v>12107</v>
      </c>
      <c r="AO109" s="1" t="s">
        <v>12140</v>
      </c>
      <c r="AP109" s="2" t="s">
        <v>12141</v>
      </c>
      <c r="AQ109" s="2" t="s">
        <v>1077</v>
      </c>
      <c r="AR109" s="1"/>
      <c r="AS109" s="1"/>
      <c r="AT109" s="1" t="s">
        <v>5</v>
      </c>
    </row>
    <row r="110" spans="1:46" hidden="1" x14ac:dyDescent="0.4">
      <c r="A110" s="1" t="s">
        <v>12859</v>
      </c>
      <c r="B110" s="10"/>
      <c r="C110" s="1" t="s">
        <v>6246</v>
      </c>
      <c r="D110" s="1" t="s">
        <v>11999</v>
      </c>
      <c r="E110" s="1" t="s">
        <v>2291</v>
      </c>
      <c r="F110" s="1" t="s">
        <v>14</v>
      </c>
      <c r="G110" s="1" t="s">
        <v>1</v>
      </c>
      <c r="H110" s="1" t="s">
        <v>6</v>
      </c>
      <c r="I110" s="1" t="s">
        <v>2</v>
      </c>
      <c r="J110" s="1" t="s">
        <v>3514</v>
      </c>
      <c r="K110" s="1" t="s">
        <v>12860</v>
      </c>
      <c r="L110" s="1" t="s">
        <v>7</v>
      </c>
      <c r="M110" s="1"/>
      <c r="N110" s="1" t="s">
        <v>12861</v>
      </c>
      <c r="O110" s="1" t="s">
        <v>12103</v>
      </c>
      <c r="P110" s="1"/>
      <c r="Q110" s="1"/>
      <c r="R110" s="1" t="s">
        <v>11</v>
      </c>
      <c r="S110" s="1"/>
      <c r="T110" s="1"/>
      <c r="U110" s="1"/>
      <c r="V110" s="1"/>
      <c r="W110" s="1"/>
      <c r="X110" s="1" t="s">
        <v>12038</v>
      </c>
      <c r="Y110" s="1"/>
      <c r="Z110" s="1"/>
      <c r="AA110" s="1"/>
      <c r="AB110" s="1" t="s">
        <v>12862</v>
      </c>
      <c r="AC110" s="1"/>
      <c r="AD110" s="1"/>
      <c r="AE110" s="1" t="s">
        <v>12863</v>
      </c>
      <c r="AF110" s="1"/>
      <c r="AG110" s="1"/>
      <c r="AH110" s="1" t="s">
        <v>12864</v>
      </c>
      <c r="AI110" s="1"/>
      <c r="AJ110" s="1" t="s">
        <v>6254</v>
      </c>
      <c r="AK110" s="1" t="s">
        <v>6255</v>
      </c>
      <c r="AL110" s="1" t="s">
        <v>6256</v>
      </c>
      <c r="AM110" s="1" t="s">
        <v>6257</v>
      </c>
      <c r="AN110" s="1" t="s">
        <v>3521</v>
      </c>
      <c r="AO110" s="1"/>
      <c r="AP110" s="2" t="s">
        <v>12865</v>
      </c>
      <c r="AQ110" s="2" t="s">
        <v>1077</v>
      </c>
      <c r="AR110" s="1" t="s">
        <v>287</v>
      </c>
      <c r="AS110" s="1"/>
      <c r="AT110" s="1" t="s">
        <v>5</v>
      </c>
    </row>
    <row r="111" spans="1:46" hidden="1" x14ac:dyDescent="0.4">
      <c r="A111" s="1" t="s">
        <v>12506</v>
      </c>
      <c r="B111" s="10"/>
      <c r="C111" s="1" t="s">
        <v>0</v>
      </c>
      <c r="D111" s="1" t="s">
        <v>11999</v>
      </c>
      <c r="E111" s="1" t="s">
        <v>2291</v>
      </c>
      <c r="F111" s="1" t="s">
        <v>14</v>
      </c>
      <c r="G111" s="1" t="s">
        <v>1</v>
      </c>
      <c r="H111" s="1" t="s">
        <v>6</v>
      </c>
      <c r="I111" s="1" t="s">
        <v>2</v>
      </c>
      <c r="J111" s="1" t="s">
        <v>3</v>
      </c>
      <c r="K111" s="1" t="s">
        <v>12507</v>
      </c>
      <c r="L111" s="1" t="s">
        <v>7</v>
      </c>
      <c r="M111" s="1" t="s">
        <v>9</v>
      </c>
      <c r="N111" s="1" t="s">
        <v>12508</v>
      </c>
      <c r="O111" s="1" t="s">
        <v>1596</v>
      </c>
      <c r="P111" s="1"/>
      <c r="Q111" s="1"/>
      <c r="R111" s="1" t="s">
        <v>11</v>
      </c>
      <c r="S111" s="1"/>
      <c r="T111" s="1"/>
      <c r="U111" s="1"/>
      <c r="V111" s="1"/>
      <c r="W111" s="1"/>
      <c r="X111" s="1" t="s">
        <v>12026</v>
      </c>
      <c r="Y111" s="1"/>
      <c r="Z111" s="1"/>
      <c r="AA111" s="1"/>
      <c r="AB111" s="1" t="s">
        <v>12509</v>
      </c>
      <c r="AC111" s="1"/>
      <c r="AD111" s="1"/>
      <c r="AE111" s="1" t="s">
        <v>12510</v>
      </c>
      <c r="AF111" s="1"/>
      <c r="AG111" s="1"/>
      <c r="AH111" s="1" t="s">
        <v>12511</v>
      </c>
      <c r="AI111" s="1"/>
      <c r="AJ111" s="1" t="s">
        <v>12334</v>
      </c>
      <c r="AK111" s="1" t="s">
        <v>281</v>
      </c>
      <c r="AL111" s="1" t="s">
        <v>12335</v>
      </c>
      <c r="AM111" s="1" t="s">
        <v>12512</v>
      </c>
      <c r="AN111" s="1" t="s">
        <v>281</v>
      </c>
      <c r="AO111" s="1" t="s">
        <v>12513</v>
      </c>
      <c r="AP111" s="2" t="s">
        <v>12514</v>
      </c>
      <c r="AQ111" s="2" t="s">
        <v>1153</v>
      </c>
      <c r="AR111" s="1" t="s">
        <v>287</v>
      </c>
      <c r="AS111" s="1"/>
      <c r="AT111" s="1" t="s">
        <v>5</v>
      </c>
    </row>
    <row r="112" spans="1:46" hidden="1" x14ac:dyDescent="0.4">
      <c r="A112" s="1" t="s">
        <v>13669</v>
      </c>
      <c r="B112" s="10"/>
      <c r="C112" s="1" t="s">
        <v>93</v>
      </c>
      <c r="D112" s="1" t="s">
        <v>11999</v>
      </c>
      <c r="E112" s="1" t="s">
        <v>2291</v>
      </c>
      <c r="F112" s="1" t="s">
        <v>14</v>
      </c>
      <c r="G112" s="1" t="s">
        <v>1</v>
      </c>
      <c r="H112" s="1" t="s">
        <v>6</v>
      </c>
      <c r="I112" s="1" t="s">
        <v>2</v>
      </c>
      <c r="J112" s="1" t="s">
        <v>3</v>
      </c>
      <c r="K112" s="1" t="s">
        <v>13670</v>
      </c>
      <c r="L112" s="1" t="s">
        <v>7</v>
      </c>
      <c r="M112" s="1"/>
      <c r="N112" s="1" t="s">
        <v>13671</v>
      </c>
      <c r="O112" s="1" t="s">
        <v>12103</v>
      </c>
      <c r="P112" s="1"/>
      <c r="Q112" s="1"/>
      <c r="R112" s="1" t="s">
        <v>11</v>
      </c>
      <c r="S112" s="1"/>
      <c r="T112" s="1"/>
      <c r="U112" s="1"/>
      <c r="V112" s="1"/>
      <c r="W112" s="1"/>
      <c r="X112" s="1" t="s">
        <v>12038</v>
      </c>
      <c r="Y112" s="1"/>
      <c r="Z112" s="1"/>
      <c r="AA112" s="1"/>
      <c r="AB112" s="1" t="s">
        <v>13672</v>
      </c>
      <c r="AC112" s="1"/>
      <c r="AD112" s="1"/>
      <c r="AE112" s="1" t="s">
        <v>13673</v>
      </c>
      <c r="AF112" s="1"/>
      <c r="AG112" s="1"/>
      <c r="AH112" s="1" t="s">
        <v>13674</v>
      </c>
      <c r="AI112" s="1"/>
      <c r="AJ112" s="1" t="s">
        <v>13675</v>
      </c>
      <c r="AK112" s="1" t="s">
        <v>8396</v>
      </c>
      <c r="AL112" s="1" t="s">
        <v>13676</v>
      </c>
      <c r="AM112" s="1" t="s">
        <v>13675</v>
      </c>
      <c r="AN112" s="1" t="s">
        <v>8396</v>
      </c>
      <c r="AO112" s="1" t="s">
        <v>13676</v>
      </c>
      <c r="AP112" s="2" t="s">
        <v>13677</v>
      </c>
      <c r="AQ112" s="2" t="s">
        <v>1154</v>
      </c>
      <c r="AR112" s="1" t="s">
        <v>286</v>
      </c>
      <c r="AS112" s="1"/>
      <c r="AT112" s="1" t="s">
        <v>5</v>
      </c>
    </row>
    <row r="113" spans="1:46" hidden="1" x14ac:dyDescent="0.4">
      <c r="A113" s="1" t="s">
        <v>12459</v>
      </c>
      <c r="B113" s="10"/>
      <c r="C113" s="1" t="s">
        <v>2491</v>
      </c>
      <c r="D113" s="1" t="s">
        <v>11999</v>
      </c>
      <c r="E113" s="1" t="s">
        <v>2291</v>
      </c>
      <c r="F113" s="1" t="s">
        <v>14</v>
      </c>
      <c r="G113" s="1" t="s">
        <v>1</v>
      </c>
      <c r="H113" s="1" t="s">
        <v>6</v>
      </c>
      <c r="I113" s="1" t="s">
        <v>2</v>
      </c>
      <c r="J113" s="1" t="s">
        <v>2492</v>
      </c>
      <c r="K113" s="1" t="s">
        <v>12460</v>
      </c>
      <c r="L113" s="1" t="s">
        <v>4</v>
      </c>
      <c r="M113" s="1"/>
      <c r="N113" s="1" t="s">
        <v>12461</v>
      </c>
      <c r="O113" s="1" t="s">
        <v>9747</v>
      </c>
      <c r="P113" s="1"/>
      <c r="Q113" s="1"/>
      <c r="R113" s="1" t="s">
        <v>11</v>
      </c>
      <c r="S113" s="1"/>
      <c r="T113" s="1"/>
      <c r="U113" s="1"/>
      <c r="V113" s="1"/>
      <c r="W113" s="1" t="s">
        <v>12462</v>
      </c>
      <c r="X113" s="1" t="s">
        <v>12026</v>
      </c>
      <c r="Y113" s="1"/>
      <c r="Z113" s="1"/>
      <c r="AA113" s="1"/>
      <c r="AB113" s="1" t="s">
        <v>12463</v>
      </c>
      <c r="AC113" s="1"/>
      <c r="AD113" s="1"/>
      <c r="AE113" s="1"/>
      <c r="AF113" s="1"/>
      <c r="AG113" s="1"/>
      <c r="AH113" s="1" t="s">
        <v>12464</v>
      </c>
      <c r="AI113" s="1" t="s">
        <v>12465</v>
      </c>
      <c r="AJ113" s="1" t="s">
        <v>12466</v>
      </c>
      <c r="AK113" s="1" t="s">
        <v>12467</v>
      </c>
      <c r="AL113" s="1" t="s">
        <v>12468</v>
      </c>
      <c r="AM113" s="1" t="s">
        <v>12469</v>
      </c>
      <c r="AN113" s="1" t="s">
        <v>12467</v>
      </c>
      <c r="AO113" s="1" t="s">
        <v>12470</v>
      </c>
      <c r="AP113" s="2" t="s">
        <v>12471</v>
      </c>
      <c r="AQ113" s="2" t="s">
        <v>1153</v>
      </c>
      <c r="AR113" s="1" t="s">
        <v>287</v>
      </c>
      <c r="AS113" s="1"/>
      <c r="AT113" s="1" t="s">
        <v>5</v>
      </c>
    </row>
    <row r="114" spans="1:46" x14ac:dyDescent="0.4">
      <c r="A114" s="1" t="s">
        <v>14012</v>
      </c>
      <c r="B114" s="10">
        <v>0</v>
      </c>
      <c r="C114" s="1" t="s">
        <v>0</v>
      </c>
      <c r="D114" s="1" t="s">
        <v>11999</v>
      </c>
      <c r="E114" s="1" t="s">
        <v>2291</v>
      </c>
      <c r="F114" s="1" t="s">
        <v>14</v>
      </c>
      <c r="G114" s="1" t="s">
        <v>1</v>
      </c>
      <c r="H114" s="1" t="s">
        <v>6</v>
      </c>
      <c r="I114" s="1" t="s">
        <v>2</v>
      </c>
      <c r="J114" s="1" t="s">
        <v>3</v>
      </c>
      <c r="K114" s="1" t="s">
        <v>14013</v>
      </c>
      <c r="L114" s="1" t="s">
        <v>7</v>
      </c>
      <c r="M114" s="1" t="s">
        <v>9</v>
      </c>
      <c r="N114" s="1" t="s">
        <v>14014</v>
      </c>
      <c r="O114" s="1" t="s">
        <v>14015</v>
      </c>
      <c r="P114" s="1" t="s">
        <v>14016</v>
      </c>
      <c r="Q114" s="1"/>
      <c r="R114" s="1" t="s">
        <v>11</v>
      </c>
      <c r="S114" s="1"/>
      <c r="T114" s="1"/>
      <c r="U114" s="1"/>
      <c r="V114" s="1"/>
      <c r="W114" s="1"/>
      <c r="X114" s="1" t="s">
        <v>10021</v>
      </c>
      <c r="Y114" s="1"/>
      <c r="Z114" s="1"/>
      <c r="AA114" s="1"/>
      <c r="AB114" s="1" t="s">
        <v>14017</v>
      </c>
      <c r="AC114" s="1"/>
      <c r="AD114" s="1"/>
      <c r="AE114" s="1" t="s">
        <v>14018</v>
      </c>
      <c r="AF114" s="1"/>
      <c r="AG114" s="1"/>
      <c r="AH114" s="1" t="s">
        <v>14019</v>
      </c>
      <c r="AI114" s="1"/>
      <c r="AJ114" s="1" t="s">
        <v>1277</v>
      </c>
      <c r="AK114" s="1" t="s">
        <v>598</v>
      </c>
      <c r="AL114" s="1" t="s">
        <v>1278</v>
      </c>
      <c r="AM114" s="1" t="s">
        <v>14020</v>
      </c>
      <c r="AN114" s="1" t="s">
        <v>598</v>
      </c>
      <c r="AO114" s="1" t="s">
        <v>14021</v>
      </c>
      <c r="AP114" s="2" t="s">
        <v>14022</v>
      </c>
      <c r="AQ114" s="2" t="s">
        <v>1155</v>
      </c>
      <c r="AR114" s="1" t="s">
        <v>286</v>
      </c>
      <c r="AS114" s="1" t="s">
        <v>970</v>
      </c>
      <c r="AT114" s="1" t="s">
        <v>5</v>
      </c>
    </row>
    <row r="115" spans="1:46" x14ac:dyDescent="0.4">
      <c r="A115" s="1" t="s">
        <v>14023</v>
      </c>
      <c r="B115" s="10">
        <v>0</v>
      </c>
      <c r="C115" s="1" t="s">
        <v>0</v>
      </c>
      <c r="D115" s="1" t="s">
        <v>11999</v>
      </c>
      <c r="E115" s="1" t="s">
        <v>2291</v>
      </c>
      <c r="F115" s="1" t="s">
        <v>14</v>
      </c>
      <c r="G115" s="1" t="s">
        <v>1</v>
      </c>
      <c r="H115" s="1" t="s">
        <v>6</v>
      </c>
      <c r="I115" s="1" t="s">
        <v>2</v>
      </c>
      <c r="J115" s="1" t="s">
        <v>3</v>
      </c>
      <c r="K115" s="1" t="s">
        <v>14024</v>
      </c>
      <c r="L115" s="1" t="s">
        <v>7</v>
      </c>
      <c r="M115" s="1" t="s">
        <v>9</v>
      </c>
      <c r="N115" s="1" t="s">
        <v>14025</v>
      </c>
      <c r="O115" s="1" t="s">
        <v>14015</v>
      </c>
      <c r="P115" s="1" t="s">
        <v>14026</v>
      </c>
      <c r="Q115" s="1"/>
      <c r="R115" s="1" t="s">
        <v>11</v>
      </c>
      <c r="S115" s="1"/>
      <c r="T115" s="1"/>
      <c r="U115" s="1"/>
      <c r="V115" s="1"/>
      <c r="W115" s="1"/>
      <c r="X115" s="1" t="s">
        <v>10021</v>
      </c>
      <c r="Y115" s="1"/>
      <c r="Z115" s="1"/>
      <c r="AA115" s="1"/>
      <c r="AB115" s="1" t="s">
        <v>14017</v>
      </c>
      <c r="AC115" s="1"/>
      <c r="AD115" s="1"/>
      <c r="AE115" s="1" t="s">
        <v>14018</v>
      </c>
      <c r="AF115" s="1"/>
      <c r="AG115" s="1"/>
      <c r="AH115" s="1" t="s">
        <v>14027</v>
      </c>
      <c r="AI115" s="1"/>
      <c r="AJ115" s="1" t="s">
        <v>1277</v>
      </c>
      <c r="AK115" s="1" t="s">
        <v>598</v>
      </c>
      <c r="AL115" s="1" t="s">
        <v>1278</v>
      </c>
      <c r="AM115" s="1" t="s">
        <v>14020</v>
      </c>
      <c r="AN115" s="1" t="s">
        <v>598</v>
      </c>
      <c r="AO115" s="1" t="s">
        <v>14021</v>
      </c>
      <c r="AP115" s="2" t="s">
        <v>14028</v>
      </c>
      <c r="AQ115" s="2" t="s">
        <v>1155</v>
      </c>
      <c r="AR115" s="1" t="s">
        <v>286</v>
      </c>
      <c r="AS115" s="1" t="s">
        <v>970</v>
      </c>
      <c r="AT115" s="1" t="s">
        <v>5</v>
      </c>
    </row>
    <row r="116" spans="1:46" hidden="1" x14ac:dyDescent="0.4">
      <c r="A116" s="1" t="s">
        <v>12417</v>
      </c>
      <c r="B116" s="10"/>
      <c r="C116" s="1" t="s">
        <v>4098</v>
      </c>
      <c r="D116" s="1" t="s">
        <v>11999</v>
      </c>
      <c r="E116" s="1" t="s">
        <v>2291</v>
      </c>
      <c r="F116" s="1" t="s">
        <v>14</v>
      </c>
      <c r="G116" s="1" t="s">
        <v>1</v>
      </c>
      <c r="H116" s="1" t="s">
        <v>6</v>
      </c>
      <c r="I116" s="1" t="s">
        <v>2</v>
      </c>
      <c r="J116" s="1" t="s">
        <v>3</v>
      </c>
      <c r="K116" s="1" t="s">
        <v>12418</v>
      </c>
      <c r="L116" s="1" t="s">
        <v>7</v>
      </c>
      <c r="M116" s="1"/>
      <c r="N116" s="1" t="s">
        <v>12419</v>
      </c>
      <c r="O116" s="1" t="s">
        <v>12420</v>
      </c>
      <c r="P116" s="1"/>
      <c r="Q116" s="1"/>
      <c r="R116" s="1" t="s">
        <v>11</v>
      </c>
      <c r="S116" s="1"/>
      <c r="T116" s="1"/>
      <c r="U116" s="1"/>
      <c r="V116" s="1"/>
      <c r="W116" s="1" t="s">
        <v>12421</v>
      </c>
      <c r="X116" s="1" t="s">
        <v>10021</v>
      </c>
      <c r="Y116" s="1"/>
      <c r="Z116" s="1"/>
      <c r="AA116" s="1"/>
      <c r="AB116" s="1" t="s">
        <v>12422</v>
      </c>
      <c r="AC116" s="1"/>
      <c r="AD116" s="1"/>
      <c r="AE116" s="1" t="s">
        <v>12423</v>
      </c>
      <c r="AF116" s="1"/>
      <c r="AG116" s="1"/>
      <c r="AH116" s="1" t="s">
        <v>12424</v>
      </c>
      <c r="AI116" s="1"/>
      <c r="AJ116" s="1" t="s">
        <v>12425</v>
      </c>
      <c r="AK116" s="1" t="s">
        <v>12426</v>
      </c>
      <c r="AL116" s="1" t="s">
        <v>12427</v>
      </c>
      <c r="AM116" s="1" t="s">
        <v>12428</v>
      </c>
      <c r="AN116" s="1" t="s">
        <v>12426</v>
      </c>
      <c r="AO116" s="1" t="s">
        <v>12429</v>
      </c>
      <c r="AP116" s="2" t="s">
        <v>12430</v>
      </c>
      <c r="AQ116" s="2" t="s">
        <v>1153</v>
      </c>
      <c r="AR116" s="1" t="s">
        <v>287</v>
      </c>
      <c r="AS116" s="1"/>
      <c r="AT116" s="1" t="s">
        <v>5</v>
      </c>
    </row>
    <row r="117" spans="1:46" hidden="1" x14ac:dyDescent="0.4">
      <c r="A117" s="1" t="s">
        <v>13446</v>
      </c>
      <c r="B117" s="10"/>
      <c r="C117" s="1" t="s">
        <v>93</v>
      </c>
      <c r="D117" s="1" t="s">
        <v>11999</v>
      </c>
      <c r="E117" s="1" t="s">
        <v>2291</v>
      </c>
      <c r="F117" s="1" t="s">
        <v>14</v>
      </c>
      <c r="G117" s="1" t="s">
        <v>1</v>
      </c>
      <c r="H117" s="1" t="s">
        <v>6</v>
      </c>
      <c r="I117" s="1" t="s">
        <v>2</v>
      </c>
      <c r="J117" s="1" t="s">
        <v>3</v>
      </c>
      <c r="K117" s="1" t="s">
        <v>13447</v>
      </c>
      <c r="L117" s="1" t="s">
        <v>7</v>
      </c>
      <c r="M117" s="1"/>
      <c r="N117" s="1" t="s">
        <v>13448</v>
      </c>
      <c r="O117" s="1" t="s">
        <v>13117</v>
      </c>
      <c r="P117" s="1"/>
      <c r="Q117" s="1"/>
      <c r="R117" s="1" t="s">
        <v>11</v>
      </c>
      <c r="S117" s="1"/>
      <c r="T117" s="1"/>
      <c r="U117" s="1"/>
      <c r="V117" s="1"/>
      <c r="W117" s="1" t="s">
        <v>13449</v>
      </c>
      <c r="X117" s="1" t="s">
        <v>12038</v>
      </c>
      <c r="Y117" s="1"/>
      <c r="Z117" s="1"/>
      <c r="AA117" s="1"/>
      <c r="AB117" s="1" t="s">
        <v>13450</v>
      </c>
      <c r="AC117" s="1"/>
      <c r="AD117" s="1"/>
      <c r="AE117" s="1" t="s">
        <v>13451</v>
      </c>
      <c r="AF117" s="1"/>
      <c r="AG117" s="1"/>
      <c r="AH117" s="1" t="s">
        <v>13452</v>
      </c>
      <c r="AI117" s="1"/>
      <c r="AJ117" s="1" t="s">
        <v>5935</v>
      </c>
      <c r="AK117" s="1" t="s">
        <v>8396</v>
      </c>
      <c r="AL117" s="1" t="s">
        <v>13443</v>
      </c>
      <c r="AM117" s="1" t="s">
        <v>5935</v>
      </c>
      <c r="AN117" s="1" t="s">
        <v>8396</v>
      </c>
      <c r="AO117" s="1" t="s">
        <v>13443</v>
      </c>
      <c r="AP117" s="2" t="s">
        <v>8343</v>
      </c>
      <c r="AQ117" s="2" t="s">
        <v>1154</v>
      </c>
      <c r="AR117" s="1" t="s">
        <v>286</v>
      </c>
      <c r="AS117" s="1" t="s">
        <v>13453</v>
      </c>
      <c r="AT117" s="1" t="s">
        <v>5</v>
      </c>
    </row>
    <row r="118" spans="1:46" hidden="1" x14ac:dyDescent="0.4">
      <c r="A118" s="1" t="s">
        <v>13661</v>
      </c>
      <c r="B118" s="10"/>
      <c r="C118" s="1" t="s">
        <v>93</v>
      </c>
      <c r="D118" s="1" t="s">
        <v>11999</v>
      </c>
      <c r="E118" s="1" t="s">
        <v>2291</v>
      </c>
      <c r="F118" s="1" t="s">
        <v>14</v>
      </c>
      <c r="G118" s="1" t="s">
        <v>1</v>
      </c>
      <c r="H118" s="1" t="s">
        <v>6</v>
      </c>
      <c r="I118" s="1" t="s">
        <v>2</v>
      </c>
      <c r="J118" s="1" t="s">
        <v>3</v>
      </c>
      <c r="K118" s="1" t="s">
        <v>13662</v>
      </c>
      <c r="L118" s="1" t="s">
        <v>7</v>
      </c>
      <c r="M118" s="1"/>
      <c r="N118" s="1" t="s">
        <v>13663</v>
      </c>
      <c r="O118" s="1" t="s">
        <v>12926</v>
      </c>
      <c r="P118" s="1"/>
      <c r="Q118" s="1"/>
      <c r="R118" s="1" t="s">
        <v>11</v>
      </c>
      <c r="S118" s="1"/>
      <c r="T118" s="1"/>
      <c r="U118" s="1"/>
      <c r="V118" s="1"/>
      <c r="W118" s="1"/>
      <c r="X118" s="1" t="s">
        <v>10021</v>
      </c>
      <c r="Y118" s="1"/>
      <c r="Z118" s="1"/>
      <c r="AA118" s="1"/>
      <c r="AB118" s="1" t="s">
        <v>13664</v>
      </c>
      <c r="AC118" s="1"/>
      <c r="AD118" s="1"/>
      <c r="AE118" s="1" t="s">
        <v>12879</v>
      </c>
      <c r="AF118" s="1"/>
      <c r="AG118" s="1"/>
      <c r="AH118" s="1" t="s">
        <v>13665</v>
      </c>
      <c r="AI118" s="1"/>
      <c r="AJ118" s="1" t="s">
        <v>2117</v>
      </c>
      <c r="AK118" s="1" t="s">
        <v>4273</v>
      </c>
      <c r="AL118" s="1" t="s">
        <v>13666</v>
      </c>
      <c r="AM118" s="1" t="s">
        <v>2117</v>
      </c>
      <c r="AN118" s="1" t="s">
        <v>4273</v>
      </c>
      <c r="AO118" s="1" t="s">
        <v>13666</v>
      </c>
      <c r="AP118" s="2" t="s">
        <v>13667</v>
      </c>
      <c r="AQ118" s="2" t="s">
        <v>1154</v>
      </c>
      <c r="AR118" s="1" t="s">
        <v>286</v>
      </c>
      <c r="AS118" s="1" t="s">
        <v>13668</v>
      </c>
      <c r="AT118" s="1" t="s">
        <v>5</v>
      </c>
    </row>
    <row r="119" spans="1:46" hidden="1" x14ac:dyDescent="0.4">
      <c r="A119" s="1" t="s">
        <v>12874</v>
      </c>
      <c r="B119" s="10"/>
      <c r="C119" s="1" t="s">
        <v>93</v>
      </c>
      <c r="D119" s="1" t="s">
        <v>11999</v>
      </c>
      <c r="E119" s="1" t="s">
        <v>2291</v>
      </c>
      <c r="F119" s="1" t="s">
        <v>14</v>
      </c>
      <c r="G119" s="1" t="s">
        <v>1</v>
      </c>
      <c r="H119" s="1" t="s">
        <v>6</v>
      </c>
      <c r="I119" s="1" t="s">
        <v>2</v>
      </c>
      <c r="J119" s="1" t="s">
        <v>3</v>
      </c>
      <c r="K119" s="1" t="s">
        <v>12875</v>
      </c>
      <c r="L119" s="1" t="s">
        <v>7</v>
      </c>
      <c r="M119" s="1"/>
      <c r="N119" s="1" t="s">
        <v>12876</v>
      </c>
      <c r="O119" s="1" t="s">
        <v>12009</v>
      </c>
      <c r="P119" s="1"/>
      <c r="Q119" s="1"/>
      <c r="R119" s="1" t="s">
        <v>11</v>
      </c>
      <c r="S119" s="1"/>
      <c r="T119" s="1"/>
      <c r="U119" s="1"/>
      <c r="V119" s="1"/>
      <c r="W119" s="1" t="s">
        <v>12877</v>
      </c>
      <c r="X119" s="1" t="s">
        <v>12026</v>
      </c>
      <c r="Y119" s="1"/>
      <c r="Z119" s="1"/>
      <c r="AA119" s="1"/>
      <c r="AB119" s="1" t="s">
        <v>12878</v>
      </c>
      <c r="AC119" s="1"/>
      <c r="AD119" s="1"/>
      <c r="AE119" s="1" t="s">
        <v>12879</v>
      </c>
      <c r="AF119" s="1"/>
      <c r="AG119" s="1"/>
      <c r="AH119" s="1" t="s">
        <v>12880</v>
      </c>
      <c r="AI119" s="1"/>
      <c r="AJ119" s="1" t="s">
        <v>5631</v>
      </c>
      <c r="AK119" s="1" t="s">
        <v>5632</v>
      </c>
      <c r="AL119" s="1" t="s">
        <v>5633</v>
      </c>
      <c r="AM119" s="1" t="s">
        <v>5631</v>
      </c>
      <c r="AN119" s="1" t="s">
        <v>5632</v>
      </c>
      <c r="AO119" s="1" t="s">
        <v>5633</v>
      </c>
      <c r="AP119" s="2" t="s">
        <v>12881</v>
      </c>
      <c r="AQ119" s="2" t="s">
        <v>1077</v>
      </c>
      <c r="AR119" s="1" t="s">
        <v>287</v>
      </c>
      <c r="AS119" s="1"/>
      <c r="AT119" s="1" t="s">
        <v>5</v>
      </c>
    </row>
    <row r="120" spans="1:46" hidden="1" x14ac:dyDescent="0.4">
      <c r="A120" s="1" t="s">
        <v>13546</v>
      </c>
      <c r="B120" s="10"/>
      <c r="C120" s="1" t="s">
        <v>93</v>
      </c>
      <c r="D120" s="1" t="s">
        <v>11999</v>
      </c>
      <c r="E120" s="1" t="s">
        <v>2291</v>
      </c>
      <c r="F120" s="1" t="s">
        <v>14</v>
      </c>
      <c r="G120" s="1" t="s">
        <v>1</v>
      </c>
      <c r="H120" s="1" t="s">
        <v>6</v>
      </c>
      <c r="I120" s="1" t="s">
        <v>2</v>
      </c>
      <c r="J120" s="1" t="s">
        <v>3</v>
      </c>
      <c r="K120" s="1" t="s">
        <v>13547</v>
      </c>
      <c r="L120" s="1" t="s">
        <v>7</v>
      </c>
      <c r="M120" s="1"/>
      <c r="N120" s="1" t="s">
        <v>13548</v>
      </c>
      <c r="O120" s="1" t="s">
        <v>12103</v>
      </c>
      <c r="P120" s="1"/>
      <c r="Q120" s="1"/>
      <c r="R120" s="1" t="s">
        <v>11</v>
      </c>
      <c r="S120" s="1"/>
      <c r="T120" s="1"/>
      <c r="U120" s="1"/>
      <c r="V120" s="1"/>
      <c r="W120" s="1"/>
      <c r="X120" s="1" t="s">
        <v>10021</v>
      </c>
      <c r="Y120" s="1"/>
      <c r="Z120" s="1"/>
      <c r="AA120" s="1"/>
      <c r="AB120" s="1" t="s">
        <v>13549</v>
      </c>
      <c r="AC120" s="1"/>
      <c r="AD120" s="1"/>
      <c r="AE120" s="1" t="s">
        <v>13550</v>
      </c>
      <c r="AF120" s="1"/>
      <c r="AG120" s="1"/>
      <c r="AH120" s="1" t="s">
        <v>13551</v>
      </c>
      <c r="AI120" s="1"/>
      <c r="AJ120" s="1" t="s">
        <v>7285</v>
      </c>
      <c r="AK120" s="1" t="s">
        <v>4240</v>
      </c>
      <c r="AL120" s="1" t="s">
        <v>7286</v>
      </c>
      <c r="AM120" s="1" t="s">
        <v>13552</v>
      </c>
      <c r="AN120" s="1" t="s">
        <v>4240</v>
      </c>
      <c r="AO120" s="1" t="s">
        <v>13553</v>
      </c>
      <c r="AP120" s="2" t="s">
        <v>13554</v>
      </c>
      <c r="AQ120" s="2" t="s">
        <v>1154</v>
      </c>
      <c r="AR120" s="1" t="s">
        <v>286</v>
      </c>
      <c r="AS120" s="1" t="s">
        <v>13555</v>
      </c>
      <c r="AT120" s="1" t="s">
        <v>5</v>
      </c>
    </row>
    <row r="121" spans="1:46" hidden="1" x14ac:dyDescent="0.4">
      <c r="A121" s="1" t="s">
        <v>12472</v>
      </c>
      <c r="B121" s="10"/>
      <c r="C121" s="1" t="s">
        <v>2494</v>
      </c>
      <c r="D121" s="1" t="s">
        <v>11999</v>
      </c>
      <c r="E121" s="1" t="s">
        <v>2291</v>
      </c>
      <c r="F121" s="1" t="s">
        <v>14</v>
      </c>
      <c r="G121" s="1" t="s">
        <v>1</v>
      </c>
      <c r="H121" s="1" t="s">
        <v>6</v>
      </c>
      <c r="I121" s="1" t="s">
        <v>2</v>
      </c>
      <c r="J121" s="1" t="s">
        <v>2450</v>
      </c>
      <c r="K121" s="1" t="s">
        <v>12473</v>
      </c>
      <c r="L121" s="1" t="s">
        <v>7</v>
      </c>
      <c r="M121" s="1" t="s">
        <v>9</v>
      </c>
      <c r="N121" s="1" t="s">
        <v>12474</v>
      </c>
      <c r="O121" s="1" t="s">
        <v>12077</v>
      </c>
      <c r="P121" s="1"/>
      <c r="Q121" s="1"/>
      <c r="R121" s="1" t="s">
        <v>11</v>
      </c>
      <c r="S121" s="1"/>
      <c r="T121" s="1"/>
      <c r="U121" s="1"/>
      <c r="V121" s="1"/>
      <c r="W121" s="1"/>
      <c r="X121" s="1" t="s">
        <v>12199</v>
      </c>
      <c r="Y121" s="1"/>
      <c r="Z121" s="1"/>
      <c r="AA121" s="1"/>
      <c r="AB121" s="1" t="s">
        <v>12475</v>
      </c>
      <c r="AC121" s="1"/>
      <c r="AD121" s="1"/>
      <c r="AE121" s="1"/>
      <c r="AF121" s="1"/>
      <c r="AG121" s="1"/>
      <c r="AH121" s="1" t="s">
        <v>12476</v>
      </c>
      <c r="AI121" s="1"/>
      <c r="AJ121" s="1" t="s">
        <v>12477</v>
      </c>
      <c r="AK121" s="1" t="s">
        <v>4789</v>
      </c>
      <c r="AL121" s="1" t="s">
        <v>12478</v>
      </c>
      <c r="AM121" s="1" t="s">
        <v>12477</v>
      </c>
      <c r="AN121" s="1" t="s">
        <v>4789</v>
      </c>
      <c r="AO121" s="1" t="s">
        <v>12478</v>
      </c>
      <c r="AP121" s="2" t="s">
        <v>12479</v>
      </c>
      <c r="AQ121" s="2" t="s">
        <v>1153</v>
      </c>
      <c r="AR121" s="1" t="s">
        <v>287</v>
      </c>
      <c r="AS121" s="1"/>
      <c r="AT121" s="1" t="s">
        <v>5</v>
      </c>
    </row>
    <row r="122" spans="1:46" hidden="1" x14ac:dyDescent="0.4">
      <c r="A122" s="1" t="s">
        <v>12431</v>
      </c>
      <c r="B122" s="10"/>
      <c r="C122" s="1" t="s">
        <v>2705</v>
      </c>
      <c r="D122" s="1" t="s">
        <v>11999</v>
      </c>
      <c r="E122" s="1" t="s">
        <v>2291</v>
      </c>
      <c r="F122" s="1" t="s">
        <v>14</v>
      </c>
      <c r="G122" s="1" t="s">
        <v>1</v>
      </c>
      <c r="H122" s="1" t="s">
        <v>6</v>
      </c>
      <c r="I122" s="1" t="s">
        <v>2</v>
      </c>
      <c r="J122" s="1" t="s">
        <v>2813</v>
      </c>
      <c r="K122" s="1" t="s">
        <v>12432</v>
      </c>
      <c r="L122" s="1" t="s">
        <v>7</v>
      </c>
      <c r="M122" s="1" t="s">
        <v>9</v>
      </c>
      <c r="N122" s="1" t="s">
        <v>12433</v>
      </c>
      <c r="O122" s="1" t="s">
        <v>9747</v>
      </c>
      <c r="P122" s="1"/>
      <c r="Q122" s="1"/>
      <c r="R122" s="1" t="s">
        <v>11</v>
      </c>
      <c r="S122" s="1"/>
      <c r="T122" s="1"/>
      <c r="U122" s="1"/>
      <c r="V122" s="1"/>
      <c r="W122" s="1" t="s">
        <v>12434</v>
      </c>
      <c r="X122" s="1" t="s">
        <v>12435</v>
      </c>
      <c r="Y122" s="1"/>
      <c r="Z122" s="1"/>
      <c r="AA122" s="1"/>
      <c r="AB122" s="1" t="s">
        <v>12436</v>
      </c>
      <c r="AC122" s="1"/>
      <c r="AD122" s="1"/>
      <c r="AE122" s="1" t="s">
        <v>12437</v>
      </c>
      <c r="AF122" s="1"/>
      <c r="AG122" s="1"/>
      <c r="AH122" s="1" t="s">
        <v>12438</v>
      </c>
      <c r="AI122" s="1" t="s">
        <v>12439</v>
      </c>
      <c r="AJ122" s="1" t="s">
        <v>12440</v>
      </c>
      <c r="AK122" s="1" t="s">
        <v>12441</v>
      </c>
      <c r="AL122" s="1" t="s">
        <v>12442</v>
      </c>
      <c r="AM122" s="1" t="s">
        <v>12440</v>
      </c>
      <c r="AN122" s="1" t="s">
        <v>12441</v>
      </c>
      <c r="AO122" s="1" t="s">
        <v>12442</v>
      </c>
      <c r="AP122" s="2" t="s">
        <v>12443</v>
      </c>
      <c r="AQ122" s="2" t="s">
        <v>1153</v>
      </c>
      <c r="AR122" s="1" t="s">
        <v>287</v>
      </c>
      <c r="AS122" s="1"/>
      <c r="AT122" s="1" t="s">
        <v>5</v>
      </c>
    </row>
    <row r="123" spans="1:46" hidden="1" x14ac:dyDescent="0.4">
      <c r="A123" s="1" t="s">
        <v>13943</v>
      </c>
      <c r="B123" s="10"/>
      <c r="C123" s="1" t="s">
        <v>2705</v>
      </c>
      <c r="D123" s="1" t="s">
        <v>11999</v>
      </c>
      <c r="E123" s="1" t="s">
        <v>2291</v>
      </c>
      <c r="F123" s="1" t="s">
        <v>14</v>
      </c>
      <c r="G123" s="1" t="s">
        <v>1</v>
      </c>
      <c r="H123" s="1" t="s">
        <v>6</v>
      </c>
      <c r="I123" s="1" t="s">
        <v>2</v>
      </c>
      <c r="J123" s="1" t="s">
        <v>2813</v>
      </c>
      <c r="K123" s="1" t="s">
        <v>13944</v>
      </c>
      <c r="L123" s="1" t="s">
        <v>7</v>
      </c>
      <c r="M123" s="1" t="s">
        <v>9</v>
      </c>
      <c r="N123" s="1" t="s">
        <v>13945</v>
      </c>
      <c r="O123" s="1" t="s">
        <v>12103</v>
      </c>
      <c r="P123" s="1"/>
      <c r="Q123" s="1"/>
      <c r="R123" s="1" t="s">
        <v>11</v>
      </c>
      <c r="S123" s="1"/>
      <c r="T123" s="1"/>
      <c r="U123" s="1"/>
      <c r="V123" s="1"/>
      <c r="W123" s="1" t="s">
        <v>13946</v>
      </c>
      <c r="X123" s="1" t="s">
        <v>12038</v>
      </c>
      <c r="Y123" s="1"/>
      <c r="Z123" s="1"/>
      <c r="AA123" s="1"/>
      <c r="AB123" s="1" t="s">
        <v>13947</v>
      </c>
      <c r="AC123" s="1"/>
      <c r="AD123" s="1"/>
      <c r="AE123" s="1"/>
      <c r="AF123" s="1"/>
      <c r="AG123" s="1"/>
      <c r="AH123" s="1" t="s">
        <v>13948</v>
      </c>
      <c r="AI123" s="1"/>
      <c r="AJ123" s="1" t="s">
        <v>13949</v>
      </c>
      <c r="AK123" s="1" t="s">
        <v>9480</v>
      </c>
      <c r="AL123" s="1" t="s">
        <v>13950</v>
      </c>
      <c r="AM123" s="1" t="s">
        <v>13949</v>
      </c>
      <c r="AN123" s="1" t="s">
        <v>9480</v>
      </c>
      <c r="AO123" s="1" t="s">
        <v>13950</v>
      </c>
      <c r="AP123" s="2" t="s">
        <v>13951</v>
      </c>
      <c r="AQ123" s="2" t="s">
        <v>1155</v>
      </c>
      <c r="AR123" s="1" t="s">
        <v>286</v>
      </c>
      <c r="AS123" s="1" t="s">
        <v>13952</v>
      </c>
      <c r="AT123" s="1" t="s">
        <v>5</v>
      </c>
    </row>
    <row r="124" spans="1:46" hidden="1" x14ac:dyDescent="0.4">
      <c r="A124" s="1" t="s">
        <v>13163</v>
      </c>
      <c r="B124" s="10"/>
      <c r="C124" s="1" t="s">
        <v>93</v>
      </c>
      <c r="D124" s="1" t="s">
        <v>11999</v>
      </c>
      <c r="E124" s="1" t="s">
        <v>2291</v>
      </c>
      <c r="F124" s="1" t="s">
        <v>14</v>
      </c>
      <c r="G124" s="1" t="s">
        <v>1</v>
      </c>
      <c r="H124" s="1" t="s">
        <v>6</v>
      </c>
      <c r="I124" s="1" t="s">
        <v>2</v>
      </c>
      <c r="J124" s="1" t="s">
        <v>3</v>
      </c>
      <c r="K124" s="1" t="s">
        <v>13164</v>
      </c>
      <c r="L124" s="1" t="s">
        <v>7</v>
      </c>
      <c r="M124" s="1"/>
      <c r="N124" s="1" t="s">
        <v>13165</v>
      </c>
      <c r="O124" s="1" t="s">
        <v>12060</v>
      </c>
      <c r="P124" s="1"/>
      <c r="Q124" s="1"/>
      <c r="R124" s="1" t="s">
        <v>11</v>
      </c>
      <c r="S124" s="1"/>
      <c r="T124" s="1"/>
      <c r="U124" s="1"/>
      <c r="V124" s="1"/>
      <c r="W124" s="1"/>
      <c r="X124" s="1" t="s">
        <v>12135</v>
      </c>
      <c r="Y124" s="1"/>
      <c r="Z124" s="1"/>
      <c r="AA124" s="1"/>
      <c r="AB124" s="1" t="s">
        <v>13166</v>
      </c>
      <c r="AC124" s="1"/>
      <c r="AD124" s="1"/>
      <c r="AE124" s="1" t="s">
        <v>13148</v>
      </c>
      <c r="AF124" s="1"/>
      <c r="AG124" s="1"/>
      <c r="AH124" s="1" t="s">
        <v>13167</v>
      </c>
      <c r="AI124" s="1"/>
      <c r="AJ124" s="1" t="s">
        <v>8008</v>
      </c>
      <c r="AK124" s="1" t="s">
        <v>1787</v>
      </c>
      <c r="AL124" s="1" t="s">
        <v>8009</v>
      </c>
      <c r="AM124" s="1" t="s">
        <v>8008</v>
      </c>
      <c r="AN124" s="1" t="s">
        <v>1787</v>
      </c>
      <c r="AO124" s="1" t="s">
        <v>8009</v>
      </c>
      <c r="AP124" s="2" t="s">
        <v>13168</v>
      </c>
      <c r="AQ124" s="2" t="s">
        <v>1077</v>
      </c>
      <c r="AR124" s="1" t="s">
        <v>287</v>
      </c>
      <c r="AS124" s="1"/>
      <c r="AT124" s="1" t="s">
        <v>5</v>
      </c>
    </row>
    <row r="125" spans="1:46" hidden="1" x14ac:dyDescent="0.4">
      <c r="A125" s="1" t="s">
        <v>13157</v>
      </c>
      <c r="B125" s="10"/>
      <c r="C125" s="1" t="s">
        <v>93</v>
      </c>
      <c r="D125" s="1" t="s">
        <v>11999</v>
      </c>
      <c r="E125" s="1" t="s">
        <v>2291</v>
      </c>
      <c r="F125" s="1" t="s">
        <v>14</v>
      </c>
      <c r="G125" s="1" t="s">
        <v>1</v>
      </c>
      <c r="H125" s="1" t="s">
        <v>6</v>
      </c>
      <c r="I125" s="1" t="s">
        <v>2</v>
      </c>
      <c r="J125" s="1" t="s">
        <v>3</v>
      </c>
      <c r="K125" s="1" t="s">
        <v>13158</v>
      </c>
      <c r="L125" s="1" t="s">
        <v>7</v>
      </c>
      <c r="M125" s="1"/>
      <c r="N125" s="1" t="s">
        <v>13159</v>
      </c>
      <c r="O125" s="1" t="s">
        <v>12060</v>
      </c>
      <c r="P125" s="1"/>
      <c r="Q125" s="1"/>
      <c r="R125" s="1" t="s">
        <v>11</v>
      </c>
      <c r="S125" s="1"/>
      <c r="T125" s="1"/>
      <c r="U125" s="1"/>
      <c r="V125" s="1"/>
      <c r="W125" s="1"/>
      <c r="X125" s="1" t="s">
        <v>12135</v>
      </c>
      <c r="Y125" s="1"/>
      <c r="Z125" s="1"/>
      <c r="AA125" s="1"/>
      <c r="AB125" s="1" t="s">
        <v>13160</v>
      </c>
      <c r="AC125" s="1"/>
      <c r="AD125" s="1"/>
      <c r="AE125" s="1" t="s">
        <v>13148</v>
      </c>
      <c r="AF125" s="1"/>
      <c r="AG125" s="1"/>
      <c r="AH125" s="1" t="s">
        <v>13161</v>
      </c>
      <c r="AI125" s="1"/>
      <c r="AJ125" s="1" t="s">
        <v>8008</v>
      </c>
      <c r="AK125" s="1" t="s">
        <v>1787</v>
      </c>
      <c r="AL125" s="1" t="s">
        <v>8009</v>
      </c>
      <c r="AM125" s="1" t="s">
        <v>8008</v>
      </c>
      <c r="AN125" s="1" t="s">
        <v>1787</v>
      </c>
      <c r="AO125" s="1" t="s">
        <v>8009</v>
      </c>
      <c r="AP125" s="2" t="s">
        <v>13162</v>
      </c>
      <c r="AQ125" s="2" t="s">
        <v>1077</v>
      </c>
      <c r="AR125" s="1" t="s">
        <v>287</v>
      </c>
      <c r="AS125" s="1"/>
      <c r="AT125" s="1" t="s">
        <v>5</v>
      </c>
    </row>
    <row r="126" spans="1:46" hidden="1" x14ac:dyDescent="0.4">
      <c r="A126" s="1" t="s">
        <v>13144</v>
      </c>
      <c r="B126" s="10"/>
      <c r="C126" s="1" t="s">
        <v>93</v>
      </c>
      <c r="D126" s="1" t="s">
        <v>11999</v>
      </c>
      <c r="E126" s="1" t="s">
        <v>2291</v>
      </c>
      <c r="F126" s="1" t="s">
        <v>14</v>
      </c>
      <c r="G126" s="1" t="s">
        <v>1</v>
      </c>
      <c r="H126" s="1" t="s">
        <v>6</v>
      </c>
      <c r="I126" s="1" t="s">
        <v>2</v>
      </c>
      <c r="J126" s="1" t="s">
        <v>3</v>
      </c>
      <c r="K126" s="1" t="s">
        <v>13145</v>
      </c>
      <c r="L126" s="1" t="s">
        <v>7</v>
      </c>
      <c r="M126" s="1"/>
      <c r="N126" s="1" t="s">
        <v>13146</v>
      </c>
      <c r="O126" s="1" t="s">
        <v>12060</v>
      </c>
      <c r="P126" s="1"/>
      <c r="Q126" s="1"/>
      <c r="R126" s="1" t="s">
        <v>11</v>
      </c>
      <c r="S126" s="1"/>
      <c r="T126" s="1"/>
      <c r="U126" s="1"/>
      <c r="V126" s="1"/>
      <c r="W126" s="1"/>
      <c r="X126" s="1" t="s">
        <v>12135</v>
      </c>
      <c r="Y126" s="1"/>
      <c r="Z126" s="1"/>
      <c r="AA126" s="1"/>
      <c r="AB126" s="1" t="s">
        <v>13147</v>
      </c>
      <c r="AC126" s="1"/>
      <c r="AD126" s="1"/>
      <c r="AE126" s="1" t="s">
        <v>13148</v>
      </c>
      <c r="AF126" s="1"/>
      <c r="AG126" s="1"/>
      <c r="AH126" s="1" t="s">
        <v>13149</v>
      </c>
      <c r="AI126" s="1"/>
      <c r="AJ126" s="1" t="s">
        <v>8008</v>
      </c>
      <c r="AK126" s="1" t="s">
        <v>1787</v>
      </c>
      <c r="AL126" s="1" t="s">
        <v>8009</v>
      </c>
      <c r="AM126" s="1" t="s">
        <v>8008</v>
      </c>
      <c r="AN126" s="1" t="s">
        <v>1787</v>
      </c>
      <c r="AO126" s="1" t="s">
        <v>8009</v>
      </c>
      <c r="AP126" s="2" t="s">
        <v>13150</v>
      </c>
      <c r="AQ126" s="2" t="s">
        <v>1077</v>
      </c>
      <c r="AR126" s="1" t="s">
        <v>287</v>
      </c>
      <c r="AS126" s="1"/>
      <c r="AT126" s="1" t="s">
        <v>5</v>
      </c>
    </row>
    <row r="127" spans="1:46" hidden="1" x14ac:dyDescent="0.4">
      <c r="A127" s="1" t="s">
        <v>13151</v>
      </c>
      <c r="B127" s="10"/>
      <c r="C127" s="1" t="s">
        <v>93</v>
      </c>
      <c r="D127" s="1" t="s">
        <v>11999</v>
      </c>
      <c r="E127" s="1" t="s">
        <v>2291</v>
      </c>
      <c r="F127" s="1" t="s">
        <v>14</v>
      </c>
      <c r="G127" s="1" t="s">
        <v>1</v>
      </c>
      <c r="H127" s="1" t="s">
        <v>6</v>
      </c>
      <c r="I127" s="1" t="s">
        <v>2</v>
      </c>
      <c r="J127" s="1" t="s">
        <v>3</v>
      </c>
      <c r="K127" s="1" t="s">
        <v>13152</v>
      </c>
      <c r="L127" s="1" t="s">
        <v>7</v>
      </c>
      <c r="M127" s="1"/>
      <c r="N127" s="1" t="s">
        <v>13153</v>
      </c>
      <c r="O127" s="1" t="s">
        <v>12060</v>
      </c>
      <c r="P127" s="1"/>
      <c r="Q127" s="1"/>
      <c r="R127" s="1" t="s">
        <v>11</v>
      </c>
      <c r="S127" s="1"/>
      <c r="T127" s="1"/>
      <c r="U127" s="1"/>
      <c r="V127" s="1"/>
      <c r="W127" s="1"/>
      <c r="X127" s="1" t="s">
        <v>12135</v>
      </c>
      <c r="Y127" s="1"/>
      <c r="Z127" s="1"/>
      <c r="AA127" s="1"/>
      <c r="AB127" s="1" t="s">
        <v>13154</v>
      </c>
      <c r="AC127" s="1"/>
      <c r="AD127" s="1"/>
      <c r="AE127" s="1" t="s">
        <v>13148</v>
      </c>
      <c r="AF127" s="1"/>
      <c r="AG127" s="1"/>
      <c r="AH127" s="1" t="s">
        <v>13155</v>
      </c>
      <c r="AI127" s="1"/>
      <c r="AJ127" s="1" t="s">
        <v>8008</v>
      </c>
      <c r="AK127" s="1" t="s">
        <v>1787</v>
      </c>
      <c r="AL127" s="1" t="s">
        <v>8009</v>
      </c>
      <c r="AM127" s="1" t="s">
        <v>8008</v>
      </c>
      <c r="AN127" s="1" t="s">
        <v>1787</v>
      </c>
      <c r="AO127" s="1" t="s">
        <v>8009</v>
      </c>
      <c r="AP127" s="2" t="s">
        <v>13156</v>
      </c>
      <c r="AQ127" s="2" t="s">
        <v>1077</v>
      </c>
      <c r="AR127" s="1" t="s">
        <v>287</v>
      </c>
      <c r="AS127" s="1"/>
      <c r="AT127" s="1" t="s">
        <v>5</v>
      </c>
    </row>
    <row r="128" spans="1:46" hidden="1" x14ac:dyDescent="0.4">
      <c r="A128" s="1" t="s">
        <v>12744</v>
      </c>
      <c r="B128" s="10"/>
      <c r="C128" s="1" t="s">
        <v>2555</v>
      </c>
      <c r="D128" s="1" t="s">
        <v>11999</v>
      </c>
      <c r="E128" s="1" t="s">
        <v>2291</v>
      </c>
      <c r="F128" s="1" t="s">
        <v>14</v>
      </c>
      <c r="G128" s="1" t="s">
        <v>1</v>
      </c>
      <c r="H128" s="1" t="s">
        <v>6</v>
      </c>
      <c r="I128" s="1" t="s">
        <v>2</v>
      </c>
      <c r="J128" s="1" t="s">
        <v>3</v>
      </c>
      <c r="K128" s="1" t="s">
        <v>12745</v>
      </c>
      <c r="L128" s="1" t="s">
        <v>7</v>
      </c>
      <c r="M128" s="1"/>
      <c r="N128" s="1" t="s">
        <v>12746</v>
      </c>
      <c r="O128" s="1" t="s">
        <v>12405</v>
      </c>
      <c r="P128" s="1"/>
      <c r="Q128" s="1"/>
      <c r="R128" s="1" t="s">
        <v>11</v>
      </c>
      <c r="S128" s="1"/>
      <c r="T128" s="1"/>
      <c r="U128" s="1"/>
      <c r="V128" s="1"/>
      <c r="W128" s="1"/>
      <c r="X128" s="1" t="s">
        <v>12038</v>
      </c>
      <c r="Y128" s="1"/>
      <c r="Z128" s="1"/>
      <c r="AA128" s="1"/>
      <c r="AB128" s="1" t="s">
        <v>12747</v>
      </c>
      <c r="AC128" s="1"/>
      <c r="AD128" s="1"/>
      <c r="AE128" s="1" t="s">
        <v>12748</v>
      </c>
      <c r="AF128" s="1"/>
      <c r="AG128" s="1"/>
      <c r="AH128" s="1" t="s">
        <v>12749</v>
      </c>
      <c r="AI128" s="1"/>
      <c r="AJ128" s="1" t="s">
        <v>12750</v>
      </c>
      <c r="AK128" s="1" t="s">
        <v>12315</v>
      </c>
      <c r="AL128" s="1" t="s">
        <v>12751</v>
      </c>
      <c r="AM128" s="1" t="s">
        <v>12750</v>
      </c>
      <c r="AN128" s="1" t="s">
        <v>12315</v>
      </c>
      <c r="AO128" s="1" t="s">
        <v>12751</v>
      </c>
      <c r="AP128" s="2" t="s">
        <v>12752</v>
      </c>
      <c r="AQ128" s="2" t="s">
        <v>1077</v>
      </c>
      <c r="AR128" s="1" t="s">
        <v>287</v>
      </c>
      <c r="AS128" s="1"/>
      <c r="AT128" s="1" t="s">
        <v>5</v>
      </c>
    </row>
    <row r="129" spans="1:46" hidden="1" x14ac:dyDescent="0.4">
      <c r="A129" s="1" t="s">
        <v>13322</v>
      </c>
      <c r="B129" s="10"/>
      <c r="C129" s="1" t="s">
        <v>0</v>
      </c>
      <c r="D129" s="1" t="s">
        <v>11999</v>
      </c>
      <c r="E129" s="1" t="s">
        <v>2291</v>
      </c>
      <c r="F129" s="1" t="s">
        <v>14</v>
      </c>
      <c r="G129" s="1" t="s">
        <v>1</v>
      </c>
      <c r="H129" s="1" t="s">
        <v>6</v>
      </c>
      <c r="I129" s="1" t="s">
        <v>2</v>
      </c>
      <c r="J129" s="1" t="s">
        <v>3</v>
      </c>
      <c r="K129" s="1" t="s">
        <v>13323</v>
      </c>
      <c r="L129" s="1" t="s">
        <v>7</v>
      </c>
      <c r="M129" s="1" t="s">
        <v>9</v>
      </c>
      <c r="N129" s="1" t="s">
        <v>13324</v>
      </c>
      <c r="O129" s="1" t="s">
        <v>13325</v>
      </c>
      <c r="P129" s="1"/>
      <c r="Q129" s="1"/>
      <c r="R129" s="1" t="s">
        <v>11</v>
      </c>
      <c r="S129" s="1"/>
      <c r="T129" s="1"/>
      <c r="U129" s="1"/>
      <c r="V129" s="1"/>
      <c r="W129" s="1"/>
      <c r="X129" s="1" t="s">
        <v>13326</v>
      </c>
      <c r="Y129" s="1"/>
      <c r="Z129" s="1"/>
      <c r="AA129" s="1"/>
      <c r="AB129" s="1" t="s">
        <v>13327</v>
      </c>
      <c r="AC129" s="1"/>
      <c r="AD129" s="1"/>
      <c r="AE129" s="1" t="s">
        <v>13328</v>
      </c>
      <c r="AF129" s="1"/>
      <c r="AG129" s="1"/>
      <c r="AH129" s="1" t="s">
        <v>13329</v>
      </c>
      <c r="AI129" s="1"/>
      <c r="AJ129" s="1" t="s">
        <v>51</v>
      </c>
      <c r="AK129" s="1" t="s">
        <v>518</v>
      </c>
      <c r="AL129" s="1" t="s">
        <v>136</v>
      </c>
      <c r="AM129" s="1" t="s">
        <v>6911</v>
      </c>
      <c r="AN129" s="1" t="s">
        <v>518</v>
      </c>
      <c r="AO129" s="1" t="s">
        <v>6912</v>
      </c>
      <c r="AP129" s="2" t="s">
        <v>13330</v>
      </c>
      <c r="AQ129" s="2" t="s">
        <v>1154</v>
      </c>
      <c r="AR129" s="1" t="s">
        <v>286</v>
      </c>
      <c r="AS129" s="1" t="s">
        <v>13331</v>
      </c>
      <c r="AT129" s="1" t="s">
        <v>5</v>
      </c>
    </row>
    <row r="130" spans="1:46" hidden="1" x14ac:dyDescent="0.4">
      <c r="A130" s="1" t="s">
        <v>12515</v>
      </c>
      <c r="B130" s="10"/>
      <c r="C130" s="1" t="s">
        <v>4518</v>
      </c>
      <c r="D130" s="1" t="s">
        <v>11999</v>
      </c>
      <c r="E130" s="1" t="s">
        <v>2291</v>
      </c>
      <c r="F130" s="1" t="s">
        <v>14</v>
      </c>
      <c r="G130" s="1" t="s">
        <v>1</v>
      </c>
      <c r="H130" s="1" t="s">
        <v>6</v>
      </c>
      <c r="I130" s="1" t="s">
        <v>2</v>
      </c>
      <c r="J130" s="1" t="s">
        <v>4519</v>
      </c>
      <c r="K130" s="1" t="s">
        <v>12516</v>
      </c>
      <c r="L130" s="1" t="s">
        <v>7</v>
      </c>
      <c r="M130" s="1" t="s">
        <v>9</v>
      </c>
      <c r="N130" s="1" t="s">
        <v>12517</v>
      </c>
      <c r="O130" s="1" t="s">
        <v>12060</v>
      </c>
      <c r="P130" s="1" t="s">
        <v>12518</v>
      </c>
      <c r="Q130" s="1"/>
      <c r="R130" s="1" t="s">
        <v>11</v>
      </c>
      <c r="S130" s="1"/>
      <c r="T130" s="1"/>
      <c r="U130" s="1"/>
      <c r="V130" s="1"/>
      <c r="W130" s="1" t="s">
        <v>12519</v>
      </c>
      <c r="X130" s="1" t="s">
        <v>12135</v>
      </c>
      <c r="Y130" s="1"/>
      <c r="Z130" s="1"/>
      <c r="AA130" s="1"/>
      <c r="AB130" s="1" t="s">
        <v>12520</v>
      </c>
      <c r="AC130" s="1"/>
      <c r="AD130" s="1"/>
      <c r="AE130" s="1" t="s">
        <v>12521</v>
      </c>
      <c r="AF130" s="1"/>
      <c r="AG130" s="1"/>
      <c r="AH130" s="1" t="s">
        <v>12522</v>
      </c>
      <c r="AI130" s="1"/>
      <c r="AJ130" s="1" t="s">
        <v>4526</v>
      </c>
      <c r="AK130" s="1" t="s">
        <v>4527</v>
      </c>
      <c r="AL130" s="1" t="s">
        <v>4528</v>
      </c>
      <c r="AM130" s="1" t="s">
        <v>4529</v>
      </c>
      <c r="AN130" s="1" t="s">
        <v>4527</v>
      </c>
      <c r="AO130" s="1" t="s">
        <v>4530</v>
      </c>
      <c r="AP130" s="2" t="s">
        <v>12523</v>
      </c>
      <c r="AQ130" s="2" t="s">
        <v>1153</v>
      </c>
      <c r="AR130" s="1" t="s">
        <v>287</v>
      </c>
      <c r="AS130" s="1"/>
      <c r="AT130" s="1" t="s">
        <v>5</v>
      </c>
    </row>
    <row r="131" spans="1:46" hidden="1" x14ac:dyDescent="0.4">
      <c r="A131" s="1" t="s">
        <v>12480</v>
      </c>
      <c r="B131" s="10">
        <v>0</v>
      </c>
      <c r="C131" s="1" t="s">
        <v>0</v>
      </c>
      <c r="D131" s="1" t="s">
        <v>11999</v>
      </c>
      <c r="E131" s="1" t="s">
        <v>2291</v>
      </c>
      <c r="F131" s="1" t="s">
        <v>14</v>
      </c>
      <c r="G131" s="1" t="s">
        <v>1</v>
      </c>
      <c r="H131" s="1" t="s">
        <v>6</v>
      </c>
      <c r="I131" s="1" t="s">
        <v>2</v>
      </c>
      <c r="J131" s="1" t="s">
        <v>3</v>
      </c>
      <c r="K131" s="1" t="s">
        <v>12481</v>
      </c>
      <c r="L131" s="1" t="s">
        <v>7</v>
      </c>
      <c r="M131" s="1" t="s">
        <v>9</v>
      </c>
      <c r="N131" s="1" t="s">
        <v>12482</v>
      </c>
      <c r="O131" s="1" t="s">
        <v>12060</v>
      </c>
      <c r="P131" s="1"/>
      <c r="Q131" s="1"/>
      <c r="R131" s="1" t="s">
        <v>11</v>
      </c>
      <c r="S131" s="1"/>
      <c r="T131" s="1"/>
      <c r="U131" s="1"/>
      <c r="V131" s="1"/>
      <c r="W131" s="1" t="s">
        <v>12483</v>
      </c>
      <c r="X131" s="1" t="s">
        <v>12135</v>
      </c>
      <c r="Y131" s="1"/>
      <c r="Z131" s="1"/>
      <c r="AA131" s="1"/>
      <c r="AB131" s="1" t="s">
        <v>12484</v>
      </c>
      <c r="AC131" s="1"/>
      <c r="AD131" s="1"/>
      <c r="AE131" s="1" t="s">
        <v>12485</v>
      </c>
      <c r="AF131" s="1"/>
      <c r="AG131" s="1"/>
      <c r="AH131" s="1" t="s">
        <v>12486</v>
      </c>
      <c r="AI131" s="1"/>
      <c r="AJ131" s="1" t="s">
        <v>12487</v>
      </c>
      <c r="AK131" s="1" t="s">
        <v>285</v>
      </c>
      <c r="AL131" s="1"/>
      <c r="AM131" s="1" t="s">
        <v>12488</v>
      </c>
      <c r="AN131" s="1" t="s">
        <v>3907</v>
      </c>
      <c r="AO131" s="1"/>
      <c r="AP131" s="2" t="s">
        <v>12489</v>
      </c>
      <c r="AQ131" s="2" t="s">
        <v>1153</v>
      </c>
      <c r="AR131" s="1" t="s">
        <v>287</v>
      </c>
      <c r="AS131" s="1"/>
      <c r="AT131" s="1" t="s">
        <v>5</v>
      </c>
    </row>
    <row r="132" spans="1:46" hidden="1" x14ac:dyDescent="0.4">
      <c r="A132" s="1" t="s">
        <v>13913</v>
      </c>
      <c r="B132" s="10">
        <v>0</v>
      </c>
      <c r="C132" s="1" t="s">
        <v>2555</v>
      </c>
      <c r="D132" s="1" t="s">
        <v>11999</v>
      </c>
      <c r="E132" s="1" t="s">
        <v>2291</v>
      </c>
      <c r="F132" s="1" t="s">
        <v>14</v>
      </c>
      <c r="G132" s="1" t="s">
        <v>1</v>
      </c>
      <c r="H132" s="1" t="s">
        <v>6</v>
      </c>
      <c r="I132" s="1" t="s">
        <v>2</v>
      </c>
      <c r="J132" s="1" t="s">
        <v>3</v>
      </c>
      <c r="K132" s="1" t="s">
        <v>13914</v>
      </c>
      <c r="L132" s="1" t="s">
        <v>7</v>
      </c>
      <c r="M132" s="1"/>
      <c r="N132" s="1" t="s">
        <v>13915</v>
      </c>
      <c r="O132" s="1" t="s">
        <v>12060</v>
      </c>
      <c r="P132" s="1"/>
      <c r="Q132" s="1"/>
      <c r="R132" s="1" t="s">
        <v>11</v>
      </c>
      <c r="S132" s="1"/>
      <c r="T132" s="1"/>
      <c r="U132" s="1"/>
      <c r="V132" s="1"/>
      <c r="W132" s="1"/>
      <c r="X132" s="1" t="s">
        <v>12135</v>
      </c>
      <c r="Y132" s="1"/>
      <c r="Z132" s="1"/>
      <c r="AA132" s="1"/>
      <c r="AB132" s="1" t="s">
        <v>13916</v>
      </c>
      <c r="AC132" s="1"/>
      <c r="AD132" s="1"/>
      <c r="AE132" s="1" t="s">
        <v>13908</v>
      </c>
      <c r="AF132" s="1"/>
      <c r="AG132" s="1"/>
      <c r="AH132" s="1" t="s">
        <v>13917</v>
      </c>
      <c r="AI132" s="1"/>
      <c r="AJ132" s="1" t="s">
        <v>13910</v>
      </c>
      <c r="AK132" s="1" t="s">
        <v>11099</v>
      </c>
      <c r="AL132" s="1" t="s">
        <v>13911</v>
      </c>
      <c r="AM132" s="1" t="s">
        <v>13910</v>
      </c>
      <c r="AN132" s="1" t="s">
        <v>11099</v>
      </c>
      <c r="AO132" s="1" t="s">
        <v>13911</v>
      </c>
      <c r="AP132" s="2" t="s">
        <v>13918</v>
      </c>
      <c r="AQ132" s="2" t="s">
        <v>1155</v>
      </c>
      <c r="AR132" s="1" t="s">
        <v>286</v>
      </c>
      <c r="AS132" s="1" t="s">
        <v>970</v>
      </c>
      <c r="AT132" s="1" t="s">
        <v>5</v>
      </c>
    </row>
    <row r="133" spans="1:46" hidden="1" x14ac:dyDescent="0.4">
      <c r="A133" s="1" t="s">
        <v>13919</v>
      </c>
      <c r="B133" s="10">
        <v>0</v>
      </c>
      <c r="C133" s="1" t="s">
        <v>2555</v>
      </c>
      <c r="D133" s="1" t="s">
        <v>11999</v>
      </c>
      <c r="E133" s="1" t="s">
        <v>2291</v>
      </c>
      <c r="F133" s="1" t="s">
        <v>14</v>
      </c>
      <c r="G133" s="1" t="s">
        <v>1</v>
      </c>
      <c r="H133" s="1" t="s">
        <v>6</v>
      </c>
      <c r="I133" s="1" t="s">
        <v>2</v>
      </c>
      <c r="J133" s="1" t="s">
        <v>3</v>
      </c>
      <c r="K133" s="1" t="s">
        <v>13920</v>
      </c>
      <c r="L133" s="1" t="s">
        <v>7</v>
      </c>
      <c r="M133" s="1"/>
      <c r="N133" s="1" t="s">
        <v>13921</v>
      </c>
      <c r="O133" s="1" t="s">
        <v>12060</v>
      </c>
      <c r="P133" s="1"/>
      <c r="Q133" s="1"/>
      <c r="R133" s="1" t="s">
        <v>11</v>
      </c>
      <c r="S133" s="1"/>
      <c r="T133" s="1"/>
      <c r="U133" s="1"/>
      <c r="V133" s="1"/>
      <c r="W133" s="1"/>
      <c r="X133" s="1" t="s">
        <v>12135</v>
      </c>
      <c r="Y133" s="1"/>
      <c r="Z133" s="1"/>
      <c r="AA133" s="1"/>
      <c r="AB133" s="1" t="s">
        <v>13922</v>
      </c>
      <c r="AC133" s="1"/>
      <c r="AD133" s="1"/>
      <c r="AE133" s="1" t="s">
        <v>13908</v>
      </c>
      <c r="AF133" s="1"/>
      <c r="AG133" s="1"/>
      <c r="AH133" s="1" t="s">
        <v>13923</v>
      </c>
      <c r="AI133" s="1"/>
      <c r="AJ133" s="1" t="s">
        <v>13910</v>
      </c>
      <c r="AK133" s="1" t="s">
        <v>11099</v>
      </c>
      <c r="AL133" s="1" t="s">
        <v>13911</v>
      </c>
      <c r="AM133" s="1" t="s">
        <v>13910</v>
      </c>
      <c r="AN133" s="1" t="s">
        <v>11099</v>
      </c>
      <c r="AO133" s="1" t="s">
        <v>13911</v>
      </c>
      <c r="AP133" s="2" t="s">
        <v>13924</v>
      </c>
      <c r="AQ133" s="2" t="s">
        <v>1155</v>
      </c>
      <c r="AR133" s="1" t="s">
        <v>286</v>
      </c>
      <c r="AS133" s="1" t="s">
        <v>970</v>
      </c>
      <c r="AT133" s="1" t="s">
        <v>5</v>
      </c>
    </row>
    <row r="134" spans="1:46" hidden="1" x14ac:dyDescent="0.4">
      <c r="A134" s="1" t="s">
        <v>13925</v>
      </c>
      <c r="B134" s="10">
        <v>0</v>
      </c>
      <c r="C134" s="1" t="s">
        <v>2555</v>
      </c>
      <c r="D134" s="1" t="s">
        <v>11999</v>
      </c>
      <c r="E134" s="1" t="s">
        <v>2291</v>
      </c>
      <c r="F134" s="1" t="s">
        <v>14</v>
      </c>
      <c r="G134" s="1" t="s">
        <v>1</v>
      </c>
      <c r="H134" s="1" t="s">
        <v>6</v>
      </c>
      <c r="I134" s="1" t="s">
        <v>2</v>
      </c>
      <c r="J134" s="1" t="s">
        <v>3</v>
      </c>
      <c r="K134" s="1" t="s">
        <v>13926</v>
      </c>
      <c r="L134" s="1" t="s">
        <v>7</v>
      </c>
      <c r="M134" s="1"/>
      <c r="N134" s="1" t="s">
        <v>13927</v>
      </c>
      <c r="O134" s="1" t="s">
        <v>12060</v>
      </c>
      <c r="P134" s="1"/>
      <c r="Q134" s="1"/>
      <c r="R134" s="1" t="s">
        <v>11</v>
      </c>
      <c r="S134" s="1"/>
      <c r="T134" s="1"/>
      <c r="U134" s="1"/>
      <c r="V134" s="1"/>
      <c r="W134" s="1"/>
      <c r="X134" s="1" t="s">
        <v>12135</v>
      </c>
      <c r="Y134" s="1"/>
      <c r="Z134" s="1"/>
      <c r="AA134" s="1"/>
      <c r="AB134" s="1" t="s">
        <v>13922</v>
      </c>
      <c r="AC134" s="1"/>
      <c r="AD134" s="1"/>
      <c r="AE134" s="1" t="s">
        <v>13908</v>
      </c>
      <c r="AF134" s="1"/>
      <c r="AG134" s="1"/>
      <c r="AH134" s="1" t="s">
        <v>13928</v>
      </c>
      <c r="AI134" s="1"/>
      <c r="AJ134" s="1" t="s">
        <v>13910</v>
      </c>
      <c r="AK134" s="1" t="s">
        <v>11099</v>
      </c>
      <c r="AL134" s="1" t="s">
        <v>13911</v>
      </c>
      <c r="AM134" s="1" t="s">
        <v>13910</v>
      </c>
      <c r="AN134" s="1" t="s">
        <v>11099</v>
      </c>
      <c r="AO134" s="1" t="s">
        <v>13911</v>
      </c>
      <c r="AP134" s="2" t="s">
        <v>13929</v>
      </c>
      <c r="AQ134" s="2" t="s">
        <v>1155</v>
      </c>
      <c r="AR134" s="1" t="s">
        <v>286</v>
      </c>
      <c r="AS134" s="1" t="s">
        <v>970</v>
      </c>
      <c r="AT134" s="1" t="s">
        <v>5</v>
      </c>
    </row>
    <row r="135" spans="1:46" hidden="1" x14ac:dyDescent="0.4">
      <c r="A135" s="1" t="s">
        <v>13930</v>
      </c>
      <c r="B135" s="10">
        <v>0</v>
      </c>
      <c r="C135" s="1" t="s">
        <v>2555</v>
      </c>
      <c r="D135" s="1" t="s">
        <v>11999</v>
      </c>
      <c r="E135" s="1" t="s">
        <v>2291</v>
      </c>
      <c r="F135" s="1" t="s">
        <v>14</v>
      </c>
      <c r="G135" s="1" t="s">
        <v>1</v>
      </c>
      <c r="H135" s="1" t="s">
        <v>6</v>
      </c>
      <c r="I135" s="1" t="s">
        <v>2</v>
      </c>
      <c r="J135" s="1" t="s">
        <v>3</v>
      </c>
      <c r="K135" s="1" t="s">
        <v>13931</v>
      </c>
      <c r="L135" s="1" t="s">
        <v>7</v>
      </c>
      <c r="M135" s="1"/>
      <c r="N135" s="1" t="s">
        <v>13932</v>
      </c>
      <c r="O135" s="1" t="s">
        <v>12060</v>
      </c>
      <c r="P135" s="1"/>
      <c r="Q135" s="1"/>
      <c r="R135" s="1" t="s">
        <v>11</v>
      </c>
      <c r="S135" s="1"/>
      <c r="T135" s="1"/>
      <c r="U135" s="1"/>
      <c r="V135" s="1"/>
      <c r="W135" s="1"/>
      <c r="X135" s="1" t="s">
        <v>12135</v>
      </c>
      <c r="Y135" s="1"/>
      <c r="Z135" s="1"/>
      <c r="AA135" s="1"/>
      <c r="AB135" s="1" t="s">
        <v>13922</v>
      </c>
      <c r="AC135" s="1"/>
      <c r="AD135" s="1"/>
      <c r="AE135" s="1" t="s">
        <v>13908</v>
      </c>
      <c r="AF135" s="1"/>
      <c r="AG135" s="1"/>
      <c r="AH135" s="1" t="s">
        <v>13933</v>
      </c>
      <c r="AI135" s="1"/>
      <c r="AJ135" s="1" t="s">
        <v>13910</v>
      </c>
      <c r="AK135" s="1" t="s">
        <v>11099</v>
      </c>
      <c r="AL135" s="1" t="s">
        <v>13911</v>
      </c>
      <c r="AM135" s="1" t="s">
        <v>13910</v>
      </c>
      <c r="AN135" s="1" t="s">
        <v>11099</v>
      </c>
      <c r="AO135" s="1" t="s">
        <v>13911</v>
      </c>
      <c r="AP135" s="2" t="s">
        <v>13934</v>
      </c>
      <c r="AQ135" s="2" t="s">
        <v>1155</v>
      </c>
      <c r="AR135" s="1" t="s">
        <v>286</v>
      </c>
      <c r="AS135" s="1" t="s">
        <v>970</v>
      </c>
      <c r="AT135" s="1" t="s">
        <v>5</v>
      </c>
    </row>
    <row r="136" spans="1:46" hidden="1" x14ac:dyDescent="0.4">
      <c r="A136" s="1" t="s">
        <v>13905</v>
      </c>
      <c r="B136" s="10">
        <v>0</v>
      </c>
      <c r="C136" s="1" t="s">
        <v>2555</v>
      </c>
      <c r="D136" s="1" t="s">
        <v>11999</v>
      </c>
      <c r="E136" s="1" t="s">
        <v>2291</v>
      </c>
      <c r="F136" s="1" t="s">
        <v>14</v>
      </c>
      <c r="G136" s="1" t="s">
        <v>1</v>
      </c>
      <c r="H136" s="1" t="s">
        <v>6</v>
      </c>
      <c r="I136" s="1" t="s">
        <v>2</v>
      </c>
      <c r="J136" s="1" t="s">
        <v>3</v>
      </c>
      <c r="K136" s="1" t="s">
        <v>13906</v>
      </c>
      <c r="L136" s="1" t="s">
        <v>7</v>
      </c>
      <c r="M136" s="1"/>
      <c r="N136" s="1" t="s">
        <v>13907</v>
      </c>
      <c r="O136" s="1" t="s">
        <v>12060</v>
      </c>
      <c r="P136" s="1"/>
      <c r="Q136" s="1"/>
      <c r="R136" s="1" t="s">
        <v>11</v>
      </c>
      <c r="S136" s="1"/>
      <c r="T136" s="1"/>
      <c r="U136" s="1"/>
      <c r="V136" s="1"/>
      <c r="W136" s="1"/>
      <c r="X136" s="1" t="s">
        <v>12135</v>
      </c>
      <c r="Y136" s="1"/>
      <c r="Z136" s="1"/>
      <c r="AA136" s="1"/>
      <c r="AB136" s="1" t="s">
        <v>13922</v>
      </c>
      <c r="AC136" s="1"/>
      <c r="AD136" s="1"/>
      <c r="AE136" s="1" t="s">
        <v>13908</v>
      </c>
      <c r="AF136" s="1"/>
      <c r="AG136" s="1"/>
      <c r="AH136" s="1" t="s">
        <v>13909</v>
      </c>
      <c r="AI136" s="1"/>
      <c r="AJ136" s="1" t="s">
        <v>13910</v>
      </c>
      <c r="AK136" s="1" t="s">
        <v>11099</v>
      </c>
      <c r="AL136" s="1" t="s">
        <v>13911</v>
      </c>
      <c r="AM136" s="1" t="s">
        <v>13910</v>
      </c>
      <c r="AN136" s="1" t="s">
        <v>11099</v>
      </c>
      <c r="AO136" s="1" t="s">
        <v>13911</v>
      </c>
      <c r="AP136" s="2" t="s">
        <v>13912</v>
      </c>
      <c r="AQ136" s="2" t="s">
        <v>1155</v>
      </c>
      <c r="AR136" s="1" t="s">
        <v>286</v>
      </c>
      <c r="AS136" s="1" t="s">
        <v>10219</v>
      </c>
      <c r="AT136" s="1" t="s">
        <v>5</v>
      </c>
    </row>
    <row r="137" spans="1:46" hidden="1" x14ac:dyDescent="0.4">
      <c r="A137" s="1" t="s">
        <v>13701</v>
      </c>
      <c r="B137" s="10"/>
      <c r="C137" s="1" t="s">
        <v>4098</v>
      </c>
      <c r="D137" s="1" t="s">
        <v>11999</v>
      </c>
      <c r="E137" s="1" t="s">
        <v>2291</v>
      </c>
      <c r="F137" s="1" t="s">
        <v>14</v>
      </c>
      <c r="G137" s="1" t="s">
        <v>1</v>
      </c>
      <c r="H137" s="1" t="s">
        <v>6</v>
      </c>
      <c r="I137" s="1" t="s">
        <v>2</v>
      </c>
      <c r="J137" s="1" t="s">
        <v>3</v>
      </c>
      <c r="K137" s="1" t="s">
        <v>13702</v>
      </c>
      <c r="L137" s="1" t="s">
        <v>7</v>
      </c>
      <c r="M137" s="1"/>
      <c r="N137" s="1" t="s">
        <v>13703</v>
      </c>
      <c r="O137" s="1" t="s">
        <v>12060</v>
      </c>
      <c r="P137" s="1"/>
      <c r="Q137" s="1"/>
      <c r="R137" s="1" t="s">
        <v>11</v>
      </c>
      <c r="S137" s="1"/>
      <c r="T137" s="1"/>
      <c r="U137" s="1"/>
      <c r="V137" s="1"/>
      <c r="W137" s="1"/>
      <c r="X137" s="1" t="s">
        <v>10021</v>
      </c>
      <c r="Y137" s="1"/>
      <c r="Z137" s="1"/>
      <c r="AA137" s="1"/>
      <c r="AB137" s="1" t="s">
        <v>13704</v>
      </c>
      <c r="AC137" s="1"/>
      <c r="AD137" s="1"/>
      <c r="AE137" s="1" t="s">
        <v>13705</v>
      </c>
      <c r="AF137" s="1"/>
      <c r="AG137" s="1"/>
      <c r="AH137" s="1" t="s">
        <v>13706</v>
      </c>
      <c r="AI137" s="1"/>
      <c r="AJ137" s="1" t="s">
        <v>13707</v>
      </c>
      <c r="AK137" s="1" t="s">
        <v>13708</v>
      </c>
      <c r="AL137" s="1" t="s">
        <v>13709</v>
      </c>
      <c r="AM137" s="1" t="s">
        <v>12425</v>
      </c>
      <c r="AN137" s="1" t="s">
        <v>12426</v>
      </c>
      <c r="AO137" s="1" t="s">
        <v>12427</v>
      </c>
      <c r="AP137" s="2" t="s">
        <v>13710</v>
      </c>
      <c r="AQ137" s="2" t="s">
        <v>1154</v>
      </c>
      <c r="AR137" s="1" t="s">
        <v>286</v>
      </c>
      <c r="AS137" s="1" t="s">
        <v>13711</v>
      </c>
      <c r="AT137" s="1" t="s">
        <v>5</v>
      </c>
    </row>
    <row r="138" spans="1:46" hidden="1" x14ac:dyDescent="0.4">
      <c r="A138" s="1" t="s">
        <v>12992</v>
      </c>
      <c r="B138" s="10"/>
      <c r="C138" s="1" t="s">
        <v>4098</v>
      </c>
      <c r="D138" s="1" t="s">
        <v>11999</v>
      </c>
      <c r="E138" s="1" t="s">
        <v>2291</v>
      </c>
      <c r="F138" s="1" t="s">
        <v>14</v>
      </c>
      <c r="G138" s="1" t="s">
        <v>1</v>
      </c>
      <c r="H138" s="1" t="s">
        <v>6</v>
      </c>
      <c r="I138" s="1" t="s">
        <v>2</v>
      </c>
      <c r="J138" s="1" t="s">
        <v>3</v>
      </c>
      <c r="K138" s="1" t="s">
        <v>12993</v>
      </c>
      <c r="L138" s="1" t="s">
        <v>7</v>
      </c>
      <c r="M138" s="1"/>
      <c r="N138" s="1" t="s">
        <v>12994</v>
      </c>
      <c r="O138" s="1" t="s">
        <v>12060</v>
      </c>
      <c r="P138" s="1"/>
      <c r="Q138" s="1"/>
      <c r="R138" s="1" t="s">
        <v>11</v>
      </c>
      <c r="S138" s="1"/>
      <c r="T138" s="1"/>
      <c r="U138" s="1"/>
      <c r="V138" s="1"/>
      <c r="W138" s="1" t="s">
        <v>12995</v>
      </c>
      <c r="X138" s="1" t="s">
        <v>12038</v>
      </c>
      <c r="Y138" s="1"/>
      <c r="Z138" s="1"/>
      <c r="AA138" s="1"/>
      <c r="AB138" s="1" t="s">
        <v>12996</v>
      </c>
      <c r="AC138" s="1"/>
      <c r="AD138" s="1"/>
      <c r="AE138" s="1" t="s">
        <v>12485</v>
      </c>
      <c r="AF138" s="1"/>
      <c r="AG138" s="1"/>
      <c r="AH138" s="1" t="s">
        <v>12997</v>
      </c>
      <c r="AI138" s="1"/>
      <c r="AJ138" s="1" t="s">
        <v>12998</v>
      </c>
      <c r="AK138" s="1" t="s">
        <v>12999</v>
      </c>
      <c r="AL138" s="1" t="s">
        <v>13000</v>
      </c>
      <c r="AM138" s="1" t="s">
        <v>13001</v>
      </c>
      <c r="AN138" s="1" t="s">
        <v>12999</v>
      </c>
      <c r="AO138" s="1" t="s">
        <v>13002</v>
      </c>
      <c r="AP138" s="2" t="s">
        <v>13003</v>
      </c>
      <c r="AQ138" s="2" t="s">
        <v>1077</v>
      </c>
      <c r="AR138" s="1" t="s">
        <v>287</v>
      </c>
      <c r="AS138" s="1"/>
      <c r="AT138" s="1" t="s">
        <v>5</v>
      </c>
    </row>
    <row r="139" spans="1:46" hidden="1" x14ac:dyDescent="0.4">
      <c r="A139" s="1" t="s">
        <v>12382</v>
      </c>
      <c r="B139" s="10"/>
      <c r="C139" s="1" t="s">
        <v>3626</v>
      </c>
      <c r="D139" s="1" t="s">
        <v>11999</v>
      </c>
      <c r="E139" s="1" t="s">
        <v>2291</v>
      </c>
      <c r="F139" s="1" t="s">
        <v>14</v>
      </c>
      <c r="G139" s="1" t="s">
        <v>1</v>
      </c>
      <c r="H139" s="1" t="s">
        <v>6</v>
      </c>
      <c r="I139" s="1" t="s">
        <v>2</v>
      </c>
      <c r="J139" s="1" t="s">
        <v>3514</v>
      </c>
      <c r="K139" s="1" t="s">
        <v>12383</v>
      </c>
      <c r="L139" s="1" t="s">
        <v>7</v>
      </c>
      <c r="M139" s="1" t="s">
        <v>9</v>
      </c>
      <c r="N139" s="1" t="s">
        <v>12384</v>
      </c>
      <c r="O139" s="1" t="s">
        <v>12060</v>
      </c>
      <c r="P139" s="1"/>
      <c r="Q139" s="1"/>
      <c r="R139" s="1" t="s">
        <v>11</v>
      </c>
      <c r="S139" s="1"/>
      <c r="T139" s="1"/>
      <c r="U139" s="1"/>
      <c r="V139" s="1"/>
      <c r="W139" s="1"/>
      <c r="X139" s="1" t="s">
        <v>10021</v>
      </c>
      <c r="Y139" s="1"/>
      <c r="Z139" s="1"/>
      <c r="AA139" s="1"/>
      <c r="AB139" s="1" t="s">
        <v>12385</v>
      </c>
      <c r="AC139" s="1"/>
      <c r="AD139" s="1"/>
      <c r="AE139" s="1" t="s">
        <v>12386</v>
      </c>
      <c r="AF139" s="1"/>
      <c r="AG139" s="1"/>
      <c r="AH139" s="1" t="s">
        <v>12387</v>
      </c>
      <c r="AI139" s="1" t="s">
        <v>12388</v>
      </c>
      <c r="AJ139" s="1" t="s">
        <v>12389</v>
      </c>
      <c r="AK139" s="1" t="s">
        <v>4060</v>
      </c>
      <c r="AL139" s="1" t="s">
        <v>12390</v>
      </c>
      <c r="AM139" s="1" t="s">
        <v>12389</v>
      </c>
      <c r="AN139" s="1" t="s">
        <v>4060</v>
      </c>
      <c r="AO139" s="1" t="s">
        <v>12390</v>
      </c>
      <c r="AP139" s="2" t="s">
        <v>12391</v>
      </c>
      <c r="AQ139" s="2" t="s">
        <v>1153</v>
      </c>
      <c r="AR139" s="1" t="s">
        <v>287</v>
      </c>
      <c r="AS139" s="1"/>
      <c r="AT139" s="1" t="s">
        <v>5</v>
      </c>
    </row>
    <row r="140" spans="1:46" hidden="1" x14ac:dyDescent="0.4">
      <c r="A140" s="1" t="s">
        <v>13462</v>
      </c>
      <c r="B140" s="10"/>
      <c r="C140" s="1" t="s">
        <v>93</v>
      </c>
      <c r="D140" s="1" t="s">
        <v>11999</v>
      </c>
      <c r="E140" s="1" t="s">
        <v>2291</v>
      </c>
      <c r="F140" s="1" t="s">
        <v>14</v>
      </c>
      <c r="G140" s="1" t="s">
        <v>1</v>
      </c>
      <c r="H140" s="1" t="s">
        <v>6</v>
      </c>
      <c r="I140" s="1" t="s">
        <v>2</v>
      </c>
      <c r="J140" s="1" t="s">
        <v>3</v>
      </c>
      <c r="K140" s="1" t="s">
        <v>13463</v>
      </c>
      <c r="L140" s="1" t="s">
        <v>7</v>
      </c>
      <c r="M140" s="1"/>
      <c r="N140" s="1" t="s">
        <v>13464</v>
      </c>
      <c r="O140" s="1" t="s">
        <v>12060</v>
      </c>
      <c r="P140" s="1"/>
      <c r="Q140" s="1"/>
      <c r="R140" s="1" t="s">
        <v>11</v>
      </c>
      <c r="S140" s="1"/>
      <c r="T140" s="1"/>
      <c r="U140" s="1"/>
      <c r="V140" s="1"/>
      <c r="W140" s="1" t="s">
        <v>13465</v>
      </c>
      <c r="X140" s="1" t="s">
        <v>12135</v>
      </c>
      <c r="Y140" s="1"/>
      <c r="Z140" s="1"/>
      <c r="AA140" s="1"/>
      <c r="AB140" s="1" t="s">
        <v>13466</v>
      </c>
      <c r="AC140" s="1"/>
      <c r="AD140" s="1"/>
      <c r="AE140" s="1" t="s">
        <v>12485</v>
      </c>
      <c r="AF140" s="1"/>
      <c r="AG140" s="1"/>
      <c r="AH140" s="1" t="s">
        <v>13467</v>
      </c>
      <c r="AI140" s="1"/>
      <c r="AJ140" s="1" t="s">
        <v>1786</v>
      </c>
      <c r="AK140" s="1" t="s">
        <v>1787</v>
      </c>
      <c r="AL140" s="1" t="s">
        <v>1788</v>
      </c>
      <c r="AM140" s="1" t="s">
        <v>13468</v>
      </c>
      <c r="AN140" s="1" t="s">
        <v>1787</v>
      </c>
      <c r="AO140" s="1" t="s">
        <v>13469</v>
      </c>
      <c r="AP140" s="2" t="s">
        <v>13470</v>
      </c>
      <c r="AQ140" s="2" t="s">
        <v>1154</v>
      </c>
      <c r="AR140" s="1" t="s">
        <v>286</v>
      </c>
      <c r="AS140" s="1" t="s">
        <v>13471</v>
      </c>
      <c r="AT140" s="1" t="s">
        <v>5</v>
      </c>
    </row>
    <row r="141" spans="1:46" hidden="1" x14ac:dyDescent="0.4">
      <c r="A141" s="1" t="s">
        <v>13935</v>
      </c>
      <c r="B141" s="10"/>
      <c r="C141" s="1" t="s">
        <v>1664</v>
      </c>
      <c r="D141" s="1" t="s">
        <v>11999</v>
      </c>
      <c r="E141" s="1" t="s">
        <v>2291</v>
      </c>
      <c r="F141" s="1" t="s">
        <v>14</v>
      </c>
      <c r="G141" s="1" t="s">
        <v>1</v>
      </c>
      <c r="H141" s="1" t="s">
        <v>6</v>
      </c>
      <c r="I141" s="1" t="s">
        <v>2</v>
      </c>
      <c r="J141" s="1" t="s">
        <v>3</v>
      </c>
      <c r="K141" s="1" t="s">
        <v>13936</v>
      </c>
      <c r="L141" s="1" t="s">
        <v>7</v>
      </c>
      <c r="M141" s="1"/>
      <c r="N141" s="1" t="s">
        <v>13937</v>
      </c>
      <c r="O141" s="1" t="s">
        <v>12060</v>
      </c>
      <c r="P141" s="1"/>
      <c r="Q141" s="1"/>
      <c r="R141" s="1" t="s">
        <v>11</v>
      </c>
      <c r="S141" s="1"/>
      <c r="T141" s="1"/>
      <c r="U141" s="1"/>
      <c r="V141" s="1"/>
      <c r="W141" s="1" t="s">
        <v>13938</v>
      </c>
      <c r="X141" s="1" t="s">
        <v>12026</v>
      </c>
      <c r="Y141" s="1"/>
      <c r="Z141" s="1"/>
      <c r="AA141" s="1"/>
      <c r="AB141" s="1" t="s">
        <v>13939</v>
      </c>
      <c r="AC141" s="1"/>
      <c r="AD141" s="1"/>
      <c r="AE141" s="1" t="s">
        <v>13940</v>
      </c>
      <c r="AF141" s="1"/>
      <c r="AG141" s="1"/>
      <c r="AH141" s="1" t="s">
        <v>13941</v>
      </c>
      <c r="AI141" s="1"/>
      <c r="AJ141" s="1" t="s">
        <v>1671</v>
      </c>
      <c r="AK141" s="1" t="s">
        <v>1672</v>
      </c>
      <c r="AL141" s="1" t="s">
        <v>1673</v>
      </c>
      <c r="AM141" s="1" t="s">
        <v>1671</v>
      </c>
      <c r="AN141" s="1" t="s">
        <v>1672</v>
      </c>
      <c r="AO141" s="1" t="s">
        <v>1673</v>
      </c>
      <c r="AP141" s="2" t="s">
        <v>13942</v>
      </c>
      <c r="AQ141" s="2" t="s">
        <v>1155</v>
      </c>
      <c r="AR141" s="1" t="s">
        <v>286</v>
      </c>
      <c r="AS141" s="1" t="s">
        <v>10227</v>
      </c>
      <c r="AT141" s="1" t="s">
        <v>5</v>
      </c>
    </row>
    <row r="142" spans="1:46" hidden="1" x14ac:dyDescent="0.4">
      <c r="A142" s="1" t="s">
        <v>13079</v>
      </c>
      <c r="B142" s="10"/>
      <c r="C142" s="1" t="s">
        <v>2454</v>
      </c>
      <c r="D142" s="1" t="s">
        <v>11999</v>
      </c>
      <c r="E142" s="1" t="s">
        <v>2291</v>
      </c>
      <c r="F142" s="1" t="s">
        <v>14</v>
      </c>
      <c r="G142" s="1" t="s">
        <v>1</v>
      </c>
      <c r="H142" s="1" t="s">
        <v>6</v>
      </c>
      <c r="I142" s="1" t="s">
        <v>2</v>
      </c>
      <c r="J142" s="1" t="s">
        <v>3676</v>
      </c>
      <c r="K142" s="1" t="s">
        <v>13080</v>
      </c>
      <c r="L142" s="1" t="s">
        <v>7</v>
      </c>
      <c r="M142" s="1"/>
      <c r="N142" s="1" t="s">
        <v>13081</v>
      </c>
      <c r="O142" s="1" t="s">
        <v>13082</v>
      </c>
      <c r="P142" s="1" t="s">
        <v>13083</v>
      </c>
      <c r="Q142" s="1"/>
      <c r="R142" s="1" t="s">
        <v>11</v>
      </c>
      <c r="S142" s="1"/>
      <c r="T142" s="1"/>
      <c r="U142" s="1"/>
      <c r="V142" s="1"/>
      <c r="W142" s="1" t="s">
        <v>13084</v>
      </c>
      <c r="X142" s="1" t="s">
        <v>10021</v>
      </c>
      <c r="Y142" s="1"/>
      <c r="Z142" s="1"/>
      <c r="AA142" s="1"/>
      <c r="AB142" s="1" t="s">
        <v>13085</v>
      </c>
      <c r="AC142" s="1"/>
      <c r="AD142" s="1"/>
      <c r="AE142" s="1" t="s">
        <v>13086</v>
      </c>
      <c r="AF142" s="1"/>
      <c r="AG142" s="1"/>
      <c r="AH142" s="1" t="s">
        <v>13087</v>
      </c>
      <c r="AI142" s="1"/>
      <c r="AJ142" s="1" t="s">
        <v>12663</v>
      </c>
      <c r="AK142" s="1" t="s">
        <v>3106</v>
      </c>
      <c r="AL142" s="1" t="s">
        <v>12664</v>
      </c>
      <c r="AM142" s="1" t="s">
        <v>12663</v>
      </c>
      <c r="AN142" s="1" t="s">
        <v>3106</v>
      </c>
      <c r="AO142" s="1" t="s">
        <v>12664</v>
      </c>
      <c r="AP142" s="2" t="s">
        <v>13088</v>
      </c>
      <c r="AQ142" s="2" t="s">
        <v>1077</v>
      </c>
      <c r="AR142" s="1" t="s">
        <v>287</v>
      </c>
      <c r="AS142" s="1"/>
      <c r="AT142" s="1" t="s">
        <v>5</v>
      </c>
    </row>
    <row r="143" spans="1:46" hidden="1" x14ac:dyDescent="0.4">
      <c r="A143" s="1" t="s">
        <v>13070</v>
      </c>
      <c r="B143" s="10"/>
      <c r="C143" s="1" t="s">
        <v>2705</v>
      </c>
      <c r="D143" s="1" t="s">
        <v>11999</v>
      </c>
      <c r="E143" s="1" t="s">
        <v>2291</v>
      </c>
      <c r="F143" s="1" t="s">
        <v>14</v>
      </c>
      <c r="G143" s="1" t="s">
        <v>1</v>
      </c>
      <c r="H143" s="1" t="s">
        <v>6</v>
      </c>
      <c r="I143" s="1" t="s">
        <v>2</v>
      </c>
      <c r="J143" s="1" t="s">
        <v>2813</v>
      </c>
      <c r="K143" s="1" t="s">
        <v>13071</v>
      </c>
      <c r="L143" s="1" t="s">
        <v>7</v>
      </c>
      <c r="M143" s="1"/>
      <c r="N143" s="1" t="s">
        <v>13072</v>
      </c>
      <c r="O143" s="1" t="s">
        <v>3426</v>
      </c>
      <c r="P143" s="1"/>
      <c r="Q143" s="1"/>
      <c r="R143" s="1" t="s">
        <v>11</v>
      </c>
      <c r="S143" s="1"/>
      <c r="T143" s="1"/>
      <c r="U143" s="1"/>
      <c r="V143" s="1"/>
      <c r="W143" s="1"/>
      <c r="X143" s="1" t="s">
        <v>12026</v>
      </c>
      <c r="Y143" s="1"/>
      <c r="Z143" s="1"/>
      <c r="AA143" s="1"/>
      <c r="AB143" s="1" t="s">
        <v>13073</v>
      </c>
      <c r="AC143" s="1"/>
      <c r="AD143" s="1"/>
      <c r="AE143" s="1" t="s">
        <v>13074</v>
      </c>
      <c r="AF143" s="1"/>
      <c r="AG143" s="1"/>
      <c r="AH143" s="1" t="s">
        <v>13075</v>
      </c>
      <c r="AI143" s="1"/>
      <c r="AJ143" s="1" t="s">
        <v>3920</v>
      </c>
      <c r="AK143" s="1" t="s">
        <v>3921</v>
      </c>
      <c r="AL143" s="1" t="s">
        <v>3922</v>
      </c>
      <c r="AM143" s="1" t="s">
        <v>13076</v>
      </c>
      <c r="AN143" s="1" t="s">
        <v>3921</v>
      </c>
      <c r="AO143" s="1" t="s">
        <v>13077</v>
      </c>
      <c r="AP143" s="2" t="s">
        <v>13078</v>
      </c>
      <c r="AQ143" s="2" t="s">
        <v>1077</v>
      </c>
      <c r="AR143" s="1" t="s">
        <v>287</v>
      </c>
      <c r="AS143" s="1"/>
      <c r="AT143" s="1" t="s">
        <v>5</v>
      </c>
    </row>
    <row r="144" spans="1:46" hidden="1" x14ac:dyDescent="0.4">
      <c r="A144" s="1" t="s">
        <v>12716</v>
      </c>
      <c r="B144" s="10"/>
      <c r="C144" s="1" t="s">
        <v>4980</v>
      </c>
      <c r="D144" s="1" t="s">
        <v>11999</v>
      </c>
      <c r="E144" s="1" t="s">
        <v>2291</v>
      </c>
      <c r="F144" s="1" t="s">
        <v>14</v>
      </c>
      <c r="G144" s="1" t="s">
        <v>1</v>
      </c>
      <c r="H144" s="1" t="s">
        <v>6</v>
      </c>
      <c r="I144" s="1" t="s">
        <v>2</v>
      </c>
      <c r="J144" s="1" t="s">
        <v>4519</v>
      </c>
      <c r="K144" s="1" t="s">
        <v>12717</v>
      </c>
      <c r="L144" s="1" t="s">
        <v>7</v>
      </c>
      <c r="M144" s="1"/>
      <c r="N144" s="1" t="s">
        <v>12718</v>
      </c>
      <c r="O144" s="1" t="s">
        <v>12002</v>
      </c>
      <c r="P144" s="1"/>
      <c r="Q144" s="1"/>
      <c r="R144" s="1" t="s">
        <v>11</v>
      </c>
      <c r="S144" s="1"/>
      <c r="T144" s="1"/>
      <c r="U144" s="1"/>
      <c r="V144" s="1"/>
      <c r="W144" s="1" t="s">
        <v>12719</v>
      </c>
      <c r="X144" s="1" t="s">
        <v>12135</v>
      </c>
      <c r="Y144" s="1"/>
      <c r="Z144" s="1"/>
      <c r="AA144" s="1"/>
      <c r="AB144" s="1" t="s">
        <v>12720</v>
      </c>
      <c r="AC144" s="1"/>
      <c r="AD144" s="1"/>
      <c r="AE144" s="1" t="s">
        <v>12721</v>
      </c>
      <c r="AF144" s="1"/>
      <c r="AG144" s="1"/>
      <c r="AH144" s="1" t="s">
        <v>12722</v>
      </c>
      <c r="AI144" s="1"/>
      <c r="AJ144" s="1" t="s">
        <v>5140</v>
      </c>
      <c r="AK144" s="1" t="s">
        <v>3521</v>
      </c>
      <c r="AL144" s="1" t="s">
        <v>5141</v>
      </c>
      <c r="AM144" s="1" t="s">
        <v>5140</v>
      </c>
      <c r="AN144" s="1" t="s">
        <v>3521</v>
      </c>
      <c r="AO144" s="1" t="s">
        <v>5141</v>
      </c>
      <c r="AP144" s="2" t="s">
        <v>12723</v>
      </c>
      <c r="AQ144" s="2" t="s">
        <v>1077</v>
      </c>
      <c r="AR144" s="1" t="s">
        <v>286</v>
      </c>
      <c r="AS144" s="1"/>
      <c r="AT144" s="1" t="s">
        <v>5</v>
      </c>
    </row>
    <row r="145" spans="1:46" hidden="1" x14ac:dyDescent="0.4">
      <c r="A145" s="1" t="s">
        <v>12956</v>
      </c>
      <c r="B145" s="10"/>
      <c r="C145" s="1" t="s">
        <v>2705</v>
      </c>
      <c r="D145" s="1" t="s">
        <v>11999</v>
      </c>
      <c r="E145" s="1" t="s">
        <v>2291</v>
      </c>
      <c r="F145" s="1" t="s">
        <v>14</v>
      </c>
      <c r="G145" s="1" t="s">
        <v>1</v>
      </c>
      <c r="H145" s="1" t="s">
        <v>6</v>
      </c>
      <c r="I145" s="1" t="s">
        <v>2</v>
      </c>
      <c r="J145" s="1" t="s">
        <v>2813</v>
      </c>
      <c r="K145" s="1" t="s">
        <v>12957</v>
      </c>
      <c r="L145" s="1" t="s">
        <v>4</v>
      </c>
      <c r="M145" s="1" t="s">
        <v>9</v>
      </c>
      <c r="N145" s="1" t="s">
        <v>12958</v>
      </c>
      <c r="O145" s="1" t="s">
        <v>9747</v>
      </c>
      <c r="P145" s="1"/>
      <c r="Q145" s="1"/>
      <c r="R145" s="1" t="s">
        <v>11</v>
      </c>
      <c r="S145" s="1"/>
      <c r="T145" s="1"/>
      <c r="U145" s="1"/>
      <c r="V145" s="1"/>
      <c r="W145" s="1" t="s">
        <v>12959</v>
      </c>
      <c r="X145" s="1" t="s">
        <v>12026</v>
      </c>
      <c r="Y145" s="1"/>
      <c r="Z145" s="1"/>
      <c r="AA145" s="1" t="s">
        <v>12960</v>
      </c>
      <c r="AB145" s="1" t="s">
        <v>12961</v>
      </c>
      <c r="AC145" s="1"/>
      <c r="AD145" s="1"/>
      <c r="AE145" s="1" t="s">
        <v>12962</v>
      </c>
      <c r="AF145" s="1"/>
      <c r="AG145" s="1"/>
      <c r="AH145" s="1" t="s">
        <v>12963</v>
      </c>
      <c r="AI145" s="1" t="s">
        <v>12964</v>
      </c>
      <c r="AJ145" s="1" t="s">
        <v>12440</v>
      </c>
      <c r="AK145" s="1" t="s">
        <v>6568</v>
      </c>
      <c r="AL145" s="1" t="s">
        <v>12442</v>
      </c>
      <c r="AM145" s="1" t="s">
        <v>10865</v>
      </c>
      <c r="AN145" s="1" t="s">
        <v>6568</v>
      </c>
      <c r="AO145" s="1" t="s">
        <v>10866</v>
      </c>
      <c r="AP145" s="2" t="s">
        <v>12965</v>
      </c>
      <c r="AQ145" s="2" t="s">
        <v>1077</v>
      </c>
      <c r="AR145" s="1" t="s">
        <v>287</v>
      </c>
      <c r="AS145" s="1"/>
      <c r="AT145" s="1" t="s">
        <v>5</v>
      </c>
    </row>
    <row r="146" spans="1:46" hidden="1" x14ac:dyDescent="0.4">
      <c r="A146" s="1" t="s">
        <v>13854</v>
      </c>
      <c r="B146" s="10"/>
      <c r="C146" s="1" t="s">
        <v>1664</v>
      </c>
      <c r="D146" s="1" t="s">
        <v>11999</v>
      </c>
      <c r="E146" s="1" t="s">
        <v>2291</v>
      </c>
      <c r="F146" s="1" t="s">
        <v>14</v>
      </c>
      <c r="G146" s="1" t="s">
        <v>1</v>
      </c>
      <c r="H146" s="1" t="s">
        <v>6</v>
      </c>
      <c r="I146" s="1" t="s">
        <v>2</v>
      </c>
      <c r="J146" s="1" t="s">
        <v>3</v>
      </c>
      <c r="K146" s="1" t="s">
        <v>13855</v>
      </c>
      <c r="L146" s="1" t="s">
        <v>4</v>
      </c>
      <c r="M146" s="1" t="s">
        <v>9</v>
      </c>
      <c r="N146" s="1" t="s">
        <v>13856</v>
      </c>
      <c r="O146" s="1" t="s">
        <v>12103</v>
      </c>
      <c r="P146" s="1"/>
      <c r="Q146" s="1"/>
      <c r="R146" s="1" t="s">
        <v>11</v>
      </c>
      <c r="S146" s="1"/>
      <c r="T146" s="1"/>
      <c r="U146" s="1"/>
      <c r="V146" s="1"/>
      <c r="W146" s="1" t="s">
        <v>13857</v>
      </c>
      <c r="X146" s="1" t="s">
        <v>12026</v>
      </c>
      <c r="Y146" s="1"/>
      <c r="Z146" s="1"/>
      <c r="AA146" s="1"/>
      <c r="AB146" s="1" t="s">
        <v>13858</v>
      </c>
      <c r="AC146" s="1"/>
      <c r="AD146" s="1"/>
      <c r="AE146" s="1" t="s">
        <v>13859</v>
      </c>
      <c r="AF146" s="1"/>
      <c r="AG146" s="1"/>
      <c r="AH146" s="1" t="s">
        <v>13860</v>
      </c>
      <c r="AI146" s="1"/>
      <c r="AJ146" s="1" t="s">
        <v>1671</v>
      </c>
      <c r="AK146" s="1" t="s">
        <v>1672</v>
      </c>
      <c r="AL146" s="1" t="s">
        <v>1673</v>
      </c>
      <c r="AM146" s="1" t="s">
        <v>1671</v>
      </c>
      <c r="AN146" s="1" t="s">
        <v>1672</v>
      </c>
      <c r="AO146" s="1" t="s">
        <v>1673</v>
      </c>
      <c r="AP146" s="2" t="s">
        <v>13861</v>
      </c>
      <c r="AQ146" s="2" t="s">
        <v>1155</v>
      </c>
      <c r="AR146" s="1" t="s">
        <v>286</v>
      </c>
      <c r="AS146" s="1" t="s">
        <v>13862</v>
      </c>
      <c r="AT146" s="1" t="s">
        <v>5</v>
      </c>
    </row>
    <row r="147" spans="1:46" hidden="1" x14ac:dyDescent="0.4">
      <c r="A147" s="1" t="s">
        <v>12724</v>
      </c>
      <c r="B147" s="10"/>
      <c r="C147" s="1" t="s">
        <v>2494</v>
      </c>
      <c r="D147" s="1" t="s">
        <v>11999</v>
      </c>
      <c r="E147" s="1" t="s">
        <v>2291</v>
      </c>
      <c r="F147" s="1" t="s">
        <v>14</v>
      </c>
      <c r="G147" s="1" t="s">
        <v>1</v>
      </c>
      <c r="H147" s="1" t="s">
        <v>6</v>
      </c>
      <c r="I147" s="1" t="s">
        <v>2</v>
      </c>
      <c r="J147" s="1" t="s">
        <v>2450</v>
      </c>
      <c r="K147" s="1" t="s">
        <v>12725</v>
      </c>
      <c r="L147" s="1" t="s">
        <v>7</v>
      </c>
      <c r="M147" s="1" t="s">
        <v>9</v>
      </c>
      <c r="N147" s="1" t="s">
        <v>12726</v>
      </c>
      <c r="O147" s="1" t="s">
        <v>12603</v>
      </c>
      <c r="P147" s="1"/>
      <c r="Q147" s="1"/>
      <c r="R147" s="1" t="s">
        <v>11</v>
      </c>
      <c r="S147" s="1"/>
      <c r="T147" s="1"/>
      <c r="U147" s="1"/>
      <c r="V147" s="1"/>
      <c r="W147" s="1"/>
      <c r="X147" s="1" t="s">
        <v>12026</v>
      </c>
      <c r="Y147" s="1"/>
      <c r="Z147" s="1"/>
      <c r="AA147" s="1"/>
      <c r="AB147" s="1" t="s">
        <v>12727</v>
      </c>
      <c r="AC147" s="1"/>
      <c r="AD147" s="1"/>
      <c r="AE147" s="1"/>
      <c r="AF147" s="1"/>
      <c r="AG147" s="1"/>
      <c r="AH147" s="1" t="s">
        <v>12728</v>
      </c>
      <c r="AI147" s="1"/>
      <c r="AJ147" s="1" t="s">
        <v>4817</v>
      </c>
      <c r="AK147" s="1" t="s">
        <v>4818</v>
      </c>
      <c r="AL147" s="1" t="s">
        <v>4819</v>
      </c>
      <c r="AM147" s="1" t="s">
        <v>4817</v>
      </c>
      <c r="AN147" s="1" t="s">
        <v>4818</v>
      </c>
      <c r="AO147" s="1" t="s">
        <v>4819</v>
      </c>
      <c r="AP147" s="2" t="s">
        <v>12729</v>
      </c>
      <c r="AQ147" s="2" t="s">
        <v>1077</v>
      </c>
      <c r="AR147" s="1" t="s">
        <v>287</v>
      </c>
      <c r="AS147" s="1"/>
      <c r="AT147" s="1" t="s">
        <v>5</v>
      </c>
    </row>
    <row r="148" spans="1:46" hidden="1" x14ac:dyDescent="0.4">
      <c r="A148" s="1" t="s">
        <v>12730</v>
      </c>
      <c r="B148" s="10"/>
      <c r="C148" s="1" t="s">
        <v>2494</v>
      </c>
      <c r="D148" s="1" t="s">
        <v>11999</v>
      </c>
      <c r="E148" s="1" t="s">
        <v>2291</v>
      </c>
      <c r="F148" s="1" t="s">
        <v>14</v>
      </c>
      <c r="G148" s="1" t="s">
        <v>1</v>
      </c>
      <c r="H148" s="1" t="s">
        <v>6</v>
      </c>
      <c r="I148" s="1" t="s">
        <v>2</v>
      </c>
      <c r="J148" s="1" t="s">
        <v>2450</v>
      </c>
      <c r="K148" s="1" t="s">
        <v>12731</v>
      </c>
      <c r="L148" s="1" t="s">
        <v>7</v>
      </c>
      <c r="M148" s="1" t="s">
        <v>9</v>
      </c>
      <c r="N148" s="1" t="s">
        <v>12732</v>
      </c>
      <c r="O148" s="1" t="s">
        <v>12603</v>
      </c>
      <c r="P148" s="1"/>
      <c r="Q148" s="1"/>
      <c r="R148" s="1" t="s">
        <v>11</v>
      </c>
      <c r="S148" s="1"/>
      <c r="T148" s="1"/>
      <c r="U148" s="1"/>
      <c r="V148" s="1"/>
      <c r="W148" s="1"/>
      <c r="X148" s="1" t="s">
        <v>12026</v>
      </c>
      <c r="Y148" s="1"/>
      <c r="Z148" s="1"/>
      <c r="AA148" s="1"/>
      <c r="AB148" s="1" t="s">
        <v>12733</v>
      </c>
      <c r="AC148" s="1"/>
      <c r="AD148" s="1"/>
      <c r="AE148" s="1"/>
      <c r="AF148" s="1"/>
      <c r="AG148" s="1"/>
      <c r="AH148" s="1" t="s">
        <v>12734</v>
      </c>
      <c r="AI148" s="1"/>
      <c r="AJ148" s="1" t="s">
        <v>4817</v>
      </c>
      <c r="AK148" s="1" t="s">
        <v>4818</v>
      </c>
      <c r="AL148" s="1" t="s">
        <v>4819</v>
      </c>
      <c r="AM148" s="1" t="s">
        <v>4817</v>
      </c>
      <c r="AN148" s="1" t="s">
        <v>4818</v>
      </c>
      <c r="AO148" s="1" t="s">
        <v>4819</v>
      </c>
      <c r="AP148" s="2" t="s">
        <v>12735</v>
      </c>
      <c r="AQ148" s="2" t="s">
        <v>1077</v>
      </c>
      <c r="AR148" s="1" t="s">
        <v>287</v>
      </c>
      <c r="AS148" s="1"/>
      <c r="AT148" s="1" t="s">
        <v>5</v>
      </c>
    </row>
    <row r="149" spans="1:46" hidden="1" x14ac:dyDescent="0.4">
      <c r="A149" s="1" t="s">
        <v>12600</v>
      </c>
      <c r="B149" s="10"/>
      <c r="C149" s="1" t="s">
        <v>3626</v>
      </c>
      <c r="D149" s="1" t="s">
        <v>11999</v>
      </c>
      <c r="E149" s="1" t="s">
        <v>2291</v>
      </c>
      <c r="F149" s="1" t="s">
        <v>14</v>
      </c>
      <c r="G149" s="1" t="s">
        <v>1</v>
      </c>
      <c r="H149" s="1" t="s">
        <v>6</v>
      </c>
      <c r="I149" s="1" t="s">
        <v>2</v>
      </c>
      <c r="J149" s="1" t="s">
        <v>3514</v>
      </c>
      <c r="K149" s="1" t="s">
        <v>12601</v>
      </c>
      <c r="L149" s="1" t="s">
        <v>7</v>
      </c>
      <c r="M149" s="1" t="s">
        <v>9</v>
      </c>
      <c r="N149" s="1" t="s">
        <v>12602</v>
      </c>
      <c r="O149" s="1" t="s">
        <v>12603</v>
      </c>
      <c r="P149" s="1"/>
      <c r="Q149" s="1"/>
      <c r="R149" s="1" t="s">
        <v>11</v>
      </c>
      <c r="S149" s="1"/>
      <c r="T149" s="1"/>
      <c r="U149" s="1"/>
      <c r="V149" s="1"/>
      <c r="W149" s="1" t="s">
        <v>12604</v>
      </c>
      <c r="X149" s="1" t="s">
        <v>10021</v>
      </c>
      <c r="Y149" s="1"/>
      <c r="Z149" s="1"/>
      <c r="AA149" s="1"/>
      <c r="AB149" s="1" t="s">
        <v>12605</v>
      </c>
      <c r="AC149" s="1"/>
      <c r="AD149" s="1"/>
      <c r="AE149" s="1"/>
      <c r="AF149" s="1"/>
      <c r="AG149" s="1"/>
      <c r="AH149" s="1" t="s">
        <v>12606</v>
      </c>
      <c r="AI149" s="1"/>
      <c r="AJ149" s="1" t="s">
        <v>12343</v>
      </c>
      <c r="AK149" s="1" t="s">
        <v>4060</v>
      </c>
      <c r="AL149" s="1" t="s">
        <v>12344</v>
      </c>
      <c r="AM149" s="1" t="s">
        <v>12343</v>
      </c>
      <c r="AN149" s="1" t="s">
        <v>4060</v>
      </c>
      <c r="AO149" s="1" t="s">
        <v>12344</v>
      </c>
      <c r="AP149" s="2" t="s">
        <v>12607</v>
      </c>
      <c r="AQ149" s="2" t="s">
        <v>1153</v>
      </c>
      <c r="AR149" s="1" t="s">
        <v>287</v>
      </c>
      <c r="AS149" s="1"/>
      <c r="AT149" s="1" t="s">
        <v>5</v>
      </c>
    </row>
    <row r="150" spans="1:46" hidden="1" x14ac:dyDescent="0.4">
      <c r="A150" s="1" t="s">
        <v>12707</v>
      </c>
      <c r="B150" s="10"/>
      <c r="C150" s="1" t="s">
        <v>0</v>
      </c>
      <c r="D150" s="1" t="s">
        <v>11999</v>
      </c>
      <c r="E150" s="1" t="s">
        <v>2291</v>
      </c>
      <c r="F150" s="1" t="s">
        <v>14</v>
      </c>
      <c r="G150" s="1" t="s">
        <v>1</v>
      </c>
      <c r="H150" s="1" t="s">
        <v>6</v>
      </c>
      <c r="I150" s="1" t="s">
        <v>2</v>
      </c>
      <c r="J150" s="1" t="s">
        <v>3</v>
      </c>
      <c r="K150" s="1" t="s">
        <v>12708</v>
      </c>
      <c r="L150" s="1" t="s">
        <v>7</v>
      </c>
      <c r="M150" s="1" t="s">
        <v>8</v>
      </c>
      <c r="N150" s="1" t="s">
        <v>12709</v>
      </c>
      <c r="O150" s="1" t="s">
        <v>12103</v>
      </c>
      <c r="P150" s="1"/>
      <c r="Q150" s="1"/>
      <c r="R150" s="1" t="s">
        <v>11</v>
      </c>
      <c r="S150" s="1"/>
      <c r="T150" s="1"/>
      <c r="U150" s="1"/>
      <c r="V150" s="1"/>
      <c r="W150" s="1"/>
      <c r="X150" s="1" t="s">
        <v>12038</v>
      </c>
      <c r="Y150" s="1"/>
      <c r="Z150" s="1"/>
      <c r="AA150" s="1"/>
      <c r="AB150" s="1" t="s">
        <v>12710</v>
      </c>
      <c r="AC150" s="1"/>
      <c r="AD150" s="1"/>
      <c r="AE150" s="1" t="s">
        <v>12711</v>
      </c>
      <c r="AF150" s="1"/>
      <c r="AG150" s="1"/>
      <c r="AH150" s="1" t="s">
        <v>12712</v>
      </c>
      <c r="AI150" s="1"/>
      <c r="AJ150" s="1" t="s">
        <v>1983</v>
      </c>
      <c r="AK150" s="1" t="s">
        <v>250</v>
      </c>
      <c r="AL150" s="1" t="s">
        <v>1984</v>
      </c>
      <c r="AM150" s="1" t="s">
        <v>12713</v>
      </c>
      <c r="AN150" s="1" t="s">
        <v>250</v>
      </c>
      <c r="AO150" s="1" t="s">
        <v>12714</v>
      </c>
      <c r="AP150" s="2" t="s">
        <v>12715</v>
      </c>
      <c r="AQ150" s="2" t="s">
        <v>1077</v>
      </c>
      <c r="AR150" s="1" t="s">
        <v>287</v>
      </c>
      <c r="AS150" s="1"/>
      <c r="AT150" s="1" t="s">
        <v>5</v>
      </c>
    </row>
    <row r="151" spans="1:46" hidden="1" x14ac:dyDescent="0.4">
      <c r="A151" s="1" t="s">
        <v>14157</v>
      </c>
      <c r="B151" s="10"/>
      <c r="C151" s="1" t="s">
        <v>0</v>
      </c>
      <c r="D151" s="1" t="s">
        <v>11999</v>
      </c>
      <c r="E151" s="1" t="s">
        <v>2291</v>
      </c>
      <c r="F151" s="1" t="s">
        <v>14</v>
      </c>
      <c r="G151" s="1" t="s">
        <v>1</v>
      </c>
      <c r="H151" s="1" t="s">
        <v>6</v>
      </c>
      <c r="I151" s="1" t="s">
        <v>2</v>
      </c>
      <c r="J151" s="1" t="s">
        <v>3</v>
      </c>
      <c r="K151" s="1" t="s">
        <v>14158</v>
      </c>
      <c r="L151" s="1" t="s">
        <v>4</v>
      </c>
      <c r="M151" s="1" t="s">
        <v>9</v>
      </c>
      <c r="N151" s="1" t="s">
        <v>14159</v>
      </c>
      <c r="O151" s="1" t="s">
        <v>13421</v>
      </c>
      <c r="P151" s="1"/>
      <c r="Q151" s="1"/>
      <c r="R151" s="1" t="s">
        <v>11</v>
      </c>
      <c r="S151" s="1"/>
      <c r="T151" s="1"/>
      <c r="U151" s="1"/>
      <c r="V151" s="1"/>
      <c r="W151" s="1" t="s">
        <v>14160</v>
      </c>
      <c r="X151" s="1" t="s">
        <v>12038</v>
      </c>
      <c r="Y151" s="1"/>
      <c r="Z151" s="1"/>
      <c r="AA151" s="1"/>
      <c r="AB151" s="1" t="s">
        <v>14161</v>
      </c>
      <c r="AC151" s="1"/>
      <c r="AD151" s="1"/>
      <c r="AE151" s="1" t="s">
        <v>14162</v>
      </c>
      <c r="AF151" s="1"/>
      <c r="AG151" s="1"/>
      <c r="AH151" s="1" t="s">
        <v>14163</v>
      </c>
      <c r="AI151" s="1"/>
      <c r="AJ151" s="1" t="s">
        <v>10625</v>
      </c>
      <c r="AK151" s="1" t="s">
        <v>4227</v>
      </c>
      <c r="AL151" s="1" t="s">
        <v>10626</v>
      </c>
      <c r="AM151" s="1" t="s">
        <v>14164</v>
      </c>
      <c r="AN151" s="1" t="s">
        <v>4227</v>
      </c>
      <c r="AO151" s="1" t="s">
        <v>14165</v>
      </c>
      <c r="AP151" s="2" t="s">
        <v>14166</v>
      </c>
      <c r="AQ151" s="2" t="s">
        <v>1155</v>
      </c>
      <c r="AR151" s="1" t="s">
        <v>286</v>
      </c>
      <c r="AS151" s="1" t="s">
        <v>1055</v>
      </c>
      <c r="AT151" s="1" t="s">
        <v>5</v>
      </c>
    </row>
    <row r="152" spans="1:46" hidden="1" x14ac:dyDescent="0.4">
      <c r="A152" s="1" t="s">
        <v>14222</v>
      </c>
      <c r="B152" s="10"/>
      <c r="C152" s="1" t="s">
        <v>0</v>
      </c>
      <c r="D152" s="1" t="s">
        <v>11999</v>
      </c>
      <c r="E152" s="1" t="s">
        <v>2291</v>
      </c>
      <c r="F152" s="1" t="s">
        <v>14</v>
      </c>
      <c r="G152" s="1" t="s">
        <v>1</v>
      </c>
      <c r="H152" s="1" t="s">
        <v>6</v>
      </c>
      <c r="I152" s="1" t="s">
        <v>2</v>
      </c>
      <c r="J152" s="1" t="s">
        <v>3</v>
      </c>
      <c r="K152" s="1" t="s">
        <v>14223</v>
      </c>
      <c r="L152" s="1" t="s">
        <v>7</v>
      </c>
      <c r="M152" s="1"/>
      <c r="N152" s="1" t="s">
        <v>14224</v>
      </c>
      <c r="O152" s="1" t="s">
        <v>13457</v>
      </c>
      <c r="P152" s="1"/>
      <c r="Q152" s="1" t="s">
        <v>12</v>
      </c>
      <c r="R152" s="1" t="s">
        <v>11</v>
      </c>
      <c r="S152" s="1"/>
      <c r="T152" s="1" t="s">
        <v>12</v>
      </c>
      <c r="U152" s="1" t="s">
        <v>11</v>
      </c>
      <c r="V152" s="1"/>
      <c r="W152" s="1"/>
      <c r="X152" s="1" t="s">
        <v>10021</v>
      </c>
      <c r="Y152" s="1"/>
      <c r="Z152" s="1"/>
      <c r="AA152" s="1"/>
      <c r="AB152" s="1" t="s">
        <v>14225</v>
      </c>
      <c r="AC152" s="1"/>
      <c r="AD152" s="1"/>
      <c r="AE152" s="1" t="s">
        <v>14226</v>
      </c>
      <c r="AF152" s="1"/>
      <c r="AG152" s="1"/>
      <c r="AH152" s="1" t="s">
        <v>14227</v>
      </c>
      <c r="AI152" s="1"/>
      <c r="AJ152" s="1" t="s">
        <v>10985</v>
      </c>
      <c r="AK152" s="1" t="s">
        <v>7300</v>
      </c>
      <c r="AL152" s="1" t="s">
        <v>10986</v>
      </c>
      <c r="AM152" s="1" t="s">
        <v>14228</v>
      </c>
      <c r="AN152" s="1" t="s">
        <v>7300</v>
      </c>
      <c r="AO152" s="1" t="s">
        <v>14229</v>
      </c>
      <c r="AP152" s="2" t="s">
        <v>14230</v>
      </c>
      <c r="AQ152" s="2" t="s">
        <v>1155</v>
      </c>
      <c r="AR152" s="1" t="s">
        <v>286</v>
      </c>
      <c r="AS152" s="1" t="s">
        <v>1076</v>
      </c>
      <c r="AT152" s="1" t="s">
        <v>5</v>
      </c>
    </row>
    <row r="153" spans="1:46" hidden="1" x14ac:dyDescent="0.4">
      <c r="A153" s="1" t="s">
        <v>14189</v>
      </c>
      <c r="B153" s="10"/>
      <c r="C153" s="1" t="s">
        <v>0</v>
      </c>
      <c r="D153" s="1" t="s">
        <v>11999</v>
      </c>
      <c r="E153" s="1" t="s">
        <v>2291</v>
      </c>
      <c r="F153" s="1" t="s">
        <v>14</v>
      </c>
      <c r="G153" s="1" t="s">
        <v>1</v>
      </c>
      <c r="H153" s="1" t="s">
        <v>6</v>
      </c>
      <c r="I153" s="1" t="s">
        <v>2</v>
      </c>
      <c r="J153" s="1" t="s">
        <v>3</v>
      </c>
      <c r="K153" s="1" t="s">
        <v>14190</v>
      </c>
      <c r="L153" s="1" t="s">
        <v>7</v>
      </c>
      <c r="M153" s="1" t="s">
        <v>9</v>
      </c>
      <c r="N153" s="1" t="s">
        <v>14191</v>
      </c>
      <c r="O153" s="1" t="s">
        <v>12077</v>
      </c>
      <c r="P153" s="1"/>
      <c r="Q153" s="1"/>
      <c r="R153" s="1" t="s">
        <v>11</v>
      </c>
      <c r="S153" s="1"/>
      <c r="T153" s="1"/>
      <c r="U153" s="1"/>
      <c r="V153" s="1"/>
      <c r="W153" s="1" t="s">
        <v>14192</v>
      </c>
      <c r="X153" s="1" t="s">
        <v>12038</v>
      </c>
      <c r="Y153" s="1"/>
      <c r="Z153" s="1"/>
      <c r="AA153" s="1"/>
      <c r="AB153" s="1" t="s">
        <v>14193</v>
      </c>
      <c r="AC153" s="1"/>
      <c r="AD153" s="1"/>
      <c r="AE153" s="1" t="s">
        <v>14194</v>
      </c>
      <c r="AF153" s="1"/>
      <c r="AG153" s="1"/>
      <c r="AH153" s="1" t="s">
        <v>14195</v>
      </c>
      <c r="AI153" s="1"/>
      <c r="AJ153" s="1" t="s">
        <v>228</v>
      </c>
      <c r="AK153" s="1" t="s">
        <v>281</v>
      </c>
      <c r="AL153" s="1" t="s">
        <v>229</v>
      </c>
      <c r="AM153" s="1" t="s">
        <v>14196</v>
      </c>
      <c r="AN153" s="1" t="s">
        <v>281</v>
      </c>
      <c r="AO153" s="1" t="s">
        <v>14197</v>
      </c>
      <c r="AP153" s="2" t="s">
        <v>14198</v>
      </c>
      <c r="AQ153" s="2" t="s">
        <v>1155</v>
      </c>
      <c r="AR153" s="1" t="s">
        <v>286</v>
      </c>
      <c r="AS153" s="1" t="s">
        <v>1068</v>
      </c>
      <c r="AT153" s="1" t="s">
        <v>5</v>
      </c>
    </row>
    <row r="154" spans="1:46" hidden="1" x14ac:dyDescent="0.4">
      <c r="A154" s="1" t="s">
        <v>14090</v>
      </c>
      <c r="B154" s="10"/>
      <c r="C154" s="1" t="s">
        <v>0</v>
      </c>
      <c r="D154" s="1" t="s">
        <v>11999</v>
      </c>
      <c r="E154" s="1" t="s">
        <v>2291</v>
      </c>
      <c r="F154" s="1" t="s">
        <v>14</v>
      </c>
      <c r="G154" s="1" t="s">
        <v>1</v>
      </c>
      <c r="H154" s="1" t="s">
        <v>6</v>
      </c>
      <c r="I154" s="1" t="s">
        <v>2</v>
      </c>
      <c r="J154" s="1" t="s">
        <v>3</v>
      </c>
      <c r="K154" s="1" t="s">
        <v>14091</v>
      </c>
      <c r="L154" s="1" t="s">
        <v>7</v>
      </c>
      <c r="M154" s="1" t="s">
        <v>9</v>
      </c>
      <c r="N154" s="1" t="s">
        <v>14092</v>
      </c>
      <c r="O154" s="1" t="s">
        <v>12077</v>
      </c>
      <c r="P154" s="1"/>
      <c r="Q154" s="1"/>
      <c r="R154" s="1" t="s">
        <v>11</v>
      </c>
      <c r="S154" s="1"/>
      <c r="T154" s="1"/>
      <c r="U154" s="1"/>
      <c r="V154" s="1"/>
      <c r="W154" s="1"/>
      <c r="X154" s="1" t="s">
        <v>10021</v>
      </c>
      <c r="Y154" s="1"/>
      <c r="Z154" s="1"/>
      <c r="AA154" s="1"/>
      <c r="AB154" s="1" t="s">
        <v>14093</v>
      </c>
      <c r="AC154" s="1"/>
      <c r="AD154" s="1"/>
      <c r="AE154" s="1" t="s">
        <v>14094</v>
      </c>
      <c r="AF154" s="1"/>
      <c r="AG154" s="1"/>
      <c r="AH154" s="1" t="s">
        <v>14095</v>
      </c>
      <c r="AI154" s="1"/>
      <c r="AJ154" s="1" t="s">
        <v>1682</v>
      </c>
      <c r="AK154" s="1" t="s">
        <v>1683</v>
      </c>
      <c r="AL154" s="1" t="s">
        <v>1684</v>
      </c>
      <c r="AM154" s="1" t="s">
        <v>14096</v>
      </c>
      <c r="AN154" s="1" t="s">
        <v>1683</v>
      </c>
      <c r="AO154" s="1" t="s">
        <v>14097</v>
      </c>
      <c r="AP154" s="2" t="s">
        <v>14098</v>
      </c>
      <c r="AQ154" s="2" t="s">
        <v>1155</v>
      </c>
      <c r="AR154" s="1" t="s">
        <v>286</v>
      </c>
      <c r="AS154" s="1"/>
      <c r="AT154" s="1" t="s">
        <v>5</v>
      </c>
    </row>
    <row r="155" spans="1:46" hidden="1" x14ac:dyDescent="0.4">
      <c r="A155" s="1" t="s">
        <v>13878</v>
      </c>
      <c r="B155" s="10"/>
      <c r="C155" s="1" t="s">
        <v>2491</v>
      </c>
      <c r="D155" s="1" t="s">
        <v>11999</v>
      </c>
      <c r="E155" s="1" t="s">
        <v>13845</v>
      </c>
      <c r="F155" s="1" t="s">
        <v>14</v>
      </c>
      <c r="G155" s="1" t="s">
        <v>1</v>
      </c>
      <c r="H155" s="1" t="s">
        <v>6</v>
      </c>
      <c r="I155" s="1" t="s">
        <v>2</v>
      </c>
      <c r="J155" s="1" t="s">
        <v>2492</v>
      </c>
      <c r="K155" s="1" t="s">
        <v>13879</v>
      </c>
      <c r="L155" s="1" t="s">
        <v>7</v>
      </c>
      <c r="M155" s="1"/>
      <c r="N155" s="1" t="s">
        <v>13880</v>
      </c>
      <c r="O155" s="1" t="s">
        <v>13848</v>
      </c>
      <c r="P155" s="1"/>
      <c r="Q155" s="1"/>
      <c r="R155" s="1" t="s">
        <v>11</v>
      </c>
      <c r="S155" s="1"/>
      <c r="T155" s="1"/>
      <c r="U155" s="1"/>
      <c r="V155" s="1"/>
      <c r="W155" s="1" t="s">
        <v>13881</v>
      </c>
      <c r="X155" s="1" t="s">
        <v>10021</v>
      </c>
      <c r="Y155" s="1"/>
      <c r="Z155" s="1"/>
      <c r="AA155" s="1"/>
      <c r="AB155" s="1" t="s">
        <v>13882</v>
      </c>
      <c r="AC155" s="1"/>
      <c r="AD155" s="1"/>
      <c r="AE155" s="1" t="s">
        <v>13883</v>
      </c>
      <c r="AF155" s="1"/>
      <c r="AG155" s="1"/>
      <c r="AH155" s="1" t="s">
        <v>13884</v>
      </c>
      <c r="AI155" s="1"/>
      <c r="AJ155" s="1" t="s">
        <v>7204</v>
      </c>
      <c r="AK155" s="1" t="s">
        <v>7205</v>
      </c>
      <c r="AL155" s="1" t="s">
        <v>7206</v>
      </c>
      <c r="AM155" s="1" t="s">
        <v>7204</v>
      </c>
      <c r="AN155" s="1" t="s">
        <v>7205</v>
      </c>
      <c r="AO155" s="1" t="s">
        <v>7206</v>
      </c>
      <c r="AP155" s="2" t="s">
        <v>13885</v>
      </c>
      <c r="AQ155" s="2" t="s">
        <v>1155</v>
      </c>
      <c r="AR155" s="1" t="s">
        <v>286</v>
      </c>
      <c r="AS155" s="1" t="s">
        <v>13886</v>
      </c>
      <c r="AT155" s="1" t="s">
        <v>5</v>
      </c>
    </row>
    <row r="156" spans="1:46" hidden="1" x14ac:dyDescent="0.4">
      <c r="A156" s="1" t="s">
        <v>13871</v>
      </c>
      <c r="B156" s="10"/>
      <c r="C156" s="1" t="s">
        <v>2491</v>
      </c>
      <c r="D156" s="1" t="s">
        <v>11999</v>
      </c>
      <c r="E156" s="1" t="s">
        <v>13845</v>
      </c>
      <c r="F156" s="1" t="s">
        <v>14</v>
      </c>
      <c r="G156" s="1" t="s">
        <v>1</v>
      </c>
      <c r="H156" s="1" t="s">
        <v>6</v>
      </c>
      <c r="I156" s="1" t="s">
        <v>2</v>
      </c>
      <c r="J156" s="1" t="s">
        <v>2492</v>
      </c>
      <c r="K156" s="1" t="s">
        <v>13872</v>
      </c>
      <c r="L156" s="1" t="s">
        <v>7</v>
      </c>
      <c r="M156" s="1"/>
      <c r="N156" s="1" t="s">
        <v>13873</v>
      </c>
      <c r="O156" s="1" t="s">
        <v>13848</v>
      </c>
      <c r="P156" s="1"/>
      <c r="Q156" s="1"/>
      <c r="R156" s="1" t="s">
        <v>11</v>
      </c>
      <c r="S156" s="1"/>
      <c r="T156" s="1"/>
      <c r="U156" s="1"/>
      <c r="V156" s="1"/>
      <c r="W156" s="1" t="s">
        <v>13874</v>
      </c>
      <c r="X156" s="1" t="s">
        <v>10021</v>
      </c>
      <c r="Y156" s="1"/>
      <c r="Z156" s="1"/>
      <c r="AA156" s="1"/>
      <c r="AB156" s="1" t="s">
        <v>13875</v>
      </c>
      <c r="AC156" s="1"/>
      <c r="AD156" s="1"/>
      <c r="AE156" s="1"/>
      <c r="AF156" s="1"/>
      <c r="AG156" s="1"/>
      <c r="AH156" s="1" t="s">
        <v>13876</v>
      </c>
      <c r="AI156" s="1"/>
      <c r="AJ156" s="1" t="s">
        <v>7204</v>
      </c>
      <c r="AK156" s="1" t="s">
        <v>7205</v>
      </c>
      <c r="AL156" s="1" t="s">
        <v>7206</v>
      </c>
      <c r="AM156" s="1" t="s">
        <v>7204</v>
      </c>
      <c r="AN156" s="1" t="s">
        <v>7205</v>
      </c>
      <c r="AO156" s="1" t="s">
        <v>7206</v>
      </c>
      <c r="AP156" s="2" t="s">
        <v>13877</v>
      </c>
      <c r="AQ156" s="2" t="s">
        <v>1155</v>
      </c>
      <c r="AR156" s="1" t="s">
        <v>286</v>
      </c>
      <c r="AS156" s="1" t="s">
        <v>10135</v>
      </c>
      <c r="AT156" s="1" t="s">
        <v>5</v>
      </c>
    </row>
    <row r="157" spans="1:46" hidden="1" x14ac:dyDescent="0.4">
      <c r="A157" s="1" t="s">
        <v>13844</v>
      </c>
      <c r="B157" s="10"/>
      <c r="C157" s="1" t="s">
        <v>2491</v>
      </c>
      <c r="D157" s="1" t="s">
        <v>11999</v>
      </c>
      <c r="E157" s="1" t="s">
        <v>13845</v>
      </c>
      <c r="F157" s="1" t="s">
        <v>14</v>
      </c>
      <c r="G157" s="1" t="s">
        <v>1</v>
      </c>
      <c r="H157" s="1" t="s">
        <v>6</v>
      </c>
      <c r="I157" s="1" t="s">
        <v>2</v>
      </c>
      <c r="J157" s="1" t="s">
        <v>2492</v>
      </c>
      <c r="K157" s="1" t="s">
        <v>13846</v>
      </c>
      <c r="L157" s="1" t="s">
        <v>7</v>
      </c>
      <c r="M157" s="1"/>
      <c r="N157" s="1" t="s">
        <v>13847</v>
      </c>
      <c r="O157" s="1" t="s">
        <v>13848</v>
      </c>
      <c r="P157" s="1"/>
      <c r="Q157" s="1"/>
      <c r="R157" s="1" t="s">
        <v>11</v>
      </c>
      <c r="S157" s="1"/>
      <c r="T157" s="1"/>
      <c r="U157" s="1"/>
      <c r="V157" s="1"/>
      <c r="W157" s="1" t="s">
        <v>13849</v>
      </c>
      <c r="X157" s="1" t="s">
        <v>10021</v>
      </c>
      <c r="Y157" s="1"/>
      <c r="Z157" s="1"/>
      <c r="AA157" s="1"/>
      <c r="AB157" s="1" t="s">
        <v>13850</v>
      </c>
      <c r="AC157" s="1"/>
      <c r="AD157" s="1"/>
      <c r="AE157" s="1"/>
      <c r="AF157" s="1"/>
      <c r="AG157" s="1"/>
      <c r="AH157" s="1" t="s">
        <v>13851</v>
      </c>
      <c r="AI157" s="1" t="s">
        <v>13852</v>
      </c>
      <c r="AJ157" s="1" t="s">
        <v>7204</v>
      </c>
      <c r="AK157" s="1" t="s">
        <v>7205</v>
      </c>
      <c r="AL157" s="1" t="s">
        <v>7206</v>
      </c>
      <c r="AM157" s="1" t="s">
        <v>7204</v>
      </c>
      <c r="AN157" s="1" t="s">
        <v>7205</v>
      </c>
      <c r="AO157" s="1" t="s">
        <v>7206</v>
      </c>
      <c r="AP157" s="2" t="s">
        <v>13853</v>
      </c>
      <c r="AQ157" s="2" t="s">
        <v>1155</v>
      </c>
      <c r="AR157" s="1" t="s">
        <v>286</v>
      </c>
      <c r="AS157" s="1"/>
      <c r="AT157" s="1" t="s">
        <v>5</v>
      </c>
    </row>
    <row r="158" spans="1:46" hidden="1" x14ac:dyDescent="0.4">
      <c r="A158" s="1" t="s">
        <v>13863</v>
      </c>
      <c r="B158" s="10"/>
      <c r="C158" s="1" t="s">
        <v>2491</v>
      </c>
      <c r="D158" s="1" t="s">
        <v>11999</v>
      </c>
      <c r="E158" s="1" t="s">
        <v>13845</v>
      </c>
      <c r="F158" s="1" t="s">
        <v>14</v>
      </c>
      <c r="G158" s="1" t="s">
        <v>1</v>
      </c>
      <c r="H158" s="1" t="s">
        <v>6</v>
      </c>
      <c r="I158" s="1" t="s">
        <v>2</v>
      </c>
      <c r="J158" s="1" t="s">
        <v>2492</v>
      </c>
      <c r="K158" s="1" t="s">
        <v>13864</v>
      </c>
      <c r="L158" s="1" t="s">
        <v>7</v>
      </c>
      <c r="M158" s="1"/>
      <c r="N158" s="1" t="s">
        <v>13865</v>
      </c>
      <c r="O158" s="1" t="s">
        <v>13848</v>
      </c>
      <c r="P158" s="1"/>
      <c r="Q158" s="1"/>
      <c r="R158" s="1" t="s">
        <v>11</v>
      </c>
      <c r="S158" s="1"/>
      <c r="T158" s="1"/>
      <c r="U158" s="1"/>
      <c r="V158" s="1"/>
      <c r="W158" s="1" t="s">
        <v>13866</v>
      </c>
      <c r="X158" s="1" t="s">
        <v>10021</v>
      </c>
      <c r="Y158" s="1"/>
      <c r="Z158" s="1"/>
      <c r="AA158" s="1"/>
      <c r="AB158" s="1" t="s">
        <v>13867</v>
      </c>
      <c r="AC158" s="1"/>
      <c r="AD158" s="1"/>
      <c r="AE158" s="1"/>
      <c r="AF158" s="1"/>
      <c r="AG158" s="1"/>
      <c r="AH158" s="1" t="s">
        <v>13868</v>
      </c>
      <c r="AI158" s="1" t="s">
        <v>13869</v>
      </c>
      <c r="AJ158" s="1" t="s">
        <v>7204</v>
      </c>
      <c r="AK158" s="1" t="s">
        <v>7205</v>
      </c>
      <c r="AL158" s="1" t="s">
        <v>7206</v>
      </c>
      <c r="AM158" s="1" t="s">
        <v>7204</v>
      </c>
      <c r="AN158" s="1" t="s">
        <v>7205</v>
      </c>
      <c r="AO158" s="1" t="s">
        <v>7206</v>
      </c>
      <c r="AP158" s="2" t="s">
        <v>13870</v>
      </c>
      <c r="AQ158" s="2" t="s">
        <v>1155</v>
      </c>
      <c r="AR158" s="1" t="s">
        <v>286</v>
      </c>
      <c r="AS158" s="1"/>
      <c r="AT158" s="1" t="s">
        <v>5</v>
      </c>
    </row>
    <row r="159" spans="1:46" hidden="1" x14ac:dyDescent="0.4">
      <c r="A159" s="1" t="s">
        <v>12289</v>
      </c>
      <c r="B159" s="10"/>
      <c r="C159" s="1" t="s">
        <v>0</v>
      </c>
      <c r="D159" s="1" t="s">
        <v>11999</v>
      </c>
      <c r="E159" s="1" t="s">
        <v>2291</v>
      </c>
      <c r="F159" s="1" t="s">
        <v>14</v>
      </c>
      <c r="G159" s="1" t="s">
        <v>1</v>
      </c>
      <c r="H159" s="1" t="s">
        <v>6</v>
      </c>
      <c r="I159" s="1" t="s">
        <v>2</v>
      </c>
      <c r="J159" s="1" t="s">
        <v>3</v>
      </c>
      <c r="K159" s="1" t="s">
        <v>12290</v>
      </c>
      <c r="L159" s="1" t="s">
        <v>7</v>
      </c>
      <c r="M159" s="1" t="s">
        <v>9</v>
      </c>
      <c r="N159" s="1" t="s">
        <v>12291</v>
      </c>
      <c r="O159" s="1" t="s">
        <v>12009</v>
      </c>
      <c r="P159" s="1"/>
      <c r="Q159" s="1"/>
      <c r="R159" s="1" t="s">
        <v>11</v>
      </c>
      <c r="S159" s="1"/>
      <c r="T159" s="1"/>
      <c r="U159" s="1"/>
      <c r="V159" s="1"/>
      <c r="W159" s="1" t="s">
        <v>12292</v>
      </c>
      <c r="X159" s="1" t="s">
        <v>12293</v>
      </c>
      <c r="Y159" s="1"/>
      <c r="Z159" s="1"/>
      <c r="AA159" s="1"/>
      <c r="AB159" s="1" t="s">
        <v>12294</v>
      </c>
      <c r="AC159" s="1"/>
      <c r="AD159" s="1"/>
      <c r="AE159" s="1" t="s">
        <v>12295</v>
      </c>
      <c r="AF159" s="1"/>
      <c r="AG159" s="1"/>
      <c r="AH159" s="1" t="s">
        <v>12296</v>
      </c>
      <c r="AI159" s="1"/>
      <c r="AJ159" s="1" t="s">
        <v>12283</v>
      </c>
      <c r="AK159" s="1" t="s">
        <v>12284</v>
      </c>
      <c r="AL159" s="1" t="s">
        <v>12285</v>
      </c>
      <c r="AM159" s="1" t="s">
        <v>12286</v>
      </c>
      <c r="AN159" s="1" t="s">
        <v>12284</v>
      </c>
      <c r="AO159" s="1" t="s">
        <v>12287</v>
      </c>
      <c r="AP159" s="2" t="s">
        <v>12297</v>
      </c>
      <c r="AQ159" s="2" t="s">
        <v>1153</v>
      </c>
      <c r="AR159" s="1"/>
      <c r="AS159" s="1"/>
      <c r="AT159" s="1" t="s">
        <v>5</v>
      </c>
    </row>
    <row r="160" spans="1:46" hidden="1" x14ac:dyDescent="0.4">
      <c r="A160" s="1" t="s">
        <v>12275</v>
      </c>
      <c r="B160" s="10"/>
      <c r="C160" s="1" t="s">
        <v>0</v>
      </c>
      <c r="D160" s="1" t="s">
        <v>11999</v>
      </c>
      <c r="E160" s="1" t="s">
        <v>2291</v>
      </c>
      <c r="F160" s="1" t="s">
        <v>14</v>
      </c>
      <c r="G160" s="1" t="s">
        <v>1</v>
      </c>
      <c r="H160" s="1" t="s">
        <v>6</v>
      </c>
      <c r="I160" s="1" t="s">
        <v>2</v>
      </c>
      <c r="J160" s="1" t="s">
        <v>3</v>
      </c>
      <c r="K160" s="1" t="s">
        <v>12276</v>
      </c>
      <c r="L160" s="1" t="s">
        <v>7</v>
      </c>
      <c r="M160" s="1" t="s">
        <v>9</v>
      </c>
      <c r="N160" s="1" t="s">
        <v>12277</v>
      </c>
      <c r="O160" s="1" t="s">
        <v>12009</v>
      </c>
      <c r="P160" s="1"/>
      <c r="Q160" s="1"/>
      <c r="R160" s="1" t="s">
        <v>11</v>
      </c>
      <c r="S160" s="1"/>
      <c r="T160" s="1"/>
      <c r="U160" s="1"/>
      <c r="V160" s="1"/>
      <c r="W160" s="1" t="s">
        <v>12278</v>
      </c>
      <c r="X160" s="1" t="s">
        <v>12279</v>
      </c>
      <c r="Y160" s="1"/>
      <c r="Z160" s="1"/>
      <c r="AA160" s="1"/>
      <c r="AB160" s="1" t="s">
        <v>12280</v>
      </c>
      <c r="AC160" s="1"/>
      <c r="AD160" s="1"/>
      <c r="AE160" s="1" t="s">
        <v>12281</v>
      </c>
      <c r="AF160" s="1"/>
      <c r="AG160" s="1"/>
      <c r="AH160" s="1" t="s">
        <v>12282</v>
      </c>
      <c r="AI160" s="1"/>
      <c r="AJ160" s="1" t="s">
        <v>12283</v>
      </c>
      <c r="AK160" s="1" t="s">
        <v>12284</v>
      </c>
      <c r="AL160" s="1" t="s">
        <v>12285</v>
      </c>
      <c r="AM160" s="1" t="s">
        <v>12286</v>
      </c>
      <c r="AN160" s="1" t="s">
        <v>12284</v>
      </c>
      <c r="AO160" s="1" t="s">
        <v>12287</v>
      </c>
      <c r="AP160" s="2" t="s">
        <v>12288</v>
      </c>
      <c r="AQ160" s="2" t="s">
        <v>1153</v>
      </c>
      <c r="AR160" s="1"/>
      <c r="AS160" s="1"/>
      <c r="AT160" s="1" t="s">
        <v>5</v>
      </c>
    </row>
    <row r="161" spans="1:46" hidden="1" x14ac:dyDescent="0.4">
      <c r="A161" s="1" t="s">
        <v>12568</v>
      </c>
      <c r="B161" s="10"/>
      <c r="C161" s="1" t="s">
        <v>2494</v>
      </c>
      <c r="D161" s="1" t="s">
        <v>11999</v>
      </c>
      <c r="E161" s="1" t="s">
        <v>2291</v>
      </c>
      <c r="F161" s="1" t="s">
        <v>14</v>
      </c>
      <c r="G161" s="1" t="s">
        <v>1</v>
      </c>
      <c r="H161" s="1" t="s">
        <v>6</v>
      </c>
      <c r="I161" s="1" t="s">
        <v>2</v>
      </c>
      <c r="J161" s="1" t="s">
        <v>2450</v>
      </c>
      <c r="K161" s="1" t="s">
        <v>12569</v>
      </c>
      <c r="L161" s="1" t="s">
        <v>7</v>
      </c>
      <c r="M161" s="1" t="s">
        <v>9</v>
      </c>
      <c r="N161" s="1" t="s">
        <v>12570</v>
      </c>
      <c r="O161" s="1" t="s">
        <v>9747</v>
      </c>
      <c r="P161" s="1"/>
      <c r="Q161" s="1"/>
      <c r="R161" s="1" t="s">
        <v>11</v>
      </c>
      <c r="S161" s="1"/>
      <c r="T161" s="1"/>
      <c r="U161" s="1"/>
      <c r="V161" s="1"/>
      <c r="W161" s="1"/>
      <c r="X161" s="1" t="s">
        <v>10021</v>
      </c>
      <c r="Y161" s="1"/>
      <c r="Z161" s="1"/>
      <c r="AA161" s="1" t="s">
        <v>12571</v>
      </c>
      <c r="AB161" s="1" t="s">
        <v>12572</v>
      </c>
      <c r="AC161" s="1"/>
      <c r="AD161" s="1"/>
      <c r="AE161" s="1" t="s">
        <v>12573</v>
      </c>
      <c r="AF161" s="1"/>
      <c r="AG161" s="1"/>
      <c r="AH161" s="1" t="s">
        <v>12574</v>
      </c>
      <c r="AI161" s="1"/>
      <c r="AJ161" s="1" t="s">
        <v>6402</v>
      </c>
      <c r="AK161" s="1" t="s">
        <v>4818</v>
      </c>
      <c r="AL161" s="1" t="s">
        <v>6403</v>
      </c>
      <c r="AM161" s="1" t="s">
        <v>6402</v>
      </c>
      <c r="AN161" s="1" t="s">
        <v>4818</v>
      </c>
      <c r="AO161" s="1" t="s">
        <v>6403</v>
      </c>
      <c r="AP161" s="2" t="s">
        <v>12575</v>
      </c>
      <c r="AQ161" s="2" t="s">
        <v>1153</v>
      </c>
      <c r="AR161" s="1" t="s">
        <v>287</v>
      </c>
      <c r="AS161" s="1"/>
      <c r="AT161" s="1" t="s">
        <v>5</v>
      </c>
    </row>
    <row r="162" spans="1:46" hidden="1" x14ac:dyDescent="0.4">
      <c r="A162" s="1" t="s">
        <v>12866</v>
      </c>
      <c r="B162" s="10"/>
      <c r="C162" s="1" t="s">
        <v>93</v>
      </c>
      <c r="D162" s="1" t="s">
        <v>11999</v>
      </c>
      <c r="E162" s="1" t="s">
        <v>2291</v>
      </c>
      <c r="F162" s="1" t="s">
        <v>14</v>
      </c>
      <c r="G162" s="1" t="s">
        <v>1</v>
      </c>
      <c r="H162" s="1" t="s">
        <v>6</v>
      </c>
      <c r="I162" s="1" t="s">
        <v>2</v>
      </c>
      <c r="J162" s="1" t="s">
        <v>3</v>
      </c>
      <c r="K162" s="1" t="s">
        <v>12867</v>
      </c>
      <c r="L162" s="1" t="s">
        <v>7</v>
      </c>
      <c r="M162" s="1"/>
      <c r="N162" s="1" t="s">
        <v>12868</v>
      </c>
      <c r="O162" s="1" t="s">
        <v>12103</v>
      </c>
      <c r="P162" s="1"/>
      <c r="Q162" s="1"/>
      <c r="R162" s="1" t="s">
        <v>11</v>
      </c>
      <c r="S162" s="1"/>
      <c r="T162" s="1"/>
      <c r="U162" s="1"/>
      <c r="V162" s="1"/>
      <c r="W162" s="1"/>
      <c r="X162" s="1" t="s">
        <v>12869</v>
      </c>
      <c r="Y162" s="1"/>
      <c r="Z162" s="1"/>
      <c r="AA162" s="1"/>
      <c r="AB162" s="1" t="s">
        <v>12870</v>
      </c>
      <c r="AC162" s="1"/>
      <c r="AD162" s="1"/>
      <c r="AE162" s="1" t="s">
        <v>12871</v>
      </c>
      <c r="AF162" s="1"/>
      <c r="AG162" s="1"/>
      <c r="AH162" s="1" t="s">
        <v>12872</v>
      </c>
      <c r="AI162" s="1"/>
      <c r="AJ162" s="1" t="s">
        <v>5631</v>
      </c>
      <c r="AK162" s="1" t="s">
        <v>5632</v>
      </c>
      <c r="AL162" s="1" t="s">
        <v>5633</v>
      </c>
      <c r="AM162" s="1" t="s">
        <v>5631</v>
      </c>
      <c r="AN162" s="1" t="s">
        <v>5632</v>
      </c>
      <c r="AO162" s="1" t="s">
        <v>5633</v>
      </c>
      <c r="AP162" s="2" t="s">
        <v>12873</v>
      </c>
      <c r="AQ162" s="2" t="s">
        <v>1077</v>
      </c>
      <c r="AR162" s="1" t="s">
        <v>287</v>
      </c>
      <c r="AS162" s="1"/>
      <c r="AT162" s="1" t="s">
        <v>5</v>
      </c>
    </row>
    <row r="163" spans="1:46" hidden="1" x14ac:dyDescent="0.4">
      <c r="A163" s="1" t="s">
        <v>13538</v>
      </c>
      <c r="B163" s="10"/>
      <c r="C163" s="1" t="s">
        <v>2091</v>
      </c>
      <c r="D163" s="1" t="s">
        <v>11999</v>
      </c>
      <c r="E163" s="1" t="s">
        <v>2291</v>
      </c>
      <c r="F163" s="1" t="s">
        <v>14</v>
      </c>
      <c r="G163" s="1" t="s">
        <v>1</v>
      </c>
      <c r="H163" s="1" t="s">
        <v>6</v>
      </c>
      <c r="I163" s="1" t="s">
        <v>2</v>
      </c>
      <c r="J163" s="1" t="s">
        <v>3</v>
      </c>
      <c r="K163" s="1" t="s">
        <v>13539</v>
      </c>
      <c r="L163" s="1" t="s">
        <v>7</v>
      </c>
      <c r="M163" s="1"/>
      <c r="N163" s="1" t="s">
        <v>13540</v>
      </c>
      <c r="O163" s="1" t="s">
        <v>12493</v>
      </c>
      <c r="P163" s="1"/>
      <c r="Q163" s="1"/>
      <c r="R163" s="1" t="s">
        <v>11</v>
      </c>
      <c r="S163" s="1"/>
      <c r="T163" s="1"/>
      <c r="U163" s="1"/>
      <c r="V163" s="1"/>
      <c r="W163" s="1" t="s">
        <v>13541</v>
      </c>
      <c r="X163" s="1" t="s">
        <v>10021</v>
      </c>
      <c r="Y163" s="1"/>
      <c r="Z163" s="1"/>
      <c r="AA163" s="1"/>
      <c r="AB163" s="1" t="s">
        <v>13542</v>
      </c>
      <c r="AC163" s="1"/>
      <c r="AD163" s="1"/>
      <c r="AE163" s="1" t="s">
        <v>13543</v>
      </c>
      <c r="AF163" s="1"/>
      <c r="AG163" s="1"/>
      <c r="AH163" s="1" t="s">
        <v>13544</v>
      </c>
      <c r="AI163" s="1"/>
      <c r="AJ163" s="1" t="s">
        <v>4885</v>
      </c>
      <c r="AK163" s="1" t="s">
        <v>4886</v>
      </c>
      <c r="AL163" s="1" t="s">
        <v>9041</v>
      </c>
      <c r="AM163" s="1" t="s">
        <v>10959</v>
      </c>
      <c r="AN163" s="1" t="s">
        <v>4886</v>
      </c>
      <c r="AO163" s="1" t="s">
        <v>10960</v>
      </c>
      <c r="AP163" s="2" t="s">
        <v>13545</v>
      </c>
      <c r="AQ163" s="2" t="s">
        <v>1154</v>
      </c>
      <c r="AR163" s="1" t="s">
        <v>286</v>
      </c>
      <c r="AS163" s="1"/>
      <c r="AT163" s="1" t="s">
        <v>5</v>
      </c>
    </row>
    <row r="164" spans="1:46" hidden="1" x14ac:dyDescent="0.4">
      <c r="A164" s="1" t="s">
        <v>13887</v>
      </c>
      <c r="B164" s="10"/>
      <c r="C164" s="1" t="s">
        <v>3626</v>
      </c>
      <c r="D164" s="1" t="s">
        <v>11999</v>
      </c>
      <c r="E164" s="1" t="s">
        <v>2291</v>
      </c>
      <c r="F164" s="1" t="s">
        <v>14</v>
      </c>
      <c r="G164" s="1" t="s">
        <v>1</v>
      </c>
      <c r="H164" s="1" t="s">
        <v>6</v>
      </c>
      <c r="I164" s="1" t="s">
        <v>2</v>
      </c>
      <c r="J164" s="1" t="s">
        <v>3514</v>
      </c>
      <c r="K164" s="1" t="s">
        <v>13888</v>
      </c>
      <c r="L164" s="1" t="s">
        <v>7</v>
      </c>
      <c r="M164" s="1"/>
      <c r="N164" s="1" t="s">
        <v>13889</v>
      </c>
      <c r="O164" s="1" t="s">
        <v>12077</v>
      </c>
      <c r="P164" s="1"/>
      <c r="Q164" s="1"/>
      <c r="R164" s="1" t="s">
        <v>11</v>
      </c>
      <c r="S164" s="1"/>
      <c r="T164" s="1"/>
      <c r="U164" s="1"/>
      <c r="V164" s="1"/>
      <c r="W164" s="1" t="s">
        <v>13890</v>
      </c>
      <c r="X164" s="1" t="s">
        <v>12038</v>
      </c>
      <c r="Y164" s="1"/>
      <c r="Z164" s="1"/>
      <c r="AA164" s="1"/>
      <c r="AB164" s="1" t="s">
        <v>13891</v>
      </c>
      <c r="AC164" s="1"/>
      <c r="AD164" s="1"/>
      <c r="AE164" s="1"/>
      <c r="AF164" s="1"/>
      <c r="AG164" s="1"/>
      <c r="AH164" s="1" t="s">
        <v>13892</v>
      </c>
      <c r="AI164" s="1"/>
      <c r="AJ164" s="1" t="s">
        <v>13893</v>
      </c>
      <c r="AK164" s="1" t="s">
        <v>13894</v>
      </c>
      <c r="AL164" s="1" t="s">
        <v>13895</v>
      </c>
      <c r="AM164" s="1" t="s">
        <v>13893</v>
      </c>
      <c r="AN164" s="1" t="s">
        <v>13894</v>
      </c>
      <c r="AO164" s="1" t="s">
        <v>13895</v>
      </c>
      <c r="AP164" s="2" t="s">
        <v>13896</v>
      </c>
      <c r="AQ164" s="2" t="s">
        <v>1155</v>
      </c>
      <c r="AR164" s="1" t="s">
        <v>286</v>
      </c>
      <c r="AS164" s="1" t="s">
        <v>13897</v>
      </c>
      <c r="AT164" s="1" t="s">
        <v>5</v>
      </c>
    </row>
    <row r="165" spans="1:46" hidden="1" x14ac:dyDescent="0.4">
      <c r="A165" s="1" t="s">
        <v>13712</v>
      </c>
      <c r="B165" s="10"/>
      <c r="C165" s="1" t="s">
        <v>2705</v>
      </c>
      <c r="D165" s="1" t="s">
        <v>11999</v>
      </c>
      <c r="E165" s="1" t="s">
        <v>2291</v>
      </c>
      <c r="F165" s="1" t="s">
        <v>14</v>
      </c>
      <c r="G165" s="1" t="s">
        <v>1</v>
      </c>
      <c r="H165" s="1" t="s">
        <v>6</v>
      </c>
      <c r="I165" s="1" t="s">
        <v>2</v>
      </c>
      <c r="J165" s="1" t="s">
        <v>2813</v>
      </c>
      <c r="K165" s="1" t="s">
        <v>13713</v>
      </c>
      <c r="L165" s="1" t="s">
        <v>7</v>
      </c>
      <c r="M165" s="1" t="s">
        <v>9</v>
      </c>
      <c r="N165" s="1" t="s">
        <v>13714</v>
      </c>
      <c r="O165" s="1" t="s">
        <v>12103</v>
      </c>
      <c r="P165" s="1"/>
      <c r="Q165" s="1"/>
      <c r="R165" s="1" t="s">
        <v>11</v>
      </c>
      <c r="S165" s="1"/>
      <c r="T165" s="1"/>
      <c r="U165" s="1"/>
      <c r="V165" s="1"/>
      <c r="W165" s="1" t="s">
        <v>13715</v>
      </c>
      <c r="X165" s="1" t="s">
        <v>12038</v>
      </c>
      <c r="Y165" s="1"/>
      <c r="Z165" s="1"/>
      <c r="AA165" s="1"/>
      <c r="AB165" s="1" t="s">
        <v>13716</v>
      </c>
      <c r="AC165" s="1"/>
      <c r="AD165" s="1"/>
      <c r="AE165" s="1" t="s">
        <v>13717</v>
      </c>
      <c r="AF165" s="1"/>
      <c r="AG165" s="1"/>
      <c r="AH165" s="1" t="s">
        <v>13718</v>
      </c>
      <c r="AI165" s="1"/>
      <c r="AJ165" s="1" t="s">
        <v>6519</v>
      </c>
      <c r="AK165" s="1" t="s">
        <v>6520</v>
      </c>
      <c r="AL165" s="1" t="s">
        <v>6521</v>
      </c>
      <c r="AM165" s="1" t="s">
        <v>6519</v>
      </c>
      <c r="AN165" s="1" t="s">
        <v>6520</v>
      </c>
      <c r="AO165" s="1" t="s">
        <v>6521</v>
      </c>
      <c r="AP165" s="2" t="s">
        <v>13719</v>
      </c>
      <c r="AQ165" s="2" t="s">
        <v>1154</v>
      </c>
      <c r="AR165" s="1" t="s">
        <v>286</v>
      </c>
      <c r="AS165" s="1" t="s">
        <v>13720</v>
      </c>
      <c r="AT165" s="1" t="s">
        <v>5</v>
      </c>
    </row>
    <row r="166" spans="1:46" hidden="1" x14ac:dyDescent="0.4">
      <c r="A166" s="1" t="s">
        <v>14082</v>
      </c>
      <c r="B166" s="10"/>
      <c r="C166" s="1" t="s">
        <v>2091</v>
      </c>
      <c r="D166" s="1" t="s">
        <v>11999</v>
      </c>
      <c r="E166" s="1" t="s">
        <v>2291</v>
      </c>
      <c r="F166" s="1" t="s">
        <v>14</v>
      </c>
      <c r="G166" s="1" t="s">
        <v>1</v>
      </c>
      <c r="H166" s="1" t="s">
        <v>6</v>
      </c>
      <c r="I166" s="1" t="s">
        <v>2</v>
      </c>
      <c r="J166" s="1" t="s">
        <v>3</v>
      </c>
      <c r="K166" s="1" t="s">
        <v>14083</v>
      </c>
      <c r="L166" s="1" t="s">
        <v>7</v>
      </c>
      <c r="M166" s="1"/>
      <c r="N166" s="1" t="s">
        <v>14084</v>
      </c>
      <c r="O166" s="1" t="s">
        <v>12103</v>
      </c>
      <c r="P166" s="1"/>
      <c r="Q166" s="1"/>
      <c r="R166" s="1" t="s">
        <v>11</v>
      </c>
      <c r="S166" s="1"/>
      <c r="T166" s="1"/>
      <c r="U166" s="1"/>
      <c r="V166" s="1"/>
      <c r="W166" s="1" t="s">
        <v>14085</v>
      </c>
      <c r="X166" s="1" t="s">
        <v>12038</v>
      </c>
      <c r="Y166" s="1"/>
      <c r="Z166" s="1"/>
      <c r="AA166" s="1"/>
      <c r="AB166" s="1" t="s">
        <v>14086</v>
      </c>
      <c r="AC166" s="1"/>
      <c r="AD166" s="1"/>
      <c r="AE166" s="1" t="s">
        <v>14087</v>
      </c>
      <c r="AF166" s="1"/>
      <c r="AG166" s="1"/>
      <c r="AH166" s="1" t="s">
        <v>14088</v>
      </c>
      <c r="AI166" s="1"/>
      <c r="AJ166" s="1" t="s">
        <v>4885</v>
      </c>
      <c r="AK166" s="1" t="s">
        <v>4886</v>
      </c>
      <c r="AL166" s="1" t="s">
        <v>9041</v>
      </c>
      <c r="AM166" s="1" t="s">
        <v>10959</v>
      </c>
      <c r="AN166" s="1" t="s">
        <v>4886</v>
      </c>
      <c r="AO166" s="1" t="s">
        <v>10960</v>
      </c>
      <c r="AP166" s="2" t="s">
        <v>14089</v>
      </c>
      <c r="AQ166" s="2" t="s">
        <v>1155</v>
      </c>
      <c r="AR166" s="1" t="s">
        <v>286</v>
      </c>
      <c r="AS166" s="1"/>
      <c r="AT166" s="1" t="s">
        <v>5</v>
      </c>
    </row>
    <row r="167" spans="1:46" hidden="1" x14ac:dyDescent="0.4">
      <c r="A167" s="1" t="s">
        <v>12327</v>
      </c>
      <c r="B167" s="10"/>
      <c r="C167" s="1" t="s">
        <v>0</v>
      </c>
      <c r="D167" s="1" t="s">
        <v>11999</v>
      </c>
      <c r="E167" s="1" t="s">
        <v>2291</v>
      </c>
      <c r="F167" s="1" t="s">
        <v>14</v>
      </c>
      <c r="G167" s="1" t="s">
        <v>1</v>
      </c>
      <c r="H167" s="1" t="s">
        <v>6</v>
      </c>
      <c r="I167" s="1" t="s">
        <v>2</v>
      </c>
      <c r="J167" s="1" t="s">
        <v>3</v>
      </c>
      <c r="K167" s="1" t="s">
        <v>12328</v>
      </c>
      <c r="L167" s="1" t="s">
        <v>4</v>
      </c>
      <c r="M167" s="1" t="s">
        <v>8</v>
      </c>
      <c r="N167" s="1" t="s">
        <v>12329</v>
      </c>
      <c r="O167" s="1" t="s">
        <v>12077</v>
      </c>
      <c r="P167" s="1"/>
      <c r="Q167" s="1"/>
      <c r="R167" s="1" t="s">
        <v>11</v>
      </c>
      <c r="S167" s="1"/>
      <c r="T167" s="1"/>
      <c r="U167" s="1"/>
      <c r="V167" s="1"/>
      <c r="W167" s="1" t="s">
        <v>12330</v>
      </c>
      <c r="X167" s="1" t="s">
        <v>12038</v>
      </c>
      <c r="Y167" s="1"/>
      <c r="Z167" s="1"/>
      <c r="AA167" s="1"/>
      <c r="AB167" s="1" t="s">
        <v>12331</v>
      </c>
      <c r="AC167" s="1"/>
      <c r="AD167" s="1"/>
      <c r="AE167" s="1" t="s">
        <v>12332</v>
      </c>
      <c r="AF167" s="1"/>
      <c r="AG167" s="1"/>
      <c r="AH167" s="1" t="s">
        <v>12333</v>
      </c>
      <c r="AI167" s="1"/>
      <c r="AJ167" s="1" t="s">
        <v>12334</v>
      </c>
      <c r="AK167" s="1" t="s">
        <v>281</v>
      </c>
      <c r="AL167" s="1" t="s">
        <v>12335</v>
      </c>
      <c r="AM167" s="1" t="s">
        <v>12334</v>
      </c>
      <c r="AN167" s="1" t="s">
        <v>281</v>
      </c>
      <c r="AO167" s="1" t="s">
        <v>12335</v>
      </c>
      <c r="AP167" s="2" t="s">
        <v>12336</v>
      </c>
      <c r="AQ167" s="2" t="s">
        <v>1153</v>
      </c>
      <c r="AR167" s="1" t="s">
        <v>287</v>
      </c>
      <c r="AS167" s="1"/>
      <c r="AT167" s="1" t="s">
        <v>5</v>
      </c>
    </row>
    <row r="168" spans="1:46" hidden="1" x14ac:dyDescent="0.4">
      <c r="A168" s="1" t="s">
        <v>14238</v>
      </c>
      <c r="B168" s="10"/>
      <c r="C168" s="1" t="s">
        <v>3626</v>
      </c>
      <c r="D168" s="1" t="s">
        <v>11999</v>
      </c>
      <c r="E168" s="1" t="s">
        <v>2291</v>
      </c>
      <c r="F168" s="1" t="s">
        <v>14</v>
      </c>
      <c r="G168" s="1" t="s">
        <v>1</v>
      </c>
      <c r="H168" s="1" t="s">
        <v>6</v>
      </c>
      <c r="I168" s="1" t="s">
        <v>2</v>
      </c>
      <c r="J168" s="1" t="s">
        <v>3514</v>
      </c>
      <c r="K168" s="1" t="s">
        <v>14239</v>
      </c>
      <c r="L168" s="1" t="s">
        <v>7</v>
      </c>
      <c r="M168" s="1"/>
      <c r="N168" s="1" t="s">
        <v>14240</v>
      </c>
      <c r="O168" s="1" t="s">
        <v>9747</v>
      </c>
      <c r="P168" s="1" t="s">
        <v>14241</v>
      </c>
      <c r="Q168" s="1" t="s">
        <v>12</v>
      </c>
      <c r="R168" s="1" t="s">
        <v>11</v>
      </c>
      <c r="S168" s="1"/>
      <c r="T168" s="1" t="s">
        <v>12</v>
      </c>
      <c r="U168" s="1" t="s">
        <v>11</v>
      </c>
      <c r="V168" s="1"/>
      <c r="W168" s="1" t="s">
        <v>14242</v>
      </c>
      <c r="X168" s="1" t="s">
        <v>10021</v>
      </c>
      <c r="Y168" s="1"/>
      <c r="Z168" s="1"/>
      <c r="AA168" s="1"/>
      <c r="AB168" s="1" t="s">
        <v>14243</v>
      </c>
      <c r="AC168" s="1"/>
      <c r="AD168" s="1"/>
      <c r="AE168" s="1"/>
      <c r="AF168" s="1"/>
      <c r="AG168" s="1"/>
      <c r="AH168" s="1" t="s">
        <v>14244</v>
      </c>
      <c r="AI168" s="1"/>
      <c r="AJ168" s="1" t="s">
        <v>12343</v>
      </c>
      <c r="AK168" s="1" t="s">
        <v>4060</v>
      </c>
      <c r="AL168" s="1" t="s">
        <v>12344</v>
      </c>
      <c r="AM168" s="1" t="s">
        <v>12343</v>
      </c>
      <c r="AN168" s="1" t="s">
        <v>4060</v>
      </c>
      <c r="AO168" s="1" t="s">
        <v>12344</v>
      </c>
      <c r="AP168" s="2" t="s">
        <v>14245</v>
      </c>
      <c r="AQ168" s="2" t="s">
        <v>1155</v>
      </c>
      <c r="AR168" s="1" t="s">
        <v>286</v>
      </c>
      <c r="AS168" s="1" t="s">
        <v>11509</v>
      </c>
      <c r="AT168" s="1" t="s">
        <v>5</v>
      </c>
    </row>
    <row r="169" spans="1:46" hidden="1" x14ac:dyDescent="0.4">
      <c r="A169" s="1" t="s">
        <v>12337</v>
      </c>
      <c r="B169" s="10"/>
      <c r="C169" s="1" t="s">
        <v>3626</v>
      </c>
      <c r="D169" s="1" t="s">
        <v>11999</v>
      </c>
      <c r="E169" s="1" t="s">
        <v>2291</v>
      </c>
      <c r="F169" s="1" t="s">
        <v>14</v>
      </c>
      <c r="G169" s="1" t="s">
        <v>1</v>
      </c>
      <c r="H169" s="1" t="s">
        <v>6</v>
      </c>
      <c r="I169" s="1" t="s">
        <v>2</v>
      </c>
      <c r="J169" s="1" t="s">
        <v>3514</v>
      </c>
      <c r="K169" s="1" t="s">
        <v>12338</v>
      </c>
      <c r="L169" s="1" t="s">
        <v>7</v>
      </c>
      <c r="M169" s="1" t="s">
        <v>9</v>
      </c>
      <c r="N169" s="1" t="s">
        <v>12339</v>
      </c>
      <c r="O169" s="1" t="s">
        <v>9747</v>
      </c>
      <c r="P169" s="1"/>
      <c r="Q169" s="1"/>
      <c r="R169" s="1" t="s">
        <v>11</v>
      </c>
      <c r="S169" s="1"/>
      <c r="T169" s="1"/>
      <c r="U169" s="1"/>
      <c r="V169" s="1"/>
      <c r="W169" s="1"/>
      <c r="X169" s="1" t="s">
        <v>12135</v>
      </c>
      <c r="Y169" s="1"/>
      <c r="Z169" s="1"/>
      <c r="AA169" s="1"/>
      <c r="AB169" s="1" t="s">
        <v>12340</v>
      </c>
      <c r="AC169" s="1"/>
      <c r="AD169" s="1"/>
      <c r="AE169" s="1" t="s">
        <v>12341</v>
      </c>
      <c r="AF169" s="1"/>
      <c r="AG169" s="1"/>
      <c r="AH169" s="1" t="s">
        <v>12342</v>
      </c>
      <c r="AI169" s="1"/>
      <c r="AJ169" s="1" t="s">
        <v>12343</v>
      </c>
      <c r="AK169" s="1" t="s">
        <v>4060</v>
      </c>
      <c r="AL169" s="1" t="s">
        <v>12344</v>
      </c>
      <c r="AM169" s="1" t="s">
        <v>12343</v>
      </c>
      <c r="AN169" s="1" t="s">
        <v>4060</v>
      </c>
      <c r="AO169" s="1" t="s">
        <v>12344</v>
      </c>
      <c r="AP169" s="2" t="s">
        <v>12345</v>
      </c>
      <c r="AQ169" s="2" t="s">
        <v>1153</v>
      </c>
      <c r="AR169" s="1" t="s">
        <v>287</v>
      </c>
      <c r="AS169" s="1"/>
      <c r="AT169" s="1" t="s">
        <v>5</v>
      </c>
    </row>
    <row r="170" spans="1:46" hidden="1" x14ac:dyDescent="0.4">
      <c r="A170" s="1" t="s">
        <v>14000</v>
      </c>
      <c r="B170" s="10"/>
      <c r="C170" s="1" t="s">
        <v>93</v>
      </c>
      <c r="D170" s="1" t="s">
        <v>11999</v>
      </c>
      <c r="E170" s="1" t="s">
        <v>2291</v>
      </c>
      <c r="F170" s="1" t="s">
        <v>14</v>
      </c>
      <c r="G170" s="1" t="s">
        <v>1</v>
      </c>
      <c r="H170" s="1" t="s">
        <v>6</v>
      </c>
      <c r="I170" s="1" t="s">
        <v>2</v>
      </c>
      <c r="J170" s="1" t="s">
        <v>3</v>
      </c>
      <c r="K170" s="1" t="s">
        <v>14001</v>
      </c>
      <c r="L170" s="1" t="s">
        <v>7</v>
      </c>
      <c r="M170" s="1"/>
      <c r="N170" s="1" t="s">
        <v>14002</v>
      </c>
      <c r="O170" s="1" t="s">
        <v>12501</v>
      </c>
      <c r="P170" s="1"/>
      <c r="Q170" s="1"/>
      <c r="R170" s="1" t="s">
        <v>11</v>
      </c>
      <c r="S170" s="1"/>
      <c r="T170" s="1"/>
      <c r="U170" s="1"/>
      <c r="V170" s="1"/>
      <c r="W170" s="1"/>
      <c r="X170" s="1" t="s">
        <v>12199</v>
      </c>
      <c r="Y170" s="1"/>
      <c r="Z170" s="1"/>
      <c r="AA170" s="1"/>
      <c r="AB170" s="1" t="s">
        <v>14003</v>
      </c>
      <c r="AC170" s="1"/>
      <c r="AD170" s="1"/>
      <c r="AE170" s="1" t="s">
        <v>14004</v>
      </c>
      <c r="AF170" s="1"/>
      <c r="AG170" s="1"/>
      <c r="AH170" s="1" t="s">
        <v>14005</v>
      </c>
      <c r="AI170" s="1"/>
      <c r="AJ170" s="1" t="s">
        <v>10303</v>
      </c>
      <c r="AK170" s="1" t="s">
        <v>1787</v>
      </c>
      <c r="AL170" s="1" t="s">
        <v>10304</v>
      </c>
      <c r="AM170" s="1" t="s">
        <v>204</v>
      </c>
      <c r="AN170" s="1" t="s">
        <v>1787</v>
      </c>
      <c r="AO170" s="1" t="s">
        <v>13998</v>
      </c>
      <c r="AP170" s="2" t="s">
        <v>14006</v>
      </c>
      <c r="AQ170" s="2" t="s">
        <v>1155</v>
      </c>
      <c r="AR170" s="1" t="s">
        <v>286</v>
      </c>
      <c r="AS170" s="1" t="s">
        <v>970</v>
      </c>
      <c r="AT170" s="1" t="s">
        <v>5</v>
      </c>
    </row>
    <row r="171" spans="1:46" hidden="1" x14ac:dyDescent="0.4">
      <c r="A171" s="1" t="s">
        <v>12490</v>
      </c>
      <c r="B171" s="10"/>
      <c r="C171" s="1" t="s">
        <v>93</v>
      </c>
      <c r="D171" s="1" t="s">
        <v>11999</v>
      </c>
      <c r="E171" s="1" t="s">
        <v>2291</v>
      </c>
      <c r="F171" s="1" t="s">
        <v>14</v>
      </c>
      <c r="G171" s="1" t="s">
        <v>1</v>
      </c>
      <c r="H171" s="1" t="s">
        <v>6</v>
      </c>
      <c r="I171" s="1" t="s">
        <v>2</v>
      </c>
      <c r="J171" s="1" t="s">
        <v>3</v>
      </c>
      <c r="K171" s="1" t="s">
        <v>12491</v>
      </c>
      <c r="L171" s="1" t="s">
        <v>7</v>
      </c>
      <c r="M171" s="1"/>
      <c r="N171" s="1" t="s">
        <v>12492</v>
      </c>
      <c r="O171" s="1" t="s">
        <v>12493</v>
      </c>
      <c r="P171" s="1"/>
      <c r="Q171" s="1"/>
      <c r="R171" s="1" t="s">
        <v>11</v>
      </c>
      <c r="S171" s="1"/>
      <c r="T171" s="1"/>
      <c r="U171" s="1"/>
      <c r="V171" s="1"/>
      <c r="W171" s="1"/>
      <c r="X171" s="1" t="s">
        <v>10021</v>
      </c>
      <c r="Y171" s="1"/>
      <c r="Z171" s="1"/>
      <c r="AA171" s="1"/>
      <c r="AB171" s="1" t="s">
        <v>12494</v>
      </c>
      <c r="AC171" s="1"/>
      <c r="AD171" s="1"/>
      <c r="AE171" s="1" t="s">
        <v>12495</v>
      </c>
      <c r="AF171" s="1"/>
      <c r="AG171" s="1"/>
      <c r="AH171" s="1" t="s">
        <v>12496</v>
      </c>
      <c r="AI171" s="1"/>
      <c r="AJ171" s="1" t="s">
        <v>4272</v>
      </c>
      <c r="AK171" s="1" t="s">
        <v>4273</v>
      </c>
      <c r="AL171" s="1" t="s">
        <v>4274</v>
      </c>
      <c r="AM171" s="1" t="s">
        <v>4272</v>
      </c>
      <c r="AN171" s="1" t="s">
        <v>4273</v>
      </c>
      <c r="AO171" s="1" t="s">
        <v>4274</v>
      </c>
      <c r="AP171" s="2" t="s">
        <v>12497</v>
      </c>
      <c r="AQ171" s="2" t="s">
        <v>1153</v>
      </c>
      <c r="AR171" s="1" t="s">
        <v>287</v>
      </c>
      <c r="AS171" s="1"/>
      <c r="AT171" s="1" t="s">
        <v>5</v>
      </c>
    </row>
    <row r="172" spans="1:46" hidden="1" x14ac:dyDescent="0.4">
      <c r="A172" s="1" t="s">
        <v>12541</v>
      </c>
      <c r="B172" s="10"/>
      <c r="C172" s="1" t="s">
        <v>4518</v>
      </c>
      <c r="D172" s="1" t="s">
        <v>11999</v>
      </c>
      <c r="E172" s="1" t="s">
        <v>2291</v>
      </c>
      <c r="F172" s="1" t="s">
        <v>14</v>
      </c>
      <c r="G172" s="1" t="s">
        <v>1</v>
      </c>
      <c r="H172" s="1" t="s">
        <v>6</v>
      </c>
      <c r="I172" s="1" t="s">
        <v>2</v>
      </c>
      <c r="J172" s="1" t="s">
        <v>4519</v>
      </c>
      <c r="K172" s="1" t="s">
        <v>12542</v>
      </c>
      <c r="L172" s="1" t="s">
        <v>7</v>
      </c>
      <c r="M172" s="1" t="s">
        <v>9</v>
      </c>
      <c r="N172" s="1" t="s">
        <v>12543</v>
      </c>
      <c r="O172" s="1" t="s">
        <v>12077</v>
      </c>
      <c r="P172" s="1"/>
      <c r="Q172" s="1"/>
      <c r="R172" s="1" t="s">
        <v>11</v>
      </c>
      <c r="S172" s="1"/>
      <c r="T172" s="1"/>
      <c r="U172" s="1"/>
      <c r="V172" s="1"/>
      <c r="W172" s="1" t="s">
        <v>12536</v>
      </c>
      <c r="X172" s="1" t="s">
        <v>12135</v>
      </c>
      <c r="Y172" s="1"/>
      <c r="Z172" s="1"/>
      <c r="AA172" s="1"/>
      <c r="AB172" s="1" t="s">
        <v>12544</v>
      </c>
      <c r="AC172" s="1"/>
      <c r="AD172" s="1"/>
      <c r="AE172" s="1" t="s">
        <v>12545</v>
      </c>
      <c r="AF172" s="1"/>
      <c r="AG172" s="1"/>
      <c r="AH172" s="1" t="s">
        <v>12546</v>
      </c>
      <c r="AI172" s="1"/>
      <c r="AJ172" s="1" t="s">
        <v>4526</v>
      </c>
      <c r="AK172" s="1" t="s">
        <v>4527</v>
      </c>
      <c r="AL172" s="1" t="s">
        <v>4528</v>
      </c>
      <c r="AM172" s="1" t="s">
        <v>4529</v>
      </c>
      <c r="AN172" s="1" t="s">
        <v>4527</v>
      </c>
      <c r="AO172" s="1" t="s">
        <v>4530</v>
      </c>
      <c r="AP172" s="2" t="s">
        <v>12547</v>
      </c>
      <c r="AQ172" s="2" t="s">
        <v>1153</v>
      </c>
      <c r="AR172" s="1" t="s">
        <v>287</v>
      </c>
      <c r="AS172" s="1"/>
      <c r="AT172" s="1" t="s">
        <v>5</v>
      </c>
    </row>
    <row r="173" spans="1:46" hidden="1" x14ac:dyDescent="0.4">
      <c r="A173" s="1" t="s">
        <v>12533</v>
      </c>
      <c r="B173" s="10"/>
      <c r="C173" s="1" t="s">
        <v>4518</v>
      </c>
      <c r="D173" s="1" t="s">
        <v>11999</v>
      </c>
      <c r="E173" s="1" t="s">
        <v>2291</v>
      </c>
      <c r="F173" s="1" t="s">
        <v>14</v>
      </c>
      <c r="G173" s="1" t="s">
        <v>1</v>
      </c>
      <c r="H173" s="1" t="s">
        <v>6</v>
      </c>
      <c r="I173" s="1" t="s">
        <v>2</v>
      </c>
      <c r="J173" s="1" t="s">
        <v>4519</v>
      </c>
      <c r="K173" s="1" t="s">
        <v>12534</v>
      </c>
      <c r="L173" s="1" t="s">
        <v>7</v>
      </c>
      <c r="M173" s="1" t="s">
        <v>9</v>
      </c>
      <c r="N173" s="1" t="s">
        <v>12535</v>
      </c>
      <c r="O173" s="1" t="s">
        <v>12077</v>
      </c>
      <c r="P173" s="1"/>
      <c r="Q173" s="1"/>
      <c r="R173" s="1" t="s">
        <v>11</v>
      </c>
      <c r="S173" s="1"/>
      <c r="T173" s="1"/>
      <c r="U173" s="1"/>
      <c r="V173" s="1"/>
      <c r="W173" s="1" t="s">
        <v>12536</v>
      </c>
      <c r="X173" s="1" t="s">
        <v>12135</v>
      </c>
      <c r="Y173" s="1"/>
      <c r="Z173" s="1"/>
      <c r="AA173" s="1"/>
      <c r="AB173" s="1" t="s">
        <v>12537</v>
      </c>
      <c r="AC173" s="1"/>
      <c r="AD173" s="1"/>
      <c r="AE173" s="1" t="s">
        <v>12538</v>
      </c>
      <c r="AF173" s="1"/>
      <c r="AG173" s="1"/>
      <c r="AH173" s="1" t="s">
        <v>12539</v>
      </c>
      <c r="AI173" s="1"/>
      <c r="AJ173" s="1" t="s">
        <v>4526</v>
      </c>
      <c r="AK173" s="1" t="s">
        <v>4527</v>
      </c>
      <c r="AL173" s="1" t="s">
        <v>4528</v>
      </c>
      <c r="AM173" s="1" t="s">
        <v>4529</v>
      </c>
      <c r="AN173" s="1" t="s">
        <v>4527</v>
      </c>
      <c r="AO173" s="1" t="s">
        <v>4530</v>
      </c>
      <c r="AP173" s="2" t="s">
        <v>12540</v>
      </c>
      <c r="AQ173" s="2" t="s">
        <v>1153</v>
      </c>
      <c r="AR173" s="1" t="s">
        <v>287</v>
      </c>
      <c r="AS173" s="1"/>
      <c r="AT173" s="1" t="s">
        <v>5</v>
      </c>
    </row>
    <row r="174" spans="1:46" hidden="1" x14ac:dyDescent="0.4">
      <c r="A174" s="1" t="s">
        <v>13289</v>
      </c>
      <c r="B174" s="10"/>
      <c r="C174" s="1" t="s">
        <v>4980</v>
      </c>
      <c r="D174" s="1" t="s">
        <v>11999</v>
      </c>
      <c r="E174" s="1" t="s">
        <v>2291</v>
      </c>
      <c r="F174" s="1" t="s">
        <v>14</v>
      </c>
      <c r="G174" s="1" t="s">
        <v>1</v>
      </c>
      <c r="H174" s="1" t="s">
        <v>6</v>
      </c>
      <c r="I174" s="1" t="s">
        <v>2</v>
      </c>
      <c r="J174" s="1" t="s">
        <v>4519</v>
      </c>
      <c r="K174" s="1" t="s">
        <v>13290</v>
      </c>
      <c r="L174" s="1" t="s">
        <v>7</v>
      </c>
      <c r="M174" s="1"/>
      <c r="N174" s="1" t="s">
        <v>13291</v>
      </c>
      <c r="O174" s="1" t="s">
        <v>12060</v>
      </c>
      <c r="P174" s="1"/>
      <c r="Q174" s="1"/>
      <c r="R174" s="1" t="s">
        <v>11</v>
      </c>
      <c r="S174" s="1"/>
      <c r="T174" s="1"/>
      <c r="U174" s="1"/>
      <c r="V174" s="1"/>
      <c r="W174" s="1" t="s">
        <v>12483</v>
      </c>
      <c r="X174" s="1" t="s">
        <v>12135</v>
      </c>
      <c r="Y174" s="1"/>
      <c r="Z174" s="1"/>
      <c r="AA174" s="1"/>
      <c r="AB174" s="1" t="s">
        <v>13292</v>
      </c>
      <c r="AC174" s="1"/>
      <c r="AD174" s="1"/>
      <c r="AE174" s="1" t="s">
        <v>13293</v>
      </c>
      <c r="AF174" s="1"/>
      <c r="AG174" s="1"/>
      <c r="AH174" s="1" t="s">
        <v>13294</v>
      </c>
      <c r="AI174" s="1"/>
      <c r="AJ174" s="1" t="s">
        <v>5140</v>
      </c>
      <c r="AK174" s="1" t="s">
        <v>3521</v>
      </c>
      <c r="AL174" s="1" t="s">
        <v>5141</v>
      </c>
      <c r="AM174" s="1" t="s">
        <v>5140</v>
      </c>
      <c r="AN174" s="1" t="s">
        <v>3521</v>
      </c>
      <c r="AO174" s="1" t="s">
        <v>5141</v>
      </c>
      <c r="AP174" s="2" t="s">
        <v>13295</v>
      </c>
      <c r="AQ174" s="2" t="s">
        <v>1154</v>
      </c>
      <c r="AR174" s="1" t="s">
        <v>286</v>
      </c>
      <c r="AS174" s="1"/>
      <c r="AT174" s="1" t="s">
        <v>5</v>
      </c>
    </row>
    <row r="175" spans="1:46" hidden="1" x14ac:dyDescent="0.4">
      <c r="A175" s="1" t="s">
        <v>14146</v>
      </c>
      <c r="B175" s="10"/>
      <c r="C175" s="1" t="s">
        <v>2705</v>
      </c>
      <c r="D175" s="1" t="s">
        <v>11999</v>
      </c>
      <c r="E175" s="1" t="s">
        <v>2291</v>
      </c>
      <c r="F175" s="1" t="s">
        <v>14</v>
      </c>
      <c r="G175" s="1" t="s">
        <v>1</v>
      </c>
      <c r="H175" s="1" t="s">
        <v>6</v>
      </c>
      <c r="I175" s="1" t="s">
        <v>2</v>
      </c>
      <c r="J175" s="1" t="s">
        <v>2813</v>
      </c>
      <c r="K175" s="1" t="s">
        <v>14147</v>
      </c>
      <c r="L175" s="1" t="s">
        <v>7</v>
      </c>
      <c r="M175" s="1"/>
      <c r="N175" s="1" t="s">
        <v>14148</v>
      </c>
      <c r="O175" s="1" t="s">
        <v>14149</v>
      </c>
      <c r="P175" s="1"/>
      <c r="Q175" s="1"/>
      <c r="R175" s="1" t="s">
        <v>11</v>
      </c>
      <c r="S175" s="1"/>
      <c r="T175" s="1"/>
      <c r="U175" s="1"/>
      <c r="V175" s="1"/>
      <c r="W175" s="1" t="s">
        <v>14150</v>
      </c>
      <c r="X175" s="1" t="s">
        <v>10021</v>
      </c>
      <c r="Y175" s="1"/>
      <c r="Z175" s="1"/>
      <c r="AA175" s="1"/>
      <c r="AB175" s="1" t="s">
        <v>14151</v>
      </c>
      <c r="AC175" s="1"/>
      <c r="AD175" s="1"/>
      <c r="AE175" s="1" t="s">
        <v>14152</v>
      </c>
      <c r="AF175" s="1"/>
      <c r="AG175" s="1"/>
      <c r="AH175" s="1" t="s">
        <v>14153</v>
      </c>
      <c r="AI175" s="1"/>
      <c r="AJ175" s="1" t="s">
        <v>14154</v>
      </c>
      <c r="AK175" s="1" t="s">
        <v>6568</v>
      </c>
      <c r="AL175" s="1" t="s">
        <v>14155</v>
      </c>
      <c r="AM175" s="1" t="s">
        <v>14154</v>
      </c>
      <c r="AN175" s="1" t="s">
        <v>6568</v>
      </c>
      <c r="AO175" s="1" t="s">
        <v>14155</v>
      </c>
      <c r="AP175" s="2" t="s">
        <v>14156</v>
      </c>
      <c r="AQ175" s="2" t="s">
        <v>1155</v>
      </c>
      <c r="AR175" s="1" t="s">
        <v>286</v>
      </c>
      <c r="AS175" s="1" t="s">
        <v>1055</v>
      </c>
      <c r="AT175" s="1" t="s">
        <v>5</v>
      </c>
    </row>
    <row r="176" spans="1:46" hidden="1" x14ac:dyDescent="0.4">
      <c r="A176" s="1" t="s">
        <v>12142</v>
      </c>
      <c r="B176" s="10"/>
      <c r="C176" s="1" t="s">
        <v>0</v>
      </c>
      <c r="D176" s="1" t="s">
        <v>11999</v>
      </c>
      <c r="E176" s="1" t="s">
        <v>2291</v>
      </c>
      <c r="F176" s="1" t="s">
        <v>14</v>
      </c>
      <c r="G176" s="1" t="s">
        <v>1</v>
      </c>
      <c r="H176" s="1" t="s">
        <v>6</v>
      </c>
      <c r="I176" s="1" t="s">
        <v>2</v>
      </c>
      <c r="J176" s="1" t="s">
        <v>3</v>
      </c>
      <c r="K176" s="1" t="s">
        <v>12143</v>
      </c>
      <c r="L176" s="1" t="s">
        <v>7</v>
      </c>
      <c r="M176" s="1" t="s">
        <v>9</v>
      </c>
      <c r="N176" s="1" t="s">
        <v>12144</v>
      </c>
      <c r="O176" s="1" t="s">
        <v>12025</v>
      </c>
      <c r="P176" s="1"/>
      <c r="Q176" s="1"/>
      <c r="R176" s="1" t="s">
        <v>11</v>
      </c>
      <c r="S176" s="1"/>
      <c r="T176" s="1"/>
      <c r="U176" s="1"/>
      <c r="V176" s="1"/>
      <c r="W176" s="1"/>
      <c r="X176" s="1" t="s">
        <v>12026</v>
      </c>
      <c r="Y176" s="1"/>
      <c r="Z176" s="1"/>
      <c r="AA176" s="1"/>
      <c r="AB176" s="1" t="s">
        <v>12145</v>
      </c>
      <c r="AC176" s="1"/>
      <c r="AD176" s="1"/>
      <c r="AE176" s="1" t="s">
        <v>12146</v>
      </c>
      <c r="AF176" s="1"/>
      <c r="AG176" s="1"/>
      <c r="AH176" s="1" t="s">
        <v>12147</v>
      </c>
      <c r="AI176" s="1"/>
      <c r="AJ176" s="1" t="s">
        <v>12148</v>
      </c>
      <c r="AK176" s="1" t="s">
        <v>12149</v>
      </c>
      <c r="AL176" s="1"/>
      <c r="AM176" s="1" t="s">
        <v>12148</v>
      </c>
      <c r="AN176" s="1" t="s">
        <v>12149</v>
      </c>
      <c r="AO176" s="1"/>
      <c r="AP176" s="2" t="s">
        <v>12150</v>
      </c>
      <c r="AQ176" s="2" t="s">
        <v>1153</v>
      </c>
      <c r="AR176" s="1"/>
      <c r="AS176" s="1"/>
      <c r="AT176" s="1" t="s">
        <v>5</v>
      </c>
    </row>
    <row r="177" spans="1:46" hidden="1" x14ac:dyDescent="0.4">
      <c r="A177" s="1" t="s">
        <v>13332</v>
      </c>
      <c r="B177" s="10"/>
      <c r="C177" s="1" t="s">
        <v>0</v>
      </c>
      <c r="D177" s="1" t="s">
        <v>11999</v>
      </c>
      <c r="E177" s="1" t="s">
        <v>2291</v>
      </c>
      <c r="F177" s="1" t="s">
        <v>14</v>
      </c>
      <c r="G177" s="1" t="s">
        <v>1</v>
      </c>
      <c r="H177" s="1" t="s">
        <v>6</v>
      </c>
      <c r="I177" s="1" t="s">
        <v>2</v>
      </c>
      <c r="J177" s="1" t="s">
        <v>3</v>
      </c>
      <c r="K177" s="1" t="s">
        <v>13333</v>
      </c>
      <c r="L177" s="1" t="s">
        <v>7</v>
      </c>
      <c r="M177" s="1" t="s">
        <v>9</v>
      </c>
      <c r="N177" s="1" t="s">
        <v>13334</v>
      </c>
      <c r="O177" s="1" t="s">
        <v>12077</v>
      </c>
      <c r="P177" s="1"/>
      <c r="Q177" s="1"/>
      <c r="R177" s="1" t="s">
        <v>11</v>
      </c>
      <c r="S177" s="1"/>
      <c r="T177" s="1"/>
      <c r="U177" s="1"/>
      <c r="V177" s="1"/>
      <c r="W177" s="1"/>
      <c r="X177" s="1" t="s">
        <v>10021</v>
      </c>
      <c r="Y177" s="1"/>
      <c r="Z177" s="1"/>
      <c r="AA177" s="1"/>
      <c r="AB177" s="1" t="s">
        <v>13335</v>
      </c>
      <c r="AC177" s="1"/>
      <c r="AD177" s="1"/>
      <c r="AE177" s="1" t="s">
        <v>13336</v>
      </c>
      <c r="AF177" s="1"/>
      <c r="AG177" s="1"/>
      <c r="AH177" s="1" t="s">
        <v>13337</v>
      </c>
      <c r="AI177" s="1"/>
      <c r="AJ177" s="1" t="s">
        <v>13338</v>
      </c>
      <c r="AK177" s="1" t="s">
        <v>4227</v>
      </c>
      <c r="AL177" s="1" t="s">
        <v>13339</v>
      </c>
      <c r="AM177" s="1" t="s">
        <v>13340</v>
      </c>
      <c r="AN177" s="1" t="s">
        <v>4227</v>
      </c>
      <c r="AO177" s="1" t="s">
        <v>13341</v>
      </c>
      <c r="AP177" s="2" t="s">
        <v>13342</v>
      </c>
      <c r="AQ177" s="2" t="s">
        <v>1154</v>
      </c>
      <c r="AR177" s="1" t="s">
        <v>286</v>
      </c>
      <c r="AS177" s="1" t="s">
        <v>13343</v>
      </c>
      <c r="AT177" s="1" t="s">
        <v>5</v>
      </c>
    </row>
    <row r="178" spans="1:46" x14ac:dyDescent="0.4">
      <c r="A178" s="1" t="s">
        <v>12915</v>
      </c>
      <c r="B178" s="10">
        <v>0</v>
      </c>
      <c r="C178" s="1" t="s">
        <v>93</v>
      </c>
      <c r="D178" s="1" t="s">
        <v>11999</v>
      </c>
      <c r="E178" s="1" t="s">
        <v>2291</v>
      </c>
      <c r="F178" s="1" t="s">
        <v>14</v>
      </c>
      <c r="G178" s="1" t="s">
        <v>1</v>
      </c>
      <c r="H178" s="1" t="s">
        <v>6</v>
      </c>
      <c r="I178" s="1" t="s">
        <v>2</v>
      </c>
      <c r="J178" s="1" t="s">
        <v>3</v>
      </c>
      <c r="K178" s="1" t="s">
        <v>12916</v>
      </c>
      <c r="L178" s="1" t="s">
        <v>7</v>
      </c>
      <c r="M178" s="1"/>
      <c r="N178" s="1" t="s">
        <v>12917</v>
      </c>
      <c r="O178" s="1" t="s">
        <v>3756</v>
      </c>
      <c r="P178" s="1"/>
      <c r="Q178" s="1"/>
      <c r="R178" s="1" t="s">
        <v>11</v>
      </c>
      <c r="S178" s="1"/>
      <c r="T178" s="1"/>
      <c r="U178" s="1"/>
      <c r="V178" s="1"/>
      <c r="W178" s="1" t="s">
        <v>12918</v>
      </c>
      <c r="X178" s="1" t="s">
        <v>10021</v>
      </c>
      <c r="Y178" s="1"/>
      <c r="Z178" s="1"/>
      <c r="AA178" s="1"/>
      <c r="AB178" s="1" t="s">
        <v>12919</v>
      </c>
      <c r="AC178" s="1"/>
      <c r="AD178" s="1"/>
      <c r="AE178" s="1" t="s">
        <v>12920</v>
      </c>
      <c r="AF178" s="1"/>
      <c r="AG178" s="1"/>
      <c r="AH178" s="1" t="s">
        <v>12921</v>
      </c>
      <c r="AI178" s="1"/>
      <c r="AJ178" s="1" t="s">
        <v>5631</v>
      </c>
      <c r="AK178" s="1" t="s">
        <v>5632</v>
      </c>
      <c r="AL178" s="1" t="s">
        <v>5633</v>
      </c>
      <c r="AM178" s="1" t="s">
        <v>5631</v>
      </c>
      <c r="AN178" s="1" t="s">
        <v>5632</v>
      </c>
      <c r="AO178" s="1" t="s">
        <v>5633</v>
      </c>
      <c r="AP178" s="2" t="s">
        <v>12922</v>
      </c>
      <c r="AQ178" s="2" t="s">
        <v>1077</v>
      </c>
      <c r="AR178" s="1" t="s">
        <v>286</v>
      </c>
      <c r="AS178" s="1"/>
      <c r="AT178" s="1" t="s">
        <v>5</v>
      </c>
    </row>
    <row r="179" spans="1:46" x14ac:dyDescent="0.4">
      <c r="A179" s="1" t="s">
        <v>13898</v>
      </c>
      <c r="B179" s="10">
        <v>0</v>
      </c>
      <c r="C179" s="1" t="s">
        <v>93</v>
      </c>
      <c r="D179" s="1" t="s">
        <v>11999</v>
      </c>
      <c r="E179" s="1" t="s">
        <v>2291</v>
      </c>
      <c r="F179" s="1" t="s">
        <v>14</v>
      </c>
      <c r="G179" s="1" t="s">
        <v>1</v>
      </c>
      <c r="H179" s="1" t="s">
        <v>6</v>
      </c>
      <c r="I179" s="1" t="s">
        <v>2</v>
      </c>
      <c r="J179" s="1" t="s">
        <v>3</v>
      </c>
      <c r="K179" s="1" t="s">
        <v>13899</v>
      </c>
      <c r="L179" s="1" t="s">
        <v>7</v>
      </c>
      <c r="M179" s="1"/>
      <c r="N179" s="1" t="s">
        <v>13900</v>
      </c>
      <c r="O179" s="1" t="s">
        <v>3756</v>
      </c>
      <c r="P179" s="1"/>
      <c r="Q179" s="1"/>
      <c r="R179" s="1" t="s">
        <v>11</v>
      </c>
      <c r="S179" s="1"/>
      <c r="T179" s="1"/>
      <c r="U179" s="1"/>
      <c r="V179" s="1"/>
      <c r="W179" s="1"/>
      <c r="X179" s="1" t="s">
        <v>10021</v>
      </c>
      <c r="Y179" s="1"/>
      <c r="Z179" s="1"/>
      <c r="AA179" s="1"/>
      <c r="AB179" s="1" t="s">
        <v>13901</v>
      </c>
      <c r="AC179" s="1"/>
      <c r="AD179" s="1"/>
      <c r="AE179" s="1" t="s">
        <v>12693</v>
      </c>
      <c r="AF179" s="1"/>
      <c r="AG179" s="1"/>
      <c r="AH179" s="1" t="s">
        <v>13902</v>
      </c>
      <c r="AI179" s="1"/>
      <c r="AJ179" s="1" t="s">
        <v>10303</v>
      </c>
      <c r="AK179" s="1" t="s">
        <v>1787</v>
      </c>
      <c r="AL179" s="1" t="s">
        <v>10304</v>
      </c>
      <c r="AM179" s="1" t="s">
        <v>13468</v>
      </c>
      <c r="AN179" s="1" t="s">
        <v>1787</v>
      </c>
      <c r="AO179" s="1" t="s">
        <v>13469</v>
      </c>
      <c r="AP179" s="2" t="s">
        <v>13903</v>
      </c>
      <c r="AQ179" s="2" t="s">
        <v>1155</v>
      </c>
      <c r="AR179" s="1" t="s">
        <v>286</v>
      </c>
      <c r="AS179" s="1" t="s">
        <v>13904</v>
      </c>
      <c r="AT179" s="1" t="s">
        <v>5</v>
      </c>
    </row>
    <row r="180" spans="1:46" hidden="1" x14ac:dyDescent="0.4">
      <c r="A180" s="1" t="s">
        <v>12174</v>
      </c>
      <c r="B180" s="10"/>
      <c r="C180" s="1" t="s">
        <v>0</v>
      </c>
      <c r="D180" s="1" t="s">
        <v>11999</v>
      </c>
      <c r="E180" s="1" t="s">
        <v>2291</v>
      </c>
      <c r="F180" s="1" t="s">
        <v>14</v>
      </c>
      <c r="G180" s="1" t="s">
        <v>1</v>
      </c>
      <c r="H180" s="1" t="s">
        <v>6</v>
      </c>
      <c r="I180" s="1" t="s">
        <v>2</v>
      </c>
      <c r="J180" s="1" t="s">
        <v>3</v>
      </c>
      <c r="K180" s="1" t="s">
        <v>12175</v>
      </c>
      <c r="L180" s="1" t="s">
        <v>7</v>
      </c>
      <c r="M180" s="1" t="s">
        <v>9</v>
      </c>
      <c r="N180" s="1" t="s">
        <v>12176</v>
      </c>
      <c r="O180" s="1" t="s">
        <v>12177</v>
      </c>
      <c r="P180" s="1"/>
      <c r="Q180" s="1"/>
      <c r="R180" s="1" t="s">
        <v>11</v>
      </c>
      <c r="S180" s="1"/>
      <c r="T180" s="1"/>
      <c r="U180" s="1"/>
      <c r="V180" s="1"/>
      <c r="W180" s="1"/>
      <c r="X180" s="1" t="s">
        <v>10021</v>
      </c>
      <c r="Y180" s="1"/>
      <c r="Z180" s="1"/>
      <c r="AA180" s="1"/>
      <c r="AB180" s="1" t="s">
        <v>12178</v>
      </c>
      <c r="AC180" s="1"/>
      <c r="AD180" s="1"/>
      <c r="AE180" s="1" t="s">
        <v>12179</v>
      </c>
      <c r="AF180" s="1"/>
      <c r="AG180" s="1"/>
      <c r="AH180" s="1" t="s">
        <v>12180</v>
      </c>
      <c r="AI180" s="1"/>
      <c r="AJ180" s="1" t="s">
        <v>12181</v>
      </c>
      <c r="AK180" s="1" t="s">
        <v>12182</v>
      </c>
      <c r="AL180" s="1" t="s">
        <v>12183</v>
      </c>
      <c r="AM180" s="1" t="s">
        <v>12181</v>
      </c>
      <c r="AN180" s="1" t="s">
        <v>12182</v>
      </c>
      <c r="AO180" s="1" t="s">
        <v>12183</v>
      </c>
      <c r="AP180" s="2" t="s">
        <v>12184</v>
      </c>
      <c r="AQ180" s="2" t="s">
        <v>1153</v>
      </c>
      <c r="AR180" s="1"/>
      <c r="AS180" s="1"/>
      <c r="AT180" s="1" t="s">
        <v>5</v>
      </c>
    </row>
    <row r="181" spans="1:46" hidden="1" x14ac:dyDescent="0.4">
      <c r="A181" s="1" t="s">
        <v>13304</v>
      </c>
      <c r="B181" s="10"/>
      <c r="C181" s="1" t="s">
        <v>93</v>
      </c>
      <c r="D181" s="1" t="s">
        <v>11999</v>
      </c>
      <c r="E181" s="1" t="s">
        <v>2291</v>
      </c>
      <c r="F181" s="1" t="s">
        <v>14</v>
      </c>
      <c r="G181" s="1" t="s">
        <v>1</v>
      </c>
      <c r="H181" s="1" t="s">
        <v>6</v>
      </c>
      <c r="I181" s="1" t="s">
        <v>2</v>
      </c>
      <c r="J181" s="1" t="s">
        <v>3</v>
      </c>
      <c r="K181" s="1" t="s">
        <v>13305</v>
      </c>
      <c r="L181" s="1" t="s">
        <v>7</v>
      </c>
      <c r="M181" s="1" t="s">
        <v>9</v>
      </c>
      <c r="N181" s="1" t="s">
        <v>13306</v>
      </c>
      <c r="O181" s="1" t="s">
        <v>12060</v>
      </c>
      <c r="P181" s="1"/>
      <c r="Q181" s="1"/>
      <c r="R181" s="1" t="s">
        <v>11</v>
      </c>
      <c r="S181" s="1"/>
      <c r="T181" s="1"/>
      <c r="U181" s="1"/>
      <c r="V181" s="1"/>
      <c r="W181" s="1" t="s">
        <v>12483</v>
      </c>
      <c r="X181" s="1" t="s">
        <v>12135</v>
      </c>
      <c r="Y181" s="1"/>
      <c r="Z181" s="1"/>
      <c r="AA181" s="1"/>
      <c r="AB181" s="1" t="s">
        <v>13307</v>
      </c>
      <c r="AC181" s="1"/>
      <c r="AD181" s="1"/>
      <c r="AE181" s="1" t="s">
        <v>12485</v>
      </c>
      <c r="AF181" s="1"/>
      <c r="AG181" s="1"/>
      <c r="AH181" s="1" t="s">
        <v>13308</v>
      </c>
      <c r="AI181" s="1"/>
      <c r="AJ181" s="1" t="s">
        <v>13309</v>
      </c>
      <c r="AK181" s="1" t="s">
        <v>4273</v>
      </c>
      <c r="AL181" s="1" t="s">
        <v>13310</v>
      </c>
      <c r="AM181" s="1" t="s">
        <v>13309</v>
      </c>
      <c r="AN181" s="1" t="s">
        <v>4273</v>
      </c>
      <c r="AO181" s="1" t="s">
        <v>13310</v>
      </c>
      <c r="AP181" s="2" t="s">
        <v>13311</v>
      </c>
      <c r="AQ181" s="2" t="s">
        <v>1154</v>
      </c>
      <c r="AR181" s="1" t="s">
        <v>286</v>
      </c>
      <c r="AS181" s="1" t="s">
        <v>13312</v>
      </c>
      <c r="AT181" s="1" t="s">
        <v>5</v>
      </c>
    </row>
    <row r="182" spans="1:46" hidden="1" x14ac:dyDescent="0.4">
      <c r="A182" s="1" t="s">
        <v>13454</v>
      </c>
      <c r="B182" s="10"/>
      <c r="C182" s="1" t="s">
        <v>0</v>
      </c>
      <c r="D182" s="1" t="s">
        <v>11999</v>
      </c>
      <c r="E182" s="1" t="s">
        <v>2291</v>
      </c>
      <c r="F182" s="1" t="s">
        <v>14</v>
      </c>
      <c r="G182" s="1" t="s">
        <v>1</v>
      </c>
      <c r="H182" s="1" t="s">
        <v>6</v>
      </c>
      <c r="I182" s="1" t="s">
        <v>2</v>
      </c>
      <c r="J182" s="1" t="s">
        <v>3</v>
      </c>
      <c r="K182" s="1" t="s">
        <v>13455</v>
      </c>
      <c r="L182" s="1" t="s">
        <v>7</v>
      </c>
      <c r="M182" s="1" t="s">
        <v>9</v>
      </c>
      <c r="N182" s="1" t="s">
        <v>13456</v>
      </c>
      <c r="O182" s="1" t="s">
        <v>13457</v>
      </c>
      <c r="P182" s="1"/>
      <c r="Q182" s="1"/>
      <c r="R182" s="1" t="s">
        <v>11</v>
      </c>
      <c r="S182" s="1"/>
      <c r="T182" s="1"/>
      <c r="U182" s="1"/>
      <c r="V182" s="1"/>
      <c r="W182" s="1"/>
      <c r="X182" s="1" t="s">
        <v>12026</v>
      </c>
      <c r="Y182" s="1"/>
      <c r="Z182" s="1"/>
      <c r="AA182" s="1"/>
      <c r="AB182" s="1" t="s">
        <v>13458</v>
      </c>
      <c r="AC182" s="1"/>
      <c r="AD182" s="1"/>
      <c r="AE182" s="1"/>
      <c r="AF182" s="1"/>
      <c r="AG182" s="1"/>
      <c r="AH182" s="1" t="s">
        <v>13459</v>
      </c>
      <c r="AI182" s="1"/>
      <c r="AJ182" s="1" t="s">
        <v>5971</v>
      </c>
      <c r="AK182" s="1" t="s">
        <v>1836</v>
      </c>
      <c r="AL182" s="1"/>
      <c r="AM182" s="1" t="s">
        <v>13460</v>
      </c>
      <c r="AN182" s="1" t="s">
        <v>1839</v>
      </c>
      <c r="AO182" s="1"/>
      <c r="AP182" s="2" t="s">
        <v>13461</v>
      </c>
      <c r="AQ182" s="2" t="s">
        <v>1154</v>
      </c>
      <c r="AR182" s="1" t="s">
        <v>286</v>
      </c>
      <c r="AS182" s="1" t="s">
        <v>8494</v>
      </c>
      <c r="AT182" s="1" t="s">
        <v>5</v>
      </c>
    </row>
    <row r="183" spans="1:46" x14ac:dyDescent="0.4">
      <c r="A183" s="1" t="s">
        <v>13480</v>
      </c>
      <c r="B183" s="10">
        <v>0</v>
      </c>
      <c r="C183" s="1" t="s">
        <v>93</v>
      </c>
      <c r="D183" s="1" t="s">
        <v>11999</v>
      </c>
      <c r="E183" s="1" t="s">
        <v>2291</v>
      </c>
      <c r="F183" s="1" t="s">
        <v>14</v>
      </c>
      <c r="G183" s="1" t="s">
        <v>1</v>
      </c>
      <c r="H183" s="1" t="s">
        <v>6</v>
      </c>
      <c r="I183" s="1" t="s">
        <v>2</v>
      </c>
      <c r="J183" s="1" t="s">
        <v>3</v>
      </c>
      <c r="K183" s="1" t="s">
        <v>13481</v>
      </c>
      <c r="L183" s="1" t="s">
        <v>7</v>
      </c>
      <c r="M183" s="1"/>
      <c r="N183" s="1" t="s">
        <v>13482</v>
      </c>
      <c r="O183" s="1" t="s">
        <v>12177</v>
      </c>
      <c r="P183" s="1"/>
      <c r="Q183" s="1"/>
      <c r="R183" s="1" t="s">
        <v>11</v>
      </c>
      <c r="S183" s="1"/>
      <c r="T183" s="1"/>
      <c r="U183" s="1"/>
      <c r="V183" s="1"/>
      <c r="W183" s="1" t="s">
        <v>13483</v>
      </c>
      <c r="X183" s="1" t="s">
        <v>12017</v>
      </c>
      <c r="Y183" s="1"/>
      <c r="Z183" s="1"/>
      <c r="AA183" s="1"/>
      <c r="AB183" s="1" t="s">
        <v>13484</v>
      </c>
      <c r="AC183" s="1"/>
      <c r="AD183" s="1"/>
      <c r="AE183" s="1" t="s">
        <v>13485</v>
      </c>
      <c r="AF183" s="1"/>
      <c r="AG183" s="1"/>
      <c r="AH183" s="1" t="s">
        <v>13486</v>
      </c>
      <c r="AI183" s="1"/>
      <c r="AJ183" s="1" t="s">
        <v>5935</v>
      </c>
      <c r="AK183" s="1" t="s">
        <v>1787</v>
      </c>
      <c r="AL183" s="1" t="s">
        <v>5936</v>
      </c>
      <c r="AM183" s="1" t="s">
        <v>5935</v>
      </c>
      <c r="AN183" s="1" t="s">
        <v>1787</v>
      </c>
      <c r="AO183" s="1" t="s">
        <v>5936</v>
      </c>
      <c r="AP183" s="2" t="s">
        <v>13487</v>
      </c>
      <c r="AQ183" s="2" t="s">
        <v>1154</v>
      </c>
      <c r="AR183" s="1" t="s">
        <v>286</v>
      </c>
      <c r="AS183" s="1" t="s">
        <v>13488</v>
      </c>
      <c r="AT183" s="1" t="s">
        <v>5</v>
      </c>
    </row>
    <row r="184" spans="1:46" hidden="1" x14ac:dyDescent="0.4">
      <c r="A184" s="1" t="s">
        <v>13211</v>
      </c>
      <c r="B184" s="10"/>
      <c r="C184" s="1" t="s">
        <v>2091</v>
      </c>
      <c r="D184" s="1" t="s">
        <v>11999</v>
      </c>
      <c r="E184" s="1" t="s">
        <v>2291</v>
      </c>
      <c r="F184" s="1" t="s">
        <v>14</v>
      </c>
      <c r="G184" s="1" t="s">
        <v>1</v>
      </c>
      <c r="H184" s="1" t="s">
        <v>6</v>
      </c>
      <c r="I184" s="1" t="s">
        <v>2</v>
      </c>
      <c r="J184" s="1" t="s">
        <v>3</v>
      </c>
      <c r="K184" s="1" t="s">
        <v>13212</v>
      </c>
      <c r="L184" s="1" t="s">
        <v>7</v>
      </c>
      <c r="M184" s="1"/>
      <c r="N184" s="1" t="s">
        <v>13213</v>
      </c>
      <c r="O184" s="1" t="s">
        <v>12009</v>
      </c>
      <c r="P184" s="1"/>
      <c r="Q184" s="1"/>
      <c r="R184" s="1" t="s">
        <v>11</v>
      </c>
      <c r="S184" s="1"/>
      <c r="T184" s="1"/>
      <c r="U184" s="1"/>
      <c r="V184" s="1"/>
      <c r="W184" s="1"/>
      <c r="X184" s="1" t="s">
        <v>12010</v>
      </c>
      <c r="Y184" s="1"/>
      <c r="Z184" s="1"/>
      <c r="AA184" s="1"/>
      <c r="AB184" s="1" t="s">
        <v>13214</v>
      </c>
      <c r="AC184" s="1"/>
      <c r="AD184" s="1"/>
      <c r="AE184" s="1" t="s">
        <v>13215</v>
      </c>
      <c r="AF184" s="1"/>
      <c r="AG184" s="1"/>
      <c r="AH184" s="1" t="s">
        <v>13216</v>
      </c>
      <c r="AI184" s="1"/>
      <c r="AJ184" s="1" t="s">
        <v>4885</v>
      </c>
      <c r="AK184" s="1" t="s">
        <v>4886</v>
      </c>
      <c r="AL184" s="1" t="s">
        <v>4887</v>
      </c>
      <c r="AM184" s="1" t="s">
        <v>13217</v>
      </c>
      <c r="AN184" s="1" t="s">
        <v>4889</v>
      </c>
      <c r="AO184" s="1" t="s">
        <v>13218</v>
      </c>
      <c r="AP184" s="2" t="s">
        <v>13219</v>
      </c>
      <c r="AQ184" s="2" t="s">
        <v>1077</v>
      </c>
      <c r="AR184" s="1" t="s">
        <v>286</v>
      </c>
      <c r="AS184" s="1" t="s">
        <v>13220</v>
      </c>
      <c r="AT184" s="1" t="s">
        <v>5</v>
      </c>
    </row>
    <row r="185" spans="1:46" hidden="1" x14ac:dyDescent="0.4">
      <c r="A185" s="1" t="s">
        <v>13521</v>
      </c>
      <c r="B185" s="10"/>
      <c r="C185" s="1" t="s">
        <v>93</v>
      </c>
      <c r="D185" s="1" t="s">
        <v>11999</v>
      </c>
      <c r="E185" s="1" t="s">
        <v>2291</v>
      </c>
      <c r="F185" s="1" t="s">
        <v>14</v>
      </c>
      <c r="G185" s="1" t="s">
        <v>1</v>
      </c>
      <c r="H185" s="1" t="s">
        <v>6</v>
      </c>
      <c r="I185" s="1" t="s">
        <v>2</v>
      </c>
      <c r="J185" s="1" t="s">
        <v>3</v>
      </c>
      <c r="K185" s="1" t="s">
        <v>13522</v>
      </c>
      <c r="L185" s="1" t="s">
        <v>7</v>
      </c>
      <c r="M185" s="1" t="s">
        <v>9</v>
      </c>
      <c r="N185" s="1" t="s">
        <v>13523</v>
      </c>
      <c r="O185" s="1" t="s">
        <v>13190</v>
      </c>
      <c r="P185" s="1"/>
      <c r="Q185" s="1"/>
      <c r="R185" s="1" t="s">
        <v>11</v>
      </c>
      <c r="S185" s="1"/>
      <c r="T185" s="1"/>
      <c r="U185" s="1"/>
      <c r="V185" s="1"/>
      <c r="W185" s="1" t="s">
        <v>13524</v>
      </c>
      <c r="X185" s="1" t="s">
        <v>10021</v>
      </c>
      <c r="Y185" s="1"/>
      <c r="Z185" s="1"/>
      <c r="AA185" s="1"/>
      <c r="AB185" s="1" t="s">
        <v>13525</v>
      </c>
      <c r="AC185" s="1"/>
      <c r="AD185" s="1"/>
      <c r="AE185" s="1" t="s">
        <v>13526</v>
      </c>
      <c r="AF185" s="1"/>
      <c r="AG185" s="1"/>
      <c r="AH185" s="1" t="s">
        <v>13527</v>
      </c>
      <c r="AI185" s="1"/>
      <c r="AJ185" s="1" t="s">
        <v>13506</v>
      </c>
      <c r="AK185" s="1" t="s">
        <v>1787</v>
      </c>
      <c r="AL185" s="1" t="s">
        <v>13507</v>
      </c>
      <c r="AM185" s="1" t="s">
        <v>13508</v>
      </c>
      <c r="AN185" s="1" t="s">
        <v>1787</v>
      </c>
      <c r="AO185" s="1" t="s">
        <v>13509</v>
      </c>
      <c r="AP185" s="2" t="s">
        <v>13528</v>
      </c>
      <c r="AQ185" s="2" t="s">
        <v>1154</v>
      </c>
      <c r="AR185" s="1" t="s">
        <v>286</v>
      </c>
      <c r="AS185" s="1"/>
      <c r="AT185" s="1" t="s">
        <v>5</v>
      </c>
    </row>
    <row r="186" spans="1:46" hidden="1" x14ac:dyDescent="0.4">
      <c r="A186" s="1" t="s">
        <v>13498</v>
      </c>
      <c r="B186" s="10"/>
      <c r="C186" s="1" t="s">
        <v>93</v>
      </c>
      <c r="D186" s="1" t="s">
        <v>11999</v>
      </c>
      <c r="E186" s="1" t="s">
        <v>2291</v>
      </c>
      <c r="F186" s="1" t="s">
        <v>14</v>
      </c>
      <c r="G186" s="1" t="s">
        <v>1</v>
      </c>
      <c r="H186" s="1" t="s">
        <v>6</v>
      </c>
      <c r="I186" s="1" t="s">
        <v>2</v>
      </c>
      <c r="J186" s="1" t="s">
        <v>3</v>
      </c>
      <c r="K186" s="1" t="s">
        <v>13499</v>
      </c>
      <c r="L186" s="1" t="s">
        <v>7</v>
      </c>
      <c r="M186" s="1"/>
      <c r="N186" s="1" t="s">
        <v>13500</v>
      </c>
      <c r="O186" s="1" t="s">
        <v>13501</v>
      </c>
      <c r="P186" s="1"/>
      <c r="Q186" s="1"/>
      <c r="R186" s="1" t="s">
        <v>11</v>
      </c>
      <c r="S186" s="1"/>
      <c r="T186" s="1"/>
      <c r="U186" s="1"/>
      <c r="V186" s="1"/>
      <c r="W186" s="1" t="s">
        <v>13502</v>
      </c>
      <c r="X186" s="1" t="s">
        <v>12135</v>
      </c>
      <c r="Y186" s="1"/>
      <c r="Z186" s="1"/>
      <c r="AA186" s="1"/>
      <c r="AB186" s="1" t="s">
        <v>13503</v>
      </c>
      <c r="AC186" s="1"/>
      <c r="AD186" s="1"/>
      <c r="AE186" s="1" t="s">
        <v>13504</v>
      </c>
      <c r="AF186" s="1"/>
      <c r="AG186" s="1"/>
      <c r="AH186" s="1" t="s">
        <v>13505</v>
      </c>
      <c r="AI186" s="1"/>
      <c r="AJ186" s="1" t="s">
        <v>13506</v>
      </c>
      <c r="AK186" s="1" t="s">
        <v>1787</v>
      </c>
      <c r="AL186" s="1" t="s">
        <v>13507</v>
      </c>
      <c r="AM186" s="1" t="s">
        <v>13508</v>
      </c>
      <c r="AN186" s="1" t="s">
        <v>1787</v>
      </c>
      <c r="AO186" s="1" t="s">
        <v>13509</v>
      </c>
      <c r="AP186" s="2" t="s">
        <v>13510</v>
      </c>
      <c r="AQ186" s="2" t="s">
        <v>1154</v>
      </c>
      <c r="AR186" s="1" t="s">
        <v>286</v>
      </c>
      <c r="AS186" s="1"/>
      <c r="AT186" s="1" t="s">
        <v>5</v>
      </c>
    </row>
    <row r="187" spans="1:46" hidden="1" x14ac:dyDescent="0.4">
      <c r="A187" s="1" t="s">
        <v>13511</v>
      </c>
      <c r="B187" s="10"/>
      <c r="C187" s="1" t="s">
        <v>93</v>
      </c>
      <c r="D187" s="1" t="s">
        <v>11999</v>
      </c>
      <c r="E187" s="1" t="s">
        <v>2291</v>
      </c>
      <c r="F187" s="1" t="s">
        <v>14</v>
      </c>
      <c r="G187" s="1" t="s">
        <v>1</v>
      </c>
      <c r="H187" s="1" t="s">
        <v>6</v>
      </c>
      <c r="I187" s="1" t="s">
        <v>2</v>
      </c>
      <c r="J187" s="1" t="s">
        <v>3</v>
      </c>
      <c r="K187" s="1" t="s">
        <v>13512</v>
      </c>
      <c r="L187" s="1" t="s">
        <v>7</v>
      </c>
      <c r="M187" s="1" t="s">
        <v>9</v>
      </c>
      <c r="N187" s="1" t="s">
        <v>13513</v>
      </c>
      <c r="O187" s="1" t="s">
        <v>3756</v>
      </c>
      <c r="P187" s="1"/>
      <c r="Q187" s="1"/>
      <c r="R187" s="1" t="s">
        <v>11</v>
      </c>
      <c r="S187" s="1"/>
      <c r="T187" s="1"/>
      <c r="U187" s="1"/>
      <c r="V187" s="1"/>
      <c r="W187" s="1" t="s">
        <v>13514</v>
      </c>
      <c r="X187" s="1" t="s">
        <v>10021</v>
      </c>
      <c r="Y187" s="1"/>
      <c r="Z187" s="1"/>
      <c r="AA187" s="1"/>
      <c r="AB187" s="1" t="s">
        <v>13515</v>
      </c>
      <c r="AC187" s="1"/>
      <c r="AD187" s="1"/>
      <c r="AE187" s="1" t="s">
        <v>13516</v>
      </c>
      <c r="AF187" s="1"/>
      <c r="AG187" s="1"/>
      <c r="AH187" s="1" t="s">
        <v>13517</v>
      </c>
      <c r="AI187" s="1"/>
      <c r="AJ187" s="1" t="s">
        <v>13506</v>
      </c>
      <c r="AK187" s="1" t="s">
        <v>1787</v>
      </c>
      <c r="AL187" s="1" t="s">
        <v>13507</v>
      </c>
      <c r="AM187" s="1" t="s">
        <v>13518</v>
      </c>
      <c r="AN187" s="1" t="s">
        <v>1787</v>
      </c>
      <c r="AO187" s="1" t="s">
        <v>13519</v>
      </c>
      <c r="AP187" s="2" t="s">
        <v>13520</v>
      </c>
      <c r="AQ187" s="2" t="s">
        <v>1154</v>
      </c>
      <c r="AR187" s="1" t="s">
        <v>286</v>
      </c>
      <c r="AS187" s="1"/>
      <c r="AT187" s="1" t="s">
        <v>5</v>
      </c>
    </row>
    <row r="188" spans="1:46" hidden="1" x14ac:dyDescent="0.4">
      <c r="A188" s="1" t="s">
        <v>12498</v>
      </c>
      <c r="B188" s="10"/>
      <c r="C188" s="1" t="s">
        <v>93</v>
      </c>
      <c r="D188" s="1" t="s">
        <v>11999</v>
      </c>
      <c r="E188" s="1" t="s">
        <v>2291</v>
      </c>
      <c r="F188" s="1" t="s">
        <v>14</v>
      </c>
      <c r="G188" s="1" t="s">
        <v>1</v>
      </c>
      <c r="H188" s="1" t="s">
        <v>6</v>
      </c>
      <c r="I188" s="1" t="s">
        <v>2</v>
      </c>
      <c r="J188" s="1" t="s">
        <v>3</v>
      </c>
      <c r="K188" s="1" t="s">
        <v>12499</v>
      </c>
      <c r="L188" s="1" t="s">
        <v>7</v>
      </c>
      <c r="M188" s="1"/>
      <c r="N188" s="1" t="s">
        <v>12500</v>
      </c>
      <c r="O188" s="1" t="s">
        <v>12501</v>
      </c>
      <c r="P188" s="1"/>
      <c r="Q188" s="1"/>
      <c r="R188" s="1" t="s">
        <v>11</v>
      </c>
      <c r="S188" s="1"/>
      <c r="T188" s="1"/>
      <c r="U188" s="1"/>
      <c r="V188" s="1"/>
      <c r="W188" s="1"/>
      <c r="X188" s="1" t="s">
        <v>12026</v>
      </c>
      <c r="Y188" s="1"/>
      <c r="Z188" s="1"/>
      <c r="AA188" s="1"/>
      <c r="AB188" s="1" t="s">
        <v>12502</v>
      </c>
      <c r="AC188" s="1"/>
      <c r="AD188" s="1"/>
      <c r="AE188" s="1" t="s">
        <v>12503</v>
      </c>
      <c r="AF188" s="1"/>
      <c r="AG188" s="1"/>
      <c r="AH188" s="1" t="s">
        <v>12504</v>
      </c>
      <c r="AI188" s="1"/>
      <c r="AJ188" s="1" t="s">
        <v>4272</v>
      </c>
      <c r="AK188" s="1" t="s">
        <v>4273</v>
      </c>
      <c r="AL188" s="1" t="s">
        <v>4274</v>
      </c>
      <c r="AM188" s="1" t="s">
        <v>4272</v>
      </c>
      <c r="AN188" s="1" t="s">
        <v>4273</v>
      </c>
      <c r="AO188" s="1" t="s">
        <v>4274</v>
      </c>
      <c r="AP188" s="2" t="s">
        <v>12505</v>
      </c>
      <c r="AQ188" s="2" t="s">
        <v>1153</v>
      </c>
      <c r="AR188" s="1" t="s">
        <v>287</v>
      </c>
      <c r="AS188" s="1"/>
      <c r="AT188" s="1" t="s">
        <v>5</v>
      </c>
    </row>
    <row r="189" spans="1:46" hidden="1" x14ac:dyDescent="0.4">
      <c r="A189" s="1" t="s">
        <v>12224</v>
      </c>
      <c r="B189" s="10"/>
      <c r="C189" s="1" t="s">
        <v>0</v>
      </c>
      <c r="D189" s="1" t="s">
        <v>11999</v>
      </c>
      <c r="E189" s="1" t="s">
        <v>2291</v>
      </c>
      <c r="F189" s="1" t="s">
        <v>14</v>
      </c>
      <c r="G189" s="1" t="s">
        <v>1</v>
      </c>
      <c r="H189" s="1" t="s">
        <v>6</v>
      </c>
      <c r="I189" s="1" t="s">
        <v>2</v>
      </c>
      <c r="J189" s="1" t="s">
        <v>3</v>
      </c>
      <c r="K189" s="1" t="s">
        <v>12225</v>
      </c>
      <c r="L189" s="1" t="s">
        <v>7</v>
      </c>
      <c r="M189" s="1" t="s">
        <v>9</v>
      </c>
      <c r="N189" s="1" t="s">
        <v>12226</v>
      </c>
      <c r="O189" s="1" t="s">
        <v>12154</v>
      </c>
      <c r="P189" s="1"/>
      <c r="Q189" s="1"/>
      <c r="R189" s="1" t="s">
        <v>11</v>
      </c>
      <c r="S189" s="1"/>
      <c r="T189" s="1"/>
      <c r="U189" s="1"/>
      <c r="V189" s="1"/>
      <c r="W189" s="1" t="s">
        <v>12227</v>
      </c>
      <c r="X189" s="1" t="s">
        <v>12017</v>
      </c>
      <c r="Y189" s="1"/>
      <c r="Z189" s="1"/>
      <c r="AA189" s="1"/>
      <c r="AB189" s="1" t="s">
        <v>12228</v>
      </c>
      <c r="AC189" s="1"/>
      <c r="AD189" s="1"/>
      <c r="AE189" s="1" t="s">
        <v>12229</v>
      </c>
      <c r="AF189" s="1"/>
      <c r="AG189" s="1"/>
      <c r="AH189" s="1" t="s">
        <v>12230</v>
      </c>
      <c r="AI189" s="1"/>
      <c r="AJ189" s="1" t="s">
        <v>74</v>
      </c>
      <c r="AK189" s="1" t="s">
        <v>12231</v>
      </c>
      <c r="AL189" s="1"/>
      <c r="AM189" s="1" t="s">
        <v>12232</v>
      </c>
      <c r="AN189" s="1" t="s">
        <v>12231</v>
      </c>
      <c r="AO189" s="1"/>
      <c r="AP189" s="2" t="s">
        <v>12233</v>
      </c>
      <c r="AQ189" s="2" t="s">
        <v>1153</v>
      </c>
      <c r="AR189" s="1"/>
      <c r="AS189" s="1"/>
      <c r="AT189" s="1" t="s">
        <v>5</v>
      </c>
    </row>
    <row r="190" spans="1:46" hidden="1" x14ac:dyDescent="0.4">
      <c r="A190" s="1" t="s">
        <v>13418</v>
      </c>
      <c r="B190" s="10"/>
      <c r="C190" s="1" t="s">
        <v>2555</v>
      </c>
      <c r="D190" s="1" t="s">
        <v>11999</v>
      </c>
      <c r="E190" s="1" t="s">
        <v>2291</v>
      </c>
      <c r="F190" s="1" t="s">
        <v>14</v>
      </c>
      <c r="G190" s="1" t="s">
        <v>1</v>
      </c>
      <c r="H190" s="1" t="s">
        <v>6</v>
      </c>
      <c r="I190" s="1" t="s">
        <v>2</v>
      </c>
      <c r="J190" s="1" t="s">
        <v>3</v>
      </c>
      <c r="K190" s="1" t="s">
        <v>13419</v>
      </c>
      <c r="L190" s="1" t="s">
        <v>4</v>
      </c>
      <c r="M190" s="1"/>
      <c r="N190" s="1" t="s">
        <v>13420</v>
      </c>
      <c r="O190" s="1" t="s">
        <v>13421</v>
      </c>
      <c r="P190" s="1"/>
      <c r="Q190" s="1"/>
      <c r="R190" s="1" t="s">
        <v>11</v>
      </c>
      <c r="S190" s="1"/>
      <c r="T190" s="1"/>
      <c r="U190" s="1"/>
      <c r="V190" s="1"/>
      <c r="W190" s="1" t="s">
        <v>13422</v>
      </c>
      <c r="X190" s="1" t="s">
        <v>12038</v>
      </c>
      <c r="Y190" s="1"/>
      <c r="Z190" s="1"/>
      <c r="AA190" s="1"/>
      <c r="AB190" s="1" t="s">
        <v>13423</v>
      </c>
      <c r="AC190" s="1"/>
      <c r="AD190" s="1"/>
      <c r="AE190" s="1" t="s">
        <v>13424</v>
      </c>
      <c r="AF190" s="1"/>
      <c r="AG190" s="1"/>
      <c r="AH190" s="1" t="s">
        <v>13425</v>
      </c>
      <c r="AI190" s="1"/>
      <c r="AJ190" s="1" t="s">
        <v>13426</v>
      </c>
      <c r="AK190" s="1" t="s">
        <v>12315</v>
      </c>
      <c r="AL190" s="1" t="s">
        <v>13427</v>
      </c>
      <c r="AM190" s="1" t="s">
        <v>13426</v>
      </c>
      <c r="AN190" s="1" t="s">
        <v>12315</v>
      </c>
      <c r="AO190" s="1" t="s">
        <v>13427</v>
      </c>
      <c r="AP190" s="2" t="s">
        <v>13428</v>
      </c>
      <c r="AQ190" s="2" t="s">
        <v>1154</v>
      </c>
      <c r="AR190" s="1" t="s">
        <v>286</v>
      </c>
      <c r="AS190" s="1" t="s">
        <v>13429</v>
      </c>
      <c r="AT190" s="1" t="s">
        <v>5</v>
      </c>
    </row>
    <row r="191" spans="1:46" hidden="1" x14ac:dyDescent="0.4">
      <c r="A191" s="1" t="s">
        <v>13019</v>
      </c>
      <c r="B191" s="10"/>
      <c r="C191" s="1" t="s">
        <v>0</v>
      </c>
      <c r="D191" s="1" t="s">
        <v>11999</v>
      </c>
      <c r="E191" s="1" t="s">
        <v>2291</v>
      </c>
      <c r="F191" s="1" t="s">
        <v>14</v>
      </c>
      <c r="G191" s="1" t="s">
        <v>1</v>
      </c>
      <c r="H191" s="1" t="s">
        <v>6</v>
      </c>
      <c r="I191" s="1" t="s">
        <v>2</v>
      </c>
      <c r="J191" s="1" t="s">
        <v>3</v>
      </c>
      <c r="K191" s="1" t="s">
        <v>13020</v>
      </c>
      <c r="L191" s="1" t="s">
        <v>7</v>
      </c>
      <c r="M191" s="1" t="s">
        <v>9</v>
      </c>
      <c r="N191" s="1" t="s">
        <v>13021</v>
      </c>
      <c r="O191" s="1" t="s">
        <v>12493</v>
      </c>
      <c r="P191" s="1"/>
      <c r="Q191" s="1"/>
      <c r="R191" s="1" t="s">
        <v>11</v>
      </c>
      <c r="S191" s="1"/>
      <c r="T191" s="1"/>
      <c r="U191" s="1"/>
      <c r="V191" s="1"/>
      <c r="W191" s="1" t="s">
        <v>13022</v>
      </c>
      <c r="X191" s="1" t="s">
        <v>12026</v>
      </c>
      <c r="Y191" s="1"/>
      <c r="Z191" s="1"/>
      <c r="AA191" s="1"/>
      <c r="AB191" s="1" t="s">
        <v>13023</v>
      </c>
      <c r="AC191" s="1"/>
      <c r="AD191" s="1"/>
      <c r="AE191" s="1" t="s">
        <v>13024</v>
      </c>
      <c r="AF191" s="1"/>
      <c r="AG191" s="1"/>
      <c r="AH191" s="1" t="s">
        <v>13025</v>
      </c>
      <c r="AI191" s="1"/>
      <c r="AJ191" s="1" t="s">
        <v>6411</v>
      </c>
      <c r="AK191" s="1" t="s">
        <v>6412</v>
      </c>
      <c r="AL191" s="1" t="s">
        <v>6413</v>
      </c>
      <c r="AM191" s="1" t="s">
        <v>13010</v>
      </c>
      <c r="AN191" s="1" t="s">
        <v>6412</v>
      </c>
      <c r="AO191" s="1" t="s">
        <v>13011</v>
      </c>
      <c r="AP191" s="2" t="s">
        <v>13026</v>
      </c>
      <c r="AQ191" s="2" t="s">
        <v>1077</v>
      </c>
      <c r="AR191" s="1" t="s">
        <v>287</v>
      </c>
      <c r="AS191" s="1" t="s">
        <v>13027</v>
      </c>
      <c r="AT191" s="1" t="s">
        <v>5</v>
      </c>
    </row>
    <row r="192" spans="1:46" hidden="1" x14ac:dyDescent="0.4">
      <c r="A192" s="1" t="s">
        <v>14063</v>
      </c>
      <c r="B192" s="10"/>
      <c r="C192" s="1" t="s">
        <v>93</v>
      </c>
      <c r="D192" s="1" t="s">
        <v>11999</v>
      </c>
      <c r="E192" s="1" t="s">
        <v>2291</v>
      </c>
      <c r="F192" s="1" t="s">
        <v>14</v>
      </c>
      <c r="G192" s="1" t="s">
        <v>1</v>
      </c>
      <c r="H192" s="1" t="s">
        <v>6</v>
      </c>
      <c r="I192" s="1" t="s">
        <v>2</v>
      </c>
      <c r="J192" s="1" t="s">
        <v>3</v>
      </c>
      <c r="K192" s="1" t="s">
        <v>14064</v>
      </c>
      <c r="L192" s="1" t="s">
        <v>7</v>
      </c>
      <c r="M192" s="1"/>
      <c r="N192" s="1" t="s">
        <v>14065</v>
      </c>
      <c r="O192" s="1" t="s">
        <v>14066</v>
      </c>
      <c r="P192" s="1"/>
      <c r="Q192" s="1"/>
      <c r="R192" s="1" t="s">
        <v>11</v>
      </c>
      <c r="S192" s="1"/>
      <c r="T192" s="1"/>
      <c r="U192" s="1"/>
      <c r="V192" s="1"/>
      <c r="W192" s="1" t="s">
        <v>14067</v>
      </c>
      <c r="X192" s="1" t="s">
        <v>10021</v>
      </c>
      <c r="Y192" s="1"/>
      <c r="Z192" s="1"/>
      <c r="AA192" s="1"/>
      <c r="AB192" s="1" t="s">
        <v>14068</v>
      </c>
      <c r="AC192" s="1"/>
      <c r="AD192" s="1"/>
      <c r="AE192" s="1" t="s">
        <v>14069</v>
      </c>
      <c r="AF192" s="1"/>
      <c r="AG192" s="1"/>
      <c r="AH192" s="1" t="s">
        <v>14070</v>
      </c>
      <c r="AI192" s="1"/>
      <c r="AJ192" s="1" t="s">
        <v>127</v>
      </c>
      <c r="AK192" s="1" t="s">
        <v>1787</v>
      </c>
      <c r="AL192" s="1" t="s">
        <v>10472</v>
      </c>
      <c r="AM192" s="1" t="s">
        <v>127</v>
      </c>
      <c r="AN192" s="1" t="s">
        <v>1787</v>
      </c>
      <c r="AO192" s="1" t="s">
        <v>10472</v>
      </c>
      <c r="AP192" s="2" t="s">
        <v>14071</v>
      </c>
      <c r="AQ192" s="2" t="s">
        <v>1155</v>
      </c>
      <c r="AR192" s="1" t="s">
        <v>286</v>
      </c>
      <c r="AS192" s="1" t="s">
        <v>1017</v>
      </c>
      <c r="AT192" s="1" t="s">
        <v>5</v>
      </c>
    </row>
    <row r="193" spans="1:46" hidden="1" x14ac:dyDescent="0.4">
      <c r="A193" s="1" t="s">
        <v>13529</v>
      </c>
      <c r="B193" s="10"/>
      <c r="C193" s="1" t="s">
        <v>93</v>
      </c>
      <c r="D193" s="1" t="s">
        <v>11999</v>
      </c>
      <c r="E193" s="1" t="s">
        <v>2291</v>
      </c>
      <c r="F193" s="1" t="s">
        <v>14</v>
      </c>
      <c r="G193" s="1" t="s">
        <v>1</v>
      </c>
      <c r="H193" s="1" t="s">
        <v>6</v>
      </c>
      <c r="I193" s="1" t="s">
        <v>2</v>
      </c>
      <c r="J193" s="1" t="s">
        <v>3</v>
      </c>
      <c r="K193" s="1" t="s">
        <v>13530</v>
      </c>
      <c r="L193" s="1" t="s">
        <v>7</v>
      </c>
      <c r="M193" s="1"/>
      <c r="N193" s="1" t="s">
        <v>13531</v>
      </c>
      <c r="O193" s="1" t="s">
        <v>13532</v>
      </c>
      <c r="P193" s="1"/>
      <c r="Q193" s="1"/>
      <c r="R193" s="1" t="s">
        <v>11</v>
      </c>
      <c r="S193" s="1"/>
      <c r="T193" s="1"/>
      <c r="U193" s="1"/>
      <c r="V193" s="1"/>
      <c r="W193" s="1"/>
      <c r="X193" s="1" t="s">
        <v>10021</v>
      </c>
      <c r="Y193" s="1"/>
      <c r="Z193" s="1"/>
      <c r="AA193" s="1"/>
      <c r="AB193" s="1" t="s">
        <v>13533</v>
      </c>
      <c r="AC193" s="1"/>
      <c r="AD193" s="1"/>
      <c r="AE193" s="1" t="s">
        <v>13534</v>
      </c>
      <c r="AF193" s="1"/>
      <c r="AG193" s="1"/>
      <c r="AH193" s="1" t="s">
        <v>13535</v>
      </c>
      <c r="AI193" s="1"/>
      <c r="AJ193" s="1" t="s">
        <v>8216</v>
      </c>
      <c r="AK193" s="1" t="s">
        <v>6931</v>
      </c>
      <c r="AL193" s="1" t="s">
        <v>8217</v>
      </c>
      <c r="AM193" s="1" t="s">
        <v>8216</v>
      </c>
      <c r="AN193" s="1" t="s">
        <v>6931</v>
      </c>
      <c r="AO193" s="1" t="s">
        <v>8217</v>
      </c>
      <c r="AP193" s="2" t="s">
        <v>13536</v>
      </c>
      <c r="AQ193" s="2" t="s">
        <v>1154</v>
      </c>
      <c r="AR193" s="1" t="s">
        <v>286</v>
      </c>
      <c r="AS193" s="1" t="s">
        <v>13537</v>
      </c>
      <c r="AT193" s="1" t="s">
        <v>5</v>
      </c>
    </row>
    <row r="194" spans="1:46" hidden="1" x14ac:dyDescent="0.4">
      <c r="A194" s="1" t="s">
        <v>14167</v>
      </c>
      <c r="B194" s="10"/>
      <c r="C194" s="1" t="s">
        <v>93</v>
      </c>
      <c r="D194" s="1" t="s">
        <v>11999</v>
      </c>
      <c r="E194" s="1" t="s">
        <v>2291</v>
      </c>
      <c r="F194" s="1" t="s">
        <v>14</v>
      </c>
      <c r="G194" s="1" t="s">
        <v>1</v>
      </c>
      <c r="H194" s="1" t="s">
        <v>6</v>
      </c>
      <c r="I194" s="1" t="s">
        <v>2</v>
      </c>
      <c r="J194" s="1" t="s">
        <v>3</v>
      </c>
      <c r="K194" s="1" t="s">
        <v>14168</v>
      </c>
      <c r="L194" s="1" t="s">
        <v>7</v>
      </c>
      <c r="M194" s="1"/>
      <c r="N194" s="1" t="s">
        <v>14169</v>
      </c>
      <c r="O194" s="1" t="s">
        <v>13190</v>
      </c>
      <c r="P194" s="1"/>
      <c r="Q194" s="1"/>
      <c r="R194" s="1" t="s">
        <v>11</v>
      </c>
      <c r="S194" s="1"/>
      <c r="T194" s="1"/>
      <c r="U194" s="1"/>
      <c r="V194" s="1"/>
      <c r="W194" s="1" t="s">
        <v>12995</v>
      </c>
      <c r="X194" s="1" t="s">
        <v>10021</v>
      </c>
      <c r="Y194" s="1"/>
      <c r="Z194" s="1"/>
      <c r="AA194" s="1"/>
      <c r="AB194" s="1" t="s">
        <v>14170</v>
      </c>
      <c r="AC194" s="1"/>
      <c r="AD194" s="1"/>
      <c r="AE194" s="1" t="s">
        <v>14171</v>
      </c>
      <c r="AF194" s="1"/>
      <c r="AG194" s="1"/>
      <c r="AH194" s="1" t="s">
        <v>14172</v>
      </c>
      <c r="AI194" s="1"/>
      <c r="AJ194" s="1" t="s">
        <v>10826</v>
      </c>
      <c r="AK194" s="1" t="s">
        <v>1787</v>
      </c>
      <c r="AL194" s="1" t="s">
        <v>10827</v>
      </c>
      <c r="AM194" s="1" t="s">
        <v>10826</v>
      </c>
      <c r="AN194" s="1" t="s">
        <v>1787</v>
      </c>
      <c r="AO194" s="1" t="s">
        <v>10827</v>
      </c>
      <c r="AP194" s="2" t="s">
        <v>14173</v>
      </c>
      <c r="AQ194" s="2" t="s">
        <v>1155</v>
      </c>
      <c r="AR194" s="1" t="s">
        <v>286</v>
      </c>
      <c r="AS194" s="1" t="s">
        <v>1068</v>
      </c>
      <c r="AT194" s="1" t="s">
        <v>5</v>
      </c>
    </row>
    <row r="195" spans="1:46" hidden="1" x14ac:dyDescent="0.4">
      <c r="A195" s="1" t="s">
        <v>13556</v>
      </c>
      <c r="B195" s="10"/>
      <c r="C195" s="1" t="s">
        <v>92</v>
      </c>
      <c r="D195" s="1" t="s">
        <v>11999</v>
      </c>
      <c r="E195" s="1" t="s">
        <v>2291</v>
      </c>
      <c r="F195" s="1" t="s">
        <v>14</v>
      </c>
      <c r="G195" s="1" t="s">
        <v>1</v>
      </c>
      <c r="H195" s="1" t="s">
        <v>6</v>
      </c>
      <c r="I195" s="1" t="s">
        <v>2</v>
      </c>
      <c r="J195" s="1" t="s">
        <v>3</v>
      </c>
      <c r="K195" s="1" t="s">
        <v>13557</v>
      </c>
      <c r="L195" s="1" t="s">
        <v>7</v>
      </c>
      <c r="M195" s="1" t="s">
        <v>9</v>
      </c>
      <c r="N195" s="1" t="s">
        <v>13558</v>
      </c>
      <c r="O195" s="1" t="s">
        <v>13559</v>
      </c>
      <c r="P195" s="1"/>
      <c r="Q195" s="1"/>
      <c r="R195" s="1" t="s">
        <v>11</v>
      </c>
      <c r="S195" s="1"/>
      <c r="T195" s="1"/>
      <c r="U195" s="1"/>
      <c r="V195" s="1"/>
      <c r="W195" s="1" t="s">
        <v>13560</v>
      </c>
      <c r="X195" s="1" t="s">
        <v>10021</v>
      </c>
      <c r="Y195" s="1"/>
      <c r="Z195" s="1"/>
      <c r="AA195" s="1"/>
      <c r="AB195" s="1" t="s">
        <v>13561</v>
      </c>
      <c r="AC195" s="1"/>
      <c r="AD195" s="1"/>
      <c r="AE195" s="1" t="s">
        <v>13562</v>
      </c>
      <c r="AF195" s="1"/>
      <c r="AG195" s="1"/>
      <c r="AH195" s="1" t="s">
        <v>13563</v>
      </c>
      <c r="AI195" s="1"/>
      <c r="AJ195" s="1" t="s">
        <v>13564</v>
      </c>
      <c r="AK195" s="1" t="s">
        <v>13565</v>
      </c>
      <c r="AL195" s="1" t="s">
        <v>13566</v>
      </c>
      <c r="AM195" s="1" t="s">
        <v>13567</v>
      </c>
      <c r="AN195" s="1" t="s">
        <v>13565</v>
      </c>
      <c r="AO195" s="1" t="s">
        <v>13568</v>
      </c>
      <c r="AP195" s="2" t="s">
        <v>13569</v>
      </c>
      <c r="AQ195" s="2" t="s">
        <v>1154</v>
      </c>
      <c r="AR195" s="1" t="s">
        <v>286</v>
      </c>
      <c r="AS195" s="1"/>
      <c r="AT195" s="1" t="s">
        <v>5</v>
      </c>
    </row>
    <row r="196" spans="1:46" hidden="1" x14ac:dyDescent="0.4">
      <c r="A196" s="7" t="s">
        <v>11998</v>
      </c>
      <c r="B196" s="10">
        <v>0</v>
      </c>
      <c r="C196" s="1" t="s">
        <v>0</v>
      </c>
      <c r="D196" s="1" t="s">
        <v>11999</v>
      </c>
      <c r="E196" s="1" t="s">
        <v>2291</v>
      </c>
      <c r="F196" s="1" t="s">
        <v>14</v>
      </c>
      <c r="G196" s="1" t="s">
        <v>1</v>
      </c>
      <c r="H196" s="1" t="s">
        <v>6</v>
      </c>
      <c r="I196" s="1" t="s">
        <v>2</v>
      </c>
      <c r="J196" s="1" t="s">
        <v>3</v>
      </c>
      <c r="K196" s="1" t="s">
        <v>12000</v>
      </c>
      <c r="L196" s="1" t="s">
        <v>7</v>
      </c>
      <c r="M196" s="1" t="s">
        <v>9</v>
      </c>
      <c r="N196" s="1" t="s">
        <v>12001</v>
      </c>
      <c r="O196" s="1" t="s">
        <v>12002</v>
      </c>
      <c r="P196" s="1"/>
      <c r="Q196" s="1"/>
      <c r="R196" s="1" t="s">
        <v>11</v>
      </c>
      <c r="S196" s="1"/>
      <c r="T196" s="1"/>
      <c r="U196" s="1"/>
      <c r="V196" s="1"/>
      <c r="W196" s="1"/>
      <c r="X196" s="1" t="s">
        <v>10021</v>
      </c>
      <c r="Y196" s="1"/>
      <c r="Z196" s="1"/>
      <c r="AA196" s="1"/>
      <c r="AB196" s="1"/>
      <c r="AC196" s="1"/>
      <c r="AD196" s="1"/>
      <c r="AE196" s="6" t="s">
        <v>12003</v>
      </c>
      <c r="AF196" s="1"/>
      <c r="AG196" s="1"/>
      <c r="AH196" s="1" t="s">
        <v>12004</v>
      </c>
      <c r="AI196" s="1"/>
      <c r="AJ196" s="1"/>
      <c r="AK196" s="1"/>
      <c r="AL196" s="1"/>
      <c r="AM196" s="1"/>
      <c r="AN196" s="1"/>
      <c r="AO196" s="1"/>
      <c r="AP196" s="2" t="s">
        <v>12005</v>
      </c>
      <c r="AQ196" s="2" t="s">
        <v>1155</v>
      </c>
      <c r="AR196" s="1"/>
      <c r="AS196" s="1"/>
      <c r="AT196" s="1" t="s">
        <v>5</v>
      </c>
    </row>
    <row r="197" spans="1:46" hidden="1" x14ac:dyDescent="0.4">
      <c r="A197" s="7" t="s">
        <v>12006</v>
      </c>
      <c r="B197" s="10">
        <v>0</v>
      </c>
      <c r="C197" s="1" t="s">
        <v>0</v>
      </c>
      <c r="D197" s="1" t="s">
        <v>11999</v>
      </c>
      <c r="E197" s="1" t="s">
        <v>2291</v>
      </c>
      <c r="F197" s="1" t="s">
        <v>14</v>
      </c>
      <c r="G197" s="1" t="s">
        <v>1</v>
      </c>
      <c r="H197" s="1" t="s">
        <v>6</v>
      </c>
      <c r="I197" s="1" t="s">
        <v>2</v>
      </c>
      <c r="J197" s="1" t="s">
        <v>3</v>
      </c>
      <c r="K197" s="1" t="s">
        <v>12007</v>
      </c>
      <c r="L197" s="1" t="s">
        <v>7</v>
      </c>
      <c r="M197" s="1" t="s">
        <v>9</v>
      </c>
      <c r="N197" s="1" t="s">
        <v>12008</v>
      </c>
      <c r="O197" s="1" t="s">
        <v>12009</v>
      </c>
      <c r="P197" s="1"/>
      <c r="Q197" s="1"/>
      <c r="R197" s="1" t="s">
        <v>11</v>
      </c>
      <c r="S197" s="1"/>
      <c r="T197" s="1"/>
      <c r="U197" s="1"/>
      <c r="V197" s="1"/>
      <c r="W197" s="1"/>
      <c r="X197" s="1" t="s">
        <v>12010</v>
      </c>
      <c r="Y197" s="1"/>
      <c r="Z197" s="1"/>
      <c r="AA197" s="1"/>
      <c r="AB197" s="1"/>
      <c r="AC197" s="1"/>
      <c r="AD197" s="1"/>
      <c r="AE197" s="6" t="s">
        <v>12011</v>
      </c>
      <c r="AF197" s="1"/>
      <c r="AG197" s="1"/>
      <c r="AH197" s="1" t="s">
        <v>12012</v>
      </c>
      <c r="AI197" s="1"/>
      <c r="AJ197" s="1"/>
      <c r="AK197" s="1"/>
      <c r="AL197" s="1"/>
      <c r="AM197" s="1"/>
      <c r="AN197" s="1"/>
      <c r="AO197" s="1"/>
      <c r="AP197" s="2" t="s">
        <v>12013</v>
      </c>
      <c r="AQ197" s="2" t="s">
        <v>1153</v>
      </c>
      <c r="AR197" s="1"/>
      <c r="AS197" s="1"/>
      <c r="AT197" s="1" t="s">
        <v>10</v>
      </c>
    </row>
    <row r="198" spans="1:46" hidden="1" x14ac:dyDescent="0.4">
      <c r="A198" s="7" t="s">
        <v>12014</v>
      </c>
      <c r="B198" s="10">
        <v>0</v>
      </c>
      <c r="C198" s="1" t="s">
        <v>0</v>
      </c>
      <c r="D198" s="1" t="s">
        <v>11999</v>
      </c>
      <c r="E198" s="1" t="s">
        <v>2291</v>
      </c>
      <c r="F198" s="1" t="s">
        <v>14</v>
      </c>
      <c r="G198" s="1" t="s">
        <v>1</v>
      </c>
      <c r="H198" s="1" t="s">
        <v>6</v>
      </c>
      <c r="I198" s="1" t="s">
        <v>2</v>
      </c>
      <c r="J198" s="1" t="s">
        <v>3</v>
      </c>
      <c r="K198" s="1" t="s">
        <v>12015</v>
      </c>
      <c r="L198" s="1" t="s">
        <v>7</v>
      </c>
      <c r="M198" s="1" t="s">
        <v>9</v>
      </c>
      <c r="N198" s="1" t="s">
        <v>12016</v>
      </c>
      <c r="O198" s="1" t="s">
        <v>9747</v>
      </c>
      <c r="P198" s="1"/>
      <c r="Q198" s="1"/>
      <c r="R198" s="1" t="s">
        <v>11</v>
      </c>
      <c r="S198" s="1"/>
      <c r="T198" s="1"/>
      <c r="U198" s="1"/>
      <c r="V198" s="1"/>
      <c r="W198" s="1"/>
      <c r="X198" s="1" t="s">
        <v>12017</v>
      </c>
      <c r="Y198" s="1"/>
      <c r="Z198" s="1"/>
      <c r="AA198" s="1"/>
      <c r="AB198" s="1"/>
      <c r="AC198" s="1"/>
      <c r="AD198" s="1"/>
      <c r="AE198" s="6" t="s">
        <v>12018</v>
      </c>
      <c r="AF198" s="1"/>
      <c r="AG198" s="1"/>
      <c r="AH198" s="1" t="s">
        <v>12019</v>
      </c>
      <c r="AI198" s="1"/>
      <c r="AJ198" s="1" t="s">
        <v>1194</v>
      </c>
      <c r="AK198" s="1" t="s">
        <v>12020</v>
      </c>
      <c r="AL198" s="1" t="s">
        <v>1195</v>
      </c>
      <c r="AM198" s="1"/>
      <c r="AN198" s="1"/>
      <c r="AO198" s="1"/>
      <c r="AP198" s="2" t="s">
        <v>12021</v>
      </c>
      <c r="AQ198" s="2" t="s">
        <v>1155</v>
      </c>
      <c r="AR198" s="1"/>
      <c r="AS198" s="1"/>
      <c r="AT198" s="1" t="s">
        <v>10</v>
      </c>
    </row>
    <row r="199" spans="1:46" hidden="1" x14ac:dyDescent="0.4">
      <c r="A199" s="7" t="s">
        <v>12022</v>
      </c>
      <c r="B199" s="10">
        <v>0</v>
      </c>
      <c r="C199" s="1" t="s">
        <v>0</v>
      </c>
      <c r="D199" s="1" t="s">
        <v>11999</v>
      </c>
      <c r="E199" s="1" t="s">
        <v>2291</v>
      </c>
      <c r="F199" s="1" t="s">
        <v>14</v>
      </c>
      <c r="G199" s="1" t="s">
        <v>1</v>
      </c>
      <c r="H199" s="1" t="s">
        <v>6</v>
      </c>
      <c r="I199" s="1" t="s">
        <v>2</v>
      </c>
      <c r="J199" s="1" t="s">
        <v>3</v>
      </c>
      <c r="K199" s="1" t="s">
        <v>12023</v>
      </c>
      <c r="L199" s="1" t="s">
        <v>7</v>
      </c>
      <c r="M199" s="1" t="s">
        <v>9</v>
      </c>
      <c r="N199" s="1" t="s">
        <v>12024</v>
      </c>
      <c r="O199" s="1" t="s">
        <v>12025</v>
      </c>
      <c r="P199" s="1"/>
      <c r="Q199" s="1"/>
      <c r="R199" s="1" t="s">
        <v>11</v>
      </c>
      <c r="S199" s="1"/>
      <c r="T199" s="1"/>
      <c r="U199" s="1"/>
      <c r="V199" s="1"/>
      <c r="W199" s="1"/>
      <c r="X199" s="1" t="s">
        <v>12026</v>
      </c>
      <c r="Y199" s="1"/>
      <c r="Z199" s="1"/>
      <c r="AA199" s="1"/>
      <c r="AB199" s="1"/>
      <c r="AC199" s="1"/>
      <c r="AD199" s="1"/>
      <c r="AE199" s="6" t="s">
        <v>12027</v>
      </c>
      <c r="AF199" s="1"/>
      <c r="AG199" s="1"/>
      <c r="AH199" s="1" t="s">
        <v>12028</v>
      </c>
      <c r="AI199" s="1"/>
      <c r="AJ199" s="1" t="s">
        <v>5374</v>
      </c>
      <c r="AK199" s="1" t="s">
        <v>12029</v>
      </c>
      <c r="AL199" s="1" t="s">
        <v>12030</v>
      </c>
      <c r="AM199" s="1" t="s">
        <v>12031</v>
      </c>
      <c r="AN199" s="1" t="s">
        <v>12032</v>
      </c>
      <c r="AO199" s="1"/>
      <c r="AP199" s="2" t="s">
        <v>12033</v>
      </c>
      <c r="AQ199" s="2" t="s">
        <v>1153</v>
      </c>
      <c r="AR199" s="1"/>
      <c r="AS199" s="1"/>
      <c r="AT199" s="1" t="s">
        <v>5</v>
      </c>
    </row>
    <row r="200" spans="1:46" hidden="1" x14ac:dyDescent="0.4">
      <c r="A200" s="7" t="s">
        <v>12034</v>
      </c>
      <c r="B200" s="10">
        <v>0</v>
      </c>
      <c r="C200" s="1" t="s">
        <v>0</v>
      </c>
      <c r="D200" s="1" t="s">
        <v>11999</v>
      </c>
      <c r="E200" s="1" t="s">
        <v>2291</v>
      </c>
      <c r="F200" s="1" t="s">
        <v>14</v>
      </c>
      <c r="G200" s="1" t="s">
        <v>1</v>
      </c>
      <c r="H200" s="1" t="s">
        <v>6</v>
      </c>
      <c r="I200" s="1" t="s">
        <v>2</v>
      </c>
      <c r="J200" s="1" t="s">
        <v>3</v>
      </c>
      <c r="K200" s="1" t="s">
        <v>12035</v>
      </c>
      <c r="L200" s="1" t="s">
        <v>7</v>
      </c>
      <c r="M200" s="1" t="s">
        <v>8</v>
      </c>
      <c r="N200" s="1" t="s">
        <v>12036</v>
      </c>
      <c r="O200" s="1" t="s">
        <v>12037</v>
      </c>
      <c r="P200" s="1"/>
      <c r="Q200" s="1"/>
      <c r="R200" s="1" t="s">
        <v>11</v>
      </c>
      <c r="S200" s="1"/>
      <c r="T200" s="1"/>
      <c r="U200" s="1"/>
      <c r="V200" s="1"/>
      <c r="W200" s="1"/>
      <c r="X200" s="1" t="s">
        <v>12038</v>
      </c>
      <c r="Y200" s="1"/>
      <c r="Z200" s="1"/>
      <c r="AA200" s="1"/>
      <c r="AB200" s="1"/>
      <c r="AC200" s="1"/>
      <c r="AD200" s="1"/>
      <c r="AE200" s="6" t="s">
        <v>12039</v>
      </c>
      <c r="AF200" s="1"/>
      <c r="AG200" s="1"/>
      <c r="AH200" s="1" t="s">
        <v>12040</v>
      </c>
      <c r="AI200" s="1"/>
      <c r="AJ200" s="1" t="s">
        <v>12041</v>
      </c>
      <c r="AK200" s="1" t="s">
        <v>12029</v>
      </c>
      <c r="AL200" s="1"/>
      <c r="AM200" s="1" t="s">
        <v>12042</v>
      </c>
      <c r="AN200" s="1" t="s">
        <v>12029</v>
      </c>
      <c r="AO200" s="1"/>
      <c r="AP200" s="2" t="s">
        <v>12043</v>
      </c>
      <c r="AQ200" s="2" t="s">
        <v>1153</v>
      </c>
      <c r="AR200" s="1"/>
      <c r="AS200" s="1"/>
      <c r="AT200" s="1" t="s">
        <v>5</v>
      </c>
    </row>
    <row r="201" spans="1:46" hidden="1" x14ac:dyDescent="0.4">
      <c r="A201" s="7" t="s">
        <v>12057</v>
      </c>
      <c r="B201" s="10">
        <v>0</v>
      </c>
      <c r="C201" s="1" t="s">
        <v>0</v>
      </c>
      <c r="D201" s="1" t="s">
        <v>11999</v>
      </c>
      <c r="E201" s="1" t="s">
        <v>2291</v>
      </c>
      <c r="F201" s="1" t="s">
        <v>14</v>
      </c>
      <c r="G201" s="1" t="s">
        <v>1</v>
      </c>
      <c r="H201" s="1" t="s">
        <v>6</v>
      </c>
      <c r="I201" s="1" t="s">
        <v>2</v>
      </c>
      <c r="J201" s="1" t="s">
        <v>3</v>
      </c>
      <c r="K201" s="1" t="s">
        <v>12058</v>
      </c>
      <c r="L201" s="1" t="s">
        <v>7</v>
      </c>
      <c r="M201" s="1" t="s">
        <v>9</v>
      </c>
      <c r="N201" s="1" t="s">
        <v>12059</v>
      </c>
      <c r="O201" s="1" t="s">
        <v>12060</v>
      </c>
      <c r="P201" s="1"/>
      <c r="Q201" s="1"/>
      <c r="R201" s="1" t="s">
        <v>11</v>
      </c>
      <c r="S201" s="1"/>
      <c r="T201" s="1"/>
      <c r="U201" s="1"/>
      <c r="V201" s="1"/>
      <c r="W201" s="1" t="s">
        <v>12061</v>
      </c>
      <c r="X201" s="1" t="s">
        <v>12062</v>
      </c>
      <c r="Y201" s="1"/>
      <c r="Z201" s="1"/>
      <c r="AA201" s="1"/>
      <c r="AB201" s="1"/>
      <c r="AC201" s="1"/>
      <c r="AD201" s="1"/>
      <c r="AE201" s="6" t="s">
        <v>12063</v>
      </c>
      <c r="AF201" s="1"/>
      <c r="AG201" s="1"/>
      <c r="AH201" s="1" t="s">
        <v>12064</v>
      </c>
      <c r="AI201" s="1"/>
      <c r="AJ201" s="1"/>
      <c r="AK201" s="1"/>
      <c r="AL201" s="1"/>
      <c r="AM201" s="1"/>
      <c r="AN201" s="1"/>
      <c r="AO201" s="1"/>
      <c r="AP201" s="2" t="s">
        <v>12065</v>
      </c>
      <c r="AQ201" s="2" t="s">
        <v>1154</v>
      </c>
      <c r="AR201" s="1"/>
      <c r="AS201" s="1"/>
      <c r="AT201" s="1" t="s">
        <v>5</v>
      </c>
    </row>
    <row r="202" spans="1:46" hidden="1" x14ac:dyDescent="0.4">
      <c r="A202" s="7" t="s">
        <v>12066</v>
      </c>
      <c r="B202" s="10">
        <v>0</v>
      </c>
      <c r="C202" s="1" t="s">
        <v>0</v>
      </c>
      <c r="D202" s="1" t="s">
        <v>11999</v>
      </c>
      <c r="E202" s="1" t="s">
        <v>2291</v>
      </c>
      <c r="F202" s="1" t="s">
        <v>14</v>
      </c>
      <c r="G202" s="1" t="s">
        <v>1</v>
      </c>
      <c r="H202" s="1" t="s">
        <v>6</v>
      </c>
      <c r="I202" s="1" t="s">
        <v>2</v>
      </c>
      <c r="J202" s="1" t="s">
        <v>3</v>
      </c>
      <c r="K202" s="1" t="s">
        <v>12067</v>
      </c>
      <c r="L202" s="1" t="s">
        <v>7</v>
      </c>
      <c r="M202" s="1"/>
      <c r="N202" s="1" t="s">
        <v>12068</v>
      </c>
      <c r="O202" s="1" t="s">
        <v>12069</v>
      </c>
      <c r="P202" s="1"/>
      <c r="Q202" s="1"/>
      <c r="R202" s="1" t="s">
        <v>11</v>
      </c>
      <c r="S202" s="1"/>
      <c r="T202" s="1"/>
      <c r="U202" s="1"/>
      <c r="V202" s="1"/>
      <c r="W202" s="1" t="s">
        <v>12070</v>
      </c>
      <c r="X202" s="1" t="s">
        <v>10021</v>
      </c>
      <c r="Y202" s="1"/>
      <c r="Z202" s="1"/>
      <c r="AA202" s="1"/>
      <c r="AB202" s="1"/>
      <c r="AC202" s="1"/>
      <c r="AD202" s="1"/>
      <c r="AE202" s="6" t="s">
        <v>12071</v>
      </c>
      <c r="AF202" s="1"/>
      <c r="AG202" s="1"/>
      <c r="AH202" s="1" t="s">
        <v>12072</v>
      </c>
      <c r="AI202" s="1"/>
      <c r="AJ202" s="1"/>
      <c r="AK202" s="1"/>
      <c r="AL202" s="1"/>
      <c r="AM202" s="1"/>
      <c r="AN202" s="1"/>
      <c r="AO202" s="1"/>
      <c r="AP202" s="2" t="s">
        <v>12073</v>
      </c>
      <c r="AQ202" s="2" t="s">
        <v>1077</v>
      </c>
      <c r="AR202" s="1"/>
      <c r="AS202" s="1"/>
      <c r="AT202" s="1" t="s">
        <v>5</v>
      </c>
    </row>
    <row r="203" spans="1:46" hidden="1" x14ac:dyDescent="0.4">
      <c r="A203" s="7" t="s">
        <v>12074</v>
      </c>
      <c r="B203" s="10">
        <v>0</v>
      </c>
      <c r="C203" s="1" t="s">
        <v>0</v>
      </c>
      <c r="D203" s="1" t="s">
        <v>11999</v>
      </c>
      <c r="E203" s="1" t="s">
        <v>2291</v>
      </c>
      <c r="F203" s="1" t="s">
        <v>14</v>
      </c>
      <c r="G203" s="1" t="s">
        <v>1</v>
      </c>
      <c r="H203" s="1" t="s">
        <v>6</v>
      </c>
      <c r="I203" s="1" t="s">
        <v>2</v>
      </c>
      <c r="J203" s="1" t="s">
        <v>3</v>
      </c>
      <c r="K203" s="1" t="s">
        <v>12075</v>
      </c>
      <c r="L203" s="1" t="s">
        <v>7</v>
      </c>
      <c r="M203" s="1"/>
      <c r="N203" s="1" t="s">
        <v>12076</v>
      </c>
      <c r="O203" s="1" t="s">
        <v>12077</v>
      </c>
      <c r="P203" s="1"/>
      <c r="Q203" s="1" t="s">
        <v>12</v>
      </c>
      <c r="R203" s="1" t="s">
        <v>11</v>
      </c>
      <c r="S203" s="1"/>
      <c r="T203" s="1" t="s">
        <v>12</v>
      </c>
      <c r="U203" s="1" t="s">
        <v>11</v>
      </c>
      <c r="V203" s="1"/>
      <c r="W203" s="1" t="s">
        <v>12078</v>
      </c>
      <c r="X203" s="1" t="s">
        <v>12038</v>
      </c>
      <c r="Y203" s="1"/>
      <c r="Z203" s="1"/>
      <c r="AA203" s="1"/>
      <c r="AB203" s="1"/>
      <c r="AC203" s="1"/>
      <c r="AD203" s="1"/>
      <c r="AE203" s="6" t="s">
        <v>12079</v>
      </c>
      <c r="AF203" s="1"/>
      <c r="AG203" s="1"/>
      <c r="AH203" s="1" t="s">
        <v>12080</v>
      </c>
      <c r="AI203" s="1"/>
      <c r="AJ203" s="1"/>
      <c r="AK203" s="1"/>
      <c r="AL203" s="1"/>
      <c r="AM203" s="1"/>
      <c r="AN203" s="1"/>
      <c r="AO203" s="1"/>
      <c r="AP203" s="2" t="s">
        <v>12081</v>
      </c>
      <c r="AQ203" s="2" t="s">
        <v>1155</v>
      </c>
      <c r="AR203" s="1"/>
      <c r="AS203" s="1"/>
      <c r="AT203" s="1" t="s">
        <v>5</v>
      </c>
    </row>
    <row r="204" spans="1:46" hidden="1" x14ac:dyDescent="0.4">
      <c r="A204" s="7" t="s">
        <v>12092</v>
      </c>
      <c r="B204" s="10">
        <v>0</v>
      </c>
      <c r="C204" s="1" t="s">
        <v>0</v>
      </c>
      <c r="D204" s="1" t="s">
        <v>11999</v>
      </c>
      <c r="E204" s="1" t="s">
        <v>2291</v>
      </c>
      <c r="F204" s="1" t="s">
        <v>14</v>
      </c>
      <c r="G204" s="1" t="s">
        <v>1</v>
      </c>
      <c r="H204" s="1" t="s">
        <v>6</v>
      </c>
      <c r="I204" s="1" t="s">
        <v>2</v>
      </c>
      <c r="J204" s="1" t="s">
        <v>3</v>
      </c>
      <c r="K204" s="1" t="s">
        <v>12093</v>
      </c>
      <c r="L204" s="1" t="s">
        <v>7</v>
      </c>
      <c r="M204" s="1" t="s">
        <v>9</v>
      </c>
      <c r="N204" s="1" t="s">
        <v>12094</v>
      </c>
      <c r="O204" s="1" t="s">
        <v>12060</v>
      </c>
      <c r="P204" s="1"/>
      <c r="Q204" s="1"/>
      <c r="R204" s="1" t="s">
        <v>11</v>
      </c>
      <c r="S204" s="1"/>
      <c r="T204" s="1"/>
      <c r="U204" s="1"/>
      <c r="V204" s="1"/>
      <c r="W204" s="1" t="s">
        <v>12095</v>
      </c>
      <c r="X204" s="1" t="s">
        <v>12026</v>
      </c>
      <c r="Y204" s="1"/>
      <c r="Z204" s="1"/>
      <c r="AA204" s="1"/>
      <c r="AB204" s="1"/>
      <c r="AC204" s="1"/>
      <c r="AD204" s="1"/>
      <c r="AE204" s="6" t="s">
        <v>12096</v>
      </c>
      <c r="AF204" s="1"/>
      <c r="AG204" s="1"/>
      <c r="AH204" s="1" t="s">
        <v>12097</v>
      </c>
      <c r="AI204" s="1"/>
      <c r="AJ204" s="1" t="s">
        <v>1214</v>
      </c>
      <c r="AK204" s="1" t="s">
        <v>1246</v>
      </c>
      <c r="AL204" s="1"/>
      <c r="AM204" s="1" t="s">
        <v>12098</v>
      </c>
      <c r="AN204" s="1" t="s">
        <v>1246</v>
      </c>
      <c r="AO204" s="1"/>
      <c r="AP204" s="2" t="s">
        <v>12099</v>
      </c>
      <c r="AQ204" s="2" t="s">
        <v>1153</v>
      </c>
      <c r="AR204" s="1"/>
      <c r="AS204" s="1"/>
      <c r="AT204" s="1" t="s">
        <v>5</v>
      </c>
    </row>
    <row r="205" spans="1:46" hidden="1" x14ac:dyDescent="0.4">
      <c r="A205" s="7" t="s">
        <v>12100</v>
      </c>
      <c r="B205" s="10">
        <v>0</v>
      </c>
      <c r="C205" s="1" t="s">
        <v>0</v>
      </c>
      <c r="D205" s="1" t="s">
        <v>11999</v>
      </c>
      <c r="E205" s="1" t="s">
        <v>2291</v>
      </c>
      <c r="F205" s="1" t="s">
        <v>14</v>
      </c>
      <c r="G205" s="1" t="s">
        <v>1</v>
      </c>
      <c r="H205" s="1" t="s">
        <v>6</v>
      </c>
      <c r="I205" s="1" t="s">
        <v>2</v>
      </c>
      <c r="J205" s="1" t="s">
        <v>3</v>
      </c>
      <c r="K205" s="1" t="s">
        <v>12101</v>
      </c>
      <c r="L205" s="1" t="s">
        <v>7</v>
      </c>
      <c r="M205" s="1" t="s">
        <v>8</v>
      </c>
      <c r="N205" s="1" t="s">
        <v>12102</v>
      </c>
      <c r="O205" s="1" t="s">
        <v>12103</v>
      </c>
      <c r="P205" s="1"/>
      <c r="Q205" s="1"/>
      <c r="R205" s="1" t="s">
        <v>11</v>
      </c>
      <c r="S205" s="1"/>
      <c r="T205" s="1"/>
      <c r="U205" s="1"/>
      <c r="V205" s="1"/>
      <c r="W205" s="1"/>
      <c r="X205" s="1" t="s">
        <v>10021</v>
      </c>
      <c r="Y205" s="1"/>
      <c r="Z205" s="1"/>
      <c r="AA205" s="1"/>
      <c r="AB205" s="1"/>
      <c r="AC205" s="1"/>
      <c r="AD205" s="1"/>
      <c r="AE205" s="6" t="s">
        <v>12104</v>
      </c>
      <c r="AF205" s="1"/>
      <c r="AG205" s="1"/>
      <c r="AH205" s="1" t="s">
        <v>12105</v>
      </c>
      <c r="AI205" s="1"/>
      <c r="AJ205" s="1" t="s">
        <v>12106</v>
      </c>
      <c r="AK205" s="1" t="s">
        <v>12107</v>
      </c>
      <c r="AL205" s="1" t="s">
        <v>12108</v>
      </c>
      <c r="AM205" s="1" t="s">
        <v>12109</v>
      </c>
      <c r="AN205" s="1" t="s">
        <v>12107</v>
      </c>
      <c r="AO205" s="1" t="s">
        <v>12110</v>
      </c>
      <c r="AP205" s="2" t="s">
        <v>12111</v>
      </c>
      <c r="AQ205" s="2" t="s">
        <v>1153</v>
      </c>
      <c r="AR205" s="1"/>
      <c r="AS205" s="1"/>
      <c r="AT205" s="1" t="s">
        <v>5</v>
      </c>
    </row>
    <row r="206" spans="1:46" hidden="1" x14ac:dyDescent="0.4">
      <c r="A206" s="7" t="s">
        <v>12151</v>
      </c>
      <c r="B206" s="10">
        <v>0</v>
      </c>
      <c r="C206" s="1" t="s">
        <v>0</v>
      </c>
      <c r="D206" s="1" t="s">
        <v>11999</v>
      </c>
      <c r="E206" s="1" t="s">
        <v>2291</v>
      </c>
      <c r="F206" s="1" t="s">
        <v>14</v>
      </c>
      <c r="G206" s="1" t="s">
        <v>1</v>
      </c>
      <c r="H206" s="1" t="s">
        <v>6</v>
      </c>
      <c r="I206" s="1" t="s">
        <v>2</v>
      </c>
      <c r="J206" s="1" t="s">
        <v>3</v>
      </c>
      <c r="K206" s="1" t="s">
        <v>12152</v>
      </c>
      <c r="L206" s="1" t="s">
        <v>7</v>
      </c>
      <c r="M206" s="1" t="s">
        <v>9</v>
      </c>
      <c r="N206" s="1" t="s">
        <v>12153</v>
      </c>
      <c r="O206" s="1" t="s">
        <v>12154</v>
      </c>
      <c r="P206" s="1"/>
      <c r="Q206" s="1"/>
      <c r="R206" s="1" t="s">
        <v>11</v>
      </c>
      <c r="S206" s="1"/>
      <c r="T206" s="1"/>
      <c r="U206" s="1"/>
      <c r="V206" s="1"/>
      <c r="W206" s="1" t="s">
        <v>12155</v>
      </c>
      <c r="X206" s="1" t="s">
        <v>10021</v>
      </c>
      <c r="Y206" s="1"/>
      <c r="Z206" s="1"/>
      <c r="AA206" s="1"/>
      <c r="AB206" s="1"/>
      <c r="AC206" s="1"/>
      <c r="AD206" s="1"/>
      <c r="AE206" s="6" t="s">
        <v>12156</v>
      </c>
      <c r="AF206" s="1"/>
      <c r="AG206" s="1"/>
      <c r="AH206" s="1" t="s">
        <v>12157</v>
      </c>
      <c r="AI206" s="1" t="s">
        <v>12158</v>
      </c>
      <c r="AJ206" s="1" t="s">
        <v>5332</v>
      </c>
      <c r="AK206" s="1" t="s">
        <v>12159</v>
      </c>
      <c r="AL206" s="1"/>
      <c r="AM206" s="1" t="s">
        <v>12160</v>
      </c>
      <c r="AN206" s="1" t="s">
        <v>10455</v>
      </c>
      <c r="AO206" s="1" t="s">
        <v>12161</v>
      </c>
      <c r="AP206" s="2" t="s">
        <v>12162</v>
      </c>
      <c r="AQ206" s="2" t="s">
        <v>1154</v>
      </c>
      <c r="AR206" s="1"/>
      <c r="AS206" s="1"/>
      <c r="AT206" s="1" t="s">
        <v>5</v>
      </c>
    </row>
    <row r="207" spans="1:46" hidden="1" x14ac:dyDescent="0.4">
      <c r="A207" s="7" t="s">
        <v>12163</v>
      </c>
      <c r="B207" s="11"/>
      <c r="C207" s="1" t="s">
        <v>2494</v>
      </c>
      <c r="D207" s="1" t="s">
        <v>11999</v>
      </c>
      <c r="E207" s="1" t="s">
        <v>2291</v>
      </c>
      <c r="F207" s="1" t="s">
        <v>14</v>
      </c>
      <c r="G207" s="1" t="s">
        <v>1</v>
      </c>
      <c r="H207" s="1" t="s">
        <v>6</v>
      </c>
      <c r="I207" s="1" t="s">
        <v>2</v>
      </c>
      <c r="J207" s="1" t="s">
        <v>2492</v>
      </c>
      <c r="K207" s="1" t="s">
        <v>12164</v>
      </c>
      <c r="L207" s="1" t="s">
        <v>7</v>
      </c>
      <c r="M207" s="1" t="s">
        <v>9</v>
      </c>
      <c r="N207" s="1" t="s">
        <v>12165</v>
      </c>
      <c r="O207" s="1" t="s">
        <v>9747</v>
      </c>
      <c r="P207" s="1"/>
      <c r="Q207" s="1"/>
      <c r="R207" s="1" t="s">
        <v>11</v>
      </c>
      <c r="S207" s="1"/>
      <c r="T207" s="1"/>
      <c r="U207" s="1"/>
      <c r="V207" s="1"/>
      <c r="W207" s="1" t="s">
        <v>12166</v>
      </c>
      <c r="X207" s="1" t="s">
        <v>10021</v>
      </c>
      <c r="Y207" s="1"/>
      <c r="Z207" s="1"/>
      <c r="AA207" s="1"/>
      <c r="AB207" s="1"/>
      <c r="AC207" s="1"/>
      <c r="AD207" s="1"/>
      <c r="AE207" s="6" t="s">
        <v>12167</v>
      </c>
      <c r="AF207" s="1"/>
      <c r="AG207" s="1"/>
      <c r="AH207" s="1" t="s">
        <v>12168</v>
      </c>
      <c r="AI207" s="1"/>
      <c r="AJ207" s="1" t="s">
        <v>12169</v>
      </c>
      <c r="AK207" s="1" t="s">
        <v>12170</v>
      </c>
      <c r="AL207" s="1" t="s">
        <v>12171</v>
      </c>
      <c r="AM207" s="1" t="s">
        <v>12172</v>
      </c>
      <c r="AN207" s="1" t="s">
        <v>12170</v>
      </c>
      <c r="AO207" s="1"/>
      <c r="AP207" s="2" t="s">
        <v>12173</v>
      </c>
      <c r="AQ207" s="2" t="s">
        <v>1154</v>
      </c>
      <c r="AR207" s="1"/>
      <c r="AS207" s="1"/>
      <c r="AT207" s="1" t="s">
        <v>5</v>
      </c>
    </row>
    <row r="208" spans="1:46" hidden="1" x14ac:dyDescent="0.4">
      <c r="A208" s="7" t="s">
        <v>12215</v>
      </c>
      <c r="B208" s="11"/>
      <c r="C208" s="1" t="s">
        <v>0</v>
      </c>
      <c r="D208" s="1" t="s">
        <v>11999</v>
      </c>
      <c r="E208" s="1" t="s">
        <v>2291</v>
      </c>
      <c r="F208" s="1" t="s">
        <v>14</v>
      </c>
      <c r="G208" s="1" t="s">
        <v>1</v>
      </c>
      <c r="H208" s="1" t="s">
        <v>6</v>
      </c>
      <c r="I208" s="1" t="s">
        <v>2</v>
      </c>
      <c r="J208" s="1" t="s">
        <v>3</v>
      </c>
      <c r="K208" s="1" t="s">
        <v>12216</v>
      </c>
      <c r="L208" s="1" t="s">
        <v>7</v>
      </c>
      <c r="M208" s="1" t="s">
        <v>9</v>
      </c>
      <c r="N208" s="1" t="s">
        <v>12217</v>
      </c>
      <c r="O208" s="1" t="s">
        <v>12009</v>
      </c>
      <c r="P208" s="1"/>
      <c r="Q208" s="1"/>
      <c r="R208" s="1" t="s">
        <v>11</v>
      </c>
      <c r="S208" s="1"/>
      <c r="T208" s="1"/>
      <c r="U208" s="1"/>
      <c r="V208" s="1"/>
      <c r="W208" s="1"/>
      <c r="X208" s="1" t="s">
        <v>12026</v>
      </c>
      <c r="Y208" s="1"/>
      <c r="Z208" s="1"/>
      <c r="AA208" s="1"/>
      <c r="AB208" s="1"/>
      <c r="AC208" s="1"/>
      <c r="AD208" s="1"/>
      <c r="AE208" s="6" t="s">
        <v>12218</v>
      </c>
      <c r="AF208" s="1"/>
      <c r="AG208" s="1"/>
      <c r="AH208" s="1" t="s">
        <v>12219</v>
      </c>
      <c r="AI208" s="1"/>
      <c r="AJ208" s="1" t="s">
        <v>12220</v>
      </c>
      <c r="AK208" s="1" t="s">
        <v>97</v>
      </c>
      <c r="AL208" s="1" t="s">
        <v>12221</v>
      </c>
      <c r="AM208" s="1" t="s">
        <v>1601</v>
      </c>
      <c r="AN208" s="1" t="s">
        <v>97</v>
      </c>
      <c r="AO208" s="1" t="s">
        <v>12222</v>
      </c>
      <c r="AP208" s="2" t="s">
        <v>12223</v>
      </c>
      <c r="AQ208" s="2" t="s">
        <v>1153</v>
      </c>
      <c r="AR208" s="1"/>
      <c r="AS208" s="1"/>
      <c r="AT208" s="1" t="s">
        <v>5</v>
      </c>
    </row>
    <row r="209" spans="1:46" hidden="1" x14ac:dyDescent="0.4">
      <c r="A209" s="7" t="s">
        <v>12234</v>
      </c>
      <c r="B209" s="11"/>
      <c r="C209" s="1" t="s">
        <v>0</v>
      </c>
      <c r="D209" s="1" t="s">
        <v>11999</v>
      </c>
      <c r="E209" s="1" t="s">
        <v>2291</v>
      </c>
      <c r="F209" s="1" t="s">
        <v>14</v>
      </c>
      <c r="G209" s="1" t="s">
        <v>1</v>
      </c>
      <c r="H209" s="1" t="s">
        <v>6</v>
      </c>
      <c r="I209" s="1" t="s">
        <v>2</v>
      </c>
      <c r="J209" s="1" t="s">
        <v>3</v>
      </c>
      <c r="K209" s="1" t="s">
        <v>12235</v>
      </c>
      <c r="L209" s="1" t="s">
        <v>7</v>
      </c>
      <c r="M209" s="1" t="s">
        <v>8</v>
      </c>
      <c r="N209" s="1" t="s">
        <v>12236</v>
      </c>
      <c r="O209" s="1" t="s">
        <v>12237</v>
      </c>
      <c r="P209" s="1"/>
      <c r="Q209" s="1"/>
      <c r="R209" s="1" t="s">
        <v>11</v>
      </c>
      <c r="S209" s="1"/>
      <c r="T209" s="1"/>
      <c r="U209" s="1"/>
      <c r="V209" s="1"/>
      <c r="W209" s="1" t="s">
        <v>12238</v>
      </c>
      <c r="X209" s="1" t="s">
        <v>12038</v>
      </c>
      <c r="Y209" s="1"/>
      <c r="Z209" s="1"/>
      <c r="AA209" s="1"/>
      <c r="AB209" s="1"/>
      <c r="AC209" s="1"/>
      <c r="AD209" s="1"/>
      <c r="AE209" s="6" t="s">
        <v>12239</v>
      </c>
      <c r="AF209" s="1"/>
      <c r="AG209" s="1"/>
      <c r="AH209" s="1" t="s">
        <v>12240</v>
      </c>
      <c r="AI209" s="1" t="s">
        <v>12241</v>
      </c>
      <c r="AJ209" s="1" t="s">
        <v>12242</v>
      </c>
      <c r="AK209" s="1" t="s">
        <v>12243</v>
      </c>
      <c r="AL209" s="1"/>
      <c r="AM209" s="1" t="s">
        <v>12244</v>
      </c>
      <c r="AN209" s="1" t="s">
        <v>12243</v>
      </c>
      <c r="AO209" s="1" t="s">
        <v>12245</v>
      </c>
      <c r="AP209" s="2" t="s">
        <v>12246</v>
      </c>
      <c r="AQ209" s="2" t="s">
        <v>1077</v>
      </c>
      <c r="AR209" s="1"/>
      <c r="AS209" s="1"/>
      <c r="AT209" s="1" t="s">
        <v>5</v>
      </c>
    </row>
    <row r="210" spans="1:46" hidden="1" x14ac:dyDescent="0.4">
      <c r="A210" s="7" t="s">
        <v>12373</v>
      </c>
      <c r="B210" s="11"/>
      <c r="C210" s="1" t="s">
        <v>3513</v>
      </c>
      <c r="D210" s="1" t="s">
        <v>11999</v>
      </c>
      <c r="E210" s="1" t="s">
        <v>2291</v>
      </c>
      <c r="F210" s="1" t="s">
        <v>14</v>
      </c>
      <c r="G210" s="1" t="s">
        <v>1</v>
      </c>
      <c r="H210" s="1" t="s">
        <v>6</v>
      </c>
      <c r="I210" s="1" t="s">
        <v>2</v>
      </c>
      <c r="J210" s="1" t="s">
        <v>3514</v>
      </c>
      <c r="K210" s="1" t="s">
        <v>12374</v>
      </c>
      <c r="L210" s="1" t="s">
        <v>7</v>
      </c>
      <c r="M210" s="1"/>
      <c r="N210" s="1" t="s">
        <v>12375</v>
      </c>
      <c r="O210" s="1" t="s">
        <v>12376</v>
      </c>
      <c r="P210" s="1" t="s">
        <v>12377</v>
      </c>
      <c r="Q210" s="1"/>
      <c r="R210" s="1" t="s">
        <v>11</v>
      </c>
      <c r="S210" s="1"/>
      <c r="T210" s="1"/>
      <c r="U210" s="1"/>
      <c r="V210" s="1"/>
      <c r="W210" s="1" t="s">
        <v>12378</v>
      </c>
      <c r="X210" s="1" t="s">
        <v>10021</v>
      </c>
      <c r="Y210" s="1"/>
      <c r="Z210" s="1"/>
      <c r="AA210" s="1"/>
      <c r="AB210" s="1"/>
      <c r="AC210" s="1"/>
      <c r="AD210" s="1"/>
      <c r="AE210" s="6" t="s">
        <v>12379</v>
      </c>
      <c r="AF210" s="1"/>
      <c r="AG210" s="1"/>
      <c r="AH210" s="1" t="s">
        <v>12380</v>
      </c>
      <c r="AI210" s="1"/>
      <c r="AJ210" s="1" t="s">
        <v>12362</v>
      </c>
      <c r="AK210" s="1" t="s">
        <v>12363</v>
      </c>
      <c r="AL210" s="1" t="s">
        <v>12364</v>
      </c>
      <c r="AM210" s="1" t="s">
        <v>12362</v>
      </c>
      <c r="AN210" s="1" t="s">
        <v>12363</v>
      </c>
      <c r="AO210" s="1" t="s">
        <v>12364</v>
      </c>
      <c r="AP210" s="2" t="s">
        <v>12381</v>
      </c>
      <c r="AQ210" s="2" t="s">
        <v>1153</v>
      </c>
      <c r="AR210" s="1" t="s">
        <v>287</v>
      </c>
      <c r="AS210" s="1"/>
      <c r="AT210" s="1" t="s">
        <v>5</v>
      </c>
    </row>
    <row r="211" spans="1:46" hidden="1" x14ac:dyDescent="0.4">
      <c r="A211" s="7" t="s">
        <v>12392</v>
      </c>
      <c r="B211" s="11"/>
      <c r="C211" s="1" t="s">
        <v>0</v>
      </c>
      <c r="D211" s="1" t="s">
        <v>11999</v>
      </c>
      <c r="E211" s="1" t="s">
        <v>2291</v>
      </c>
      <c r="F211" s="1" t="s">
        <v>14</v>
      </c>
      <c r="G211" s="1" t="s">
        <v>1</v>
      </c>
      <c r="H211" s="1" t="s">
        <v>6</v>
      </c>
      <c r="I211" s="1" t="s">
        <v>2</v>
      </c>
      <c r="J211" s="1" t="s">
        <v>3</v>
      </c>
      <c r="K211" s="1" t="s">
        <v>12393</v>
      </c>
      <c r="L211" s="1" t="s">
        <v>7</v>
      </c>
      <c r="M211" s="1" t="s">
        <v>9</v>
      </c>
      <c r="N211" s="1" t="s">
        <v>12394</v>
      </c>
      <c r="O211" s="1" t="s">
        <v>12395</v>
      </c>
      <c r="P211" s="1"/>
      <c r="Q211" s="1"/>
      <c r="R211" s="1" t="s">
        <v>11</v>
      </c>
      <c r="S211" s="1"/>
      <c r="T211" s="1"/>
      <c r="U211" s="1"/>
      <c r="V211" s="1"/>
      <c r="W211" s="1"/>
      <c r="X211" s="1" t="s">
        <v>12026</v>
      </c>
      <c r="Y211" s="1"/>
      <c r="Z211" s="1"/>
      <c r="AA211" s="1"/>
      <c r="AB211" s="1"/>
      <c r="AC211" s="1"/>
      <c r="AD211" s="1"/>
      <c r="AE211" s="6" t="s">
        <v>12396</v>
      </c>
      <c r="AF211" s="1"/>
      <c r="AG211" s="1"/>
      <c r="AH211" s="1" t="s">
        <v>12397</v>
      </c>
      <c r="AI211" s="1"/>
      <c r="AJ211" s="1" t="s">
        <v>12398</v>
      </c>
      <c r="AK211" s="1" t="s">
        <v>12399</v>
      </c>
      <c r="AL211" s="1"/>
      <c r="AM211" s="1" t="s">
        <v>12400</v>
      </c>
      <c r="AN211" s="1" t="s">
        <v>12399</v>
      </c>
      <c r="AO211" s="1"/>
      <c r="AP211" s="2" t="s">
        <v>12401</v>
      </c>
      <c r="AQ211" s="2" t="s">
        <v>1153</v>
      </c>
      <c r="AR211" s="1" t="s">
        <v>287</v>
      </c>
      <c r="AS211" s="1"/>
      <c r="AT211" s="1" t="s">
        <v>5</v>
      </c>
    </row>
    <row r="212" spans="1:46" hidden="1" x14ac:dyDescent="0.4">
      <c r="A212" s="7" t="s">
        <v>12402</v>
      </c>
      <c r="B212" s="11"/>
      <c r="C212" s="1" t="s">
        <v>0</v>
      </c>
      <c r="D212" s="1" t="s">
        <v>11999</v>
      </c>
      <c r="E212" s="1" t="s">
        <v>2291</v>
      </c>
      <c r="F212" s="1" t="s">
        <v>14</v>
      </c>
      <c r="G212" s="1" t="s">
        <v>1</v>
      </c>
      <c r="H212" s="1" t="s">
        <v>6</v>
      </c>
      <c r="I212" s="1" t="s">
        <v>2</v>
      </c>
      <c r="J212" s="1" t="s">
        <v>3</v>
      </c>
      <c r="K212" s="1" t="s">
        <v>12403</v>
      </c>
      <c r="L212" s="1" t="s">
        <v>7</v>
      </c>
      <c r="M212" s="1" t="s">
        <v>8</v>
      </c>
      <c r="N212" s="1" t="s">
        <v>12404</v>
      </c>
      <c r="O212" s="1" t="s">
        <v>12405</v>
      </c>
      <c r="P212" s="1"/>
      <c r="Q212" s="1"/>
      <c r="R212" s="1" t="s">
        <v>11</v>
      </c>
      <c r="S212" s="1"/>
      <c r="T212" s="1"/>
      <c r="U212" s="1"/>
      <c r="V212" s="1"/>
      <c r="W212" s="1" t="s">
        <v>12406</v>
      </c>
      <c r="X212" s="1" t="s">
        <v>12038</v>
      </c>
      <c r="Y212" s="1"/>
      <c r="Z212" s="1"/>
      <c r="AA212" s="1"/>
      <c r="AB212" s="1"/>
      <c r="AC212" s="1"/>
      <c r="AD212" s="1"/>
      <c r="AE212" s="6" t="s">
        <v>12407</v>
      </c>
      <c r="AF212" s="1"/>
      <c r="AG212" s="1"/>
      <c r="AH212" s="1" t="s">
        <v>12408</v>
      </c>
      <c r="AI212" s="1"/>
      <c r="AJ212" s="1" t="s">
        <v>81</v>
      </c>
      <c r="AK212" s="1" t="s">
        <v>279</v>
      </c>
      <c r="AL212" s="1"/>
      <c r="AM212" s="1" t="s">
        <v>12409</v>
      </c>
      <c r="AN212" s="1" t="s">
        <v>279</v>
      </c>
      <c r="AO212" s="1" t="s">
        <v>12410</v>
      </c>
      <c r="AP212" s="2" t="s">
        <v>12411</v>
      </c>
      <c r="AQ212" s="2" t="s">
        <v>1153</v>
      </c>
      <c r="AR212" s="1" t="s">
        <v>287</v>
      </c>
      <c r="AS212" s="1"/>
      <c r="AT212" s="1" t="s">
        <v>5</v>
      </c>
    </row>
    <row r="213" spans="1:46" hidden="1" x14ac:dyDescent="0.4">
      <c r="A213" s="7" t="s">
        <v>12412</v>
      </c>
      <c r="B213" s="11"/>
      <c r="C213" s="1" t="s">
        <v>0</v>
      </c>
      <c r="D213" s="1" t="s">
        <v>11999</v>
      </c>
      <c r="E213" s="1" t="s">
        <v>2291</v>
      </c>
      <c r="F213" s="1" t="s">
        <v>14</v>
      </c>
      <c r="G213" s="1" t="s">
        <v>1</v>
      </c>
      <c r="H213" s="1" t="s">
        <v>6</v>
      </c>
      <c r="I213" s="1" t="s">
        <v>2</v>
      </c>
      <c r="J213" s="1" t="s">
        <v>3</v>
      </c>
      <c r="K213" s="1" t="s">
        <v>12413</v>
      </c>
      <c r="L213" s="1" t="s">
        <v>7</v>
      </c>
      <c r="M213" s="1" t="s">
        <v>9</v>
      </c>
      <c r="N213" s="1" t="s">
        <v>12414</v>
      </c>
      <c r="O213" s="1" t="s">
        <v>12405</v>
      </c>
      <c r="P213" s="1"/>
      <c r="Q213" s="1"/>
      <c r="R213" s="1" t="s">
        <v>11</v>
      </c>
      <c r="S213" s="1"/>
      <c r="T213" s="1"/>
      <c r="U213" s="1"/>
      <c r="V213" s="1"/>
      <c r="W213" s="1" t="s">
        <v>12406</v>
      </c>
      <c r="X213" s="1" t="s">
        <v>12038</v>
      </c>
      <c r="Y213" s="1"/>
      <c r="Z213" s="1"/>
      <c r="AA213" s="1"/>
      <c r="AB213" s="1"/>
      <c r="AC213" s="1"/>
      <c r="AD213" s="1"/>
      <c r="AE213" s="6" t="s">
        <v>12407</v>
      </c>
      <c r="AF213" s="1"/>
      <c r="AG213" s="1"/>
      <c r="AH213" s="1" t="s">
        <v>12415</v>
      </c>
      <c r="AI213" s="1"/>
      <c r="AJ213" s="1" t="s">
        <v>81</v>
      </c>
      <c r="AK213" s="1" t="s">
        <v>279</v>
      </c>
      <c r="AL213" s="1"/>
      <c r="AM213" s="1" t="s">
        <v>12409</v>
      </c>
      <c r="AN213" s="1" t="s">
        <v>279</v>
      </c>
      <c r="AO213" s="1" t="s">
        <v>12410</v>
      </c>
      <c r="AP213" s="2" t="s">
        <v>12416</v>
      </c>
      <c r="AQ213" s="2" t="s">
        <v>1153</v>
      </c>
      <c r="AR213" s="1" t="s">
        <v>287</v>
      </c>
      <c r="AS213" s="1"/>
      <c r="AT213" s="1" t="s">
        <v>5</v>
      </c>
    </row>
    <row r="214" spans="1:46" hidden="1" x14ac:dyDescent="0.4">
      <c r="A214" s="7" t="s">
        <v>12444</v>
      </c>
      <c r="B214" s="11"/>
      <c r="C214" s="1" t="s">
        <v>12445</v>
      </c>
      <c r="D214" s="1" t="s">
        <v>11999</v>
      </c>
      <c r="E214" s="1" t="s">
        <v>2291</v>
      </c>
      <c r="F214" s="1" t="s">
        <v>14</v>
      </c>
      <c r="G214" s="1" t="s">
        <v>1</v>
      </c>
      <c r="H214" s="1" t="s">
        <v>6</v>
      </c>
      <c r="I214" s="1" t="s">
        <v>2</v>
      </c>
      <c r="J214" s="1" t="s">
        <v>2492</v>
      </c>
      <c r="K214" s="1" t="s">
        <v>12446</v>
      </c>
      <c r="L214" s="1" t="s">
        <v>7</v>
      </c>
      <c r="M214" s="1"/>
      <c r="N214" s="1" t="s">
        <v>12447</v>
      </c>
      <c r="O214" s="1" t="s">
        <v>12448</v>
      </c>
      <c r="P214" s="1"/>
      <c r="Q214" s="1"/>
      <c r="R214" s="1" t="s">
        <v>11</v>
      </c>
      <c r="S214" s="1"/>
      <c r="T214" s="1"/>
      <c r="U214" s="1"/>
      <c r="V214" s="1"/>
      <c r="W214" s="1"/>
      <c r="X214" s="1" t="s">
        <v>12279</v>
      </c>
      <c r="Y214" s="1"/>
      <c r="Z214" s="1"/>
      <c r="AA214" s="1"/>
      <c r="AB214" s="1"/>
      <c r="AC214" s="1"/>
      <c r="AD214" s="1"/>
      <c r="AE214" s="6" t="s">
        <v>12449</v>
      </c>
      <c r="AF214" s="1"/>
      <c r="AG214" s="1"/>
      <c r="AH214" s="1" t="s">
        <v>12450</v>
      </c>
      <c r="AI214" s="1" t="s">
        <v>12451</v>
      </c>
      <c r="AJ214" s="1" t="s">
        <v>12452</v>
      </c>
      <c r="AK214" s="1" t="s">
        <v>12453</v>
      </c>
      <c r="AL214" s="1" t="s">
        <v>12454</v>
      </c>
      <c r="AM214" s="1" t="s">
        <v>12455</v>
      </c>
      <c r="AN214" s="1" t="s">
        <v>12456</v>
      </c>
      <c r="AO214" s="1" t="s">
        <v>12457</v>
      </c>
      <c r="AP214" s="2" t="s">
        <v>12458</v>
      </c>
      <c r="AQ214" s="2" t="s">
        <v>1153</v>
      </c>
      <c r="AR214" s="1" t="s">
        <v>286</v>
      </c>
      <c r="AS214" s="1"/>
      <c r="AT214" s="1" t="s">
        <v>5</v>
      </c>
    </row>
    <row r="215" spans="1:46" hidden="1" x14ac:dyDescent="0.4">
      <c r="A215" s="7" t="s">
        <v>12548</v>
      </c>
      <c r="B215" s="11"/>
      <c r="C215" s="1" t="s">
        <v>12549</v>
      </c>
      <c r="D215" s="1" t="s">
        <v>11999</v>
      </c>
      <c r="E215" s="1" t="s">
        <v>2291</v>
      </c>
      <c r="F215" s="1" t="s">
        <v>14</v>
      </c>
      <c r="G215" s="1" t="s">
        <v>1</v>
      </c>
      <c r="H215" s="1" t="s">
        <v>6</v>
      </c>
      <c r="I215" s="1" t="s">
        <v>2</v>
      </c>
      <c r="J215" s="1" t="s">
        <v>2451</v>
      </c>
      <c r="K215" s="1" t="s">
        <v>12550</v>
      </c>
      <c r="L215" s="1" t="s">
        <v>7</v>
      </c>
      <c r="M215" s="1"/>
      <c r="N215" s="1" t="s">
        <v>12551</v>
      </c>
      <c r="O215" s="1" t="s">
        <v>12103</v>
      </c>
      <c r="P215" s="1"/>
      <c r="Q215" s="1"/>
      <c r="R215" s="1" t="s">
        <v>11</v>
      </c>
      <c r="S215" s="1"/>
      <c r="T215" s="1"/>
      <c r="U215" s="1"/>
      <c r="V215" s="1"/>
      <c r="W215" s="1" t="s">
        <v>12552</v>
      </c>
      <c r="X215" s="1" t="s">
        <v>12135</v>
      </c>
      <c r="Y215" s="1"/>
      <c r="Z215" s="1"/>
      <c r="AA215" s="1"/>
      <c r="AB215" s="1"/>
      <c r="AC215" s="1"/>
      <c r="AD215" s="1"/>
      <c r="AE215" s="6" t="s">
        <v>12553</v>
      </c>
      <c r="AF215" s="1"/>
      <c r="AG215" s="1"/>
      <c r="AH215" s="1" t="s">
        <v>12554</v>
      </c>
      <c r="AI215" s="1"/>
      <c r="AJ215" s="1" t="s">
        <v>12555</v>
      </c>
      <c r="AK215" s="1" t="s">
        <v>12556</v>
      </c>
      <c r="AL215" s="1" t="s">
        <v>12557</v>
      </c>
      <c r="AM215" s="1" t="s">
        <v>12558</v>
      </c>
      <c r="AN215" s="1" t="s">
        <v>12556</v>
      </c>
      <c r="AO215" s="1" t="s">
        <v>12559</v>
      </c>
      <c r="AP215" s="2" t="s">
        <v>12560</v>
      </c>
      <c r="AQ215" s="2" t="s">
        <v>1153</v>
      </c>
      <c r="AR215" s="1" t="s">
        <v>287</v>
      </c>
      <c r="AS215" s="1"/>
      <c r="AT215" s="1" t="s">
        <v>5</v>
      </c>
    </row>
    <row r="216" spans="1:46" hidden="1" x14ac:dyDescent="0.4">
      <c r="A216" s="7" t="s">
        <v>12561</v>
      </c>
      <c r="B216" s="11"/>
      <c r="C216" s="1" t="s">
        <v>4980</v>
      </c>
      <c r="D216" s="1" t="s">
        <v>11999</v>
      </c>
      <c r="E216" s="1" t="s">
        <v>2291</v>
      </c>
      <c r="F216" s="1" t="s">
        <v>14</v>
      </c>
      <c r="G216" s="1" t="s">
        <v>1</v>
      </c>
      <c r="H216" s="1" t="s">
        <v>6</v>
      </c>
      <c r="I216" s="1" t="s">
        <v>2</v>
      </c>
      <c r="J216" s="1" t="s">
        <v>4519</v>
      </c>
      <c r="K216" s="1" t="s">
        <v>12562</v>
      </c>
      <c r="L216" s="1" t="s">
        <v>7</v>
      </c>
      <c r="M216" s="1"/>
      <c r="N216" s="1" t="s">
        <v>12563</v>
      </c>
      <c r="O216" s="1" t="s">
        <v>12002</v>
      </c>
      <c r="P216" s="1"/>
      <c r="Q216" s="1"/>
      <c r="R216" s="1" t="s">
        <v>11</v>
      </c>
      <c r="S216" s="1"/>
      <c r="T216" s="1"/>
      <c r="U216" s="1"/>
      <c r="V216" s="1"/>
      <c r="W216" s="1" t="s">
        <v>12564</v>
      </c>
      <c r="X216" s="1" t="s">
        <v>12135</v>
      </c>
      <c r="Y216" s="1"/>
      <c r="Z216" s="1"/>
      <c r="AA216" s="1"/>
      <c r="AB216" s="1"/>
      <c r="AC216" s="1"/>
      <c r="AD216" s="1"/>
      <c r="AE216" s="6" t="s">
        <v>12565</v>
      </c>
      <c r="AF216" s="1"/>
      <c r="AG216" s="1"/>
      <c r="AH216" s="1" t="s">
        <v>12566</v>
      </c>
      <c r="AI216" s="1"/>
      <c r="AJ216" s="1" t="s">
        <v>4988</v>
      </c>
      <c r="AK216" s="1" t="s">
        <v>3521</v>
      </c>
      <c r="AL216" s="1" t="s">
        <v>4989</v>
      </c>
      <c r="AM216" s="1" t="s">
        <v>4988</v>
      </c>
      <c r="AN216" s="1" t="s">
        <v>3521</v>
      </c>
      <c r="AO216" s="1" t="s">
        <v>4989</v>
      </c>
      <c r="AP216" s="2" t="s">
        <v>12567</v>
      </c>
      <c r="AQ216" s="2" t="s">
        <v>1153</v>
      </c>
      <c r="AR216" s="1" t="s">
        <v>286</v>
      </c>
      <c r="AS216" s="1"/>
      <c r="AT216" s="1" t="s">
        <v>5</v>
      </c>
    </row>
    <row r="217" spans="1:46" hidden="1" x14ac:dyDescent="0.4">
      <c r="A217" s="7" t="s">
        <v>12582</v>
      </c>
      <c r="B217" s="11"/>
      <c r="C217" s="1" t="s">
        <v>3513</v>
      </c>
      <c r="D217" s="1" t="s">
        <v>11999</v>
      </c>
      <c r="E217" s="1" t="s">
        <v>2291</v>
      </c>
      <c r="F217" s="1" t="s">
        <v>14</v>
      </c>
      <c r="G217" s="1" t="s">
        <v>1</v>
      </c>
      <c r="H217" s="1" t="s">
        <v>6</v>
      </c>
      <c r="I217" s="1" t="s">
        <v>2</v>
      </c>
      <c r="J217" s="1" t="s">
        <v>3514</v>
      </c>
      <c r="K217" s="1" t="s">
        <v>12583</v>
      </c>
      <c r="L217" s="1" t="s">
        <v>7</v>
      </c>
      <c r="M217" s="1"/>
      <c r="N217" s="1" t="s">
        <v>12584</v>
      </c>
      <c r="O217" s="1" t="s">
        <v>9747</v>
      </c>
      <c r="P217" s="1"/>
      <c r="Q217" s="1"/>
      <c r="R217" s="1" t="s">
        <v>11</v>
      </c>
      <c r="S217" s="1"/>
      <c r="T217" s="1"/>
      <c r="U217" s="1"/>
      <c r="V217" s="1"/>
      <c r="W217" s="1" t="s">
        <v>12585</v>
      </c>
      <c r="X217" s="1" t="s">
        <v>12135</v>
      </c>
      <c r="Y217" s="1"/>
      <c r="Z217" s="1"/>
      <c r="AA217" s="1"/>
      <c r="AB217" s="1"/>
      <c r="AC217" s="1"/>
      <c r="AD217" s="1"/>
      <c r="AE217" s="6" t="s">
        <v>12586</v>
      </c>
      <c r="AF217" s="1"/>
      <c r="AG217" s="1"/>
      <c r="AH217" s="1" t="s">
        <v>12587</v>
      </c>
      <c r="AI217" s="1"/>
      <c r="AJ217" s="1" t="s">
        <v>12362</v>
      </c>
      <c r="AK217" s="1" t="s">
        <v>12363</v>
      </c>
      <c r="AL217" s="1" t="s">
        <v>12364</v>
      </c>
      <c r="AM217" s="1" t="s">
        <v>12362</v>
      </c>
      <c r="AN217" s="1" t="s">
        <v>12363</v>
      </c>
      <c r="AO217" s="1" t="s">
        <v>12364</v>
      </c>
      <c r="AP217" s="2" t="s">
        <v>12588</v>
      </c>
      <c r="AQ217" s="2" t="s">
        <v>1153</v>
      </c>
      <c r="AR217" s="1" t="s">
        <v>287</v>
      </c>
      <c r="AS217" s="1"/>
      <c r="AT217" s="1" t="s">
        <v>5</v>
      </c>
    </row>
    <row r="218" spans="1:46" hidden="1" x14ac:dyDescent="0.4">
      <c r="A218" s="7" t="s">
        <v>12589</v>
      </c>
      <c r="B218" s="11"/>
      <c r="C218" s="1" t="s">
        <v>3513</v>
      </c>
      <c r="D218" s="1" t="s">
        <v>11999</v>
      </c>
      <c r="E218" s="1" t="s">
        <v>2291</v>
      </c>
      <c r="F218" s="1" t="s">
        <v>14</v>
      </c>
      <c r="G218" s="1" t="s">
        <v>1</v>
      </c>
      <c r="H218" s="1" t="s">
        <v>6</v>
      </c>
      <c r="I218" s="1" t="s">
        <v>2</v>
      </c>
      <c r="J218" s="1" t="s">
        <v>3514</v>
      </c>
      <c r="K218" s="1" t="s">
        <v>12590</v>
      </c>
      <c r="L218" s="1" t="s">
        <v>7</v>
      </c>
      <c r="M218" s="1" t="s">
        <v>9</v>
      </c>
      <c r="N218" s="1" t="s">
        <v>12591</v>
      </c>
      <c r="O218" s="1" t="s">
        <v>9747</v>
      </c>
      <c r="P218" s="1"/>
      <c r="Q218" s="1"/>
      <c r="R218" s="1" t="s">
        <v>11</v>
      </c>
      <c r="S218" s="1"/>
      <c r="T218" s="1"/>
      <c r="U218" s="1"/>
      <c r="V218" s="1"/>
      <c r="W218" s="1" t="s">
        <v>12585</v>
      </c>
      <c r="X218" s="1" t="s">
        <v>12135</v>
      </c>
      <c r="Y218" s="1"/>
      <c r="Z218" s="1"/>
      <c r="AA218" s="1"/>
      <c r="AB218" s="1"/>
      <c r="AC218" s="1"/>
      <c r="AD218" s="1"/>
      <c r="AE218" s="6" t="s">
        <v>12586</v>
      </c>
      <c r="AF218" s="1"/>
      <c r="AG218" s="1"/>
      <c r="AH218" s="1" t="s">
        <v>12592</v>
      </c>
      <c r="AI218" s="1"/>
      <c r="AJ218" s="1" t="s">
        <v>12362</v>
      </c>
      <c r="AK218" s="1" t="s">
        <v>12363</v>
      </c>
      <c r="AL218" s="1" t="s">
        <v>12364</v>
      </c>
      <c r="AM218" s="1" t="s">
        <v>12362</v>
      </c>
      <c r="AN218" s="1" t="s">
        <v>12363</v>
      </c>
      <c r="AO218" s="1" t="s">
        <v>12364</v>
      </c>
      <c r="AP218" s="2" t="s">
        <v>12593</v>
      </c>
      <c r="AQ218" s="2" t="s">
        <v>1153</v>
      </c>
      <c r="AR218" s="1" t="s">
        <v>287</v>
      </c>
      <c r="AS218" s="1"/>
      <c r="AT218" s="1" t="s">
        <v>5</v>
      </c>
    </row>
    <row r="219" spans="1:46" hidden="1" x14ac:dyDescent="0.4">
      <c r="A219" s="7" t="s">
        <v>12627</v>
      </c>
      <c r="B219" s="10">
        <v>0</v>
      </c>
      <c r="C219" s="1" t="s">
        <v>0</v>
      </c>
      <c r="D219" s="1" t="s">
        <v>11999</v>
      </c>
      <c r="E219" s="1" t="s">
        <v>2291</v>
      </c>
      <c r="F219" s="1" t="s">
        <v>14</v>
      </c>
      <c r="G219" s="1" t="s">
        <v>1</v>
      </c>
      <c r="H219" s="1" t="s">
        <v>6</v>
      </c>
      <c r="I219" s="1" t="s">
        <v>2</v>
      </c>
      <c r="J219" s="1" t="s">
        <v>3</v>
      </c>
      <c r="K219" s="1" t="s">
        <v>12628</v>
      </c>
      <c r="L219" s="1" t="s">
        <v>7</v>
      </c>
      <c r="M219" s="1" t="s">
        <v>9</v>
      </c>
      <c r="N219" s="1" t="s">
        <v>12629</v>
      </c>
      <c r="O219" s="1" t="s">
        <v>12060</v>
      </c>
      <c r="P219" s="1"/>
      <c r="Q219" s="1"/>
      <c r="R219" s="1" t="s">
        <v>11</v>
      </c>
      <c r="S219" s="1"/>
      <c r="T219" s="1"/>
      <c r="U219" s="1"/>
      <c r="V219" s="1"/>
      <c r="W219" s="1"/>
      <c r="X219" s="1" t="s">
        <v>12135</v>
      </c>
      <c r="Y219" s="1"/>
      <c r="Z219" s="1"/>
      <c r="AA219" s="1"/>
      <c r="AB219" s="1"/>
      <c r="AC219" s="1"/>
      <c r="AD219" s="1"/>
      <c r="AE219" s="6" t="s">
        <v>12485</v>
      </c>
      <c r="AF219" s="1"/>
      <c r="AG219" s="1"/>
      <c r="AH219" s="1" t="s">
        <v>12630</v>
      </c>
      <c r="AI219" s="1"/>
      <c r="AJ219" s="1" t="s">
        <v>12631</v>
      </c>
      <c r="AK219" s="1" t="s">
        <v>12632</v>
      </c>
      <c r="AL219" s="1" t="s">
        <v>12633</v>
      </c>
      <c r="AM219" s="1" t="s">
        <v>12634</v>
      </c>
      <c r="AN219" s="1" t="s">
        <v>12635</v>
      </c>
      <c r="AO219" s="1" t="s">
        <v>12636</v>
      </c>
      <c r="AP219" s="2" t="s">
        <v>12637</v>
      </c>
      <c r="AQ219" s="2" t="s">
        <v>1153</v>
      </c>
      <c r="AR219" s="1" t="s">
        <v>287</v>
      </c>
      <c r="AS219" s="1"/>
      <c r="AT219" s="1" t="s">
        <v>5</v>
      </c>
    </row>
    <row r="220" spans="1:46" hidden="1" x14ac:dyDescent="0.4">
      <c r="A220" s="7" t="s">
        <v>12675</v>
      </c>
      <c r="B220" s="10">
        <v>0</v>
      </c>
      <c r="C220" s="1" t="s">
        <v>0</v>
      </c>
      <c r="D220" s="1" t="s">
        <v>11999</v>
      </c>
      <c r="E220" s="1" t="s">
        <v>2291</v>
      </c>
      <c r="F220" s="1" t="s">
        <v>14</v>
      </c>
      <c r="G220" s="1" t="s">
        <v>1</v>
      </c>
      <c r="H220" s="1" t="s">
        <v>6</v>
      </c>
      <c r="I220" s="1" t="s">
        <v>2</v>
      </c>
      <c r="J220" s="1" t="s">
        <v>3</v>
      </c>
      <c r="K220" s="1" t="s">
        <v>12676</v>
      </c>
      <c r="L220" s="1" t="s">
        <v>7</v>
      </c>
      <c r="M220" s="1" t="s">
        <v>9</v>
      </c>
      <c r="N220" s="1" t="s">
        <v>12677</v>
      </c>
      <c r="O220" s="1" t="s">
        <v>12649</v>
      </c>
      <c r="P220" s="1"/>
      <c r="Q220" s="1"/>
      <c r="R220" s="1" t="s">
        <v>11</v>
      </c>
      <c r="S220" s="1"/>
      <c r="T220" s="1"/>
      <c r="U220" s="1"/>
      <c r="V220" s="1"/>
      <c r="W220" s="1"/>
      <c r="X220" s="1" t="s">
        <v>10021</v>
      </c>
      <c r="Y220" s="1"/>
      <c r="Z220" s="1"/>
      <c r="AA220" s="1"/>
      <c r="AB220" s="1"/>
      <c r="AC220" s="1"/>
      <c r="AD220" s="1"/>
      <c r="AE220" s="6" t="s">
        <v>12678</v>
      </c>
      <c r="AF220" s="1"/>
      <c r="AG220" s="1"/>
      <c r="AH220" s="1" t="s">
        <v>12679</v>
      </c>
      <c r="AI220" s="1"/>
      <c r="AJ220" s="1" t="s">
        <v>124</v>
      </c>
      <c r="AK220" s="1" t="s">
        <v>12654</v>
      </c>
      <c r="AL220" s="1"/>
      <c r="AM220" s="1" t="s">
        <v>12655</v>
      </c>
      <c r="AN220" s="1" t="s">
        <v>12654</v>
      </c>
      <c r="AO220" s="1"/>
      <c r="AP220" s="2" t="s">
        <v>12680</v>
      </c>
      <c r="AQ220" s="2" t="s">
        <v>1153</v>
      </c>
      <c r="AR220" s="1" t="s">
        <v>287</v>
      </c>
      <c r="AS220" s="1"/>
      <c r="AT220" s="1" t="s">
        <v>5</v>
      </c>
    </row>
    <row r="221" spans="1:46" hidden="1" x14ac:dyDescent="0.4">
      <c r="A221" s="7" t="s">
        <v>12688</v>
      </c>
      <c r="B221" s="10">
        <v>0</v>
      </c>
      <c r="C221" s="1" t="s">
        <v>0</v>
      </c>
      <c r="D221" s="1" t="s">
        <v>11999</v>
      </c>
      <c r="E221" s="1" t="s">
        <v>2291</v>
      </c>
      <c r="F221" s="1" t="s">
        <v>14</v>
      </c>
      <c r="G221" s="1" t="s">
        <v>1</v>
      </c>
      <c r="H221" s="1" t="s">
        <v>6</v>
      </c>
      <c r="I221" s="1" t="s">
        <v>2</v>
      </c>
      <c r="J221" s="1" t="s">
        <v>3</v>
      </c>
      <c r="K221" s="1" t="s">
        <v>12689</v>
      </c>
      <c r="L221" s="1" t="s">
        <v>7</v>
      </c>
      <c r="M221" s="1" t="s">
        <v>8</v>
      </c>
      <c r="N221" s="1" t="s">
        <v>12690</v>
      </c>
      <c r="O221" s="1" t="s">
        <v>12691</v>
      </c>
      <c r="P221" s="1"/>
      <c r="Q221" s="1"/>
      <c r="R221" s="1" t="s">
        <v>11</v>
      </c>
      <c r="S221" s="1"/>
      <c r="T221" s="1"/>
      <c r="U221" s="1"/>
      <c r="V221" s="1"/>
      <c r="W221" s="1" t="s">
        <v>12692</v>
      </c>
      <c r="X221" s="1" t="s">
        <v>12038</v>
      </c>
      <c r="Y221" s="1"/>
      <c r="Z221" s="1"/>
      <c r="AA221" s="1"/>
      <c r="AB221" s="1"/>
      <c r="AC221" s="1"/>
      <c r="AD221" s="1"/>
      <c r="AE221" s="6" t="s">
        <v>12693</v>
      </c>
      <c r="AF221" s="1"/>
      <c r="AG221" s="1"/>
      <c r="AH221" s="1" t="s">
        <v>12694</v>
      </c>
      <c r="AI221" s="1"/>
      <c r="AJ221" s="1" t="s">
        <v>12220</v>
      </c>
      <c r="AK221" s="1" t="s">
        <v>281</v>
      </c>
      <c r="AL221" s="1" t="s">
        <v>12221</v>
      </c>
      <c r="AM221" s="1" t="s">
        <v>12695</v>
      </c>
      <c r="AN221" s="1" t="s">
        <v>281</v>
      </c>
      <c r="AO221" s="1" t="s">
        <v>12696</v>
      </c>
      <c r="AP221" s="2" t="s">
        <v>12697</v>
      </c>
      <c r="AQ221" s="2" t="s">
        <v>1153</v>
      </c>
      <c r="AR221" s="1" t="s">
        <v>287</v>
      </c>
      <c r="AS221" s="1"/>
      <c r="AT221" s="1" t="s">
        <v>5</v>
      </c>
    </row>
    <row r="222" spans="1:46" hidden="1" x14ac:dyDescent="0.4">
      <c r="A222" s="7" t="s">
        <v>12753</v>
      </c>
      <c r="B222" s="11"/>
      <c r="C222" s="1" t="s">
        <v>3626</v>
      </c>
      <c r="D222" s="1" t="s">
        <v>11999</v>
      </c>
      <c r="E222" s="1" t="s">
        <v>2291</v>
      </c>
      <c r="F222" s="1" t="s">
        <v>14</v>
      </c>
      <c r="G222" s="1" t="s">
        <v>1</v>
      </c>
      <c r="H222" s="1" t="s">
        <v>6</v>
      </c>
      <c r="I222" s="1" t="s">
        <v>2</v>
      </c>
      <c r="J222" s="1" t="s">
        <v>3514</v>
      </c>
      <c r="K222" s="1" t="s">
        <v>12754</v>
      </c>
      <c r="L222" s="1" t="s">
        <v>7</v>
      </c>
      <c r="M222" s="1"/>
      <c r="N222" s="1" t="s">
        <v>12755</v>
      </c>
      <c r="O222" s="1" t="s">
        <v>3426</v>
      </c>
      <c r="P222" s="1"/>
      <c r="Q222" s="1"/>
      <c r="R222" s="1" t="s">
        <v>11</v>
      </c>
      <c r="S222" s="1"/>
      <c r="T222" s="1"/>
      <c r="U222" s="1"/>
      <c r="V222" s="1"/>
      <c r="W222" s="1" t="s">
        <v>12756</v>
      </c>
      <c r="X222" s="1" t="s">
        <v>12135</v>
      </c>
      <c r="Y222" s="1"/>
      <c r="Z222" s="1"/>
      <c r="AA222" s="1"/>
      <c r="AB222" s="1"/>
      <c r="AC222" s="1"/>
      <c r="AD222" s="1"/>
      <c r="AE222" s="6" t="s">
        <v>12757</v>
      </c>
      <c r="AF222" s="1"/>
      <c r="AG222" s="1"/>
      <c r="AH222" s="1" t="s">
        <v>12758</v>
      </c>
      <c r="AI222" s="1"/>
      <c r="AJ222" s="1" t="s">
        <v>12759</v>
      </c>
      <c r="AK222" s="1" t="s">
        <v>4060</v>
      </c>
      <c r="AL222" s="1"/>
      <c r="AM222" s="1" t="s">
        <v>12759</v>
      </c>
      <c r="AN222" s="1" t="s">
        <v>4060</v>
      </c>
      <c r="AO222" s="1"/>
      <c r="AP222" s="2" t="s">
        <v>2825</v>
      </c>
      <c r="AQ222" s="2" t="s">
        <v>1077</v>
      </c>
      <c r="AR222" s="1" t="s">
        <v>287</v>
      </c>
      <c r="AS222" s="1"/>
      <c r="AT222" s="1" t="s">
        <v>5</v>
      </c>
    </row>
    <row r="223" spans="1:46" hidden="1" x14ac:dyDescent="0.4">
      <c r="A223" s="7" t="s">
        <v>12775</v>
      </c>
      <c r="B223" s="11"/>
      <c r="C223" s="1" t="s">
        <v>93</v>
      </c>
      <c r="D223" s="1" t="s">
        <v>11999</v>
      </c>
      <c r="E223" s="1" t="s">
        <v>2291</v>
      </c>
      <c r="F223" s="1" t="s">
        <v>14</v>
      </c>
      <c r="G223" s="1" t="s">
        <v>1</v>
      </c>
      <c r="H223" s="1" t="s">
        <v>6</v>
      </c>
      <c r="I223" s="1" t="s">
        <v>2</v>
      </c>
      <c r="J223" s="1" t="s">
        <v>3</v>
      </c>
      <c r="K223" s="1" t="s">
        <v>12776</v>
      </c>
      <c r="L223" s="1" t="s">
        <v>7</v>
      </c>
      <c r="M223" s="1"/>
      <c r="N223" s="1" t="s">
        <v>12777</v>
      </c>
      <c r="O223" s="1" t="s">
        <v>12060</v>
      </c>
      <c r="P223" s="1"/>
      <c r="Q223" s="1"/>
      <c r="R223" s="1" t="s">
        <v>11</v>
      </c>
      <c r="S223" s="1"/>
      <c r="T223" s="1"/>
      <c r="U223" s="1"/>
      <c r="V223" s="1"/>
      <c r="W223" s="1"/>
      <c r="X223" s="1" t="s">
        <v>12038</v>
      </c>
      <c r="Y223" s="1"/>
      <c r="Z223" s="1"/>
      <c r="AA223" s="1"/>
      <c r="AB223" s="1"/>
      <c r="AC223" s="1"/>
      <c r="AD223" s="1"/>
      <c r="AE223" s="6" t="s">
        <v>12778</v>
      </c>
      <c r="AF223" s="1"/>
      <c r="AG223" s="1"/>
      <c r="AH223" s="1" t="s">
        <v>12779</v>
      </c>
      <c r="AI223" s="1"/>
      <c r="AJ223" s="1" t="s">
        <v>5631</v>
      </c>
      <c r="AK223" s="1" t="s">
        <v>5632</v>
      </c>
      <c r="AL223" s="1" t="s">
        <v>5633</v>
      </c>
      <c r="AM223" s="1" t="s">
        <v>5631</v>
      </c>
      <c r="AN223" s="1" t="s">
        <v>5632</v>
      </c>
      <c r="AO223" s="1" t="s">
        <v>5633</v>
      </c>
      <c r="AP223" s="2" t="s">
        <v>12780</v>
      </c>
      <c r="AQ223" s="2" t="s">
        <v>1077</v>
      </c>
      <c r="AR223" s="1" t="s">
        <v>286</v>
      </c>
      <c r="AS223" s="1"/>
      <c r="AT223" s="1" t="s">
        <v>5</v>
      </c>
    </row>
    <row r="224" spans="1:46" hidden="1" x14ac:dyDescent="0.4">
      <c r="A224" s="7" t="s">
        <v>12788</v>
      </c>
      <c r="B224" s="11"/>
      <c r="C224" s="1" t="s">
        <v>1664</v>
      </c>
      <c r="D224" s="1" t="s">
        <v>11999</v>
      </c>
      <c r="E224" s="1" t="s">
        <v>2291</v>
      </c>
      <c r="F224" s="1" t="s">
        <v>14</v>
      </c>
      <c r="G224" s="1" t="s">
        <v>1</v>
      </c>
      <c r="H224" s="1" t="s">
        <v>6</v>
      </c>
      <c r="I224" s="1" t="s">
        <v>2</v>
      </c>
      <c r="J224" s="1" t="s">
        <v>3</v>
      </c>
      <c r="K224" s="1" t="s">
        <v>12789</v>
      </c>
      <c r="L224" s="1" t="s">
        <v>7</v>
      </c>
      <c r="M224" s="1" t="s">
        <v>9</v>
      </c>
      <c r="N224" s="1" t="s">
        <v>12790</v>
      </c>
      <c r="O224" s="1" t="s">
        <v>12082</v>
      </c>
      <c r="P224" s="1"/>
      <c r="Q224" s="1"/>
      <c r="R224" s="1" t="s">
        <v>11</v>
      </c>
      <c r="S224" s="1"/>
      <c r="T224" s="1"/>
      <c r="U224" s="1"/>
      <c r="V224" s="1"/>
      <c r="W224" s="1"/>
      <c r="X224" s="1" t="s">
        <v>12038</v>
      </c>
      <c r="Y224" s="1"/>
      <c r="Z224" s="1"/>
      <c r="AA224" s="1"/>
      <c r="AB224" s="1"/>
      <c r="AC224" s="1"/>
      <c r="AD224" s="1"/>
      <c r="AE224" s="6" t="s">
        <v>12791</v>
      </c>
      <c r="AF224" s="1"/>
      <c r="AG224" s="1"/>
      <c r="AH224" s="1" t="s">
        <v>12792</v>
      </c>
      <c r="AI224" s="1"/>
      <c r="AJ224" s="1" t="s">
        <v>1671</v>
      </c>
      <c r="AK224" s="1" t="s">
        <v>1672</v>
      </c>
      <c r="AL224" s="1" t="s">
        <v>1673</v>
      </c>
      <c r="AM224" s="1" t="s">
        <v>1671</v>
      </c>
      <c r="AN224" s="1" t="s">
        <v>1672</v>
      </c>
      <c r="AO224" s="1" t="s">
        <v>1673</v>
      </c>
      <c r="AP224" s="2" t="s">
        <v>12793</v>
      </c>
      <c r="AQ224" s="2" t="s">
        <v>1077</v>
      </c>
      <c r="AR224" s="1" t="s">
        <v>287</v>
      </c>
      <c r="AS224" s="1"/>
      <c r="AT224" s="1" t="s">
        <v>5</v>
      </c>
    </row>
    <row r="225" spans="1:46" hidden="1" x14ac:dyDescent="0.4">
      <c r="A225" s="7" t="s">
        <v>12794</v>
      </c>
      <c r="B225" s="11"/>
      <c r="C225" s="1" t="s">
        <v>1664</v>
      </c>
      <c r="D225" s="1" t="s">
        <v>11999</v>
      </c>
      <c r="E225" s="1" t="s">
        <v>2291</v>
      </c>
      <c r="F225" s="1" t="s">
        <v>14</v>
      </c>
      <c r="G225" s="1" t="s">
        <v>1</v>
      </c>
      <c r="H225" s="1" t="s">
        <v>6</v>
      </c>
      <c r="I225" s="1" t="s">
        <v>2</v>
      </c>
      <c r="J225" s="1" t="s">
        <v>3</v>
      </c>
      <c r="K225" s="1" t="s">
        <v>12795</v>
      </c>
      <c r="L225" s="1" t="s">
        <v>7</v>
      </c>
      <c r="M225" s="1" t="s">
        <v>9</v>
      </c>
      <c r="N225" s="1" t="s">
        <v>12796</v>
      </c>
      <c r="O225" s="1" t="s">
        <v>12082</v>
      </c>
      <c r="P225" s="1"/>
      <c r="Q225" s="1"/>
      <c r="R225" s="1" t="s">
        <v>11</v>
      </c>
      <c r="S225" s="1"/>
      <c r="T225" s="1"/>
      <c r="U225" s="1"/>
      <c r="V225" s="1"/>
      <c r="W225" s="1"/>
      <c r="X225" s="1" t="s">
        <v>12038</v>
      </c>
      <c r="Y225" s="1"/>
      <c r="Z225" s="1"/>
      <c r="AA225" s="1"/>
      <c r="AB225" s="1"/>
      <c r="AC225" s="1"/>
      <c r="AD225" s="1"/>
      <c r="AE225" s="6" t="s">
        <v>12797</v>
      </c>
      <c r="AF225" s="1"/>
      <c r="AG225" s="1"/>
      <c r="AH225" s="1" t="s">
        <v>12798</v>
      </c>
      <c r="AI225" s="1"/>
      <c r="AJ225" s="1" t="s">
        <v>1671</v>
      </c>
      <c r="AK225" s="1" t="s">
        <v>1672</v>
      </c>
      <c r="AL225" s="1" t="s">
        <v>1673</v>
      </c>
      <c r="AM225" s="1" t="s">
        <v>1671</v>
      </c>
      <c r="AN225" s="1" t="s">
        <v>1672</v>
      </c>
      <c r="AO225" s="1" t="s">
        <v>1673</v>
      </c>
      <c r="AP225" s="2" t="s">
        <v>12799</v>
      </c>
      <c r="AQ225" s="2" t="s">
        <v>1077</v>
      </c>
      <c r="AR225" s="1" t="s">
        <v>287</v>
      </c>
      <c r="AS225" s="1"/>
      <c r="AT225" s="1" t="s">
        <v>5</v>
      </c>
    </row>
    <row r="226" spans="1:46" hidden="1" x14ac:dyDescent="0.4">
      <c r="A226" s="7" t="s">
        <v>12800</v>
      </c>
      <c r="B226" s="11"/>
      <c r="C226" s="1" t="s">
        <v>1664</v>
      </c>
      <c r="D226" s="1" t="s">
        <v>11999</v>
      </c>
      <c r="E226" s="1" t="s">
        <v>2291</v>
      </c>
      <c r="F226" s="1" t="s">
        <v>14</v>
      </c>
      <c r="G226" s="1" t="s">
        <v>1</v>
      </c>
      <c r="H226" s="1" t="s">
        <v>6</v>
      </c>
      <c r="I226" s="1" t="s">
        <v>2</v>
      </c>
      <c r="J226" s="1" t="s">
        <v>3</v>
      </c>
      <c r="K226" s="1" t="s">
        <v>12801</v>
      </c>
      <c r="L226" s="1" t="s">
        <v>7</v>
      </c>
      <c r="M226" s="1" t="s">
        <v>9</v>
      </c>
      <c r="N226" s="1" t="s">
        <v>12802</v>
      </c>
      <c r="O226" s="1" t="s">
        <v>12082</v>
      </c>
      <c r="P226" s="1"/>
      <c r="Q226" s="1"/>
      <c r="R226" s="1" t="s">
        <v>11</v>
      </c>
      <c r="S226" s="1"/>
      <c r="T226" s="1"/>
      <c r="U226" s="1"/>
      <c r="V226" s="1"/>
      <c r="W226" s="1"/>
      <c r="X226" s="1" t="s">
        <v>12038</v>
      </c>
      <c r="Y226" s="1"/>
      <c r="Z226" s="1"/>
      <c r="AA226" s="1"/>
      <c r="AB226" s="1"/>
      <c r="AC226" s="1"/>
      <c r="AD226" s="1"/>
      <c r="AE226" s="6" t="s">
        <v>12803</v>
      </c>
      <c r="AF226" s="1"/>
      <c r="AG226" s="1"/>
      <c r="AH226" s="1" t="s">
        <v>12804</v>
      </c>
      <c r="AI226" s="1"/>
      <c r="AJ226" s="1" t="s">
        <v>1671</v>
      </c>
      <c r="AK226" s="1" t="s">
        <v>1672</v>
      </c>
      <c r="AL226" s="1" t="s">
        <v>1673</v>
      </c>
      <c r="AM226" s="1" t="s">
        <v>1671</v>
      </c>
      <c r="AN226" s="1" t="s">
        <v>1672</v>
      </c>
      <c r="AO226" s="1" t="s">
        <v>1673</v>
      </c>
      <c r="AP226" s="2" t="s">
        <v>12793</v>
      </c>
      <c r="AQ226" s="2" t="s">
        <v>1077</v>
      </c>
      <c r="AR226" s="1" t="s">
        <v>287</v>
      </c>
      <c r="AS226" s="1"/>
      <c r="AT226" s="1" t="s">
        <v>5</v>
      </c>
    </row>
    <row r="227" spans="1:46" hidden="1" x14ac:dyDescent="0.4">
      <c r="A227" s="7" t="s">
        <v>12805</v>
      </c>
      <c r="B227" s="11"/>
      <c r="C227" s="1" t="s">
        <v>1664</v>
      </c>
      <c r="D227" s="1" t="s">
        <v>11999</v>
      </c>
      <c r="E227" s="1" t="s">
        <v>2291</v>
      </c>
      <c r="F227" s="1" t="s">
        <v>14</v>
      </c>
      <c r="G227" s="1" t="s">
        <v>1</v>
      </c>
      <c r="H227" s="1" t="s">
        <v>6</v>
      </c>
      <c r="I227" s="1" t="s">
        <v>2</v>
      </c>
      <c r="J227" s="1" t="s">
        <v>3</v>
      </c>
      <c r="K227" s="1" t="s">
        <v>12806</v>
      </c>
      <c r="L227" s="1" t="s">
        <v>7</v>
      </c>
      <c r="M227" s="1" t="s">
        <v>9</v>
      </c>
      <c r="N227" s="1" t="s">
        <v>12807</v>
      </c>
      <c r="O227" s="1" t="s">
        <v>12082</v>
      </c>
      <c r="P227" s="1"/>
      <c r="Q227" s="1"/>
      <c r="R227" s="1" t="s">
        <v>11</v>
      </c>
      <c r="S227" s="1"/>
      <c r="T227" s="1"/>
      <c r="U227" s="1"/>
      <c r="V227" s="1"/>
      <c r="W227" s="1"/>
      <c r="X227" s="1" t="s">
        <v>12038</v>
      </c>
      <c r="Y227" s="1"/>
      <c r="Z227" s="1"/>
      <c r="AA227" s="1"/>
      <c r="AB227" s="1"/>
      <c r="AC227" s="1"/>
      <c r="AD227" s="1"/>
      <c r="AE227" s="6" t="s">
        <v>12808</v>
      </c>
      <c r="AF227" s="1"/>
      <c r="AG227" s="1"/>
      <c r="AH227" s="1" t="s">
        <v>12809</v>
      </c>
      <c r="AI227" s="1"/>
      <c r="AJ227" s="1" t="s">
        <v>1671</v>
      </c>
      <c r="AK227" s="1" t="s">
        <v>1672</v>
      </c>
      <c r="AL227" s="1" t="s">
        <v>1673</v>
      </c>
      <c r="AM227" s="1" t="s">
        <v>1671</v>
      </c>
      <c r="AN227" s="1" t="s">
        <v>1672</v>
      </c>
      <c r="AO227" s="1" t="s">
        <v>1673</v>
      </c>
      <c r="AP227" s="2" t="s">
        <v>12810</v>
      </c>
      <c r="AQ227" s="2" t="s">
        <v>1077</v>
      </c>
      <c r="AR227" s="1" t="s">
        <v>287</v>
      </c>
      <c r="AS227" s="1"/>
      <c r="AT227" s="1" t="s">
        <v>5</v>
      </c>
    </row>
    <row r="228" spans="1:46" hidden="1" x14ac:dyDescent="0.4">
      <c r="A228" s="7" t="s">
        <v>12811</v>
      </c>
      <c r="B228" s="11"/>
      <c r="C228" s="1" t="s">
        <v>0</v>
      </c>
      <c r="D228" s="1" t="s">
        <v>11999</v>
      </c>
      <c r="E228" s="1" t="s">
        <v>2291</v>
      </c>
      <c r="F228" s="1" t="s">
        <v>14</v>
      </c>
      <c r="G228" s="1" t="s">
        <v>1</v>
      </c>
      <c r="H228" s="1" t="s">
        <v>6</v>
      </c>
      <c r="I228" s="1" t="s">
        <v>2</v>
      </c>
      <c r="J228" s="1" t="s">
        <v>3</v>
      </c>
      <c r="K228" s="1" t="s">
        <v>12812</v>
      </c>
      <c r="L228" s="1" t="s">
        <v>7</v>
      </c>
      <c r="M228" s="1" t="s">
        <v>9</v>
      </c>
      <c r="N228" s="1" t="s">
        <v>12813</v>
      </c>
      <c r="O228" s="1" t="s">
        <v>12060</v>
      </c>
      <c r="P228" s="1"/>
      <c r="Q228" s="1"/>
      <c r="R228" s="1" t="s">
        <v>11</v>
      </c>
      <c r="S228" s="1"/>
      <c r="T228" s="1"/>
      <c r="U228" s="1"/>
      <c r="V228" s="1"/>
      <c r="W228" s="1"/>
      <c r="X228" s="1" t="s">
        <v>12038</v>
      </c>
      <c r="Y228" s="1"/>
      <c r="Z228" s="1"/>
      <c r="AA228" s="1"/>
      <c r="AB228" s="1"/>
      <c r="AC228" s="1"/>
      <c r="AD228" s="1"/>
      <c r="AE228" s="6" t="s">
        <v>12778</v>
      </c>
      <c r="AF228" s="1"/>
      <c r="AG228" s="1"/>
      <c r="AH228" s="1" t="s">
        <v>12814</v>
      </c>
      <c r="AI228" s="1"/>
      <c r="AJ228" s="1" t="s">
        <v>4272</v>
      </c>
      <c r="AK228" s="1" t="s">
        <v>4273</v>
      </c>
      <c r="AL228" s="1" t="s">
        <v>4274</v>
      </c>
      <c r="AM228" s="1" t="s">
        <v>4272</v>
      </c>
      <c r="AN228" s="1" t="s">
        <v>4273</v>
      </c>
      <c r="AO228" s="1" t="s">
        <v>4274</v>
      </c>
      <c r="AP228" s="2" t="s">
        <v>12815</v>
      </c>
      <c r="AQ228" s="2" t="s">
        <v>1155</v>
      </c>
      <c r="AR228" s="1" t="s">
        <v>287</v>
      </c>
      <c r="AS228" s="1"/>
      <c r="AT228" s="1" t="s">
        <v>5</v>
      </c>
    </row>
    <row r="229" spans="1:46" hidden="1" x14ac:dyDescent="0.4">
      <c r="A229" s="7" t="s">
        <v>12816</v>
      </c>
      <c r="B229" s="11"/>
      <c r="C229" s="1" t="s">
        <v>93</v>
      </c>
      <c r="D229" s="1" t="s">
        <v>11999</v>
      </c>
      <c r="E229" s="1" t="s">
        <v>2291</v>
      </c>
      <c r="F229" s="1" t="s">
        <v>14</v>
      </c>
      <c r="G229" s="1" t="s">
        <v>1</v>
      </c>
      <c r="H229" s="1" t="s">
        <v>6</v>
      </c>
      <c r="I229" s="1" t="s">
        <v>2</v>
      </c>
      <c r="J229" s="1" t="s">
        <v>3</v>
      </c>
      <c r="K229" s="1" t="s">
        <v>12817</v>
      </c>
      <c r="L229" s="1" t="s">
        <v>7</v>
      </c>
      <c r="M229" s="1"/>
      <c r="N229" s="1" t="s">
        <v>12818</v>
      </c>
      <c r="O229" s="1" t="s">
        <v>12060</v>
      </c>
      <c r="P229" s="1"/>
      <c r="Q229" s="1"/>
      <c r="R229" s="1" t="s">
        <v>11</v>
      </c>
      <c r="S229" s="1"/>
      <c r="T229" s="1"/>
      <c r="U229" s="1"/>
      <c r="V229" s="1"/>
      <c r="W229" s="1"/>
      <c r="X229" s="1" t="s">
        <v>12038</v>
      </c>
      <c r="Y229" s="1"/>
      <c r="Z229" s="1"/>
      <c r="AA229" s="1"/>
      <c r="AB229" s="1"/>
      <c r="AC229" s="1"/>
      <c r="AD229" s="1"/>
      <c r="AE229" s="6" t="s">
        <v>12778</v>
      </c>
      <c r="AF229" s="1"/>
      <c r="AG229" s="1"/>
      <c r="AH229" s="1" t="s">
        <v>12819</v>
      </c>
      <c r="AI229" s="1"/>
      <c r="AJ229" s="1" t="s">
        <v>4272</v>
      </c>
      <c r="AK229" s="1" t="s">
        <v>4273</v>
      </c>
      <c r="AL229" s="1" t="s">
        <v>4274</v>
      </c>
      <c r="AM229" s="1" t="s">
        <v>4272</v>
      </c>
      <c r="AN229" s="1" t="s">
        <v>4273</v>
      </c>
      <c r="AO229" s="1" t="s">
        <v>4274</v>
      </c>
      <c r="AP229" s="2" t="s">
        <v>12820</v>
      </c>
      <c r="AQ229" s="2" t="s">
        <v>1077</v>
      </c>
      <c r="AR229" s="1" t="s">
        <v>287</v>
      </c>
      <c r="AS229" s="1"/>
      <c r="AT229" s="1" t="s">
        <v>5</v>
      </c>
    </row>
    <row r="230" spans="1:46" hidden="1" x14ac:dyDescent="0.4">
      <c r="A230" s="7" t="s">
        <v>12843</v>
      </c>
      <c r="B230" s="10">
        <v>0</v>
      </c>
      <c r="C230" s="1" t="s">
        <v>0</v>
      </c>
      <c r="D230" s="1" t="s">
        <v>11999</v>
      </c>
      <c r="E230" s="1" t="s">
        <v>2291</v>
      </c>
      <c r="F230" s="1" t="s">
        <v>14</v>
      </c>
      <c r="G230" s="1" t="s">
        <v>1</v>
      </c>
      <c r="H230" s="1" t="s">
        <v>6</v>
      </c>
      <c r="I230" s="1" t="s">
        <v>2</v>
      </c>
      <c r="J230" s="1" t="s">
        <v>3</v>
      </c>
      <c r="K230" s="1" t="s">
        <v>12844</v>
      </c>
      <c r="L230" s="1" t="s">
        <v>7</v>
      </c>
      <c r="M230" s="1" t="s">
        <v>9</v>
      </c>
      <c r="N230" s="1" t="s">
        <v>12845</v>
      </c>
      <c r="O230" s="1" t="s">
        <v>12405</v>
      </c>
      <c r="P230" s="1"/>
      <c r="Q230" s="1"/>
      <c r="R230" s="1" t="s">
        <v>11</v>
      </c>
      <c r="S230" s="1"/>
      <c r="T230" s="1"/>
      <c r="U230" s="1"/>
      <c r="V230" s="1"/>
      <c r="W230" s="1"/>
      <c r="X230" s="1" t="s">
        <v>12185</v>
      </c>
      <c r="Y230" s="1"/>
      <c r="Z230" s="1"/>
      <c r="AA230" s="1"/>
      <c r="AB230" s="1"/>
      <c r="AC230" s="1"/>
      <c r="AD230" s="1"/>
      <c r="AE230" s="6" t="s">
        <v>12846</v>
      </c>
      <c r="AF230" s="1"/>
      <c r="AG230" s="1"/>
      <c r="AH230" s="1" t="s">
        <v>12847</v>
      </c>
      <c r="AI230" s="1"/>
      <c r="AJ230" s="1" t="s">
        <v>1431</v>
      </c>
      <c r="AK230" s="1" t="s">
        <v>515</v>
      </c>
      <c r="AL230" s="1" t="s">
        <v>1432</v>
      </c>
      <c r="AM230" s="1" t="s">
        <v>12848</v>
      </c>
      <c r="AN230" s="1" t="s">
        <v>515</v>
      </c>
      <c r="AO230" s="1" t="s">
        <v>12849</v>
      </c>
      <c r="AP230" s="2" t="s">
        <v>12850</v>
      </c>
      <c r="AQ230" s="2" t="s">
        <v>1077</v>
      </c>
      <c r="AR230" s="1" t="s">
        <v>287</v>
      </c>
      <c r="AS230" s="1"/>
      <c r="AT230" s="1" t="s">
        <v>5</v>
      </c>
    </row>
    <row r="231" spans="1:46" hidden="1" x14ac:dyDescent="0.4">
      <c r="A231" s="7" t="s">
        <v>12851</v>
      </c>
      <c r="B231" s="10">
        <v>0</v>
      </c>
      <c r="C231" s="1" t="s">
        <v>0</v>
      </c>
      <c r="D231" s="1" t="s">
        <v>11999</v>
      </c>
      <c r="E231" s="1" t="s">
        <v>2291</v>
      </c>
      <c r="F231" s="1" t="s">
        <v>14</v>
      </c>
      <c r="G231" s="1" t="s">
        <v>1</v>
      </c>
      <c r="H231" s="1" t="s">
        <v>6</v>
      </c>
      <c r="I231" s="1" t="s">
        <v>2</v>
      </c>
      <c r="J231" s="1" t="s">
        <v>3</v>
      </c>
      <c r="K231" s="1" t="s">
        <v>12852</v>
      </c>
      <c r="L231" s="1" t="s">
        <v>7</v>
      </c>
      <c r="M231" s="1" t="s">
        <v>9</v>
      </c>
      <c r="N231" s="1" t="s">
        <v>12853</v>
      </c>
      <c r="O231" s="1" t="s">
        <v>9747</v>
      </c>
      <c r="P231" s="1"/>
      <c r="Q231" s="1"/>
      <c r="R231" s="1" t="s">
        <v>11</v>
      </c>
      <c r="S231" s="1"/>
      <c r="T231" s="1"/>
      <c r="U231" s="1"/>
      <c r="V231" s="1"/>
      <c r="W231" s="1"/>
      <c r="X231" s="1" t="s">
        <v>12135</v>
      </c>
      <c r="Y231" s="1"/>
      <c r="Z231" s="1"/>
      <c r="AA231" s="1"/>
      <c r="AB231" s="1"/>
      <c r="AC231" s="1"/>
      <c r="AD231" s="1"/>
      <c r="AE231" s="6" t="s">
        <v>12854</v>
      </c>
      <c r="AF231" s="1"/>
      <c r="AG231" s="1"/>
      <c r="AH231" s="1" t="s">
        <v>12855</v>
      </c>
      <c r="AI231" s="1"/>
      <c r="AJ231" s="1" t="s">
        <v>1431</v>
      </c>
      <c r="AK231" s="1" t="s">
        <v>515</v>
      </c>
      <c r="AL231" s="1" t="s">
        <v>1432</v>
      </c>
      <c r="AM231" s="1" t="s">
        <v>12856</v>
      </c>
      <c r="AN231" s="1" t="s">
        <v>515</v>
      </c>
      <c r="AO231" s="1" t="s">
        <v>12857</v>
      </c>
      <c r="AP231" s="2" t="s">
        <v>12858</v>
      </c>
      <c r="AQ231" s="2" t="s">
        <v>1077</v>
      </c>
      <c r="AR231" s="1" t="s">
        <v>287</v>
      </c>
      <c r="AS231" s="1"/>
      <c r="AT231" s="1" t="s">
        <v>5</v>
      </c>
    </row>
    <row r="232" spans="1:46" hidden="1" x14ac:dyDescent="0.4">
      <c r="A232" s="7" t="s">
        <v>12890</v>
      </c>
      <c r="B232" s="11"/>
      <c r="C232" s="1" t="s">
        <v>93</v>
      </c>
      <c r="D232" s="1" t="s">
        <v>11999</v>
      </c>
      <c r="E232" s="1" t="s">
        <v>2291</v>
      </c>
      <c r="F232" s="1" t="s">
        <v>14</v>
      </c>
      <c r="G232" s="1" t="s">
        <v>1</v>
      </c>
      <c r="H232" s="1" t="s">
        <v>6</v>
      </c>
      <c r="I232" s="1" t="s">
        <v>2</v>
      </c>
      <c r="J232" s="1" t="s">
        <v>3</v>
      </c>
      <c r="K232" s="1" t="s">
        <v>12891</v>
      </c>
      <c r="L232" s="1" t="s">
        <v>7</v>
      </c>
      <c r="M232" s="1" t="s">
        <v>9</v>
      </c>
      <c r="N232" s="1" t="s">
        <v>12892</v>
      </c>
      <c r="O232" s="1" t="s">
        <v>12060</v>
      </c>
      <c r="P232" s="1"/>
      <c r="Q232" s="1"/>
      <c r="R232" s="1" t="s">
        <v>11</v>
      </c>
      <c r="S232" s="1"/>
      <c r="T232" s="1"/>
      <c r="U232" s="1"/>
      <c r="V232" s="1"/>
      <c r="W232" s="1" t="s">
        <v>12893</v>
      </c>
      <c r="X232" s="1" t="s">
        <v>12038</v>
      </c>
      <c r="Y232" s="1"/>
      <c r="Z232" s="1"/>
      <c r="AA232" s="1"/>
      <c r="AB232" s="1"/>
      <c r="AC232" s="1"/>
      <c r="AD232" s="1"/>
      <c r="AE232" s="6" t="s">
        <v>12126</v>
      </c>
      <c r="AF232" s="1"/>
      <c r="AG232" s="1"/>
      <c r="AH232" s="1" t="s">
        <v>12894</v>
      </c>
      <c r="AI232" s="1"/>
      <c r="AJ232" s="1" t="s">
        <v>5631</v>
      </c>
      <c r="AK232" s="1" t="s">
        <v>5632</v>
      </c>
      <c r="AL232" s="1" t="s">
        <v>5633</v>
      </c>
      <c r="AM232" s="1" t="s">
        <v>5631</v>
      </c>
      <c r="AN232" s="1" t="s">
        <v>5632</v>
      </c>
      <c r="AO232" s="1" t="s">
        <v>5633</v>
      </c>
      <c r="AP232" s="2" t="s">
        <v>12895</v>
      </c>
      <c r="AQ232" s="2" t="s">
        <v>1077</v>
      </c>
      <c r="AR232" s="1" t="s">
        <v>287</v>
      </c>
      <c r="AS232" s="1"/>
      <c r="AT232" s="1" t="s">
        <v>5</v>
      </c>
    </row>
    <row r="233" spans="1:46" hidden="1" x14ac:dyDescent="0.4">
      <c r="A233" s="7" t="s">
        <v>12896</v>
      </c>
      <c r="B233" s="11"/>
      <c r="C233" s="1" t="s">
        <v>93</v>
      </c>
      <c r="D233" s="1" t="s">
        <v>11999</v>
      </c>
      <c r="E233" s="1" t="s">
        <v>2291</v>
      </c>
      <c r="F233" s="1" t="s">
        <v>14</v>
      </c>
      <c r="G233" s="1" t="s">
        <v>1</v>
      </c>
      <c r="H233" s="1" t="s">
        <v>6</v>
      </c>
      <c r="I233" s="1" t="s">
        <v>2</v>
      </c>
      <c r="J233" s="1" t="s">
        <v>3</v>
      </c>
      <c r="K233" s="1" t="s">
        <v>12897</v>
      </c>
      <c r="L233" s="1" t="s">
        <v>7</v>
      </c>
      <c r="M233" s="1"/>
      <c r="N233" s="1" t="s">
        <v>12898</v>
      </c>
      <c r="O233" s="1" t="s">
        <v>12060</v>
      </c>
      <c r="P233" s="1"/>
      <c r="Q233" s="1"/>
      <c r="R233" s="1" t="s">
        <v>11</v>
      </c>
      <c r="S233" s="1"/>
      <c r="T233" s="1"/>
      <c r="U233" s="1"/>
      <c r="V233" s="1"/>
      <c r="W233" s="1"/>
      <c r="X233" s="1" t="s">
        <v>12038</v>
      </c>
      <c r="Y233" s="1"/>
      <c r="Z233" s="1"/>
      <c r="AA233" s="1"/>
      <c r="AB233" s="1"/>
      <c r="AC233" s="1"/>
      <c r="AD233" s="1"/>
      <c r="AE233" s="6" t="s">
        <v>12126</v>
      </c>
      <c r="AF233" s="1"/>
      <c r="AG233" s="1"/>
      <c r="AH233" s="1" t="s">
        <v>12899</v>
      </c>
      <c r="AI233" s="1"/>
      <c r="AJ233" s="1" t="s">
        <v>5631</v>
      </c>
      <c r="AK233" s="1" t="s">
        <v>5632</v>
      </c>
      <c r="AL233" s="1" t="s">
        <v>5633</v>
      </c>
      <c r="AM233" s="1" t="s">
        <v>5631</v>
      </c>
      <c r="AN233" s="1" t="s">
        <v>5632</v>
      </c>
      <c r="AO233" s="1" t="s">
        <v>5633</v>
      </c>
      <c r="AP233" s="2" t="s">
        <v>12900</v>
      </c>
      <c r="AQ233" s="2" t="s">
        <v>1077</v>
      </c>
      <c r="AR233" s="1" t="s">
        <v>286</v>
      </c>
      <c r="AS233" s="1"/>
      <c r="AT233" s="1" t="s">
        <v>5</v>
      </c>
    </row>
    <row r="234" spans="1:46" hidden="1" x14ac:dyDescent="0.4">
      <c r="A234" s="7" t="s">
        <v>12976</v>
      </c>
      <c r="B234" s="11"/>
      <c r="C234" s="1" t="s">
        <v>0</v>
      </c>
      <c r="D234" s="1" t="s">
        <v>11999</v>
      </c>
      <c r="E234" s="1" t="s">
        <v>2291</v>
      </c>
      <c r="F234" s="1" t="s">
        <v>14</v>
      </c>
      <c r="G234" s="1" t="s">
        <v>1</v>
      </c>
      <c r="H234" s="1" t="s">
        <v>6</v>
      </c>
      <c r="I234" s="1" t="s">
        <v>2</v>
      </c>
      <c r="J234" s="1" t="s">
        <v>3</v>
      </c>
      <c r="K234" s="1" t="s">
        <v>12977</v>
      </c>
      <c r="L234" s="1" t="s">
        <v>4</v>
      </c>
      <c r="M234" s="1" t="s">
        <v>8</v>
      </c>
      <c r="N234" s="1" t="s">
        <v>12978</v>
      </c>
      <c r="O234" s="1" t="s">
        <v>12077</v>
      </c>
      <c r="P234" s="1"/>
      <c r="Q234" s="1"/>
      <c r="R234" s="1" t="s">
        <v>11</v>
      </c>
      <c r="S234" s="1"/>
      <c r="T234" s="1"/>
      <c r="U234" s="1"/>
      <c r="V234" s="1"/>
      <c r="W234" s="1" t="s">
        <v>12979</v>
      </c>
      <c r="X234" s="1" t="s">
        <v>12038</v>
      </c>
      <c r="Y234" s="1"/>
      <c r="Z234" s="1"/>
      <c r="AA234" s="1"/>
      <c r="AB234" s="1"/>
      <c r="AC234" s="1"/>
      <c r="AD234" s="1"/>
      <c r="AE234" s="6" t="s">
        <v>12980</v>
      </c>
      <c r="AF234" s="1"/>
      <c r="AG234" s="1"/>
      <c r="AH234" s="1" t="s">
        <v>12981</v>
      </c>
      <c r="AI234" s="1"/>
      <c r="AJ234" s="1" t="s">
        <v>12971</v>
      </c>
      <c r="AK234" s="1" t="s">
        <v>12972</v>
      </c>
      <c r="AL234" s="1"/>
      <c r="AM234" s="1" t="s">
        <v>12973</v>
      </c>
      <c r="AN234" s="1" t="s">
        <v>12972</v>
      </c>
      <c r="AO234" s="1" t="s">
        <v>12974</v>
      </c>
      <c r="AP234" s="2" t="s">
        <v>12982</v>
      </c>
      <c r="AQ234" s="2" t="s">
        <v>1077</v>
      </c>
      <c r="AR234" s="1" t="s">
        <v>287</v>
      </c>
      <c r="AS234" s="1"/>
      <c r="AT234" s="1" t="s">
        <v>5</v>
      </c>
    </row>
    <row r="235" spans="1:46" hidden="1" x14ac:dyDescent="0.4">
      <c r="A235" s="7" t="s">
        <v>12983</v>
      </c>
      <c r="B235" s="11"/>
      <c r="C235" s="1" t="s">
        <v>93</v>
      </c>
      <c r="D235" s="1" t="s">
        <v>11999</v>
      </c>
      <c r="E235" s="1" t="s">
        <v>2291</v>
      </c>
      <c r="F235" s="1" t="s">
        <v>14</v>
      </c>
      <c r="G235" s="1" t="s">
        <v>1</v>
      </c>
      <c r="H235" s="1" t="s">
        <v>6</v>
      </c>
      <c r="I235" s="1" t="s">
        <v>2</v>
      </c>
      <c r="J235" s="1" t="s">
        <v>3</v>
      </c>
      <c r="K235" s="1" t="s">
        <v>12984</v>
      </c>
      <c r="L235" s="1" t="s">
        <v>4</v>
      </c>
      <c r="M235" s="1" t="s">
        <v>9</v>
      </c>
      <c r="N235" s="1" t="s">
        <v>12985</v>
      </c>
      <c r="O235" s="1" t="s">
        <v>12060</v>
      </c>
      <c r="P235" s="1"/>
      <c r="Q235" s="1"/>
      <c r="R235" s="1" t="s">
        <v>11</v>
      </c>
      <c r="S235" s="1"/>
      <c r="T235" s="1"/>
      <c r="U235" s="1"/>
      <c r="V235" s="1"/>
      <c r="W235" s="1" t="s">
        <v>12986</v>
      </c>
      <c r="X235" s="1" t="s">
        <v>10021</v>
      </c>
      <c r="Y235" s="1"/>
      <c r="Z235" s="1"/>
      <c r="AA235" s="1"/>
      <c r="AB235" s="1"/>
      <c r="AC235" s="1"/>
      <c r="AD235" s="1"/>
      <c r="AE235" s="6" t="s">
        <v>12987</v>
      </c>
      <c r="AF235" s="1"/>
      <c r="AG235" s="1"/>
      <c r="AH235" s="1" t="s">
        <v>12988</v>
      </c>
      <c r="AI235" s="1"/>
      <c r="AJ235" s="1" t="s">
        <v>12989</v>
      </c>
      <c r="AK235" s="1" t="s">
        <v>12990</v>
      </c>
      <c r="AL235" s="1" t="s">
        <v>256</v>
      </c>
      <c r="AM235" s="1" t="s">
        <v>12989</v>
      </c>
      <c r="AN235" s="1" t="s">
        <v>12990</v>
      </c>
      <c r="AO235" s="1" t="s">
        <v>256</v>
      </c>
      <c r="AP235" s="2" t="s">
        <v>12991</v>
      </c>
      <c r="AQ235" s="2" t="s">
        <v>1077</v>
      </c>
      <c r="AR235" s="1" t="s">
        <v>287</v>
      </c>
      <c r="AS235" s="1"/>
      <c r="AT235" s="1" t="s">
        <v>5</v>
      </c>
    </row>
    <row r="236" spans="1:46" hidden="1" x14ac:dyDescent="0.4">
      <c r="A236" s="7" t="s">
        <v>13004</v>
      </c>
      <c r="B236" s="10">
        <v>0</v>
      </c>
      <c r="C236" s="1" t="s">
        <v>0</v>
      </c>
      <c r="D236" s="1" t="s">
        <v>11999</v>
      </c>
      <c r="E236" s="1" t="s">
        <v>2291</v>
      </c>
      <c r="F236" s="1" t="s">
        <v>14</v>
      </c>
      <c r="G236" s="1" t="s">
        <v>1</v>
      </c>
      <c r="H236" s="1" t="s">
        <v>6</v>
      </c>
      <c r="I236" s="1" t="s">
        <v>2</v>
      </c>
      <c r="J236" s="1" t="s">
        <v>3</v>
      </c>
      <c r="K236" s="1" t="s">
        <v>13005</v>
      </c>
      <c r="L236" s="1" t="s">
        <v>7</v>
      </c>
      <c r="M236" s="1" t="s">
        <v>9</v>
      </c>
      <c r="N236" s="1" t="s">
        <v>13006</v>
      </c>
      <c r="O236" s="1" t="s">
        <v>12493</v>
      </c>
      <c r="P236" s="1"/>
      <c r="Q236" s="1"/>
      <c r="R236" s="1" t="s">
        <v>11</v>
      </c>
      <c r="S236" s="1"/>
      <c r="T236" s="1"/>
      <c r="U236" s="1"/>
      <c r="V236" s="1"/>
      <c r="W236" s="1" t="s">
        <v>13007</v>
      </c>
      <c r="X236" s="1" t="s">
        <v>12026</v>
      </c>
      <c r="Y236" s="1"/>
      <c r="Z236" s="1"/>
      <c r="AA236" s="1"/>
      <c r="AB236" s="1"/>
      <c r="AC236" s="1"/>
      <c r="AD236" s="1"/>
      <c r="AE236" s="6" t="s">
        <v>13008</v>
      </c>
      <c r="AF236" s="1"/>
      <c r="AG236" s="1"/>
      <c r="AH236" s="1" t="s">
        <v>13009</v>
      </c>
      <c r="AI236" s="1"/>
      <c r="AJ236" s="1" t="s">
        <v>6411</v>
      </c>
      <c r="AK236" s="1" t="s">
        <v>6412</v>
      </c>
      <c r="AL236" s="1" t="s">
        <v>6413</v>
      </c>
      <c r="AM236" s="1" t="s">
        <v>13010</v>
      </c>
      <c r="AN236" s="1" t="s">
        <v>6412</v>
      </c>
      <c r="AO236" s="1" t="s">
        <v>13011</v>
      </c>
      <c r="AP236" s="2" t="s">
        <v>13012</v>
      </c>
      <c r="AQ236" s="2" t="s">
        <v>1077</v>
      </c>
      <c r="AR236" s="1" t="s">
        <v>287</v>
      </c>
      <c r="AS236" s="1"/>
      <c r="AT236" s="1" t="s">
        <v>5</v>
      </c>
    </row>
    <row r="237" spans="1:46" hidden="1" x14ac:dyDescent="0.4">
      <c r="A237" s="7" t="s">
        <v>13013</v>
      </c>
      <c r="B237" s="10">
        <v>0</v>
      </c>
      <c r="C237" s="1" t="s">
        <v>0</v>
      </c>
      <c r="D237" s="1" t="s">
        <v>11999</v>
      </c>
      <c r="E237" s="1" t="s">
        <v>2291</v>
      </c>
      <c r="F237" s="1" t="s">
        <v>14</v>
      </c>
      <c r="G237" s="1" t="s">
        <v>1</v>
      </c>
      <c r="H237" s="1" t="s">
        <v>6</v>
      </c>
      <c r="I237" s="1" t="s">
        <v>2</v>
      </c>
      <c r="J237" s="1" t="s">
        <v>3</v>
      </c>
      <c r="K237" s="1" t="s">
        <v>13014</v>
      </c>
      <c r="L237" s="1" t="s">
        <v>7</v>
      </c>
      <c r="M237" s="1"/>
      <c r="N237" s="1" t="s">
        <v>13015</v>
      </c>
      <c r="O237" s="1" t="s">
        <v>12493</v>
      </c>
      <c r="P237" s="1"/>
      <c r="Q237" s="1"/>
      <c r="R237" s="1" t="s">
        <v>11</v>
      </c>
      <c r="S237" s="1"/>
      <c r="T237" s="1"/>
      <c r="U237" s="1"/>
      <c r="V237" s="1"/>
      <c r="W237" s="1" t="s">
        <v>13007</v>
      </c>
      <c r="X237" s="1" t="s">
        <v>12026</v>
      </c>
      <c r="Y237" s="1"/>
      <c r="Z237" s="1"/>
      <c r="AA237" s="1"/>
      <c r="AB237" s="1"/>
      <c r="AC237" s="1"/>
      <c r="AD237" s="1"/>
      <c r="AE237" s="6" t="s">
        <v>13016</v>
      </c>
      <c r="AF237" s="1"/>
      <c r="AG237" s="1"/>
      <c r="AH237" s="1" t="s">
        <v>13017</v>
      </c>
      <c r="AI237" s="1"/>
      <c r="AJ237" s="1" t="s">
        <v>6411</v>
      </c>
      <c r="AK237" s="1" t="s">
        <v>6412</v>
      </c>
      <c r="AL237" s="1" t="s">
        <v>6413</v>
      </c>
      <c r="AM237" s="1" t="s">
        <v>13010</v>
      </c>
      <c r="AN237" s="1" t="s">
        <v>6412</v>
      </c>
      <c r="AO237" s="1" t="s">
        <v>13011</v>
      </c>
      <c r="AP237" s="2" t="s">
        <v>13018</v>
      </c>
      <c r="AQ237" s="2" t="s">
        <v>1077</v>
      </c>
      <c r="AR237" s="1" t="s">
        <v>287</v>
      </c>
      <c r="AS237" s="1"/>
      <c r="AT237" s="1" t="s">
        <v>5</v>
      </c>
    </row>
    <row r="238" spans="1:46" hidden="1" x14ac:dyDescent="0.4">
      <c r="A238" s="7" t="s">
        <v>13028</v>
      </c>
      <c r="B238" s="10">
        <v>0</v>
      </c>
      <c r="C238" s="1" t="s">
        <v>0</v>
      </c>
      <c r="D238" s="1" t="s">
        <v>11999</v>
      </c>
      <c r="E238" s="1" t="s">
        <v>2291</v>
      </c>
      <c r="F238" s="1" t="s">
        <v>14</v>
      </c>
      <c r="G238" s="1" t="s">
        <v>1</v>
      </c>
      <c r="H238" s="1" t="s">
        <v>6</v>
      </c>
      <c r="I238" s="1" t="s">
        <v>2</v>
      </c>
      <c r="J238" s="1" t="s">
        <v>3</v>
      </c>
      <c r="K238" s="1" t="s">
        <v>13029</v>
      </c>
      <c r="L238" s="1" t="s">
        <v>7</v>
      </c>
      <c r="M238" s="1" t="s">
        <v>9</v>
      </c>
      <c r="N238" s="1" t="s">
        <v>13030</v>
      </c>
      <c r="O238" s="1" t="s">
        <v>13031</v>
      </c>
      <c r="P238" s="1"/>
      <c r="Q238" s="1"/>
      <c r="R238" s="1" t="s">
        <v>11</v>
      </c>
      <c r="S238" s="1"/>
      <c r="T238" s="1"/>
      <c r="U238" s="1"/>
      <c r="V238" s="1"/>
      <c r="W238" s="1" t="s">
        <v>13032</v>
      </c>
      <c r="X238" s="1" t="s">
        <v>12026</v>
      </c>
      <c r="Y238" s="1"/>
      <c r="Z238" s="1"/>
      <c r="AA238" s="1"/>
      <c r="AB238" s="1"/>
      <c r="AC238" s="1"/>
      <c r="AD238" s="1"/>
      <c r="AE238" s="6" t="s">
        <v>13033</v>
      </c>
      <c r="AF238" s="1"/>
      <c r="AG238" s="1"/>
      <c r="AH238" s="1" t="s">
        <v>13034</v>
      </c>
      <c r="AI238" s="1"/>
      <c r="AJ238" s="1" t="s">
        <v>1983</v>
      </c>
      <c r="AK238" s="1" t="s">
        <v>514</v>
      </c>
      <c r="AL238" s="1" t="s">
        <v>1984</v>
      </c>
      <c r="AM238" s="1" t="s">
        <v>13035</v>
      </c>
      <c r="AN238" s="1" t="s">
        <v>514</v>
      </c>
      <c r="AO238" s="1" t="s">
        <v>13036</v>
      </c>
      <c r="AP238" s="2" t="s">
        <v>13037</v>
      </c>
      <c r="AQ238" s="2" t="s">
        <v>1077</v>
      </c>
      <c r="AR238" s="1" t="s">
        <v>287</v>
      </c>
      <c r="AS238" s="1"/>
      <c r="AT238" s="1" t="s">
        <v>5</v>
      </c>
    </row>
    <row r="239" spans="1:46" hidden="1" x14ac:dyDescent="0.4">
      <c r="A239" s="7" t="s">
        <v>13038</v>
      </c>
      <c r="B239" s="10">
        <v>0</v>
      </c>
      <c r="C239" s="1" t="s">
        <v>0</v>
      </c>
      <c r="D239" s="1" t="s">
        <v>11999</v>
      </c>
      <c r="E239" s="1" t="s">
        <v>2291</v>
      </c>
      <c r="F239" s="1" t="s">
        <v>14</v>
      </c>
      <c r="G239" s="1" t="s">
        <v>1</v>
      </c>
      <c r="H239" s="1" t="s">
        <v>6</v>
      </c>
      <c r="I239" s="1" t="s">
        <v>2</v>
      </c>
      <c r="J239" s="1" t="s">
        <v>3</v>
      </c>
      <c r="K239" s="1" t="s">
        <v>13039</v>
      </c>
      <c r="L239" s="1" t="s">
        <v>7</v>
      </c>
      <c r="M239" s="1" t="s">
        <v>9</v>
      </c>
      <c r="N239" s="1" t="s">
        <v>13040</v>
      </c>
      <c r="O239" s="1" t="s">
        <v>13031</v>
      </c>
      <c r="P239" s="1"/>
      <c r="Q239" s="1"/>
      <c r="R239" s="1" t="s">
        <v>11</v>
      </c>
      <c r="S239" s="1"/>
      <c r="T239" s="1"/>
      <c r="U239" s="1"/>
      <c r="V239" s="1"/>
      <c r="W239" s="1" t="s">
        <v>13041</v>
      </c>
      <c r="X239" s="1" t="s">
        <v>12026</v>
      </c>
      <c r="Y239" s="1"/>
      <c r="Z239" s="1"/>
      <c r="AA239" s="1"/>
      <c r="AB239" s="1"/>
      <c r="AC239" s="1"/>
      <c r="AD239" s="1"/>
      <c r="AE239" s="6" t="s">
        <v>13042</v>
      </c>
      <c r="AF239" s="1"/>
      <c r="AG239" s="1"/>
      <c r="AH239" s="1" t="s">
        <v>13043</v>
      </c>
      <c r="AI239" s="1"/>
      <c r="AJ239" s="1" t="s">
        <v>1983</v>
      </c>
      <c r="AK239" s="1" t="s">
        <v>514</v>
      </c>
      <c r="AL239" s="1" t="s">
        <v>1984</v>
      </c>
      <c r="AM239" s="1" t="s">
        <v>13035</v>
      </c>
      <c r="AN239" s="1" t="s">
        <v>514</v>
      </c>
      <c r="AO239" s="1" t="s">
        <v>13036</v>
      </c>
      <c r="AP239" s="2" t="s">
        <v>13044</v>
      </c>
      <c r="AQ239" s="2" t="s">
        <v>1077</v>
      </c>
      <c r="AR239" s="1" t="s">
        <v>287</v>
      </c>
      <c r="AS239" s="1"/>
      <c r="AT239" s="1" t="s">
        <v>5</v>
      </c>
    </row>
    <row r="240" spans="1:46" hidden="1" x14ac:dyDescent="0.4">
      <c r="A240" s="7" t="s">
        <v>13058</v>
      </c>
      <c r="B240" s="10">
        <v>0</v>
      </c>
      <c r="C240" s="1" t="s">
        <v>0</v>
      </c>
      <c r="D240" s="1" t="s">
        <v>11999</v>
      </c>
      <c r="E240" s="1" t="s">
        <v>2291</v>
      </c>
      <c r="F240" s="1" t="s">
        <v>14</v>
      </c>
      <c r="G240" s="1" t="s">
        <v>1</v>
      </c>
      <c r="H240" s="1" t="s">
        <v>6</v>
      </c>
      <c r="I240" s="1" t="s">
        <v>2</v>
      </c>
      <c r="J240" s="1" t="s">
        <v>3</v>
      </c>
      <c r="K240" s="1" t="s">
        <v>13059</v>
      </c>
      <c r="L240" s="1" t="s">
        <v>7</v>
      </c>
      <c r="M240" s="1" t="s">
        <v>9</v>
      </c>
      <c r="N240" s="1" t="s">
        <v>13060</v>
      </c>
      <c r="O240" s="1" t="s">
        <v>12103</v>
      </c>
      <c r="P240" s="1"/>
      <c r="Q240" s="1"/>
      <c r="R240" s="1" t="s">
        <v>11</v>
      </c>
      <c r="S240" s="1"/>
      <c r="T240" s="1"/>
      <c r="U240" s="1"/>
      <c r="V240" s="1"/>
      <c r="W240" s="1"/>
      <c r="X240" s="1" t="s">
        <v>12038</v>
      </c>
      <c r="Y240" s="1"/>
      <c r="Z240" s="1"/>
      <c r="AA240" s="1"/>
      <c r="AB240" s="1"/>
      <c r="AC240" s="1"/>
      <c r="AD240" s="1"/>
      <c r="AE240" s="6" t="s">
        <v>13061</v>
      </c>
      <c r="AF240" s="1"/>
      <c r="AG240" s="1"/>
      <c r="AH240" s="1" t="s">
        <v>13062</v>
      </c>
      <c r="AI240" s="1"/>
      <c r="AJ240" s="1" t="s">
        <v>51</v>
      </c>
      <c r="AK240" s="1" t="s">
        <v>518</v>
      </c>
      <c r="AL240" s="1" t="s">
        <v>136</v>
      </c>
      <c r="AM240" s="1" t="s">
        <v>13063</v>
      </c>
      <c r="AN240" s="1" t="s">
        <v>518</v>
      </c>
      <c r="AO240" s="1"/>
      <c r="AP240" s="2" t="s">
        <v>13064</v>
      </c>
      <c r="AQ240" s="2" t="s">
        <v>1077</v>
      </c>
      <c r="AR240" s="1" t="s">
        <v>287</v>
      </c>
      <c r="AS240" s="1"/>
      <c r="AT240" s="1" t="s">
        <v>5</v>
      </c>
    </row>
    <row r="241" spans="1:46" hidden="1" x14ac:dyDescent="0.4">
      <c r="A241" s="7" t="s">
        <v>13065</v>
      </c>
      <c r="B241" s="10">
        <v>0</v>
      </c>
      <c r="C241" s="1" t="s">
        <v>0</v>
      </c>
      <c r="D241" s="1" t="s">
        <v>11999</v>
      </c>
      <c r="E241" s="1" t="s">
        <v>2291</v>
      </c>
      <c r="F241" s="1" t="s">
        <v>14</v>
      </c>
      <c r="G241" s="1" t="s">
        <v>1</v>
      </c>
      <c r="H241" s="1" t="s">
        <v>6</v>
      </c>
      <c r="I241" s="1" t="s">
        <v>2</v>
      </c>
      <c r="J241" s="1" t="s">
        <v>3</v>
      </c>
      <c r="K241" s="1" t="s">
        <v>13066</v>
      </c>
      <c r="L241" s="1" t="s">
        <v>7</v>
      </c>
      <c r="M241" s="1" t="s">
        <v>9</v>
      </c>
      <c r="N241" s="1" t="s">
        <v>13067</v>
      </c>
      <c r="O241" s="1" t="s">
        <v>12103</v>
      </c>
      <c r="P241" s="1"/>
      <c r="Q241" s="1"/>
      <c r="R241" s="1" t="s">
        <v>11</v>
      </c>
      <c r="S241" s="1"/>
      <c r="T241" s="1"/>
      <c r="U241" s="1"/>
      <c r="V241" s="1"/>
      <c r="W241" s="1"/>
      <c r="X241" s="1" t="s">
        <v>12038</v>
      </c>
      <c r="Y241" s="1"/>
      <c r="Z241" s="1"/>
      <c r="AA241" s="1"/>
      <c r="AB241" s="1"/>
      <c r="AC241" s="1"/>
      <c r="AD241" s="1"/>
      <c r="AE241" s="6" t="s">
        <v>13061</v>
      </c>
      <c r="AF241" s="1"/>
      <c r="AG241" s="1"/>
      <c r="AH241" s="1" t="s">
        <v>13068</v>
      </c>
      <c r="AI241" s="1"/>
      <c r="AJ241" s="1" t="s">
        <v>51</v>
      </c>
      <c r="AK241" s="1" t="s">
        <v>518</v>
      </c>
      <c r="AL241" s="1" t="s">
        <v>136</v>
      </c>
      <c r="AM241" s="1" t="s">
        <v>13063</v>
      </c>
      <c r="AN241" s="1" t="s">
        <v>518</v>
      </c>
      <c r="AO241" s="1"/>
      <c r="AP241" s="2" t="s">
        <v>13069</v>
      </c>
      <c r="AQ241" s="2" t="s">
        <v>1077</v>
      </c>
      <c r="AR241" s="1" t="s">
        <v>287</v>
      </c>
      <c r="AS241" s="1"/>
      <c r="AT241" s="1" t="s">
        <v>5</v>
      </c>
    </row>
    <row r="242" spans="1:46" hidden="1" x14ac:dyDescent="0.4">
      <c r="A242" s="7" t="s">
        <v>13105</v>
      </c>
      <c r="B242" s="10">
        <v>0</v>
      </c>
      <c r="C242" s="1" t="s">
        <v>0</v>
      </c>
      <c r="D242" s="1" t="s">
        <v>11999</v>
      </c>
      <c r="E242" s="1" t="s">
        <v>2291</v>
      </c>
      <c r="F242" s="1" t="s">
        <v>14</v>
      </c>
      <c r="G242" s="1" t="s">
        <v>1</v>
      </c>
      <c r="H242" s="1" t="s">
        <v>6</v>
      </c>
      <c r="I242" s="1" t="s">
        <v>2</v>
      </c>
      <c r="J242" s="1" t="s">
        <v>3</v>
      </c>
      <c r="K242" s="1" t="s">
        <v>13106</v>
      </c>
      <c r="L242" s="1" t="s">
        <v>7</v>
      </c>
      <c r="M242" s="1" t="s">
        <v>8</v>
      </c>
      <c r="N242" s="1" t="s">
        <v>13107</v>
      </c>
      <c r="O242" s="1" t="s">
        <v>12037</v>
      </c>
      <c r="P242" s="1"/>
      <c r="Q242" s="1"/>
      <c r="R242" s="1" t="s">
        <v>11</v>
      </c>
      <c r="S242" s="1"/>
      <c r="T242" s="1"/>
      <c r="U242" s="1"/>
      <c r="V242" s="1"/>
      <c r="W242" s="1" t="s">
        <v>13108</v>
      </c>
      <c r="X242" s="1" t="s">
        <v>10021</v>
      </c>
      <c r="Y242" s="1"/>
      <c r="Z242" s="1"/>
      <c r="AA242" s="1"/>
      <c r="AB242" s="1"/>
      <c r="AC242" s="1"/>
      <c r="AD242" s="1"/>
      <c r="AE242" s="6" t="s">
        <v>13109</v>
      </c>
      <c r="AF242" s="1"/>
      <c r="AG242" s="1"/>
      <c r="AH242" s="1" t="s">
        <v>13110</v>
      </c>
      <c r="AI242" s="1"/>
      <c r="AJ242" s="1" t="s">
        <v>51</v>
      </c>
      <c r="AK242" s="1" t="s">
        <v>518</v>
      </c>
      <c r="AL242" s="1" t="s">
        <v>136</v>
      </c>
      <c r="AM242" s="1" t="s">
        <v>13111</v>
      </c>
      <c r="AN242" s="1" t="s">
        <v>518</v>
      </c>
      <c r="AO242" s="1" t="s">
        <v>13112</v>
      </c>
      <c r="AP242" s="2" t="s">
        <v>13113</v>
      </c>
      <c r="AQ242" s="2" t="s">
        <v>1077</v>
      </c>
      <c r="AR242" s="1" t="s">
        <v>287</v>
      </c>
      <c r="AS242" s="1"/>
      <c r="AT242" s="1" t="s">
        <v>5</v>
      </c>
    </row>
    <row r="243" spans="1:46" hidden="1" x14ac:dyDescent="0.4">
      <c r="A243" s="7" t="s">
        <v>13114</v>
      </c>
      <c r="B243" s="11"/>
      <c r="C243" s="1" t="s">
        <v>1664</v>
      </c>
      <c r="D243" s="1" t="s">
        <v>11999</v>
      </c>
      <c r="E243" s="1" t="s">
        <v>2291</v>
      </c>
      <c r="F243" s="1" t="s">
        <v>14</v>
      </c>
      <c r="G243" s="1" t="s">
        <v>1</v>
      </c>
      <c r="H243" s="1" t="s">
        <v>6</v>
      </c>
      <c r="I243" s="1" t="s">
        <v>2</v>
      </c>
      <c r="J243" s="1" t="s">
        <v>3</v>
      </c>
      <c r="K243" s="1" t="s">
        <v>13115</v>
      </c>
      <c r="L243" s="1" t="s">
        <v>7</v>
      </c>
      <c r="M243" s="1" t="s">
        <v>9</v>
      </c>
      <c r="N243" s="1" t="s">
        <v>13116</v>
      </c>
      <c r="O243" s="1" t="s">
        <v>13117</v>
      </c>
      <c r="P243" s="1"/>
      <c r="Q243" s="1"/>
      <c r="R243" s="1" t="s">
        <v>11</v>
      </c>
      <c r="S243" s="1"/>
      <c r="T243" s="1"/>
      <c r="U243" s="1"/>
      <c r="V243" s="1"/>
      <c r="W243" s="1"/>
      <c r="X243" s="1" t="s">
        <v>10021</v>
      </c>
      <c r="Y243" s="1"/>
      <c r="Z243" s="1"/>
      <c r="AA243" s="1"/>
      <c r="AB243" s="1"/>
      <c r="AC243" s="1"/>
      <c r="AD243" s="1"/>
      <c r="AE243" s="6" t="s">
        <v>13118</v>
      </c>
      <c r="AF243" s="1"/>
      <c r="AG243" s="1"/>
      <c r="AH243" s="1" t="s">
        <v>13119</v>
      </c>
      <c r="AI243" s="1"/>
      <c r="AJ243" s="1" t="s">
        <v>1671</v>
      </c>
      <c r="AK243" s="1" t="s">
        <v>1672</v>
      </c>
      <c r="AL243" s="1" t="s">
        <v>1673</v>
      </c>
      <c r="AM243" s="1" t="s">
        <v>1671</v>
      </c>
      <c r="AN243" s="1" t="s">
        <v>1672</v>
      </c>
      <c r="AO243" s="1" t="s">
        <v>1673</v>
      </c>
      <c r="AP243" s="2" t="s">
        <v>13120</v>
      </c>
      <c r="AQ243" s="2" t="s">
        <v>1077</v>
      </c>
      <c r="AR243" s="1" t="s">
        <v>287</v>
      </c>
      <c r="AS243" s="1"/>
      <c r="AT243" s="1" t="s">
        <v>5</v>
      </c>
    </row>
    <row r="244" spans="1:46" hidden="1" x14ac:dyDescent="0.4">
      <c r="A244" s="7" t="s">
        <v>13169</v>
      </c>
      <c r="B244" s="11"/>
      <c r="C244" s="1" t="s">
        <v>4640</v>
      </c>
      <c r="D244" s="1" t="s">
        <v>11999</v>
      </c>
      <c r="E244" s="1" t="s">
        <v>2291</v>
      </c>
      <c r="F244" s="1" t="s">
        <v>14</v>
      </c>
      <c r="G244" s="1" t="s">
        <v>1</v>
      </c>
      <c r="H244" s="1" t="s">
        <v>6</v>
      </c>
      <c r="I244" s="1" t="s">
        <v>2</v>
      </c>
      <c r="J244" s="1" t="s">
        <v>3514</v>
      </c>
      <c r="K244" s="1" t="s">
        <v>13170</v>
      </c>
      <c r="L244" s="1" t="s">
        <v>7</v>
      </c>
      <c r="M244" s="1"/>
      <c r="N244" s="1" t="s">
        <v>13171</v>
      </c>
      <c r="O244" s="1" t="s">
        <v>13172</v>
      </c>
      <c r="P244" s="1"/>
      <c r="Q244" s="1"/>
      <c r="R244" s="1" t="s">
        <v>11</v>
      </c>
      <c r="S244" s="1"/>
      <c r="T244" s="1"/>
      <c r="U244" s="1"/>
      <c r="V244" s="1"/>
      <c r="W244" s="1"/>
      <c r="X244" s="1" t="s">
        <v>12026</v>
      </c>
      <c r="Y244" s="1"/>
      <c r="Z244" s="1"/>
      <c r="AA244" s="1"/>
      <c r="AB244" s="1"/>
      <c r="AC244" s="1"/>
      <c r="AD244" s="1"/>
      <c r="AE244" s="6" t="s">
        <v>13173</v>
      </c>
      <c r="AF244" s="1"/>
      <c r="AG244" s="1"/>
      <c r="AH244" s="1" t="s">
        <v>13174</v>
      </c>
      <c r="AI244" s="1"/>
      <c r="AJ244" s="1" t="s">
        <v>4647</v>
      </c>
      <c r="AK244" s="1" t="s">
        <v>4340</v>
      </c>
      <c r="AL244" s="1" t="s">
        <v>4648</v>
      </c>
      <c r="AM244" s="1" t="s">
        <v>4647</v>
      </c>
      <c r="AN244" s="1" t="s">
        <v>4340</v>
      </c>
      <c r="AO244" s="1" t="s">
        <v>4648</v>
      </c>
      <c r="AP244" s="2" t="s">
        <v>13175</v>
      </c>
      <c r="AQ244" s="2" t="s">
        <v>1077</v>
      </c>
      <c r="AR244" s="1" t="s">
        <v>286</v>
      </c>
      <c r="AS244" s="1" t="s">
        <v>13176</v>
      </c>
      <c r="AT244" s="1" t="s">
        <v>5</v>
      </c>
    </row>
    <row r="245" spans="1:46" hidden="1" x14ac:dyDescent="0.4">
      <c r="A245" s="7" t="s">
        <v>13221</v>
      </c>
      <c r="B245" s="10">
        <v>0</v>
      </c>
      <c r="C245" s="1" t="s">
        <v>0</v>
      </c>
      <c r="D245" s="1" t="s">
        <v>11999</v>
      </c>
      <c r="E245" s="1" t="s">
        <v>2291</v>
      </c>
      <c r="F245" s="1" t="s">
        <v>14</v>
      </c>
      <c r="G245" s="1" t="s">
        <v>1</v>
      </c>
      <c r="H245" s="1" t="s">
        <v>6</v>
      </c>
      <c r="I245" s="1" t="s">
        <v>2</v>
      </c>
      <c r="J245" s="1" t="s">
        <v>3</v>
      </c>
      <c r="K245" s="1" t="s">
        <v>13222</v>
      </c>
      <c r="L245" s="1" t="s">
        <v>7</v>
      </c>
      <c r="M245" s="1" t="s">
        <v>9</v>
      </c>
      <c r="N245" s="1" t="s">
        <v>13223</v>
      </c>
      <c r="O245" s="1" t="s">
        <v>12103</v>
      </c>
      <c r="P245" s="1"/>
      <c r="Q245" s="1"/>
      <c r="R245" s="1" t="s">
        <v>11</v>
      </c>
      <c r="S245" s="1"/>
      <c r="T245" s="1"/>
      <c r="U245" s="1"/>
      <c r="V245" s="1"/>
      <c r="W245" s="1" t="s">
        <v>13224</v>
      </c>
      <c r="X245" s="1" t="s">
        <v>12038</v>
      </c>
      <c r="Y245" s="1"/>
      <c r="Z245" s="1"/>
      <c r="AA245" s="1"/>
      <c r="AB245" s="1"/>
      <c r="AC245" s="1"/>
      <c r="AD245" s="1"/>
      <c r="AE245" s="6" t="s">
        <v>13225</v>
      </c>
      <c r="AF245" s="1"/>
      <c r="AG245" s="1"/>
      <c r="AH245" s="1" t="s">
        <v>13226</v>
      </c>
      <c r="AI245" s="1"/>
      <c r="AJ245" s="1" t="s">
        <v>2085</v>
      </c>
      <c r="AK245" s="1" t="s">
        <v>5322</v>
      </c>
      <c r="AL245" s="1"/>
      <c r="AM245" s="1" t="s">
        <v>13227</v>
      </c>
      <c r="AN245" s="1" t="s">
        <v>5322</v>
      </c>
      <c r="AO245" s="1" t="s">
        <v>13228</v>
      </c>
      <c r="AP245" s="2" t="s">
        <v>13229</v>
      </c>
      <c r="AQ245" s="2" t="s">
        <v>1154</v>
      </c>
      <c r="AR245" s="1" t="s">
        <v>286</v>
      </c>
      <c r="AS245" s="1" t="s">
        <v>13230</v>
      </c>
      <c r="AT245" s="1" t="s">
        <v>5</v>
      </c>
    </row>
    <row r="246" spans="1:46" hidden="1" x14ac:dyDescent="0.4">
      <c r="A246" s="7" t="s">
        <v>13274</v>
      </c>
      <c r="B246" s="10">
        <v>0</v>
      </c>
      <c r="C246" s="1" t="s">
        <v>0</v>
      </c>
      <c r="D246" s="1" t="s">
        <v>11999</v>
      </c>
      <c r="E246" s="1" t="s">
        <v>2291</v>
      </c>
      <c r="F246" s="1" t="s">
        <v>14</v>
      </c>
      <c r="G246" s="1" t="s">
        <v>1</v>
      </c>
      <c r="H246" s="1" t="s">
        <v>6</v>
      </c>
      <c r="I246" s="1" t="s">
        <v>2</v>
      </c>
      <c r="J246" s="1" t="s">
        <v>3</v>
      </c>
      <c r="K246" s="1" t="s">
        <v>13275</v>
      </c>
      <c r="L246" s="1" t="s">
        <v>7</v>
      </c>
      <c r="M246" s="1" t="s">
        <v>9</v>
      </c>
      <c r="N246" s="1" t="s">
        <v>13276</v>
      </c>
      <c r="O246" s="1" t="s">
        <v>12405</v>
      </c>
      <c r="P246" s="1"/>
      <c r="Q246" s="1"/>
      <c r="R246" s="1" t="s">
        <v>11</v>
      </c>
      <c r="S246" s="1"/>
      <c r="T246" s="1"/>
      <c r="U246" s="1"/>
      <c r="V246" s="1"/>
      <c r="W246" s="1"/>
      <c r="X246" s="1" t="s">
        <v>12038</v>
      </c>
      <c r="Y246" s="1"/>
      <c r="Z246" s="1"/>
      <c r="AA246" s="1"/>
      <c r="AB246" s="1"/>
      <c r="AC246" s="1"/>
      <c r="AD246" s="1"/>
      <c r="AE246" s="6" t="s">
        <v>13277</v>
      </c>
      <c r="AF246" s="1"/>
      <c r="AG246" s="1"/>
      <c r="AH246" s="1" t="s">
        <v>13278</v>
      </c>
      <c r="AI246" s="1"/>
      <c r="AJ246" s="1" t="s">
        <v>13279</v>
      </c>
      <c r="AK246" s="1" t="s">
        <v>13280</v>
      </c>
      <c r="AL246" s="1"/>
      <c r="AM246" s="1" t="s">
        <v>13279</v>
      </c>
      <c r="AN246" s="1" t="s">
        <v>13280</v>
      </c>
      <c r="AO246" s="1"/>
      <c r="AP246" s="2" t="s">
        <v>13281</v>
      </c>
      <c r="AQ246" s="2" t="s">
        <v>1154</v>
      </c>
      <c r="AR246" s="1" t="s">
        <v>286</v>
      </c>
      <c r="AS246" s="1" t="s">
        <v>13282</v>
      </c>
      <c r="AT246" s="1" t="s">
        <v>5</v>
      </c>
    </row>
    <row r="247" spans="1:46" hidden="1" x14ac:dyDescent="0.4">
      <c r="A247" s="7" t="s">
        <v>13296</v>
      </c>
      <c r="B247" s="11"/>
      <c r="C247" s="1" t="s">
        <v>2705</v>
      </c>
      <c r="D247" s="1" t="s">
        <v>11999</v>
      </c>
      <c r="E247" s="1" t="s">
        <v>2291</v>
      </c>
      <c r="F247" s="1" t="s">
        <v>14</v>
      </c>
      <c r="G247" s="1" t="s">
        <v>1</v>
      </c>
      <c r="H247" s="1" t="s">
        <v>6</v>
      </c>
      <c r="I247" s="1" t="s">
        <v>2</v>
      </c>
      <c r="J247" s="1" t="s">
        <v>2813</v>
      </c>
      <c r="K247" s="1" t="s">
        <v>13297</v>
      </c>
      <c r="L247" s="1" t="s">
        <v>7</v>
      </c>
      <c r="M247" s="1" t="s">
        <v>9</v>
      </c>
      <c r="N247" s="1" t="s">
        <v>13298</v>
      </c>
      <c r="O247" s="1" t="s">
        <v>12177</v>
      </c>
      <c r="P247" s="1"/>
      <c r="Q247" s="1"/>
      <c r="R247" s="1" t="s">
        <v>11</v>
      </c>
      <c r="S247" s="1"/>
      <c r="T247" s="1"/>
      <c r="U247" s="1"/>
      <c r="V247" s="1"/>
      <c r="W247" s="1"/>
      <c r="X247" s="1" t="s">
        <v>10021</v>
      </c>
      <c r="Y247" s="1"/>
      <c r="Z247" s="1"/>
      <c r="AA247" s="1"/>
      <c r="AB247" s="1"/>
      <c r="AC247" s="1"/>
      <c r="AD247" s="1"/>
      <c r="AE247" s="6" t="s">
        <v>13299</v>
      </c>
      <c r="AF247" s="1"/>
      <c r="AG247" s="1"/>
      <c r="AH247" s="1" t="s">
        <v>13300</v>
      </c>
      <c r="AI247" s="1"/>
      <c r="AJ247" s="1" t="s">
        <v>3920</v>
      </c>
      <c r="AK247" s="1" t="s">
        <v>3921</v>
      </c>
      <c r="AL247" s="1" t="s">
        <v>3922</v>
      </c>
      <c r="AM247" s="1" t="s">
        <v>13301</v>
      </c>
      <c r="AN247" s="1" t="s">
        <v>3921</v>
      </c>
      <c r="AO247" s="1" t="s">
        <v>13302</v>
      </c>
      <c r="AP247" s="2" t="s">
        <v>13303</v>
      </c>
      <c r="AQ247" s="2" t="s">
        <v>1154</v>
      </c>
      <c r="AR247" s="1" t="s">
        <v>286</v>
      </c>
      <c r="AS247" s="1"/>
      <c r="AT247" s="1" t="s">
        <v>5</v>
      </c>
    </row>
    <row r="248" spans="1:46" hidden="1" x14ac:dyDescent="0.4">
      <c r="A248" s="7" t="s">
        <v>13344</v>
      </c>
      <c r="B248" s="11"/>
      <c r="C248" s="1" t="s">
        <v>0</v>
      </c>
      <c r="D248" s="1" t="s">
        <v>11999</v>
      </c>
      <c r="E248" s="1" t="s">
        <v>2291</v>
      </c>
      <c r="F248" s="1" t="s">
        <v>14</v>
      </c>
      <c r="G248" s="1" t="s">
        <v>1</v>
      </c>
      <c r="H248" s="1" t="s">
        <v>6</v>
      </c>
      <c r="I248" s="1" t="s">
        <v>2</v>
      </c>
      <c r="J248" s="1" t="s">
        <v>3</v>
      </c>
      <c r="K248" s="1" t="s">
        <v>13345</v>
      </c>
      <c r="L248" s="1" t="s">
        <v>7</v>
      </c>
      <c r="M248" s="1" t="s">
        <v>9</v>
      </c>
      <c r="N248" s="1" t="s">
        <v>13346</v>
      </c>
      <c r="O248" s="1" t="s">
        <v>12009</v>
      </c>
      <c r="P248" s="1"/>
      <c r="Q248" s="1"/>
      <c r="R248" s="1" t="s">
        <v>11</v>
      </c>
      <c r="S248" s="1"/>
      <c r="T248" s="1"/>
      <c r="U248" s="1"/>
      <c r="V248" s="1"/>
      <c r="W248" s="1" t="s">
        <v>13347</v>
      </c>
      <c r="X248" s="1" t="s">
        <v>12026</v>
      </c>
      <c r="Y248" s="1"/>
      <c r="Z248" s="1"/>
      <c r="AA248" s="1"/>
      <c r="AB248" s="1"/>
      <c r="AC248" s="1"/>
      <c r="AD248" s="1"/>
      <c r="AE248" s="6" t="s">
        <v>13348</v>
      </c>
      <c r="AF248" s="1"/>
      <c r="AG248" s="1"/>
      <c r="AH248" s="1" t="s">
        <v>13349</v>
      </c>
      <c r="AI248" s="1" t="s">
        <v>13350</v>
      </c>
      <c r="AJ248" s="1" t="s">
        <v>13351</v>
      </c>
      <c r="AK248" s="1" t="s">
        <v>1561</v>
      </c>
      <c r="AL248" s="1"/>
      <c r="AM248" s="1" t="s">
        <v>13352</v>
      </c>
      <c r="AN248" s="1" t="s">
        <v>1561</v>
      </c>
      <c r="AO248" s="1" t="s">
        <v>13353</v>
      </c>
      <c r="AP248" s="2" t="s">
        <v>13354</v>
      </c>
      <c r="AQ248" s="2" t="s">
        <v>1154</v>
      </c>
      <c r="AR248" s="1" t="s">
        <v>286</v>
      </c>
      <c r="AS248" s="1" t="s">
        <v>13355</v>
      </c>
      <c r="AT248" s="1" t="s">
        <v>5</v>
      </c>
    </row>
    <row r="249" spans="1:46" hidden="1" x14ac:dyDescent="0.4">
      <c r="A249" s="7" t="s">
        <v>13409</v>
      </c>
      <c r="B249" s="11"/>
      <c r="C249" s="1" t="s">
        <v>0</v>
      </c>
      <c r="D249" s="1" t="s">
        <v>11999</v>
      </c>
      <c r="E249" s="1" t="s">
        <v>2291</v>
      </c>
      <c r="F249" s="1" t="s">
        <v>14</v>
      </c>
      <c r="G249" s="1" t="s">
        <v>1</v>
      </c>
      <c r="H249" s="1" t="s">
        <v>6</v>
      </c>
      <c r="I249" s="1" t="s">
        <v>2</v>
      </c>
      <c r="J249" s="1" t="s">
        <v>3</v>
      </c>
      <c r="K249" s="1" t="s">
        <v>13410</v>
      </c>
      <c r="L249" s="1" t="s">
        <v>7</v>
      </c>
      <c r="M249" s="1"/>
      <c r="N249" s="1" t="s">
        <v>13411</v>
      </c>
      <c r="O249" s="1" t="s">
        <v>12103</v>
      </c>
      <c r="P249" s="1"/>
      <c r="Q249" s="1"/>
      <c r="R249" s="1" t="s">
        <v>11</v>
      </c>
      <c r="S249" s="1"/>
      <c r="T249" s="1"/>
      <c r="U249" s="1"/>
      <c r="V249" s="1"/>
      <c r="W249" s="1"/>
      <c r="X249" s="1" t="s">
        <v>12038</v>
      </c>
      <c r="Y249" s="1"/>
      <c r="Z249" s="1"/>
      <c r="AA249" s="1"/>
      <c r="AB249" s="1"/>
      <c r="AC249" s="1"/>
      <c r="AD249" s="1"/>
      <c r="AE249" s="6" t="s">
        <v>13412</v>
      </c>
      <c r="AF249" s="1"/>
      <c r="AG249" s="1"/>
      <c r="AH249" s="1" t="s">
        <v>13413</v>
      </c>
      <c r="AI249" s="1"/>
      <c r="AJ249" s="1" t="s">
        <v>2085</v>
      </c>
      <c r="AK249" s="1" t="s">
        <v>5322</v>
      </c>
      <c r="AL249" s="1"/>
      <c r="AM249" s="1" t="s">
        <v>13414</v>
      </c>
      <c r="AN249" s="1" t="s">
        <v>5322</v>
      </c>
      <c r="AO249" s="1" t="s">
        <v>13415</v>
      </c>
      <c r="AP249" s="2" t="s">
        <v>13416</v>
      </c>
      <c r="AQ249" s="2" t="s">
        <v>1154</v>
      </c>
      <c r="AR249" s="1" t="s">
        <v>286</v>
      </c>
      <c r="AS249" s="1" t="s">
        <v>13417</v>
      </c>
      <c r="AT249" s="1" t="s">
        <v>5</v>
      </c>
    </row>
    <row r="250" spans="1:46" hidden="1" x14ac:dyDescent="0.4">
      <c r="A250" s="7" t="s">
        <v>13430</v>
      </c>
      <c r="B250" s="11"/>
      <c r="C250" s="1" t="s">
        <v>0</v>
      </c>
      <c r="D250" s="1" t="s">
        <v>11999</v>
      </c>
      <c r="E250" s="1" t="s">
        <v>2291</v>
      </c>
      <c r="F250" s="1" t="s">
        <v>14</v>
      </c>
      <c r="G250" s="1" t="s">
        <v>1</v>
      </c>
      <c r="H250" s="1" t="s">
        <v>6</v>
      </c>
      <c r="I250" s="1" t="s">
        <v>2</v>
      </c>
      <c r="J250" s="1" t="s">
        <v>3</v>
      </c>
      <c r="K250" s="1" t="s">
        <v>13431</v>
      </c>
      <c r="L250" s="1" t="s">
        <v>4</v>
      </c>
      <c r="M250" s="1" t="s">
        <v>9</v>
      </c>
      <c r="N250" s="1" t="s">
        <v>13432</v>
      </c>
      <c r="O250" s="1" t="s">
        <v>12060</v>
      </c>
      <c r="P250" s="1"/>
      <c r="Q250" s="1"/>
      <c r="R250" s="1" t="s">
        <v>11</v>
      </c>
      <c r="S250" s="1"/>
      <c r="T250" s="1"/>
      <c r="U250" s="1"/>
      <c r="V250" s="1"/>
      <c r="W250" s="1" t="s">
        <v>13433</v>
      </c>
      <c r="X250" s="1" t="s">
        <v>12026</v>
      </c>
      <c r="Y250" s="1"/>
      <c r="Z250" s="1"/>
      <c r="AA250" s="1"/>
      <c r="AB250" s="1"/>
      <c r="AC250" s="1"/>
      <c r="AD250" s="1"/>
      <c r="AE250" s="6" t="s">
        <v>13434</v>
      </c>
      <c r="AF250" s="1"/>
      <c r="AG250" s="1"/>
      <c r="AH250" s="1" t="s">
        <v>13435</v>
      </c>
      <c r="AI250" s="1"/>
      <c r="AJ250" s="1" t="s">
        <v>158</v>
      </c>
      <c r="AK250" s="1" t="s">
        <v>504</v>
      </c>
      <c r="AL250" s="1" t="s">
        <v>159</v>
      </c>
      <c r="AM250" s="1" t="s">
        <v>1494</v>
      </c>
      <c r="AN250" s="1" t="s">
        <v>504</v>
      </c>
      <c r="AO250" s="1" t="s">
        <v>1495</v>
      </c>
      <c r="AP250" s="2" t="s">
        <v>13436</v>
      </c>
      <c r="AQ250" s="2" t="s">
        <v>1154</v>
      </c>
      <c r="AR250" s="1" t="s">
        <v>286</v>
      </c>
      <c r="AS250" s="1"/>
      <c r="AT250" s="1" t="s">
        <v>5</v>
      </c>
    </row>
    <row r="251" spans="1:46" hidden="1" x14ac:dyDescent="0.4">
      <c r="A251" s="7" t="s">
        <v>13489</v>
      </c>
      <c r="B251" s="11"/>
      <c r="C251" s="1" t="s">
        <v>0</v>
      </c>
      <c r="D251" s="1" t="s">
        <v>11999</v>
      </c>
      <c r="E251" s="1" t="s">
        <v>2291</v>
      </c>
      <c r="F251" s="1" t="s">
        <v>14</v>
      </c>
      <c r="G251" s="1" t="s">
        <v>1</v>
      </c>
      <c r="H251" s="1" t="s">
        <v>6</v>
      </c>
      <c r="I251" s="1" t="s">
        <v>2</v>
      </c>
      <c r="J251" s="1" t="s">
        <v>3</v>
      </c>
      <c r="K251" s="1" t="s">
        <v>13490</v>
      </c>
      <c r="L251" s="1" t="s">
        <v>7</v>
      </c>
      <c r="M251" s="1" t="s">
        <v>9</v>
      </c>
      <c r="N251" s="1" t="s">
        <v>13491</v>
      </c>
      <c r="O251" s="1" t="s">
        <v>12103</v>
      </c>
      <c r="P251" s="1"/>
      <c r="Q251" s="1"/>
      <c r="R251" s="1" t="s">
        <v>11</v>
      </c>
      <c r="S251" s="1"/>
      <c r="T251" s="1"/>
      <c r="U251" s="1"/>
      <c r="V251" s="1"/>
      <c r="W251" s="1"/>
      <c r="X251" s="1" t="s">
        <v>12038</v>
      </c>
      <c r="Y251" s="1"/>
      <c r="Z251" s="1"/>
      <c r="AA251" s="1"/>
      <c r="AB251" s="1"/>
      <c r="AC251" s="1"/>
      <c r="AD251" s="1"/>
      <c r="AE251" s="6" t="s">
        <v>13492</v>
      </c>
      <c r="AF251" s="1"/>
      <c r="AG251" s="1"/>
      <c r="AH251" s="1" t="s">
        <v>13493</v>
      </c>
      <c r="AI251" s="1"/>
      <c r="AJ251" s="1" t="s">
        <v>51</v>
      </c>
      <c r="AK251" s="1" t="s">
        <v>518</v>
      </c>
      <c r="AL251" s="1" t="s">
        <v>136</v>
      </c>
      <c r="AM251" s="1" t="s">
        <v>13494</v>
      </c>
      <c r="AN251" s="1" t="s">
        <v>518</v>
      </c>
      <c r="AO251" s="1" t="s">
        <v>13495</v>
      </c>
      <c r="AP251" s="2" t="s">
        <v>13496</v>
      </c>
      <c r="AQ251" s="2" t="s">
        <v>1154</v>
      </c>
      <c r="AR251" s="1" t="s">
        <v>286</v>
      </c>
      <c r="AS251" s="1" t="s">
        <v>13497</v>
      </c>
      <c r="AT251" s="1" t="s">
        <v>5</v>
      </c>
    </row>
    <row r="252" spans="1:46" hidden="1" x14ac:dyDescent="0.4">
      <c r="A252" s="7" t="s">
        <v>13678</v>
      </c>
      <c r="B252" s="11"/>
      <c r="C252" s="1" t="s">
        <v>4980</v>
      </c>
      <c r="D252" s="1" t="s">
        <v>11999</v>
      </c>
      <c r="E252" s="1" t="s">
        <v>2291</v>
      </c>
      <c r="F252" s="1" t="s">
        <v>14</v>
      </c>
      <c r="G252" s="1" t="s">
        <v>1</v>
      </c>
      <c r="H252" s="1" t="s">
        <v>6</v>
      </c>
      <c r="I252" s="1" t="s">
        <v>2</v>
      </c>
      <c r="J252" s="1" t="s">
        <v>4519</v>
      </c>
      <c r="K252" s="1" t="s">
        <v>13679</v>
      </c>
      <c r="L252" s="1" t="s">
        <v>7</v>
      </c>
      <c r="M252" s="1"/>
      <c r="N252" s="1" t="s">
        <v>13680</v>
      </c>
      <c r="O252" s="1" t="s">
        <v>12002</v>
      </c>
      <c r="P252" s="1"/>
      <c r="Q252" s="1"/>
      <c r="R252" s="1" t="s">
        <v>11</v>
      </c>
      <c r="S252" s="1"/>
      <c r="T252" s="1"/>
      <c r="U252" s="1"/>
      <c r="V252" s="1"/>
      <c r="W252" s="1" t="s">
        <v>13681</v>
      </c>
      <c r="X252" s="1" t="s">
        <v>12135</v>
      </c>
      <c r="Y252" s="1"/>
      <c r="Z252" s="1"/>
      <c r="AA252" s="1"/>
      <c r="AB252" s="1"/>
      <c r="AC252" s="1"/>
      <c r="AD252" s="1"/>
      <c r="AE252" s="6" t="s">
        <v>12565</v>
      </c>
      <c r="AF252" s="1"/>
      <c r="AG252" s="1"/>
      <c r="AH252" s="1" t="s">
        <v>13682</v>
      </c>
      <c r="AI252" s="1"/>
      <c r="AJ252" s="1" t="s">
        <v>4988</v>
      </c>
      <c r="AK252" s="1" t="s">
        <v>3521</v>
      </c>
      <c r="AL252" s="1" t="s">
        <v>4989</v>
      </c>
      <c r="AM252" s="1" t="s">
        <v>4988</v>
      </c>
      <c r="AN252" s="1" t="s">
        <v>3521</v>
      </c>
      <c r="AO252" s="1" t="s">
        <v>4989</v>
      </c>
      <c r="AP252" s="2" t="s">
        <v>13683</v>
      </c>
      <c r="AQ252" s="2" t="s">
        <v>1154</v>
      </c>
      <c r="AR252" s="1" t="s">
        <v>286</v>
      </c>
      <c r="AS252" s="1" t="s">
        <v>13684</v>
      </c>
      <c r="AT252" s="1" t="s">
        <v>5</v>
      </c>
    </row>
    <row r="253" spans="1:46" hidden="1" x14ac:dyDescent="0.4">
      <c r="A253" s="7" t="s">
        <v>13746</v>
      </c>
      <c r="B253" s="11"/>
      <c r="C253" s="1" t="s">
        <v>2705</v>
      </c>
      <c r="D253" s="1" t="s">
        <v>11999</v>
      </c>
      <c r="E253" s="1" t="s">
        <v>2291</v>
      </c>
      <c r="F253" s="1" t="s">
        <v>14</v>
      </c>
      <c r="G253" s="1" t="s">
        <v>1</v>
      </c>
      <c r="H253" s="1" t="s">
        <v>6</v>
      </c>
      <c r="I253" s="1" t="s">
        <v>2</v>
      </c>
      <c r="J253" s="1" t="s">
        <v>2813</v>
      </c>
      <c r="K253" s="1" t="s">
        <v>13747</v>
      </c>
      <c r="L253" s="1" t="s">
        <v>7</v>
      </c>
      <c r="M253" s="1" t="s">
        <v>9</v>
      </c>
      <c r="N253" s="1" t="s">
        <v>13748</v>
      </c>
      <c r="O253" s="1" t="s">
        <v>12047</v>
      </c>
      <c r="P253" s="1" t="s">
        <v>13749</v>
      </c>
      <c r="Q253" s="1"/>
      <c r="R253" s="1" t="s">
        <v>11</v>
      </c>
      <c r="S253" s="1"/>
      <c r="T253" s="1"/>
      <c r="U253" s="1"/>
      <c r="V253" s="1"/>
      <c r="W253" s="1"/>
      <c r="X253" s="1" t="s">
        <v>12038</v>
      </c>
      <c r="Y253" s="1"/>
      <c r="Z253" s="1"/>
      <c r="AA253" s="1"/>
      <c r="AB253" s="1"/>
      <c r="AC253" s="1"/>
      <c r="AD253" s="1"/>
      <c r="AE253" s="6" t="s">
        <v>13750</v>
      </c>
      <c r="AF253" s="1"/>
      <c r="AG253" s="1"/>
      <c r="AH253" s="1" t="s">
        <v>13751</v>
      </c>
      <c r="AI253" s="1"/>
      <c r="AJ253" s="1" t="s">
        <v>13752</v>
      </c>
      <c r="AK253" s="1" t="s">
        <v>9480</v>
      </c>
      <c r="AL253" s="1" t="s">
        <v>13753</v>
      </c>
      <c r="AM253" s="1" t="s">
        <v>13752</v>
      </c>
      <c r="AN253" s="1" t="s">
        <v>9480</v>
      </c>
      <c r="AO253" s="1" t="s">
        <v>13753</v>
      </c>
      <c r="AP253" s="2" t="s">
        <v>13754</v>
      </c>
      <c r="AQ253" s="2" t="s">
        <v>1155</v>
      </c>
      <c r="AR253" s="1" t="s">
        <v>286</v>
      </c>
      <c r="AS253" s="1" t="s">
        <v>13755</v>
      </c>
      <c r="AT253" s="1" t="s">
        <v>5</v>
      </c>
    </row>
    <row r="254" spans="1:46" hidden="1" x14ac:dyDescent="0.4">
      <c r="A254" s="7" t="s">
        <v>13756</v>
      </c>
      <c r="B254" s="11"/>
      <c r="C254" s="1" t="s">
        <v>0</v>
      </c>
      <c r="D254" s="1" t="s">
        <v>11999</v>
      </c>
      <c r="E254" s="1" t="s">
        <v>2291</v>
      </c>
      <c r="F254" s="1" t="s">
        <v>14</v>
      </c>
      <c r="G254" s="1" t="s">
        <v>1</v>
      </c>
      <c r="H254" s="1" t="s">
        <v>6</v>
      </c>
      <c r="I254" s="1" t="s">
        <v>2</v>
      </c>
      <c r="J254" s="1" t="s">
        <v>3</v>
      </c>
      <c r="K254" s="1" t="s">
        <v>13757</v>
      </c>
      <c r="L254" s="1" t="s">
        <v>7</v>
      </c>
      <c r="M254" s="1" t="s">
        <v>9</v>
      </c>
      <c r="N254" s="1" t="s">
        <v>13758</v>
      </c>
      <c r="O254" s="1" t="s">
        <v>12077</v>
      </c>
      <c r="P254" s="1"/>
      <c r="Q254" s="1"/>
      <c r="R254" s="1" t="s">
        <v>11</v>
      </c>
      <c r="S254" s="1"/>
      <c r="T254" s="1"/>
      <c r="U254" s="1"/>
      <c r="V254" s="1"/>
      <c r="W254" s="1" t="s">
        <v>13759</v>
      </c>
      <c r="X254" s="1" t="s">
        <v>12038</v>
      </c>
      <c r="Y254" s="1"/>
      <c r="Z254" s="1"/>
      <c r="AA254" s="1"/>
      <c r="AB254" s="1"/>
      <c r="AC254" s="1"/>
      <c r="AD254" s="1"/>
      <c r="AE254" s="6" t="s">
        <v>13760</v>
      </c>
      <c r="AF254" s="1"/>
      <c r="AG254" s="1"/>
      <c r="AH254" s="1" t="s">
        <v>13761</v>
      </c>
      <c r="AI254" s="1"/>
      <c r="AJ254" s="1" t="s">
        <v>51</v>
      </c>
      <c r="AK254" s="1" t="s">
        <v>1394</v>
      </c>
      <c r="AL254" s="1" t="s">
        <v>136</v>
      </c>
      <c r="AM254" s="1" t="s">
        <v>13762</v>
      </c>
      <c r="AN254" s="1" t="s">
        <v>1613</v>
      </c>
      <c r="AO254" s="1" t="s">
        <v>13763</v>
      </c>
      <c r="AP254" s="2" t="s">
        <v>13764</v>
      </c>
      <c r="AQ254" s="2" t="s">
        <v>1155</v>
      </c>
      <c r="AR254" s="1" t="s">
        <v>286</v>
      </c>
      <c r="AS254" s="1" t="s">
        <v>13765</v>
      </c>
      <c r="AT254" s="1" t="s">
        <v>5</v>
      </c>
    </row>
    <row r="255" spans="1:46" hidden="1" x14ac:dyDescent="0.4">
      <c r="A255" s="7" t="s">
        <v>13806</v>
      </c>
      <c r="B255" s="11"/>
      <c r="C255" s="1" t="s">
        <v>0</v>
      </c>
      <c r="D255" s="1" t="s">
        <v>11999</v>
      </c>
      <c r="E255" s="1" t="s">
        <v>2291</v>
      </c>
      <c r="F255" s="1" t="s">
        <v>14</v>
      </c>
      <c r="G255" s="1" t="s">
        <v>1</v>
      </c>
      <c r="H255" s="1" t="s">
        <v>6</v>
      </c>
      <c r="I255" s="1" t="s">
        <v>2</v>
      </c>
      <c r="J255" s="1" t="s">
        <v>3</v>
      </c>
      <c r="K255" s="1" t="s">
        <v>13807</v>
      </c>
      <c r="L255" s="1" t="s">
        <v>4</v>
      </c>
      <c r="M255" s="1" t="s">
        <v>9</v>
      </c>
      <c r="N255" s="1" t="s">
        <v>13808</v>
      </c>
      <c r="O255" s="1" t="s">
        <v>12405</v>
      </c>
      <c r="P255" s="1"/>
      <c r="Q255" s="1"/>
      <c r="R255" s="1" t="s">
        <v>11</v>
      </c>
      <c r="S255" s="1"/>
      <c r="T255" s="1"/>
      <c r="U255" s="1"/>
      <c r="V255" s="1"/>
      <c r="W255" s="1" t="s">
        <v>13809</v>
      </c>
      <c r="X255" s="1" t="s">
        <v>12038</v>
      </c>
      <c r="Y255" s="1"/>
      <c r="Z255" s="1"/>
      <c r="AA255" s="1"/>
      <c r="AB255" s="1"/>
      <c r="AC255" s="1"/>
      <c r="AD255" s="1"/>
      <c r="AE255" s="6" t="s">
        <v>12407</v>
      </c>
      <c r="AF255" s="1"/>
      <c r="AG255" s="1"/>
      <c r="AH255" s="1" t="s">
        <v>13810</v>
      </c>
      <c r="AI255" s="1"/>
      <c r="AJ255" s="1" t="s">
        <v>1528</v>
      </c>
      <c r="AK255" s="1" t="s">
        <v>279</v>
      </c>
      <c r="AL255" s="1" t="s">
        <v>1529</v>
      </c>
      <c r="AM255" s="1" t="s">
        <v>13811</v>
      </c>
      <c r="AN255" s="1" t="s">
        <v>279</v>
      </c>
      <c r="AO255" s="1" t="s">
        <v>13812</v>
      </c>
      <c r="AP255" s="2" t="s">
        <v>13813</v>
      </c>
      <c r="AQ255" s="2" t="s">
        <v>1155</v>
      </c>
      <c r="AR255" s="1" t="s">
        <v>286</v>
      </c>
      <c r="AS255" s="1" t="s">
        <v>13814</v>
      </c>
      <c r="AT255" s="1" t="s">
        <v>5</v>
      </c>
    </row>
    <row r="256" spans="1:46" hidden="1" x14ac:dyDescent="0.4">
      <c r="A256" s="7" t="s">
        <v>13815</v>
      </c>
      <c r="B256" s="11"/>
      <c r="C256" s="1" t="s">
        <v>3513</v>
      </c>
      <c r="D256" s="1" t="s">
        <v>11999</v>
      </c>
      <c r="E256" s="1" t="s">
        <v>2291</v>
      </c>
      <c r="F256" s="1" t="s">
        <v>14</v>
      </c>
      <c r="G256" s="1" t="s">
        <v>1</v>
      </c>
      <c r="H256" s="1" t="s">
        <v>6</v>
      </c>
      <c r="I256" s="1" t="s">
        <v>2</v>
      </c>
      <c r="J256" s="1" t="s">
        <v>3514</v>
      </c>
      <c r="K256" s="1" t="s">
        <v>13816</v>
      </c>
      <c r="L256" s="1" t="s">
        <v>7</v>
      </c>
      <c r="M256" s="1"/>
      <c r="N256" s="1" t="s">
        <v>13817</v>
      </c>
      <c r="O256" s="1" t="s">
        <v>9747</v>
      </c>
      <c r="P256" s="1" t="s">
        <v>13818</v>
      </c>
      <c r="Q256" s="1"/>
      <c r="R256" s="1" t="s">
        <v>11</v>
      </c>
      <c r="S256" s="1"/>
      <c r="T256" s="1"/>
      <c r="U256" s="1"/>
      <c r="V256" s="1"/>
      <c r="W256" s="1" t="s">
        <v>12483</v>
      </c>
      <c r="X256" s="1" t="s">
        <v>12135</v>
      </c>
      <c r="Y256" s="1"/>
      <c r="Z256" s="1"/>
      <c r="AA256" s="1"/>
      <c r="AB256" s="1"/>
      <c r="AC256" s="1"/>
      <c r="AD256" s="1"/>
      <c r="AE256" s="6" t="s">
        <v>13819</v>
      </c>
      <c r="AF256" s="1"/>
      <c r="AG256" s="1"/>
      <c r="AH256" s="1" t="s">
        <v>13820</v>
      </c>
      <c r="AI256" s="1"/>
      <c r="AJ256" s="1" t="s">
        <v>13821</v>
      </c>
      <c r="AK256" s="1" t="s">
        <v>3521</v>
      </c>
      <c r="AL256" s="1" t="s">
        <v>13822</v>
      </c>
      <c r="AM256" s="1" t="s">
        <v>13821</v>
      </c>
      <c r="AN256" s="1" t="s">
        <v>3521</v>
      </c>
      <c r="AO256" s="1" t="s">
        <v>13822</v>
      </c>
      <c r="AP256" s="2" t="s">
        <v>13823</v>
      </c>
      <c r="AQ256" s="2" t="s">
        <v>1155</v>
      </c>
      <c r="AR256" s="1" t="s">
        <v>286</v>
      </c>
      <c r="AS256" s="1" t="s">
        <v>9875</v>
      </c>
      <c r="AT256" s="1" t="s">
        <v>5</v>
      </c>
    </row>
    <row r="257" spans="1:46" hidden="1" x14ac:dyDescent="0.4">
      <c r="A257" s="7" t="s">
        <v>13834</v>
      </c>
      <c r="B257" s="11"/>
      <c r="C257" s="1" t="s">
        <v>0</v>
      </c>
      <c r="D257" s="1" t="s">
        <v>11999</v>
      </c>
      <c r="E257" s="1" t="s">
        <v>2291</v>
      </c>
      <c r="F257" s="1" t="s">
        <v>14</v>
      </c>
      <c r="G257" s="1" t="s">
        <v>1</v>
      </c>
      <c r="H257" s="1" t="s">
        <v>6</v>
      </c>
      <c r="I257" s="1" t="s">
        <v>2</v>
      </c>
      <c r="J257" s="1" t="s">
        <v>3</v>
      </c>
      <c r="K257" s="1" t="s">
        <v>13835</v>
      </c>
      <c r="L257" s="1" t="s">
        <v>4</v>
      </c>
      <c r="M257" s="1"/>
      <c r="N257" s="1" t="s">
        <v>13836</v>
      </c>
      <c r="O257" s="1" t="s">
        <v>13837</v>
      </c>
      <c r="P257" s="1"/>
      <c r="Q257" s="1"/>
      <c r="R257" s="1" t="s">
        <v>11</v>
      </c>
      <c r="S257" s="1"/>
      <c r="T257" s="1"/>
      <c r="U257" s="1"/>
      <c r="V257" s="1"/>
      <c r="W257" s="1"/>
      <c r="X257" s="1" t="s">
        <v>12026</v>
      </c>
      <c r="Y257" s="1"/>
      <c r="Z257" s="1"/>
      <c r="AA257" s="1"/>
      <c r="AB257" s="1"/>
      <c r="AC257" s="1"/>
      <c r="AD257" s="1"/>
      <c r="AE257" s="6" t="s">
        <v>13838</v>
      </c>
      <c r="AF257" s="1"/>
      <c r="AG257" s="1"/>
      <c r="AH257" s="1" t="s">
        <v>13839</v>
      </c>
      <c r="AI257" s="1"/>
      <c r="AJ257" s="1" t="s">
        <v>7809</v>
      </c>
      <c r="AK257" s="1" t="s">
        <v>7300</v>
      </c>
      <c r="AL257" s="1" t="s">
        <v>7810</v>
      </c>
      <c r="AM257" s="1" t="s">
        <v>13840</v>
      </c>
      <c r="AN257" s="1" t="s">
        <v>7300</v>
      </c>
      <c r="AO257" s="1" t="s">
        <v>13841</v>
      </c>
      <c r="AP257" s="2" t="s">
        <v>13842</v>
      </c>
      <c r="AQ257" s="2" t="s">
        <v>1155</v>
      </c>
      <c r="AR257" s="1" t="s">
        <v>286</v>
      </c>
      <c r="AS257" s="1" t="s">
        <v>13843</v>
      </c>
      <c r="AT257" s="1" t="s">
        <v>5</v>
      </c>
    </row>
    <row r="258" spans="1:46" hidden="1" x14ac:dyDescent="0.4">
      <c r="A258" s="7" t="s">
        <v>13953</v>
      </c>
      <c r="B258" s="11"/>
      <c r="C258" s="1" t="s">
        <v>93</v>
      </c>
      <c r="D258" s="1" t="s">
        <v>11999</v>
      </c>
      <c r="E258" s="1" t="s">
        <v>2291</v>
      </c>
      <c r="F258" s="1" t="s">
        <v>14</v>
      </c>
      <c r="G258" s="1" t="s">
        <v>1</v>
      </c>
      <c r="H258" s="1" t="s">
        <v>6</v>
      </c>
      <c r="I258" s="1" t="s">
        <v>2</v>
      </c>
      <c r="J258" s="1" t="s">
        <v>3</v>
      </c>
      <c r="K258" s="1" t="s">
        <v>13954</v>
      </c>
      <c r="L258" s="1" t="s">
        <v>7</v>
      </c>
      <c r="M258" s="1"/>
      <c r="N258" s="1" t="s">
        <v>13955</v>
      </c>
      <c r="O258" s="1" t="s">
        <v>1596</v>
      </c>
      <c r="P258" s="1"/>
      <c r="Q258" s="1"/>
      <c r="R258" s="1" t="s">
        <v>11</v>
      </c>
      <c r="S258" s="1"/>
      <c r="T258" s="1"/>
      <c r="U258" s="1"/>
      <c r="V258" s="1"/>
      <c r="W258" s="1"/>
      <c r="X258" s="1" t="s">
        <v>12026</v>
      </c>
      <c r="Y258" s="1"/>
      <c r="Z258" s="1"/>
      <c r="AA258" s="1"/>
      <c r="AB258" s="1"/>
      <c r="AC258" s="1"/>
      <c r="AD258" s="1"/>
      <c r="AE258" s="6" t="s">
        <v>13956</v>
      </c>
      <c r="AF258" s="1"/>
      <c r="AG258" s="1"/>
      <c r="AH258" s="1" t="s">
        <v>13957</v>
      </c>
      <c r="AI258" s="1"/>
      <c r="AJ258" s="1" t="s">
        <v>51</v>
      </c>
      <c r="AK258" s="1" t="s">
        <v>13958</v>
      </c>
      <c r="AL258" s="1" t="s">
        <v>13959</v>
      </c>
      <c r="AM258" s="1" t="s">
        <v>13960</v>
      </c>
      <c r="AN258" s="1" t="s">
        <v>13961</v>
      </c>
      <c r="AO258" s="1" t="s">
        <v>13962</v>
      </c>
      <c r="AP258" s="2" t="s">
        <v>13963</v>
      </c>
      <c r="AQ258" s="2" t="s">
        <v>1155</v>
      </c>
      <c r="AR258" s="1" t="s">
        <v>286</v>
      </c>
      <c r="AS258" s="1" t="s">
        <v>13964</v>
      </c>
      <c r="AT258" s="1" t="s">
        <v>5</v>
      </c>
    </row>
    <row r="259" spans="1:46" hidden="1" x14ac:dyDescent="0.4">
      <c r="A259" s="7" t="s">
        <v>13980</v>
      </c>
      <c r="B259" s="11"/>
      <c r="C259" s="1" t="s">
        <v>1664</v>
      </c>
      <c r="D259" s="1" t="s">
        <v>11999</v>
      </c>
      <c r="E259" s="1" t="s">
        <v>2291</v>
      </c>
      <c r="F259" s="1" t="s">
        <v>14</v>
      </c>
      <c r="G259" s="1" t="s">
        <v>1</v>
      </c>
      <c r="H259" s="1" t="s">
        <v>6</v>
      </c>
      <c r="I259" s="1" t="s">
        <v>2</v>
      </c>
      <c r="J259" s="1" t="s">
        <v>3</v>
      </c>
      <c r="K259" s="1" t="s">
        <v>13981</v>
      </c>
      <c r="L259" s="1" t="s">
        <v>7</v>
      </c>
      <c r="M259" s="1" t="s">
        <v>9</v>
      </c>
      <c r="N259" s="1" t="s">
        <v>13982</v>
      </c>
      <c r="O259" s="1" t="s">
        <v>13190</v>
      </c>
      <c r="P259" s="1"/>
      <c r="Q259" s="1"/>
      <c r="R259" s="1" t="s">
        <v>11</v>
      </c>
      <c r="S259" s="1"/>
      <c r="T259" s="1"/>
      <c r="U259" s="1"/>
      <c r="V259" s="1"/>
      <c r="W259" s="1"/>
      <c r="X259" s="1" t="s">
        <v>10021</v>
      </c>
      <c r="Y259" s="1"/>
      <c r="Z259" s="1"/>
      <c r="AA259" s="1"/>
      <c r="AB259" s="1"/>
      <c r="AC259" s="1"/>
      <c r="AD259" s="1"/>
      <c r="AE259" s="6" t="s">
        <v>13983</v>
      </c>
      <c r="AF259" s="1"/>
      <c r="AG259" s="1"/>
      <c r="AH259" s="1" t="s">
        <v>13984</v>
      </c>
      <c r="AI259" s="1"/>
      <c r="AJ259" s="1" t="s">
        <v>1671</v>
      </c>
      <c r="AK259" s="1" t="s">
        <v>1672</v>
      </c>
      <c r="AL259" s="1" t="s">
        <v>1673</v>
      </c>
      <c r="AM259" s="1" t="s">
        <v>1671</v>
      </c>
      <c r="AN259" s="1" t="s">
        <v>1672</v>
      </c>
      <c r="AO259" s="1" t="s">
        <v>1673</v>
      </c>
      <c r="AP259" s="2" t="s">
        <v>13985</v>
      </c>
      <c r="AQ259" s="2" t="s">
        <v>1155</v>
      </c>
      <c r="AR259" s="1" t="s">
        <v>286</v>
      </c>
      <c r="AS259" s="1" t="s">
        <v>10227</v>
      </c>
      <c r="AT259" s="1" t="s">
        <v>5</v>
      </c>
    </row>
    <row r="260" spans="1:46" hidden="1" x14ac:dyDescent="0.4">
      <c r="A260" s="7" t="s">
        <v>14056</v>
      </c>
      <c r="B260" s="11"/>
      <c r="C260" s="1" t="s">
        <v>1664</v>
      </c>
      <c r="D260" s="1" t="s">
        <v>11999</v>
      </c>
      <c r="E260" s="1" t="s">
        <v>2291</v>
      </c>
      <c r="F260" s="1" t="s">
        <v>14</v>
      </c>
      <c r="G260" s="1" t="s">
        <v>1</v>
      </c>
      <c r="H260" s="1" t="s">
        <v>6</v>
      </c>
      <c r="I260" s="1" t="s">
        <v>2</v>
      </c>
      <c r="J260" s="1" t="s">
        <v>3</v>
      </c>
      <c r="K260" s="1" t="s">
        <v>14057</v>
      </c>
      <c r="L260" s="1" t="s">
        <v>7</v>
      </c>
      <c r="M260" s="1" t="s">
        <v>9</v>
      </c>
      <c r="N260" s="1" t="s">
        <v>14058</v>
      </c>
      <c r="O260" s="1" t="s">
        <v>12077</v>
      </c>
      <c r="P260" s="1"/>
      <c r="Q260" s="1"/>
      <c r="R260" s="1" t="s">
        <v>11</v>
      </c>
      <c r="S260" s="1"/>
      <c r="T260" s="1"/>
      <c r="U260" s="1"/>
      <c r="V260" s="1"/>
      <c r="W260" s="1" t="s">
        <v>14059</v>
      </c>
      <c r="X260" s="1" t="s">
        <v>12038</v>
      </c>
      <c r="Y260" s="1"/>
      <c r="Z260" s="1"/>
      <c r="AA260" s="1"/>
      <c r="AB260" s="1"/>
      <c r="AC260" s="1"/>
      <c r="AD260" s="1"/>
      <c r="AE260" s="6" t="s">
        <v>14060</v>
      </c>
      <c r="AF260" s="1"/>
      <c r="AG260" s="1"/>
      <c r="AH260" s="1" t="s">
        <v>14061</v>
      </c>
      <c r="AI260" s="1"/>
      <c r="AJ260" s="1" t="s">
        <v>1671</v>
      </c>
      <c r="AK260" s="1" t="s">
        <v>1672</v>
      </c>
      <c r="AL260" s="1" t="s">
        <v>1673</v>
      </c>
      <c r="AM260" s="1" t="s">
        <v>1671</v>
      </c>
      <c r="AN260" s="1" t="s">
        <v>1672</v>
      </c>
      <c r="AO260" s="1" t="s">
        <v>1673</v>
      </c>
      <c r="AP260" s="2" t="s">
        <v>14062</v>
      </c>
      <c r="AQ260" s="2" t="s">
        <v>1155</v>
      </c>
      <c r="AR260" s="1" t="s">
        <v>286</v>
      </c>
      <c r="AS260" s="1" t="s">
        <v>10858</v>
      </c>
      <c r="AT260" s="1" t="s">
        <v>5</v>
      </c>
    </row>
    <row r="261" spans="1:46" hidden="1" x14ac:dyDescent="0.4">
      <c r="A261" s="7" t="s">
        <v>14208</v>
      </c>
      <c r="B261" s="11"/>
      <c r="C261" s="1" t="s">
        <v>0</v>
      </c>
      <c r="D261" s="1" t="s">
        <v>11999</v>
      </c>
      <c r="E261" s="1" t="s">
        <v>2291</v>
      </c>
      <c r="F261" s="1" t="s">
        <v>14</v>
      </c>
      <c r="G261" s="1" t="s">
        <v>1</v>
      </c>
      <c r="H261" s="1" t="s">
        <v>6</v>
      </c>
      <c r="I261" s="1" t="s">
        <v>2</v>
      </c>
      <c r="J261" s="1" t="s">
        <v>3</v>
      </c>
      <c r="K261" s="1" t="s">
        <v>14209</v>
      </c>
      <c r="L261" s="1" t="s">
        <v>7</v>
      </c>
      <c r="M261" s="1" t="s">
        <v>9</v>
      </c>
      <c r="N261" s="1" t="s">
        <v>14210</v>
      </c>
      <c r="O261" s="1" t="s">
        <v>13190</v>
      </c>
      <c r="P261" s="1"/>
      <c r="Q261" s="1"/>
      <c r="R261" s="1" t="s">
        <v>11</v>
      </c>
      <c r="S261" s="1"/>
      <c r="T261" s="1"/>
      <c r="U261" s="1"/>
      <c r="V261" s="1"/>
      <c r="W261" s="1"/>
      <c r="X261" s="1" t="s">
        <v>12038</v>
      </c>
      <c r="Y261" s="1"/>
      <c r="Z261" s="1"/>
      <c r="AA261" s="1"/>
      <c r="AB261" s="1"/>
      <c r="AC261" s="1"/>
      <c r="AD261" s="1"/>
      <c r="AE261" s="6" t="s">
        <v>12778</v>
      </c>
      <c r="AF261" s="1"/>
      <c r="AG261" s="1"/>
      <c r="AH261" s="1" t="s">
        <v>14211</v>
      </c>
      <c r="AI261" s="1"/>
      <c r="AJ261" s="1" t="s">
        <v>363</v>
      </c>
      <c r="AK261" s="1" t="s">
        <v>517</v>
      </c>
      <c r="AL261" s="1" t="s">
        <v>364</v>
      </c>
      <c r="AM261" s="1" t="s">
        <v>11046</v>
      </c>
      <c r="AN261" s="1" t="s">
        <v>517</v>
      </c>
      <c r="AO261" s="1" t="s">
        <v>11047</v>
      </c>
      <c r="AP261" s="2" t="s">
        <v>14212</v>
      </c>
      <c r="AQ261" s="2" t="s">
        <v>1155</v>
      </c>
      <c r="AR261" s="1" t="s">
        <v>286</v>
      </c>
      <c r="AS261" s="1" t="s">
        <v>1068</v>
      </c>
      <c r="AT261" s="1" t="s">
        <v>5</v>
      </c>
    </row>
    <row r="262" spans="1:46" hidden="1" x14ac:dyDescent="0.4">
      <c r="A262" s="7" t="s">
        <v>14213</v>
      </c>
      <c r="B262" s="11"/>
      <c r="C262" s="1" t="s">
        <v>0</v>
      </c>
      <c r="D262" s="1" t="s">
        <v>11999</v>
      </c>
      <c r="E262" s="1" t="s">
        <v>2291</v>
      </c>
      <c r="F262" s="1" t="s">
        <v>14</v>
      </c>
      <c r="G262" s="1" t="s">
        <v>1</v>
      </c>
      <c r="H262" s="1" t="s">
        <v>6</v>
      </c>
      <c r="I262" s="1" t="s">
        <v>2</v>
      </c>
      <c r="J262" s="1" t="s">
        <v>3</v>
      </c>
      <c r="K262" s="1" t="s">
        <v>14214</v>
      </c>
      <c r="L262" s="1" t="s">
        <v>7</v>
      </c>
      <c r="M262" s="1" t="s">
        <v>9</v>
      </c>
      <c r="N262" s="1" t="s">
        <v>14215</v>
      </c>
      <c r="O262" s="1" t="s">
        <v>12077</v>
      </c>
      <c r="P262" s="1"/>
      <c r="Q262" s="1" t="s">
        <v>12</v>
      </c>
      <c r="R262" s="1" t="s">
        <v>11</v>
      </c>
      <c r="S262" s="1"/>
      <c r="T262" s="1" t="s">
        <v>12</v>
      </c>
      <c r="U262" s="1" t="s">
        <v>11</v>
      </c>
      <c r="V262" s="1"/>
      <c r="W262" s="1"/>
      <c r="X262" s="1" t="s">
        <v>12135</v>
      </c>
      <c r="Y262" s="1"/>
      <c r="Z262" s="1"/>
      <c r="AA262" s="1"/>
      <c r="AB262" s="1"/>
      <c r="AC262" s="1"/>
      <c r="AD262" s="1"/>
      <c r="AE262" s="6" t="s">
        <v>14216</v>
      </c>
      <c r="AF262" s="1"/>
      <c r="AG262" s="1"/>
      <c r="AH262" s="1" t="s">
        <v>14217</v>
      </c>
      <c r="AI262" s="1"/>
      <c r="AJ262" s="1" t="s">
        <v>14218</v>
      </c>
      <c r="AK262" s="1" t="s">
        <v>12972</v>
      </c>
      <c r="AL262" s="1" t="s">
        <v>14219</v>
      </c>
      <c r="AM262" s="1" t="s">
        <v>48</v>
      </c>
      <c r="AN262" s="1" t="s">
        <v>12972</v>
      </c>
      <c r="AO262" s="1" t="s">
        <v>14220</v>
      </c>
      <c r="AP262" s="2" t="s">
        <v>14221</v>
      </c>
      <c r="AQ262" s="2" t="s">
        <v>1155</v>
      </c>
      <c r="AR262" s="1" t="s">
        <v>286</v>
      </c>
      <c r="AS262" s="1" t="s">
        <v>1076</v>
      </c>
      <c r="AT262" s="1" t="s">
        <v>5</v>
      </c>
    </row>
    <row r="263" spans="1:46" hidden="1" x14ac:dyDescent="0.4">
      <c r="A263" s="7" t="s">
        <v>14231</v>
      </c>
      <c r="B263" s="11"/>
      <c r="C263" s="1" t="s">
        <v>11219</v>
      </c>
      <c r="D263" s="1" t="s">
        <v>11999</v>
      </c>
      <c r="E263" s="1" t="s">
        <v>2291</v>
      </c>
      <c r="F263" s="1" t="s">
        <v>14</v>
      </c>
      <c r="G263" s="1" t="s">
        <v>1</v>
      </c>
      <c r="H263" s="1" t="s">
        <v>6</v>
      </c>
      <c r="I263" s="1" t="s">
        <v>2</v>
      </c>
      <c r="J263" s="1" t="s">
        <v>3</v>
      </c>
      <c r="K263" s="1" t="s">
        <v>14232</v>
      </c>
      <c r="L263" s="1" t="s">
        <v>7</v>
      </c>
      <c r="M263" s="1"/>
      <c r="N263" s="1" t="s">
        <v>14233</v>
      </c>
      <c r="O263" s="1" t="s">
        <v>12060</v>
      </c>
      <c r="P263" s="1"/>
      <c r="Q263" s="1" t="s">
        <v>12</v>
      </c>
      <c r="R263" s="1" t="s">
        <v>11</v>
      </c>
      <c r="S263" s="1"/>
      <c r="T263" s="1" t="s">
        <v>12</v>
      </c>
      <c r="U263" s="1" t="s">
        <v>11</v>
      </c>
      <c r="V263" s="1"/>
      <c r="W263" s="1"/>
      <c r="X263" s="1" t="s">
        <v>12038</v>
      </c>
      <c r="Y263" s="1"/>
      <c r="Z263" s="1"/>
      <c r="AA263" s="1"/>
      <c r="AB263" s="1"/>
      <c r="AC263" s="1"/>
      <c r="AD263" s="1"/>
      <c r="AE263" s="6" t="s">
        <v>12778</v>
      </c>
      <c r="AF263" s="1"/>
      <c r="AG263" s="1"/>
      <c r="AH263" s="1" t="s">
        <v>14234</v>
      </c>
      <c r="AI263" s="1"/>
      <c r="AJ263" s="1" t="s">
        <v>14235</v>
      </c>
      <c r="AK263" s="1" t="s">
        <v>4889</v>
      </c>
      <c r="AL263" s="1" t="s">
        <v>14236</v>
      </c>
      <c r="AM263" s="1" t="s">
        <v>14235</v>
      </c>
      <c r="AN263" s="1" t="s">
        <v>4889</v>
      </c>
      <c r="AO263" s="1" t="s">
        <v>14236</v>
      </c>
      <c r="AP263" s="2" t="s">
        <v>14237</v>
      </c>
      <c r="AQ263" s="2" t="s">
        <v>1155</v>
      </c>
      <c r="AR263" s="1" t="s">
        <v>286</v>
      </c>
      <c r="AS263" s="1" t="s">
        <v>1076</v>
      </c>
      <c r="AT263" s="1" t="s">
        <v>5</v>
      </c>
    </row>
    <row r="264" spans="1:46" hidden="1" x14ac:dyDescent="0.4">
      <c r="A264" s="7" t="s">
        <v>14254</v>
      </c>
      <c r="B264" s="11"/>
      <c r="C264" s="1" t="s">
        <v>0</v>
      </c>
      <c r="D264" s="1" t="s">
        <v>11999</v>
      </c>
      <c r="E264" s="1" t="s">
        <v>2291</v>
      </c>
      <c r="F264" s="1" t="s">
        <v>14</v>
      </c>
      <c r="G264" s="1" t="s">
        <v>1</v>
      </c>
      <c r="H264" s="1" t="s">
        <v>6</v>
      </c>
      <c r="I264" s="1" t="s">
        <v>2</v>
      </c>
      <c r="J264" s="1" t="s">
        <v>3</v>
      </c>
      <c r="K264" s="1" t="s">
        <v>14255</v>
      </c>
      <c r="L264" s="1" t="s">
        <v>7</v>
      </c>
      <c r="M264" s="1"/>
      <c r="N264" s="1" t="s">
        <v>14256</v>
      </c>
      <c r="O264" s="1" t="s">
        <v>13325</v>
      </c>
      <c r="P264" s="1"/>
      <c r="Q264" s="1" t="s">
        <v>12</v>
      </c>
      <c r="R264" s="1" t="s">
        <v>11</v>
      </c>
      <c r="S264" s="1"/>
      <c r="T264" s="1" t="s">
        <v>12</v>
      </c>
      <c r="U264" s="1" t="s">
        <v>11</v>
      </c>
      <c r="V264" s="1"/>
      <c r="W264" s="1"/>
      <c r="X264" s="1" t="s">
        <v>10021</v>
      </c>
      <c r="Y264" s="1"/>
      <c r="Z264" s="1"/>
      <c r="AA264" s="1"/>
      <c r="AB264" s="1"/>
      <c r="AC264" s="1"/>
      <c r="AD264" s="1"/>
      <c r="AE264" s="6" t="s">
        <v>14257</v>
      </c>
      <c r="AF264" s="1"/>
      <c r="AG264" s="1"/>
      <c r="AH264" s="1" t="s">
        <v>14258</v>
      </c>
      <c r="AI264" s="1"/>
      <c r="AJ264" s="1" t="s">
        <v>11070</v>
      </c>
      <c r="AK264" s="1" t="s">
        <v>11071</v>
      </c>
      <c r="AL264" s="1" t="s">
        <v>11072</v>
      </c>
      <c r="AM264" s="1" t="s">
        <v>14259</v>
      </c>
      <c r="AN264" s="1" t="s">
        <v>11071</v>
      </c>
      <c r="AO264" s="1" t="s">
        <v>14260</v>
      </c>
      <c r="AP264" s="2" t="s">
        <v>14261</v>
      </c>
      <c r="AQ264" s="2" t="s">
        <v>1156</v>
      </c>
      <c r="AR264" s="1" t="s">
        <v>286</v>
      </c>
      <c r="AS264" s="1" t="s">
        <v>14262</v>
      </c>
      <c r="AT264" s="1" t="s">
        <v>5</v>
      </c>
    </row>
  </sheetData>
  <autoFilter ref="A1:AT264" xr:uid="{5959C015-21C2-4268-B89A-325F904B177C}">
    <filterColumn colId="1">
      <customFilters>
        <customFilter operator="notEqual" val=" "/>
      </customFilters>
    </filterColumn>
    <filterColumn colId="27">
      <filters>
        <filter val="[DMPi]_KO_C15021-04-202311_20240227080423475.pdf"/>
        <filter val="[DMPi]_KO_C15021-05-202409 (2)_20241125074107374.pdf"/>
        <filter val="[DMPi]_KO_C15021-06-202504_20250618093528225.pdf, DMP65I-T_20250619100637129.pdf"/>
        <filter val="1988180643_6CRWwJIA_57f03df1f2bc2c9eeb0695196fb7f84ecde0c91b_20250731104824240.pdf"/>
        <filter val="3RU21464KB0_datasheet_es_20220922030936132.pdf"/>
        <filter val="3RU51464KB0_datasheet_20220825013753365.pdf"/>
        <filter val="A시리즈 개별 카다로그 (1)_20250210132526349.pdf"/>
        <filter val="IR(M) 개별 카다로그_20250619155054558.pdf"/>
        <filter val="WYER-D16NC_20230307163614118_20230327083927369.pdf"/>
        <filter val="WYGF-D11T_20250410074617910.pdf"/>
        <filter val="누전경보기(6,+8,10,12,16회로)_카탈로그_20240614082226751.pdf"/>
      </filters>
    </filterColumn>
  </autoFilter>
  <sortState xmlns:xlrd2="http://schemas.microsoft.com/office/spreadsheetml/2017/richdata2" ref="A2:AT264">
    <sortCondition ref="AB2:AB264"/>
  </sortState>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04DD1-0B4D-4A2E-A687-8F2F087CB361}">
  <dimension ref="A1:CG47"/>
  <sheetViews>
    <sheetView workbookViewId="0">
      <selection activeCell="BF1" sqref="A1:BF1"/>
    </sheetView>
  </sheetViews>
  <sheetFormatPr defaultRowHeight="17.399999999999999" x14ac:dyDescent="0.4"/>
  <sheetData>
    <row r="1" spans="1:85" x14ac:dyDescent="0.4">
      <c r="A1" s="24" t="s">
        <v>14285</v>
      </c>
      <c r="B1" s="24" t="s">
        <v>1113</v>
      </c>
      <c r="C1" s="24" t="s">
        <v>1112</v>
      </c>
      <c r="D1" s="24" t="s">
        <v>14287</v>
      </c>
      <c r="E1" s="24" t="s">
        <v>1108</v>
      </c>
      <c r="F1" s="24" t="s">
        <v>14286</v>
      </c>
      <c r="G1" s="24" t="s">
        <v>14288</v>
      </c>
      <c r="H1" s="24" t="s">
        <v>14289</v>
      </c>
      <c r="I1" s="24" t="s">
        <v>1117</v>
      </c>
      <c r="J1" s="24" t="s">
        <v>14290</v>
      </c>
      <c r="K1" s="24" t="s">
        <v>14291</v>
      </c>
      <c r="L1" s="24" t="s">
        <v>14292</v>
      </c>
      <c r="M1" s="24" t="s">
        <v>14293</v>
      </c>
      <c r="N1" s="24" t="s">
        <v>14294</v>
      </c>
      <c r="O1" s="24" t="s">
        <v>14295</v>
      </c>
      <c r="P1" s="24" t="s">
        <v>14296</v>
      </c>
      <c r="Q1" s="24" t="s">
        <v>14297</v>
      </c>
      <c r="R1" s="24" t="s">
        <v>14298</v>
      </c>
      <c r="S1" s="24" t="s">
        <v>14299</v>
      </c>
      <c r="T1" s="24" t="s">
        <v>14300</v>
      </c>
      <c r="U1" s="24" t="s">
        <v>14301</v>
      </c>
      <c r="V1" s="24" t="s">
        <v>14302</v>
      </c>
      <c r="W1" s="24" t="s">
        <v>14303</v>
      </c>
      <c r="X1" s="24" t="s">
        <v>14304</v>
      </c>
      <c r="Y1" s="24" t="s">
        <v>14305</v>
      </c>
      <c r="Z1" s="24" t="s">
        <v>14306</v>
      </c>
      <c r="AA1" s="24" t="s">
        <v>14307</v>
      </c>
      <c r="AB1" s="24" t="s">
        <v>14308</v>
      </c>
      <c r="AC1" s="25" t="s">
        <v>14309</v>
      </c>
      <c r="AD1" s="24" t="s">
        <v>14310</v>
      </c>
      <c r="AE1" s="25" t="s">
        <v>14311</v>
      </c>
      <c r="AF1" s="24" t="s">
        <v>14312</v>
      </c>
      <c r="AG1" s="25" t="s">
        <v>14313</v>
      </c>
      <c r="AH1" s="24" t="s">
        <v>14314</v>
      </c>
      <c r="AI1" s="25" t="s">
        <v>14315</v>
      </c>
      <c r="AJ1" s="24" t="s">
        <v>14316</v>
      </c>
      <c r="AK1" s="25" t="s">
        <v>14317</v>
      </c>
      <c r="AL1" s="24" t="s">
        <v>14318</v>
      </c>
      <c r="AM1" s="25" t="s">
        <v>14319</v>
      </c>
      <c r="AN1" s="24" t="s">
        <v>14320</v>
      </c>
      <c r="AO1" s="24" t="s">
        <v>14321</v>
      </c>
      <c r="AP1" s="24" t="s">
        <v>14322</v>
      </c>
      <c r="AQ1" s="24" t="s">
        <v>14323</v>
      </c>
      <c r="AR1" s="24" t="s">
        <v>14324</v>
      </c>
      <c r="AS1" s="24" t="s">
        <v>14325</v>
      </c>
      <c r="AT1" s="24" t="s">
        <v>14326</v>
      </c>
      <c r="AU1" s="24" t="s">
        <v>14327</v>
      </c>
      <c r="AV1" s="24" t="s">
        <v>14328</v>
      </c>
      <c r="AW1" s="24" t="s">
        <v>14329</v>
      </c>
      <c r="AX1" s="24" t="s">
        <v>14330</v>
      </c>
      <c r="AY1" s="24" t="s">
        <v>14331</v>
      </c>
      <c r="AZ1" s="24" t="s">
        <v>14332</v>
      </c>
      <c r="BA1" s="24" t="s">
        <v>14333</v>
      </c>
      <c r="BB1" s="24" t="s">
        <v>14334</v>
      </c>
      <c r="BC1" s="24" t="s">
        <v>14335</v>
      </c>
      <c r="BD1" s="24" t="s">
        <v>14336</v>
      </c>
      <c r="BE1" s="24" t="s">
        <v>14337</v>
      </c>
      <c r="BF1" s="24" t="s">
        <v>14338</v>
      </c>
      <c r="BG1" s="24" t="s">
        <v>14339</v>
      </c>
      <c r="BH1" s="24" t="s">
        <v>14340</v>
      </c>
      <c r="BI1" s="24" t="s">
        <v>14341</v>
      </c>
      <c r="BJ1" s="24" t="s">
        <v>14342</v>
      </c>
      <c r="BK1" s="24" t="s">
        <v>14343</v>
      </c>
      <c r="BL1" s="24" t="s">
        <v>14344</v>
      </c>
      <c r="BM1" s="24" t="s">
        <v>14345</v>
      </c>
      <c r="BN1" s="24" t="s">
        <v>14346</v>
      </c>
      <c r="BO1" s="24" t="s">
        <v>14347</v>
      </c>
      <c r="BP1" s="24" t="s">
        <v>14348</v>
      </c>
      <c r="BQ1" s="24" t="s">
        <v>14349</v>
      </c>
      <c r="BR1" s="24" t="s">
        <v>14350</v>
      </c>
      <c r="BS1" s="24" t="s">
        <v>14351</v>
      </c>
      <c r="BT1" s="24" t="s">
        <v>14352</v>
      </c>
      <c r="BU1" s="24" t="s">
        <v>14353</v>
      </c>
      <c r="BV1" s="24" t="s">
        <v>14354</v>
      </c>
      <c r="BW1" s="24" t="s">
        <v>14355</v>
      </c>
      <c r="BX1" s="24" t="s">
        <v>14356</v>
      </c>
      <c r="BY1" s="24" t="s">
        <v>14357</v>
      </c>
      <c r="BZ1" s="24" t="s">
        <v>14358</v>
      </c>
      <c r="CA1" s="24" t="s">
        <v>14359</v>
      </c>
      <c r="CB1" s="24" t="s">
        <v>14360</v>
      </c>
      <c r="CC1" s="24" t="s">
        <v>14361</v>
      </c>
      <c r="CD1" s="24" t="s">
        <v>14362</v>
      </c>
      <c r="CE1" s="24" t="s">
        <v>14363</v>
      </c>
      <c r="CF1" s="24" t="s">
        <v>14364</v>
      </c>
      <c r="CG1" s="24" t="s">
        <v>14364</v>
      </c>
    </row>
    <row r="2" spans="1:85" x14ac:dyDescent="0.4">
      <c r="A2" s="26" t="s">
        <v>12092</v>
      </c>
      <c r="B2" s="26" t="s">
        <v>6</v>
      </c>
      <c r="C2" s="26" t="s">
        <v>1</v>
      </c>
      <c r="D2" s="26" t="s">
        <v>11999</v>
      </c>
      <c r="E2" s="26" t="s">
        <v>0</v>
      </c>
      <c r="F2" s="26" t="s">
        <v>12092</v>
      </c>
      <c r="G2" s="26" t="s">
        <v>12093</v>
      </c>
      <c r="H2" s="26" t="s">
        <v>14415</v>
      </c>
      <c r="I2" s="26" t="s">
        <v>7</v>
      </c>
      <c r="J2" s="26"/>
      <c r="K2" s="26" t="s">
        <v>1611</v>
      </c>
      <c r="L2" s="26"/>
      <c r="M2" s="26"/>
      <c r="N2" s="26" t="s">
        <v>12096</v>
      </c>
      <c r="O2" s="26"/>
      <c r="P2" s="26"/>
      <c r="Q2" s="26" t="s">
        <v>13845</v>
      </c>
      <c r="R2" s="26"/>
      <c r="S2" s="26" t="s">
        <v>14366</v>
      </c>
      <c r="T2" s="26" t="s">
        <v>11</v>
      </c>
      <c r="U2" s="26" t="s">
        <v>14367</v>
      </c>
      <c r="V2" s="26" t="s">
        <v>11</v>
      </c>
      <c r="W2" s="26" t="s">
        <v>14368</v>
      </c>
      <c r="X2" s="26"/>
      <c r="Y2" s="26" t="s">
        <v>14369</v>
      </c>
      <c r="Z2" s="26"/>
      <c r="AA2" s="26" t="s">
        <v>14588</v>
      </c>
      <c r="AB2" s="26" t="s">
        <v>14589</v>
      </c>
      <c r="AC2" s="26" t="s">
        <v>1129</v>
      </c>
      <c r="AD2" s="26" t="s">
        <v>12026</v>
      </c>
      <c r="AE2" s="26" t="s">
        <v>1119</v>
      </c>
      <c r="AF2" s="26" t="s">
        <v>12094</v>
      </c>
      <c r="AG2" s="26" t="s">
        <v>14383</v>
      </c>
      <c r="AH2" s="26" t="s">
        <v>12060</v>
      </c>
      <c r="AI2" s="26" t="s">
        <v>1121</v>
      </c>
      <c r="AJ2" s="26"/>
      <c r="AK2" s="26" t="s">
        <v>1122</v>
      </c>
      <c r="AL2" s="26"/>
      <c r="AM2" s="26" t="s">
        <v>14384</v>
      </c>
      <c r="AN2" s="26" t="s">
        <v>11</v>
      </c>
      <c r="AO2" s="26" t="s">
        <v>1124</v>
      </c>
      <c r="AP2" s="26"/>
      <c r="AQ2" s="26" t="s">
        <v>1125</v>
      </c>
      <c r="AR2" s="26"/>
      <c r="AS2" s="26" t="s">
        <v>14385</v>
      </c>
      <c r="AT2" s="26"/>
      <c r="AU2" s="26" t="s">
        <v>1127</v>
      </c>
      <c r="AV2" s="26"/>
      <c r="AW2" s="26" t="s">
        <v>14590</v>
      </c>
      <c r="AX2" s="26" t="s">
        <v>14591</v>
      </c>
      <c r="AY2" s="26" t="s">
        <v>14592</v>
      </c>
      <c r="AZ2" s="26"/>
      <c r="BA2" s="26" t="s">
        <v>14593</v>
      </c>
      <c r="BB2" s="26"/>
      <c r="BC2" s="26" t="s">
        <v>14594</v>
      </c>
      <c r="BD2" s="26"/>
      <c r="BE2" s="26" t="s">
        <v>1128</v>
      </c>
      <c r="BF2" s="26" t="s">
        <v>12095</v>
      </c>
      <c r="BG2" s="26" t="s">
        <v>14499</v>
      </c>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row>
    <row r="3" spans="1:85" x14ac:dyDescent="0.4">
      <c r="A3" s="26" t="s">
        <v>12480</v>
      </c>
      <c r="B3" s="26" t="s">
        <v>6</v>
      </c>
      <c r="C3" s="26" t="s">
        <v>1</v>
      </c>
      <c r="D3" s="26" t="s">
        <v>11999</v>
      </c>
      <c r="E3" s="26" t="s">
        <v>0</v>
      </c>
      <c r="F3" s="26" t="s">
        <v>12480</v>
      </c>
      <c r="G3" s="26" t="s">
        <v>12481</v>
      </c>
      <c r="H3" s="26" t="s">
        <v>14365</v>
      </c>
      <c r="I3" s="26" t="s">
        <v>7</v>
      </c>
      <c r="J3" s="26" t="s">
        <v>2</v>
      </c>
      <c r="K3" s="26" t="s">
        <v>12487</v>
      </c>
      <c r="L3" s="26"/>
      <c r="M3" s="26"/>
      <c r="N3" s="26" t="s">
        <v>12485</v>
      </c>
      <c r="O3" s="26"/>
      <c r="P3" s="26"/>
      <c r="Q3" s="26" t="s">
        <v>13845</v>
      </c>
      <c r="R3" s="26"/>
      <c r="S3" s="26" t="s">
        <v>14366</v>
      </c>
      <c r="T3" s="26" t="s">
        <v>11</v>
      </c>
      <c r="U3" s="26" t="s">
        <v>14367</v>
      </c>
      <c r="V3" s="26"/>
      <c r="W3" s="26" t="s">
        <v>14368</v>
      </c>
      <c r="X3" s="26"/>
      <c r="Y3" s="26" t="s">
        <v>14369</v>
      </c>
      <c r="Z3" s="26"/>
      <c r="AA3" s="26" t="s">
        <v>14588</v>
      </c>
      <c r="AB3" s="26" t="s">
        <v>14595</v>
      </c>
      <c r="AC3" s="26" t="s">
        <v>1129</v>
      </c>
      <c r="AD3" s="26" t="s">
        <v>12135</v>
      </c>
      <c r="AE3" s="26" t="s">
        <v>1119</v>
      </c>
      <c r="AF3" s="26" t="s">
        <v>12482</v>
      </c>
      <c r="AG3" s="26" t="s">
        <v>14383</v>
      </c>
      <c r="AH3" s="26" t="s">
        <v>12060</v>
      </c>
      <c r="AI3" s="26" t="s">
        <v>1121</v>
      </c>
      <c r="AJ3" s="26"/>
      <c r="AK3" s="26" t="s">
        <v>1122</v>
      </c>
      <c r="AL3" s="26"/>
      <c r="AM3" s="26" t="s">
        <v>14384</v>
      </c>
      <c r="AN3" s="26" t="s">
        <v>11</v>
      </c>
      <c r="AO3" s="26" t="s">
        <v>1124</v>
      </c>
      <c r="AP3" s="26"/>
      <c r="AQ3" s="26" t="s">
        <v>1125</v>
      </c>
      <c r="AR3" s="26"/>
      <c r="AS3" s="26" t="s">
        <v>14385</v>
      </c>
      <c r="AT3" s="26"/>
      <c r="AU3" s="26" t="s">
        <v>1127</v>
      </c>
      <c r="AV3" s="26"/>
      <c r="AW3" s="26" t="s">
        <v>14590</v>
      </c>
      <c r="AX3" s="26" t="s">
        <v>14596</v>
      </c>
      <c r="AY3" s="26" t="s">
        <v>14592</v>
      </c>
      <c r="AZ3" s="26"/>
      <c r="BA3" s="26" t="s">
        <v>14593</v>
      </c>
      <c r="BB3" s="26"/>
      <c r="BC3" s="26" t="s">
        <v>14594</v>
      </c>
      <c r="BD3" s="26" t="s">
        <v>14597</v>
      </c>
      <c r="BE3" s="26" t="s">
        <v>1128</v>
      </c>
      <c r="BF3" s="26" t="s">
        <v>12483</v>
      </c>
      <c r="BG3" s="26" t="s">
        <v>14499</v>
      </c>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row>
    <row r="4" spans="1:85" x14ac:dyDescent="0.4">
      <c r="A4" s="26" t="s">
        <v>12100</v>
      </c>
      <c r="B4" s="26" t="s">
        <v>6</v>
      </c>
      <c r="C4" s="26" t="s">
        <v>1</v>
      </c>
      <c r="D4" s="26" t="s">
        <v>11999</v>
      </c>
      <c r="E4" s="26" t="s">
        <v>0</v>
      </c>
      <c r="F4" s="26" t="s">
        <v>12100</v>
      </c>
      <c r="G4" s="26" t="s">
        <v>12101</v>
      </c>
      <c r="H4" s="26" t="s">
        <v>14392</v>
      </c>
      <c r="I4" s="26" t="s">
        <v>7</v>
      </c>
      <c r="J4" s="26"/>
      <c r="K4" s="26" t="s">
        <v>148</v>
      </c>
      <c r="L4" s="26"/>
      <c r="M4" s="26"/>
      <c r="N4" s="26" t="s">
        <v>12104</v>
      </c>
      <c r="O4" s="26"/>
      <c r="P4" s="26"/>
      <c r="Q4" s="26" t="s">
        <v>13845</v>
      </c>
      <c r="R4" s="26"/>
      <c r="S4" s="26" t="s">
        <v>14366</v>
      </c>
      <c r="T4" s="26" t="s">
        <v>11</v>
      </c>
      <c r="U4" s="26" t="s">
        <v>14367</v>
      </c>
      <c r="V4" s="26"/>
      <c r="W4" s="26" t="s">
        <v>14368</v>
      </c>
      <c r="X4" s="26"/>
      <c r="Y4" s="26" t="s">
        <v>14369</v>
      </c>
      <c r="Z4" s="26"/>
      <c r="AA4" s="26" t="s">
        <v>14588</v>
      </c>
      <c r="AB4" s="26" t="s">
        <v>14595</v>
      </c>
      <c r="AC4" s="26" t="s">
        <v>1129</v>
      </c>
      <c r="AD4" s="26" t="s">
        <v>10021</v>
      </c>
      <c r="AE4" s="26" t="s">
        <v>1119</v>
      </c>
      <c r="AF4" s="26" t="s">
        <v>12102</v>
      </c>
      <c r="AG4" s="26" t="s">
        <v>14383</v>
      </c>
      <c r="AH4" s="26" t="s">
        <v>12103</v>
      </c>
      <c r="AI4" s="26" t="s">
        <v>1121</v>
      </c>
      <c r="AJ4" s="26"/>
      <c r="AK4" s="26" t="s">
        <v>1122</v>
      </c>
      <c r="AL4" s="26"/>
      <c r="AM4" s="26" t="s">
        <v>14384</v>
      </c>
      <c r="AN4" s="26" t="s">
        <v>11</v>
      </c>
      <c r="AO4" s="26" t="s">
        <v>1124</v>
      </c>
      <c r="AP4" s="26"/>
      <c r="AQ4" s="26" t="s">
        <v>1125</v>
      </c>
      <c r="AR4" s="26"/>
      <c r="AS4" s="26" t="s">
        <v>14385</v>
      </c>
      <c r="AT4" s="26"/>
      <c r="AU4" s="26" t="s">
        <v>1127</v>
      </c>
      <c r="AV4" s="26"/>
      <c r="AW4" s="26" t="s">
        <v>14590</v>
      </c>
      <c r="AX4" s="26" t="s">
        <v>14598</v>
      </c>
      <c r="AY4" s="26" t="s">
        <v>14592</v>
      </c>
      <c r="AZ4" s="26"/>
      <c r="BA4" s="26" t="s">
        <v>14593</v>
      </c>
      <c r="BB4" s="26"/>
      <c r="BC4" s="26" t="s">
        <v>14594</v>
      </c>
      <c r="BD4" s="26"/>
      <c r="BE4" s="26" t="s">
        <v>1128</v>
      </c>
      <c r="BF4" s="26"/>
      <c r="BG4" s="26" t="s">
        <v>14499</v>
      </c>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row>
    <row r="5" spans="1:85" x14ac:dyDescent="0.4">
      <c r="A5" s="26" t="s">
        <v>12576</v>
      </c>
      <c r="B5" s="26" t="s">
        <v>6</v>
      </c>
      <c r="C5" s="26" t="s">
        <v>1</v>
      </c>
      <c r="D5" s="26" t="s">
        <v>11999</v>
      </c>
      <c r="E5" s="26" t="s">
        <v>2494</v>
      </c>
      <c r="F5" s="26" t="s">
        <v>12576</v>
      </c>
      <c r="G5" s="26" t="s">
        <v>12577</v>
      </c>
      <c r="H5" s="26" t="s">
        <v>14365</v>
      </c>
      <c r="I5" s="26" t="s">
        <v>7</v>
      </c>
      <c r="J5" s="26" t="s">
        <v>2</v>
      </c>
      <c r="K5" s="26" t="s">
        <v>12477</v>
      </c>
      <c r="L5" s="26"/>
      <c r="M5" s="26"/>
      <c r="N5" s="26"/>
      <c r="O5" s="26"/>
      <c r="P5" s="26"/>
      <c r="Q5" s="26" t="s">
        <v>13845</v>
      </c>
      <c r="R5" s="26"/>
      <c r="S5" s="26" t="s">
        <v>14366</v>
      </c>
      <c r="T5" s="26" t="s">
        <v>11</v>
      </c>
      <c r="U5" s="26" t="s">
        <v>14367</v>
      </c>
      <c r="V5" s="26"/>
      <c r="W5" s="26" t="s">
        <v>14368</v>
      </c>
      <c r="X5" s="26"/>
      <c r="Y5" s="26" t="s">
        <v>14369</v>
      </c>
      <c r="Z5" s="26"/>
      <c r="AA5" s="26" t="s">
        <v>14588</v>
      </c>
      <c r="AB5" s="26" t="s">
        <v>14595</v>
      </c>
      <c r="AC5" s="26" t="s">
        <v>1129</v>
      </c>
      <c r="AD5" s="26" t="s">
        <v>12135</v>
      </c>
      <c r="AE5" s="26" t="s">
        <v>1119</v>
      </c>
      <c r="AF5" s="26" t="s">
        <v>12578</v>
      </c>
      <c r="AG5" s="26" t="s">
        <v>14383</v>
      </c>
      <c r="AH5" s="26" t="s">
        <v>9747</v>
      </c>
      <c r="AI5" s="26" t="s">
        <v>1121</v>
      </c>
      <c r="AJ5" s="26"/>
      <c r="AK5" s="26" t="s">
        <v>1122</v>
      </c>
      <c r="AL5" s="26"/>
      <c r="AM5" s="26" t="s">
        <v>14384</v>
      </c>
      <c r="AN5" s="26" t="s">
        <v>11</v>
      </c>
      <c r="AO5" s="26" t="s">
        <v>1124</v>
      </c>
      <c r="AP5" s="26"/>
      <c r="AQ5" s="26" t="s">
        <v>1125</v>
      </c>
      <c r="AR5" s="26"/>
      <c r="AS5" s="26" t="s">
        <v>14385</v>
      </c>
      <c r="AT5" s="26"/>
      <c r="AU5" s="26" t="s">
        <v>1127</v>
      </c>
      <c r="AV5" s="26"/>
      <c r="AW5" s="26" t="s">
        <v>14590</v>
      </c>
      <c r="AX5" s="26" t="s">
        <v>14599</v>
      </c>
      <c r="AY5" s="26" t="s">
        <v>14592</v>
      </c>
      <c r="AZ5" s="26" t="s">
        <v>14600</v>
      </c>
      <c r="BA5" s="26" t="s">
        <v>14593</v>
      </c>
      <c r="BB5" s="26"/>
      <c r="BC5" s="26" t="s">
        <v>14594</v>
      </c>
      <c r="BD5" s="26"/>
      <c r="BE5" s="26" t="s">
        <v>1128</v>
      </c>
      <c r="BF5" s="26"/>
      <c r="BG5" s="26" t="s">
        <v>14499</v>
      </c>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row>
    <row r="6" spans="1:85" x14ac:dyDescent="0.4">
      <c r="A6" s="26" t="s">
        <v>12594</v>
      </c>
      <c r="B6" s="26" t="s">
        <v>6</v>
      </c>
      <c r="C6" s="26" t="s">
        <v>1</v>
      </c>
      <c r="D6" s="26" t="s">
        <v>11999</v>
      </c>
      <c r="E6" s="26" t="s">
        <v>2494</v>
      </c>
      <c r="F6" s="26" t="s">
        <v>12594</v>
      </c>
      <c r="G6" s="26" t="s">
        <v>12595</v>
      </c>
      <c r="H6" s="26" t="s">
        <v>14365</v>
      </c>
      <c r="I6" s="26" t="s">
        <v>7</v>
      </c>
      <c r="J6" s="26" t="s">
        <v>2</v>
      </c>
      <c r="K6" s="26" t="s">
        <v>12477</v>
      </c>
      <c r="L6" s="26"/>
      <c r="M6" s="26"/>
      <c r="N6" s="26"/>
      <c r="O6" s="26"/>
      <c r="P6" s="26"/>
      <c r="Q6" s="26" t="s">
        <v>13845</v>
      </c>
      <c r="R6" s="26"/>
      <c r="S6" s="26" t="s">
        <v>14366</v>
      </c>
      <c r="T6" s="26" t="s">
        <v>11</v>
      </c>
      <c r="U6" s="26" t="s">
        <v>14367</v>
      </c>
      <c r="V6" s="26"/>
      <c r="W6" s="26" t="s">
        <v>14368</v>
      </c>
      <c r="X6" s="26"/>
      <c r="Y6" s="26" t="s">
        <v>14369</v>
      </c>
      <c r="Z6" s="26"/>
      <c r="AA6" s="26" t="s">
        <v>14588</v>
      </c>
      <c r="AB6" s="26" t="s">
        <v>14595</v>
      </c>
      <c r="AC6" s="26" t="s">
        <v>1129</v>
      </c>
      <c r="AD6" s="26" t="s">
        <v>12135</v>
      </c>
      <c r="AE6" s="26" t="s">
        <v>1119</v>
      </c>
      <c r="AF6" s="26" t="s">
        <v>12596</v>
      </c>
      <c r="AG6" s="26" t="s">
        <v>14383</v>
      </c>
      <c r="AH6" s="26" t="s">
        <v>9747</v>
      </c>
      <c r="AI6" s="26" t="s">
        <v>1121</v>
      </c>
      <c r="AJ6" s="26"/>
      <c r="AK6" s="26" t="s">
        <v>1122</v>
      </c>
      <c r="AL6" s="26"/>
      <c r="AM6" s="26" t="s">
        <v>14384</v>
      </c>
      <c r="AN6" s="26" t="s">
        <v>11</v>
      </c>
      <c r="AO6" s="26" t="s">
        <v>1124</v>
      </c>
      <c r="AP6" s="26"/>
      <c r="AQ6" s="26" t="s">
        <v>1125</v>
      </c>
      <c r="AR6" s="26"/>
      <c r="AS6" s="26" t="s">
        <v>14385</v>
      </c>
      <c r="AT6" s="26"/>
      <c r="AU6" s="26" t="s">
        <v>1127</v>
      </c>
      <c r="AV6" s="26"/>
      <c r="AW6" s="26" t="s">
        <v>14590</v>
      </c>
      <c r="AX6" s="26" t="s">
        <v>14599</v>
      </c>
      <c r="AY6" s="26" t="s">
        <v>14592</v>
      </c>
      <c r="AZ6" s="26" t="s">
        <v>14600</v>
      </c>
      <c r="BA6" s="26" t="s">
        <v>14593</v>
      </c>
      <c r="BB6" s="26"/>
      <c r="BC6" s="26" t="s">
        <v>14594</v>
      </c>
      <c r="BD6" s="26"/>
      <c r="BE6" s="26" t="s">
        <v>1128</v>
      </c>
      <c r="BF6" s="26"/>
      <c r="BG6" s="26" t="s">
        <v>14499</v>
      </c>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row>
    <row r="7" spans="1:85" x14ac:dyDescent="0.4">
      <c r="A7" s="26" t="s">
        <v>12022</v>
      </c>
      <c r="B7" s="26" t="s">
        <v>6</v>
      </c>
      <c r="C7" s="26" t="s">
        <v>1</v>
      </c>
      <c r="D7" s="26" t="s">
        <v>11999</v>
      </c>
      <c r="E7" s="26" t="s">
        <v>0</v>
      </c>
      <c r="F7" s="26" t="s">
        <v>12022</v>
      </c>
      <c r="G7" s="26" t="s">
        <v>12023</v>
      </c>
      <c r="H7" s="26" t="s">
        <v>14392</v>
      </c>
      <c r="I7" s="26" t="s">
        <v>7</v>
      </c>
      <c r="J7" s="26"/>
      <c r="K7" s="26" t="s">
        <v>12220</v>
      </c>
      <c r="L7" s="26"/>
      <c r="M7" s="26"/>
      <c r="N7" s="26" t="s">
        <v>12027</v>
      </c>
      <c r="O7" s="26"/>
      <c r="P7" s="26"/>
      <c r="Q7" s="26" t="s">
        <v>13845</v>
      </c>
      <c r="R7" s="26"/>
      <c r="S7" s="26" t="s">
        <v>14366</v>
      </c>
      <c r="T7" s="26" t="s">
        <v>11</v>
      </c>
      <c r="U7" s="26" t="s">
        <v>14367</v>
      </c>
      <c r="V7" s="26"/>
      <c r="W7" s="26" t="s">
        <v>14368</v>
      </c>
      <c r="X7" s="26"/>
      <c r="Y7" s="26" t="s">
        <v>14369</v>
      </c>
      <c r="Z7" s="26"/>
      <c r="AA7" s="26" t="s">
        <v>14588</v>
      </c>
      <c r="AB7" s="26" t="s">
        <v>14589</v>
      </c>
      <c r="AC7" s="26" t="s">
        <v>1129</v>
      </c>
      <c r="AD7" s="26" t="s">
        <v>12026</v>
      </c>
      <c r="AE7" s="26" t="s">
        <v>1119</v>
      </c>
      <c r="AF7" s="26" t="s">
        <v>12024</v>
      </c>
      <c r="AG7" s="26" t="s">
        <v>14383</v>
      </c>
      <c r="AH7" s="26" t="s">
        <v>12025</v>
      </c>
      <c r="AI7" s="26" t="s">
        <v>1121</v>
      </c>
      <c r="AJ7" s="26"/>
      <c r="AK7" s="26" t="s">
        <v>1122</v>
      </c>
      <c r="AL7" s="26"/>
      <c r="AM7" s="26" t="s">
        <v>14384</v>
      </c>
      <c r="AN7" s="26" t="s">
        <v>11</v>
      </c>
      <c r="AO7" s="26" t="s">
        <v>1124</v>
      </c>
      <c r="AP7" s="26"/>
      <c r="AQ7" s="26" t="s">
        <v>1125</v>
      </c>
      <c r="AR7" s="26"/>
      <c r="AS7" s="26" t="s">
        <v>14385</v>
      </c>
      <c r="AT7" s="26"/>
      <c r="AU7" s="26" t="s">
        <v>1127</v>
      </c>
      <c r="AV7" s="26"/>
      <c r="AW7" s="26" t="s">
        <v>14590</v>
      </c>
      <c r="AX7" s="26" t="s">
        <v>14591</v>
      </c>
      <c r="AY7" s="26" t="s">
        <v>14592</v>
      </c>
      <c r="AZ7" s="26"/>
      <c r="BA7" s="26" t="s">
        <v>14593</v>
      </c>
      <c r="BB7" s="26"/>
      <c r="BC7" s="26" t="s">
        <v>14594</v>
      </c>
      <c r="BD7" s="26"/>
      <c r="BE7" s="26" t="s">
        <v>1128</v>
      </c>
      <c r="BF7" s="26"/>
      <c r="BG7" s="26" t="s">
        <v>14499</v>
      </c>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row>
    <row r="8" spans="1:85" x14ac:dyDescent="0.4">
      <c r="A8" s="26" t="s">
        <v>12006</v>
      </c>
      <c r="B8" s="26" t="s">
        <v>6</v>
      </c>
      <c r="C8" s="26" t="s">
        <v>1</v>
      </c>
      <c r="D8" s="26" t="s">
        <v>11999</v>
      </c>
      <c r="E8" s="26" t="s">
        <v>0</v>
      </c>
      <c r="F8" s="26" t="s">
        <v>12006</v>
      </c>
      <c r="G8" s="26" t="s">
        <v>12007</v>
      </c>
      <c r="H8" s="26" t="s">
        <v>14415</v>
      </c>
      <c r="I8" s="26" t="s">
        <v>7</v>
      </c>
      <c r="J8" s="26"/>
      <c r="K8" s="26" t="s">
        <v>51</v>
      </c>
      <c r="L8" s="26"/>
      <c r="M8" s="26"/>
      <c r="N8" s="26" t="s">
        <v>12011</v>
      </c>
      <c r="O8" s="26"/>
      <c r="P8" s="26"/>
      <c r="Q8" s="26" t="s">
        <v>13845</v>
      </c>
      <c r="R8" s="26"/>
      <c r="S8" s="26" t="s">
        <v>14366</v>
      </c>
      <c r="T8" s="26" t="s">
        <v>11</v>
      </c>
      <c r="U8" s="26" t="s">
        <v>14367</v>
      </c>
      <c r="V8" s="26"/>
      <c r="W8" s="26" t="s">
        <v>14368</v>
      </c>
      <c r="X8" s="26"/>
      <c r="Y8" s="26" t="s">
        <v>14369</v>
      </c>
      <c r="Z8" s="26"/>
      <c r="AA8" s="26" t="s">
        <v>14588</v>
      </c>
      <c r="AB8" s="26" t="s">
        <v>14589</v>
      </c>
      <c r="AC8" s="26" t="s">
        <v>1129</v>
      </c>
      <c r="AD8" s="26" t="s">
        <v>12010</v>
      </c>
      <c r="AE8" s="26" t="s">
        <v>1119</v>
      </c>
      <c r="AF8" s="26" t="s">
        <v>12008</v>
      </c>
      <c r="AG8" s="26" t="s">
        <v>14383</v>
      </c>
      <c r="AH8" s="26" t="s">
        <v>12009</v>
      </c>
      <c r="AI8" s="26" t="s">
        <v>1121</v>
      </c>
      <c r="AJ8" s="26"/>
      <c r="AK8" s="26" t="s">
        <v>1122</v>
      </c>
      <c r="AL8" s="26"/>
      <c r="AM8" s="26" t="s">
        <v>14384</v>
      </c>
      <c r="AN8" s="26" t="s">
        <v>11</v>
      </c>
      <c r="AO8" s="26" t="s">
        <v>1124</v>
      </c>
      <c r="AP8" s="26"/>
      <c r="AQ8" s="26" t="s">
        <v>1125</v>
      </c>
      <c r="AR8" s="26"/>
      <c r="AS8" s="26" t="s">
        <v>14385</v>
      </c>
      <c r="AT8" s="26"/>
      <c r="AU8" s="26" t="s">
        <v>1127</v>
      </c>
      <c r="AV8" s="26"/>
      <c r="AW8" s="26" t="s">
        <v>14590</v>
      </c>
      <c r="AX8" s="26" t="s">
        <v>14591</v>
      </c>
      <c r="AY8" s="26" t="s">
        <v>14592</v>
      </c>
      <c r="AZ8" s="26" t="s">
        <v>14601</v>
      </c>
      <c r="BA8" s="26" t="s">
        <v>14593</v>
      </c>
      <c r="BB8" s="26"/>
      <c r="BC8" s="26" t="s">
        <v>14594</v>
      </c>
      <c r="BD8" s="26"/>
      <c r="BE8" s="26" t="s">
        <v>1128</v>
      </c>
      <c r="BF8" s="26"/>
      <c r="BG8" s="26" t="s">
        <v>14499</v>
      </c>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row>
    <row r="9" spans="1:85" x14ac:dyDescent="0.4">
      <c r="A9" s="26" t="s">
        <v>12627</v>
      </c>
      <c r="B9" s="26" t="s">
        <v>6</v>
      </c>
      <c r="C9" s="26" t="s">
        <v>1</v>
      </c>
      <c r="D9" s="26" t="s">
        <v>11999</v>
      </c>
      <c r="E9" s="26" t="s">
        <v>0</v>
      </c>
      <c r="F9" s="26" t="s">
        <v>12627</v>
      </c>
      <c r="G9" s="26" t="s">
        <v>12628</v>
      </c>
      <c r="H9" s="26" t="s">
        <v>14365</v>
      </c>
      <c r="I9" s="26" t="s">
        <v>7</v>
      </c>
      <c r="J9" s="26" t="s">
        <v>2</v>
      </c>
      <c r="K9" s="26" t="s">
        <v>12631</v>
      </c>
      <c r="L9" s="26"/>
      <c r="M9" s="26"/>
      <c r="N9" s="26" t="s">
        <v>12485</v>
      </c>
      <c r="O9" s="26"/>
      <c r="P9" s="26"/>
      <c r="Q9" s="26" t="s">
        <v>13845</v>
      </c>
      <c r="R9" s="26"/>
      <c r="S9" s="26" t="s">
        <v>14366</v>
      </c>
      <c r="T9" s="26" t="s">
        <v>11</v>
      </c>
      <c r="U9" s="26" t="s">
        <v>14367</v>
      </c>
      <c r="V9" s="26"/>
      <c r="W9" s="26" t="s">
        <v>14368</v>
      </c>
      <c r="X9" s="26"/>
      <c r="Y9" s="26" t="s">
        <v>14369</v>
      </c>
      <c r="Z9" s="26"/>
      <c r="AA9" s="26" t="s">
        <v>14588</v>
      </c>
      <c r="AB9" s="26" t="s">
        <v>14595</v>
      </c>
      <c r="AC9" s="26" t="s">
        <v>1129</v>
      </c>
      <c r="AD9" s="26" t="s">
        <v>12135</v>
      </c>
      <c r="AE9" s="26" t="s">
        <v>1119</v>
      </c>
      <c r="AF9" s="26" t="s">
        <v>12629</v>
      </c>
      <c r="AG9" s="26" t="s">
        <v>14383</v>
      </c>
      <c r="AH9" s="26" t="s">
        <v>12060</v>
      </c>
      <c r="AI9" s="26" t="s">
        <v>1121</v>
      </c>
      <c r="AJ9" s="26"/>
      <c r="AK9" s="26" t="s">
        <v>1122</v>
      </c>
      <c r="AL9" s="26"/>
      <c r="AM9" s="26" t="s">
        <v>14384</v>
      </c>
      <c r="AN9" s="26" t="s">
        <v>11</v>
      </c>
      <c r="AO9" s="26" t="s">
        <v>1124</v>
      </c>
      <c r="AP9" s="26"/>
      <c r="AQ9" s="26" t="s">
        <v>1125</v>
      </c>
      <c r="AR9" s="26"/>
      <c r="AS9" s="26" t="s">
        <v>14385</v>
      </c>
      <c r="AT9" s="26"/>
      <c r="AU9" s="26" t="s">
        <v>1127</v>
      </c>
      <c r="AV9" s="26"/>
      <c r="AW9" s="26" t="s">
        <v>14590</v>
      </c>
      <c r="AX9" s="26" t="s">
        <v>14596</v>
      </c>
      <c r="AY9" s="26" t="s">
        <v>14592</v>
      </c>
      <c r="AZ9" s="26" t="s">
        <v>12134</v>
      </c>
      <c r="BA9" s="26" t="s">
        <v>14593</v>
      </c>
      <c r="BB9" s="26"/>
      <c r="BC9" s="26" t="s">
        <v>14594</v>
      </c>
      <c r="BD9" s="26"/>
      <c r="BE9" s="26" t="s">
        <v>1128</v>
      </c>
      <c r="BF9" s="26"/>
      <c r="BG9" s="26" t="s">
        <v>14499</v>
      </c>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row>
    <row r="10" spans="1:85" x14ac:dyDescent="0.4">
      <c r="A10" s="26" t="s">
        <v>12675</v>
      </c>
      <c r="B10" s="26" t="s">
        <v>6</v>
      </c>
      <c r="C10" s="26" t="s">
        <v>1</v>
      </c>
      <c r="D10" s="26" t="s">
        <v>11999</v>
      </c>
      <c r="E10" s="26" t="s">
        <v>0</v>
      </c>
      <c r="F10" s="26" t="s">
        <v>12675</v>
      </c>
      <c r="G10" s="26" t="s">
        <v>12676</v>
      </c>
      <c r="H10" s="26" t="s">
        <v>14365</v>
      </c>
      <c r="I10" s="26" t="s">
        <v>7</v>
      </c>
      <c r="J10" s="26" t="s">
        <v>2</v>
      </c>
      <c r="K10" s="26" t="s">
        <v>124</v>
      </c>
      <c r="L10" s="26"/>
      <c r="M10" s="26"/>
      <c r="N10" s="26" t="s">
        <v>12678</v>
      </c>
      <c r="O10" s="26"/>
      <c r="P10" s="26"/>
      <c r="Q10" s="26" t="s">
        <v>13845</v>
      </c>
      <c r="R10" s="26"/>
      <c r="S10" s="26" t="s">
        <v>14366</v>
      </c>
      <c r="T10" s="26" t="s">
        <v>11</v>
      </c>
      <c r="U10" s="26" t="s">
        <v>14367</v>
      </c>
      <c r="V10" s="26"/>
      <c r="W10" s="26" t="s">
        <v>14368</v>
      </c>
      <c r="X10" s="26"/>
      <c r="Y10" s="26" t="s">
        <v>14369</v>
      </c>
      <c r="Z10" s="26" t="s">
        <v>14370</v>
      </c>
      <c r="AA10" s="26" t="s">
        <v>14588</v>
      </c>
      <c r="AB10" s="26" t="s">
        <v>14589</v>
      </c>
      <c r="AC10" s="26" t="s">
        <v>1129</v>
      </c>
      <c r="AD10" s="26" t="s">
        <v>10021</v>
      </c>
      <c r="AE10" s="26" t="s">
        <v>1119</v>
      </c>
      <c r="AF10" s="26" t="s">
        <v>12677</v>
      </c>
      <c r="AG10" s="26" t="s">
        <v>14383</v>
      </c>
      <c r="AH10" s="26" t="s">
        <v>12649</v>
      </c>
      <c r="AI10" s="26" t="s">
        <v>1121</v>
      </c>
      <c r="AJ10" s="26"/>
      <c r="AK10" s="26" t="s">
        <v>1122</v>
      </c>
      <c r="AL10" s="26"/>
      <c r="AM10" s="26" t="s">
        <v>14384</v>
      </c>
      <c r="AN10" s="26" t="s">
        <v>11</v>
      </c>
      <c r="AO10" s="26" t="s">
        <v>1124</v>
      </c>
      <c r="AP10" s="26"/>
      <c r="AQ10" s="26" t="s">
        <v>1125</v>
      </c>
      <c r="AR10" s="26"/>
      <c r="AS10" s="26" t="s">
        <v>14385</v>
      </c>
      <c r="AT10" s="26"/>
      <c r="AU10" s="26" t="s">
        <v>1127</v>
      </c>
      <c r="AV10" s="26"/>
      <c r="AW10" s="26" t="s">
        <v>14590</v>
      </c>
      <c r="AX10" s="26" t="s">
        <v>14598</v>
      </c>
      <c r="AY10" s="26" t="s">
        <v>14592</v>
      </c>
      <c r="AZ10" s="26"/>
      <c r="BA10" s="26" t="s">
        <v>14593</v>
      </c>
      <c r="BB10" s="26"/>
      <c r="BC10" s="26" t="s">
        <v>14594</v>
      </c>
      <c r="BD10" s="26"/>
      <c r="BE10" s="26" t="s">
        <v>1128</v>
      </c>
      <c r="BF10" s="26"/>
      <c r="BG10" s="26" t="s">
        <v>14499</v>
      </c>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row>
    <row r="11" spans="1:85" x14ac:dyDescent="0.4">
      <c r="A11" s="26" t="s">
        <v>12688</v>
      </c>
      <c r="B11" s="26" t="s">
        <v>6</v>
      </c>
      <c r="C11" s="26" t="s">
        <v>1</v>
      </c>
      <c r="D11" s="26" t="s">
        <v>11999</v>
      </c>
      <c r="E11" s="26" t="s">
        <v>0</v>
      </c>
      <c r="F11" s="26" t="s">
        <v>12688</v>
      </c>
      <c r="G11" s="26" t="s">
        <v>12689</v>
      </c>
      <c r="H11" s="26" t="s">
        <v>14365</v>
      </c>
      <c r="I11" s="26" t="s">
        <v>7</v>
      </c>
      <c r="J11" s="26" t="s">
        <v>2</v>
      </c>
      <c r="K11" s="26" t="s">
        <v>12220</v>
      </c>
      <c r="L11" s="26"/>
      <c r="M11" s="26"/>
      <c r="N11" s="26" t="s">
        <v>12693</v>
      </c>
      <c r="O11" s="26"/>
      <c r="P11" s="26"/>
      <c r="Q11" s="26" t="s">
        <v>13845</v>
      </c>
      <c r="R11" s="26"/>
      <c r="S11" s="26" t="s">
        <v>14366</v>
      </c>
      <c r="T11" s="26" t="s">
        <v>11</v>
      </c>
      <c r="U11" s="26" t="s">
        <v>14367</v>
      </c>
      <c r="V11" s="26"/>
      <c r="W11" s="26" t="s">
        <v>14368</v>
      </c>
      <c r="X11" s="26"/>
      <c r="Y11" s="26" t="s">
        <v>14369</v>
      </c>
      <c r="Z11" s="26" t="s">
        <v>14370</v>
      </c>
      <c r="AA11" s="26" t="s">
        <v>14588</v>
      </c>
      <c r="AB11" s="26" t="s">
        <v>10021</v>
      </c>
      <c r="AC11" s="26" t="s">
        <v>1129</v>
      </c>
      <c r="AD11" s="26" t="s">
        <v>12038</v>
      </c>
      <c r="AE11" s="26" t="s">
        <v>1119</v>
      </c>
      <c r="AF11" s="26" t="s">
        <v>12690</v>
      </c>
      <c r="AG11" s="26" t="s">
        <v>14383</v>
      </c>
      <c r="AH11" s="26" t="s">
        <v>12691</v>
      </c>
      <c r="AI11" s="26" t="s">
        <v>1121</v>
      </c>
      <c r="AJ11" s="26"/>
      <c r="AK11" s="26" t="s">
        <v>1122</v>
      </c>
      <c r="AL11" s="26"/>
      <c r="AM11" s="26" t="s">
        <v>14384</v>
      </c>
      <c r="AN11" s="26" t="s">
        <v>11</v>
      </c>
      <c r="AO11" s="26" t="s">
        <v>1124</v>
      </c>
      <c r="AP11" s="26"/>
      <c r="AQ11" s="26" t="s">
        <v>1125</v>
      </c>
      <c r="AR11" s="26"/>
      <c r="AS11" s="26" t="s">
        <v>14385</v>
      </c>
      <c r="AT11" s="26"/>
      <c r="AU11" s="26" t="s">
        <v>1127</v>
      </c>
      <c r="AV11" s="26"/>
      <c r="AW11" s="26" t="s">
        <v>14590</v>
      </c>
      <c r="AX11" s="26" t="s">
        <v>14602</v>
      </c>
      <c r="AY11" s="26" t="s">
        <v>14592</v>
      </c>
      <c r="AZ11" s="26" t="s">
        <v>14603</v>
      </c>
      <c r="BA11" s="26" t="s">
        <v>14593</v>
      </c>
      <c r="BB11" s="26" t="s">
        <v>14604</v>
      </c>
      <c r="BC11" s="26" t="s">
        <v>14594</v>
      </c>
      <c r="BD11" s="26"/>
      <c r="BE11" s="26" t="s">
        <v>1128</v>
      </c>
      <c r="BF11" s="26" t="s">
        <v>12692</v>
      </c>
      <c r="BG11" s="26" t="s">
        <v>14499</v>
      </c>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row>
    <row r="12" spans="1:85" x14ac:dyDescent="0.4">
      <c r="A12" s="26" t="s">
        <v>12066</v>
      </c>
      <c r="B12" s="26" t="s">
        <v>6</v>
      </c>
      <c r="C12" s="26" t="s">
        <v>1</v>
      </c>
      <c r="D12" s="26" t="s">
        <v>11999</v>
      </c>
      <c r="E12" s="26" t="s">
        <v>0</v>
      </c>
      <c r="F12" s="26" t="s">
        <v>12066</v>
      </c>
      <c r="G12" s="26" t="s">
        <v>12067</v>
      </c>
      <c r="H12" s="26" t="s">
        <v>14415</v>
      </c>
      <c r="I12" s="26" t="s">
        <v>7</v>
      </c>
      <c r="J12" s="26"/>
      <c r="K12" s="26" t="s">
        <v>1431</v>
      </c>
      <c r="L12" s="26"/>
      <c r="M12" s="26"/>
      <c r="N12" s="26" t="s">
        <v>12071</v>
      </c>
      <c r="O12" s="26"/>
      <c r="P12" s="26"/>
      <c r="Q12" s="26" t="s">
        <v>13845</v>
      </c>
      <c r="R12" s="26"/>
      <c r="S12" s="26" t="s">
        <v>14366</v>
      </c>
      <c r="T12" s="26" t="s">
        <v>11</v>
      </c>
      <c r="U12" s="26" t="s">
        <v>14367</v>
      </c>
      <c r="V12" s="26"/>
      <c r="W12" s="26" t="s">
        <v>14368</v>
      </c>
      <c r="X12" s="26"/>
      <c r="Y12" s="26" t="s">
        <v>14369</v>
      </c>
      <c r="Z12" s="26"/>
      <c r="AA12" s="26" t="s">
        <v>14588</v>
      </c>
      <c r="AB12" s="26" t="s">
        <v>10021</v>
      </c>
      <c r="AC12" s="26" t="s">
        <v>1129</v>
      </c>
      <c r="AD12" s="26" t="s">
        <v>10021</v>
      </c>
      <c r="AE12" s="26" t="s">
        <v>1119</v>
      </c>
      <c r="AF12" s="26" t="s">
        <v>12068</v>
      </c>
      <c r="AG12" s="26" t="s">
        <v>14383</v>
      </c>
      <c r="AH12" s="26" t="s">
        <v>12069</v>
      </c>
      <c r="AI12" s="26" t="s">
        <v>1121</v>
      </c>
      <c r="AJ12" s="26"/>
      <c r="AK12" s="26" t="s">
        <v>1122</v>
      </c>
      <c r="AL12" s="26"/>
      <c r="AM12" s="26" t="s">
        <v>14384</v>
      </c>
      <c r="AN12" s="26" t="s">
        <v>11</v>
      </c>
      <c r="AO12" s="26" t="s">
        <v>1124</v>
      </c>
      <c r="AP12" s="26"/>
      <c r="AQ12" s="26" t="s">
        <v>1125</v>
      </c>
      <c r="AR12" s="26"/>
      <c r="AS12" s="26" t="s">
        <v>14385</v>
      </c>
      <c r="AT12" s="26"/>
      <c r="AU12" s="26" t="s">
        <v>1127</v>
      </c>
      <c r="AV12" s="26"/>
      <c r="AW12" s="26" t="s">
        <v>14590</v>
      </c>
      <c r="AX12" s="26" t="s">
        <v>14596</v>
      </c>
      <c r="AY12" s="26" t="s">
        <v>14592</v>
      </c>
      <c r="AZ12" s="26"/>
      <c r="BA12" s="26" t="s">
        <v>14593</v>
      </c>
      <c r="BB12" s="26"/>
      <c r="BC12" s="26" t="s">
        <v>14594</v>
      </c>
      <c r="BD12" s="26"/>
      <c r="BE12" s="26" t="s">
        <v>1128</v>
      </c>
      <c r="BF12" s="26" t="s">
        <v>12070</v>
      </c>
      <c r="BG12" s="26" t="s">
        <v>14499</v>
      </c>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row>
    <row r="13" spans="1:85" x14ac:dyDescent="0.4">
      <c r="A13" s="26" t="s">
        <v>12915</v>
      </c>
      <c r="B13" s="26" t="s">
        <v>6</v>
      </c>
      <c r="C13" s="26" t="s">
        <v>1</v>
      </c>
      <c r="D13" s="26" t="s">
        <v>11999</v>
      </c>
      <c r="E13" s="26" t="s">
        <v>93</v>
      </c>
      <c r="F13" s="26" t="s">
        <v>12915</v>
      </c>
      <c r="G13" s="26" t="s">
        <v>12916</v>
      </c>
      <c r="H13" s="26" t="s">
        <v>14365</v>
      </c>
      <c r="I13" s="26" t="s">
        <v>7</v>
      </c>
      <c r="J13" s="26" t="s">
        <v>2</v>
      </c>
      <c r="K13" s="26" t="s">
        <v>5631</v>
      </c>
      <c r="L13" s="26"/>
      <c r="M13" s="26"/>
      <c r="N13" s="26" t="s">
        <v>12920</v>
      </c>
      <c r="O13" s="26"/>
      <c r="P13" s="26"/>
      <c r="Q13" s="26" t="s">
        <v>13845</v>
      </c>
      <c r="R13" s="26"/>
      <c r="S13" s="26" t="s">
        <v>14366</v>
      </c>
      <c r="T13" s="26" t="s">
        <v>11</v>
      </c>
      <c r="U13" s="26" t="s">
        <v>14367</v>
      </c>
      <c r="V13" s="26"/>
      <c r="W13" s="26" t="s">
        <v>14368</v>
      </c>
      <c r="X13" s="26"/>
      <c r="Y13" s="26" t="s">
        <v>14369</v>
      </c>
      <c r="Z13" s="26"/>
      <c r="AA13" s="26" t="s">
        <v>14588</v>
      </c>
      <c r="AB13" s="26" t="s">
        <v>14595</v>
      </c>
      <c r="AC13" s="26" t="s">
        <v>1129</v>
      </c>
      <c r="AD13" s="26" t="s">
        <v>10021</v>
      </c>
      <c r="AE13" s="26" t="s">
        <v>1119</v>
      </c>
      <c r="AF13" s="26" t="s">
        <v>12917</v>
      </c>
      <c r="AG13" s="26" t="s">
        <v>14383</v>
      </c>
      <c r="AH13" s="26" t="s">
        <v>3756</v>
      </c>
      <c r="AI13" s="26" t="s">
        <v>1121</v>
      </c>
      <c r="AJ13" s="26"/>
      <c r="AK13" s="26" t="s">
        <v>1122</v>
      </c>
      <c r="AL13" s="26"/>
      <c r="AM13" s="26" t="s">
        <v>14384</v>
      </c>
      <c r="AN13" s="26" t="s">
        <v>11</v>
      </c>
      <c r="AO13" s="26" t="s">
        <v>1124</v>
      </c>
      <c r="AP13" s="26"/>
      <c r="AQ13" s="26" t="s">
        <v>1125</v>
      </c>
      <c r="AR13" s="26"/>
      <c r="AS13" s="26" t="s">
        <v>14385</v>
      </c>
      <c r="AT13" s="26"/>
      <c r="AU13" s="26" t="s">
        <v>1127</v>
      </c>
      <c r="AV13" s="26"/>
      <c r="AW13" s="26" t="s">
        <v>14590</v>
      </c>
      <c r="AX13" s="26" t="s">
        <v>14598</v>
      </c>
      <c r="AY13" s="26" t="s">
        <v>14592</v>
      </c>
      <c r="AZ13" s="26"/>
      <c r="BA13" s="26" t="s">
        <v>14593</v>
      </c>
      <c r="BB13" s="26"/>
      <c r="BC13" s="26" t="s">
        <v>14594</v>
      </c>
      <c r="BD13" s="26"/>
      <c r="BE13" s="26" t="s">
        <v>1128</v>
      </c>
      <c r="BF13" s="26" t="s">
        <v>12918</v>
      </c>
      <c r="BG13" s="26" t="s">
        <v>14499</v>
      </c>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row>
    <row r="14" spans="1:85" x14ac:dyDescent="0.4">
      <c r="A14" s="26" t="s">
        <v>12843</v>
      </c>
      <c r="B14" s="26" t="s">
        <v>6</v>
      </c>
      <c r="C14" s="26" t="s">
        <v>1</v>
      </c>
      <c r="D14" s="26" t="s">
        <v>11999</v>
      </c>
      <c r="E14" s="26" t="s">
        <v>0</v>
      </c>
      <c r="F14" s="26" t="s">
        <v>12843</v>
      </c>
      <c r="G14" s="26" t="s">
        <v>12844</v>
      </c>
      <c r="H14" s="26" t="s">
        <v>14365</v>
      </c>
      <c r="I14" s="26" t="s">
        <v>7</v>
      </c>
      <c r="J14" s="26" t="s">
        <v>2</v>
      </c>
      <c r="K14" s="26" t="s">
        <v>1431</v>
      </c>
      <c r="L14" s="26"/>
      <c r="M14" s="26"/>
      <c r="N14" s="26" t="s">
        <v>12846</v>
      </c>
      <c r="O14" s="26"/>
      <c r="P14" s="26"/>
      <c r="Q14" s="26" t="s">
        <v>13845</v>
      </c>
      <c r="R14" s="26"/>
      <c r="S14" s="26" t="s">
        <v>14366</v>
      </c>
      <c r="T14" s="26" t="s">
        <v>11</v>
      </c>
      <c r="U14" s="26" t="s">
        <v>14367</v>
      </c>
      <c r="V14" s="26"/>
      <c r="W14" s="26" t="s">
        <v>14368</v>
      </c>
      <c r="X14" s="26"/>
      <c r="Y14" s="26" t="s">
        <v>14369</v>
      </c>
      <c r="Z14" s="26"/>
      <c r="AA14" s="26" t="s">
        <v>14588</v>
      </c>
      <c r="AB14" s="26" t="s">
        <v>14595</v>
      </c>
      <c r="AC14" s="26" t="s">
        <v>1129</v>
      </c>
      <c r="AD14" s="26" t="s">
        <v>12185</v>
      </c>
      <c r="AE14" s="26" t="s">
        <v>1119</v>
      </c>
      <c r="AF14" s="26" t="s">
        <v>12845</v>
      </c>
      <c r="AG14" s="26" t="s">
        <v>14383</v>
      </c>
      <c r="AH14" s="26" t="s">
        <v>12405</v>
      </c>
      <c r="AI14" s="26" t="s">
        <v>1121</v>
      </c>
      <c r="AJ14" s="26"/>
      <c r="AK14" s="26" t="s">
        <v>1122</v>
      </c>
      <c r="AL14" s="26"/>
      <c r="AM14" s="26" t="s">
        <v>14384</v>
      </c>
      <c r="AN14" s="26" t="s">
        <v>11</v>
      </c>
      <c r="AO14" s="26" t="s">
        <v>1124</v>
      </c>
      <c r="AP14" s="26"/>
      <c r="AQ14" s="26" t="s">
        <v>1125</v>
      </c>
      <c r="AR14" s="26"/>
      <c r="AS14" s="26" t="s">
        <v>14385</v>
      </c>
      <c r="AT14" s="26"/>
      <c r="AU14" s="26" t="s">
        <v>1127</v>
      </c>
      <c r="AV14" s="26"/>
      <c r="AW14" s="26" t="s">
        <v>14590</v>
      </c>
      <c r="AX14" s="26" t="s">
        <v>14599</v>
      </c>
      <c r="AY14" s="26" t="s">
        <v>14592</v>
      </c>
      <c r="AZ14" s="26"/>
      <c r="BA14" s="26" t="s">
        <v>14593</v>
      </c>
      <c r="BB14" s="26"/>
      <c r="BC14" s="26" t="s">
        <v>14594</v>
      </c>
      <c r="BD14" s="26"/>
      <c r="BE14" s="26" t="s">
        <v>1128</v>
      </c>
      <c r="BF14" s="26"/>
      <c r="BG14" s="26" t="s">
        <v>14499</v>
      </c>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row>
    <row r="15" spans="1:85" x14ac:dyDescent="0.4">
      <c r="A15" s="26" t="s">
        <v>13004</v>
      </c>
      <c r="B15" s="26" t="s">
        <v>6</v>
      </c>
      <c r="C15" s="26" t="s">
        <v>1</v>
      </c>
      <c r="D15" s="26" t="s">
        <v>11999</v>
      </c>
      <c r="E15" s="26" t="s">
        <v>0</v>
      </c>
      <c r="F15" s="26" t="s">
        <v>13004</v>
      </c>
      <c r="G15" s="26" t="s">
        <v>13005</v>
      </c>
      <c r="H15" s="26" t="s">
        <v>14365</v>
      </c>
      <c r="I15" s="26" t="s">
        <v>7</v>
      </c>
      <c r="J15" s="26" t="s">
        <v>2</v>
      </c>
      <c r="K15" s="26" t="s">
        <v>6411</v>
      </c>
      <c r="L15" s="26"/>
      <c r="M15" s="26"/>
      <c r="N15" s="26" t="s">
        <v>13008</v>
      </c>
      <c r="O15" s="26"/>
      <c r="P15" s="26"/>
      <c r="Q15" s="26" t="s">
        <v>13845</v>
      </c>
      <c r="R15" s="26"/>
      <c r="S15" s="26" t="s">
        <v>14366</v>
      </c>
      <c r="T15" s="26" t="s">
        <v>11</v>
      </c>
      <c r="U15" s="26" t="s">
        <v>14367</v>
      </c>
      <c r="V15" s="26"/>
      <c r="W15" s="26" t="s">
        <v>14368</v>
      </c>
      <c r="X15" s="26"/>
      <c r="Y15" s="26" t="s">
        <v>14369</v>
      </c>
      <c r="Z15" s="26"/>
      <c r="AA15" s="26" t="s">
        <v>14588</v>
      </c>
      <c r="AB15" s="26" t="s">
        <v>14589</v>
      </c>
      <c r="AC15" s="26" t="s">
        <v>1129</v>
      </c>
      <c r="AD15" s="26" t="s">
        <v>12026</v>
      </c>
      <c r="AE15" s="26" t="s">
        <v>1119</v>
      </c>
      <c r="AF15" s="26" t="s">
        <v>13006</v>
      </c>
      <c r="AG15" s="26" t="s">
        <v>14383</v>
      </c>
      <c r="AH15" s="26" t="s">
        <v>12493</v>
      </c>
      <c r="AI15" s="26" t="s">
        <v>1121</v>
      </c>
      <c r="AJ15" s="26"/>
      <c r="AK15" s="26" t="s">
        <v>1122</v>
      </c>
      <c r="AL15" s="26"/>
      <c r="AM15" s="26" t="s">
        <v>14384</v>
      </c>
      <c r="AN15" s="26" t="s">
        <v>11</v>
      </c>
      <c r="AO15" s="26" t="s">
        <v>1124</v>
      </c>
      <c r="AP15" s="26"/>
      <c r="AQ15" s="26" t="s">
        <v>1125</v>
      </c>
      <c r="AR15" s="26"/>
      <c r="AS15" s="26" t="s">
        <v>14385</v>
      </c>
      <c r="AT15" s="26"/>
      <c r="AU15" s="26" t="s">
        <v>1127</v>
      </c>
      <c r="AV15" s="26"/>
      <c r="AW15" s="26" t="s">
        <v>14590</v>
      </c>
      <c r="AX15" s="26" t="s">
        <v>14591</v>
      </c>
      <c r="AY15" s="26" t="s">
        <v>14592</v>
      </c>
      <c r="AZ15" s="26"/>
      <c r="BA15" s="26" t="s">
        <v>14593</v>
      </c>
      <c r="BB15" s="26"/>
      <c r="BC15" s="26" t="s">
        <v>14594</v>
      </c>
      <c r="BD15" s="26"/>
      <c r="BE15" s="26" t="s">
        <v>1128</v>
      </c>
      <c r="BF15" s="26" t="s">
        <v>13007</v>
      </c>
      <c r="BG15" s="26" t="s">
        <v>14499</v>
      </c>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row>
    <row r="16" spans="1:85" x14ac:dyDescent="0.4">
      <c r="A16" s="26" t="s">
        <v>13013</v>
      </c>
      <c r="B16" s="26" t="s">
        <v>6</v>
      </c>
      <c r="C16" s="26" t="s">
        <v>1</v>
      </c>
      <c r="D16" s="26" t="s">
        <v>11999</v>
      </c>
      <c r="E16" s="26" t="s">
        <v>0</v>
      </c>
      <c r="F16" s="26" t="s">
        <v>13013</v>
      </c>
      <c r="G16" s="26" t="s">
        <v>13014</v>
      </c>
      <c r="H16" s="26" t="s">
        <v>14365</v>
      </c>
      <c r="I16" s="26" t="s">
        <v>7</v>
      </c>
      <c r="J16" s="26" t="s">
        <v>2</v>
      </c>
      <c r="K16" s="26" t="s">
        <v>6411</v>
      </c>
      <c r="L16" s="26"/>
      <c r="M16" s="26"/>
      <c r="N16" s="26" t="s">
        <v>13016</v>
      </c>
      <c r="O16" s="26"/>
      <c r="P16" s="26"/>
      <c r="Q16" s="26" t="s">
        <v>13845</v>
      </c>
      <c r="R16" s="26"/>
      <c r="S16" s="26" t="s">
        <v>14366</v>
      </c>
      <c r="T16" s="26" t="s">
        <v>11</v>
      </c>
      <c r="U16" s="26" t="s">
        <v>14367</v>
      </c>
      <c r="V16" s="26"/>
      <c r="W16" s="26" t="s">
        <v>14368</v>
      </c>
      <c r="X16" s="26"/>
      <c r="Y16" s="26" t="s">
        <v>14369</v>
      </c>
      <c r="Z16" s="26" t="s">
        <v>14370</v>
      </c>
      <c r="AA16" s="26" t="s">
        <v>14588</v>
      </c>
      <c r="AB16" s="26" t="s">
        <v>14589</v>
      </c>
      <c r="AC16" s="26" t="s">
        <v>1129</v>
      </c>
      <c r="AD16" s="26" t="s">
        <v>12026</v>
      </c>
      <c r="AE16" s="26" t="s">
        <v>1119</v>
      </c>
      <c r="AF16" s="26" t="s">
        <v>13015</v>
      </c>
      <c r="AG16" s="26" t="s">
        <v>14383</v>
      </c>
      <c r="AH16" s="26" t="s">
        <v>12493</v>
      </c>
      <c r="AI16" s="26" t="s">
        <v>1121</v>
      </c>
      <c r="AJ16" s="26"/>
      <c r="AK16" s="26" t="s">
        <v>1122</v>
      </c>
      <c r="AL16" s="26"/>
      <c r="AM16" s="26" t="s">
        <v>14384</v>
      </c>
      <c r="AN16" s="26" t="s">
        <v>11</v>
      </c>
      <c r="AO16" s="26" t="s">
        <v>1124</v>
      </c>
      <c r="AP16" s="26"/>
      <c r="AQ16" s="26" t="s">
        <v>1125</v>
      </c>
      <c r="AR16" s="26"/>
      <c r="AS16" s="26" t="s">
        <v>14385</v>
      </c>
      <c r="AT16" s="26"/>
      <c r="AU16" s="26" t="s">
        <v>1127</v>
      </c>
      <c r="AV16" s="26"/>
      <c r="AW16" s="26" t="s">
        <v>14590</v>
      </c>
      <c r="AX16" s="26" t="s">
        <v>14591</v>
      </c>
      <c r="AY16" s="26" t="s">
        <v>14592</v>
      </c>
      <c r="AZ16" s="26"/>
      <c r="BA16" s="26" t="s">
        <v>14593</v>
      </c>
      <c r="BB16" s="26"/>
      <c r="BC16" s="26" t="s">
        <v>14594</v>
      </c>
      <c r="BD16" s="26"/>
      <c r="BE16" s="26" t="s">
        <v>1128</v>
      </c>
      <c r="BF16" s="26" t="s">
        <v>13007</v>
      </c>
      <c r="BG16" s="26" t="s">
        <v>14499</v>
      </c>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row>
    <row r="17" spans="1:85" x14ac:dyDescent="0.4">
      <c r="A17" s="26" t="s">
        <v>12851</v>
      </c>
      <c r="B17" s="26" t="s">
        <v>6</v>
      </c>
      <c r="C17" s="26" t="s">
        <v>1</v>
      </c>
      <c r="D17" s="26" t="s">
        <v>11999</v>
      </c>
      <c r="E17" s="26" t="s">
        <v>0</v>
      </c>
      <c r="F17" s="26" t="s">
        <v>12851</v>
      </c>
      <c r="G17" s="26" t="s">
        <v>12852</v>
      </c>
      <c r="H17" s="26" t="s">
        <v>14392</v>
      </c>
      <c r="I17" s="26" t="s">
        <v>7</v>
      </c>
      <c r="J17" s="26" t="s">
        <v>2</v>
      </c>
      <c r="K17" s="26" t="s">
        <v>1431</v>
      </c>
      <c r="L17" s="26"/>
      <c r="M17" s="26"/>
      <c r="N17" s="26" t="s">
        <v>12854</v>
      </c>
      <c r="O17" s="26"/>
      <c r="P17" s="26"/>
      <c r="Q17" s="26" t="s">
        <v>13845</v>
      </c>
      <c r="R17" s="26"/>
      <c r="S17" s="26" t="s">
        <v>14366</v>
      </c>
      <c r="T17" s="26" t="s">
        <v>11</v>
      </c>
      <c r="U17" s="26" t="s">
        <v>14367</v>
      </c>
      <c r="V17" s="26"/>
      <c r="W17" s="26" t="s">
        <v>14368</v>
      </c>
      <c r="X17" s="26"/>
      <c r="Y17" s="26" t="s">
        <v>14369</v>
      </c>
      <c r="Z17" s="26" t="s">
        <v>14370</v>
      </c>
      <c r="AA17" s="26" t="s">
        <v>14588</v>
      </c>
      <c r="AB17" s="26" t="s">
        <v>14595</v>
      </c>
      <c r="AC17" s="26" t="s">
        <v>1129</v>
      </c>
      <c r="AD17" s="26" t="s">
        <v>12135</v>
      </c>
      <c r="AE17" s="26" t="s">
        <v>1119</v>
      </c>
      <c r="AF17" s="26" t="s">
        <v>12853</v>
      </c>
      <c r="AG17" s="26" t="s">
        <v>14383</v>
      </c>
      <c r="AH17" s="26" t="s">
        <v>9747</v>
      </c>
      <c r="AI17" s="26" t="s">
        <v>1121</v>
      </c>
      <c r="AJ17" s="26"/>
      <c r="AK17" s="26" t="s">
        <v>1122</v>
      </c>
      <c r="AL17" s="26"/>
      <c r="AM17" s="26" t="s">
        <v>14384</v>
      </c>
      <c r="AN17" s="26" t="s">
        <v>11</v>
      </c>
      <c r="AO17" s="26" t="s">
        <v>1124</v>
      </c>
      <c r="AP17" s="26"/>
      <c r="AQ17" s="26" t="s">
        <v>1125</v>
      </c>
      <c r="AR17" s="26"/>
      <c r="AS17" s="26" t="s">
        <v>14385</v>
      </c>
      <c r="AT17" s="26"/>
      <c r="AU17" s="26" t="s">
        <v>1127</v>
      </c>
      <c r="AV17" s="26"/>
      <c r="AW17" s="26" t="s">
        <v>14590</v>
      </c>
      <c r="AX17" s="26" t="s">
        <v>14605</v>
      </c>
      <c r="AY17" s="26" t="s">
        <v>14592</v>
      </c>
      <c r="AZ17" s="26" t="s">
        <v>14606</v>
      </c>
      <c r="BA17" s="26" t="s">
        <v>14593</v>
      </c>
      <c r="BB17" s="26" t="s">
        <v>14607</v>
      </c>
      <c r="BC17" s="26" t="s">
        <v>14594</v>
      </c>
      <c r="BD17" s="26"/>
      <c r="BE17" s="26" t="s">
        <v>1128</v>
      </c>
      <c r="BF17" s="26"/>
      <c r="BG17" s="26" t="s">
        <v>14499</v>
      </c>
      <c r="BH17" s="26" t="s">
        <v>14608</v>
      </c>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row>
    <row r="18" spans="1:85" x14ac:dyDescent="0.4">
      <c r="A18" s="26" t="s">
        <v>13065</v>
      </c>
      <c r="B18" s="26" t="s">
        <v>6</v>
      </c>
      <c r="C18" s="26" t="s">
        <v>1</v>
      </c>
      <c r="D18" s="26" t="s">
        <v>11999</v>
      </c>
      <c r="E18" s="26" t="s">
        <v>0</v>
      </c>
      <c r="F18" s="26" t="s">
        <v>13065</v>
      </c>
      <c r="G18" s="26" t="s">
        <v>13066</v>
      </c>
      <c r="H18" s="26" t="s">
        <v>14365</v>
      </c>
      <c r="I18" s="26" t="s">
        <v>7</v>
      </c>
      <c r="J18" s="26" t="s">
        <v>2</v>
      </c>
      <c r="K18" s="26" t="s">
        <v>51</v>
      </c>
      <c r="L18" s="26"/>
      <c r="M18" s="26"/>
      <c r="N18" s="26" t="s">
        <v>13061</v>
      </c>
      <c r="O18" s="26"/>
      <c r="P18" s="26"/>
      <c r="Q18" s="26" t="s">
        <v>13845</v>
      </c>
      <c r="R18" s="26"/>
      <c r="S18" s="26" t="s">
        <v>14366</v>
      </c>
      <c r="T18" s="26" t="s">
        <v>11</v>
      </c>
      <c r="U18" s="26" t="s">
        <v>14367</v>
      </c>
      <c r="V18" s="26"/>
      <c r="W18" s="26" t="s">
        <v>14368</v>
      </c>
      <c r="X18" s="26"/>
      <c r="Y18" s="26" t="s">
        <v>14369</v>
      </c>
      <c r="Z18" s="26"/>
      <c r="AA18" s="26" t="s">
        <v>14588</v>
      </c>
      <c r="AB18" s="26" t="s">
        <v>14595</v>
      </c>
      <c r="AC18" s="26" t="s">
        <v>1129</v>
      </c>
      <c r="AD18" s="26" t="s">
        <v>12038</v>
      </c>
      <c r="AE18" s="26" t="s">
        <v>1119</v>
      </c>
      <c r="AF18" s="26" t="s">
        <v>13067</v>
      </c>
      <c r="AG18" s="26" t="s">
        <v>14383</v>
      </c>
      <c r="AH18" s="26" t="s">
        <v>12103</v>
      </c>
      <c r="AI18" s="26" t="s">
        <v>1121</v>
      </c>
      <c r="AJ18" s="26"/>
      <c r="AK18" s="26" t="s">
        <v>1122</v>
      </c>
      <c r="AL18" s="26"/>
      <c r="AM18" s="26" t="s">
        <v>14384</v>
      </c>
      <c r="AN18" s="26" t="s">
        <v>11</v>
      </c>
      <c r="AO18" s="26" t="s">
        <v>1124</v>
      </c>
      <c r="AP18" s="26"/>
      <c r="AQ18" s="26" t="s">
        <v>1125</v>
      </c>
      <c r="AR18" s="26"/>
      <c r="AS18" s="26" t="s">
        <v>14385</v>
      </c>
      <c r="AT18" s="26"/>
      <c r="AU18" s="26" t="s">
        <v>1127</v>
      </c>
      <c r="AV18" s="26"/>
      <c r="AW18" s="26" t="s">
        <v>14590</v>
      </c>
      <c r="AX18" s="26" t="s">
        <v>14596</v>
      </c>
      <c r="AY18" s="26" t="s">
        <v>14592</v>
      </c>
      <c r="AZ18" s="26"/>
      <c r="BA18" s="26" t="s">
        <v>14593</v>
      </c>
      <c r="BB18" s="26"/>
      <c r="BC18" s="26" t="s">
        <v>14594</v>
      </c>
      <c r="BD18" s="26"/>
      <c r="BE18" s="26" t="s">
        <v>1128</v>
      </c>
      <c r="BF18" s="26"/>
      <c r="BG18" s="26" t="s">
        <v>14499</v>
      </c>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row>
    <row r="19" spans="1:85" x14ac:dyDescent="0.4">
      <c r="A19" s="26" t="s">
        <v>13058</v>
      </c>
      <c r="B19" s="26" t="s">
        <v>6</v>
      </c>
      <c r="C19" s="26" t="s">
        <v>1</v>
      </c>
      <c r="D19" s="26" t="s">
        <v>11999</v>
      </c>
      <c r="E19" s="26" t="s">
        <v>0</v>
      </c>
      <c r="F19" s="26" t="s">
        <v>13058</v>
      </c>
      <c r="G19" s="26" t="s">
        <v>13059</v>
      </c>
      <c r="H19" s="26" t="s">
        <v>14365</v>
      </c>
      <c r="I19" s="26" t="s">
        <v>7</v>
      </c>
      <c r="J19" s="26" t="s">
        <v>2</v>
      </c>
      <c r="K19" s="26" t="s">
        <v>51</v>
      </c>
      <c r="L19" s="26"/>
      <c r="M19" s="26"/>
      <c r="N19" s="26" t="s">
        <v>13061</v>
      </c>
      <c r="O19" s="26"/>
      <c r="P19" s="26"/>
      <c r="Q19" s="26" t="s">
        <v>13845</v>
      </c>
      <c r="R19" s="26"/>
      <c r="S19" s="26" t="s">
        <v>14366</v>
      </c>
      <c r="T19" s="26" t="s">
        <v>11</v>
      </c>
      <c r="U19" s="26" t="s">
        <v>14367</v>
      </c>
      <c r="V19" s="26"/>
      <c r="W19" s="26" t="s">
        <v>14368</v>
      </c>
      <c r="X19" s="26"/>
      <c r="Y19" s="26" t="s">
        <v>14369</v>
      </c>
      <c r="Z19" s="26" t="s">
        <v>14370</v>
      </c>
      <c r="AA19" s="26" t="s">
        <v>14588</v>
      </c>
      <c r="AB19" s="26" t="s">
        <v>14595</v>
      </c>
      <c r="AC19" s="26" t="s">
        <v>1129</v>
      </c>
      <c r="AD19" s="26" t="s">
        <v>12038</v>
      </c>
      <c r="AE19" s="26" t="s">
        <v>1119</v>
      </c>
      <c r="AF19" s="26" t="s">
        <v>13060</v>
      </c>
      <c r="AG19" s="26" t="s">
        <v>14383</v>
      </c>
      <c r="AH19" s="26" t="s">
        <v>12103</v>
      </c>
      <c r="AI19" s="26" t="s">
        <v>1121</v>
      </c>
      <c r="AJ19" s="26"/>
      <c r="AK19" s="26" t="s">
        <v>1122</v>
      </c>
      <c r="AL19" s="26"/>
      <c r="AM19" s="26" t="s">
        <v>14384</v>
      </c>
      <c r="AN19" s="26" t="s">
        <v>11</v>
      </c>
      <c r="AO19" s="26" t="s">
        <v>1124</v>
      </c>
      <c r="AP19" s="26"/>
      <c r="AQ19" s="26" t="s">
        <v>1125</v>
      </c>
      <c r="AR19" s="26"/>
      <c r="AS19" s="26" t="s">
        <v>14385</v>
      </c>
      <c r="AT19" s="26"/>
      <c r="AU19" s="26" t="s">
        <v>1127</v>
      </c>
      <c r="AV19" s="26"/>
      <c r="AW19" s="26" t="s">
        <v>14590</v>
      </c>
      <c r="AX19" s="26" t="s">
        <v>14596</v>
      </c>
      <c r="AY19" s="26" t="s">
        <v>14592</v>
      </c>
      <c r="AZ19" s="26"/>
      <c r="BA19" s="26" t="s">
        <v>14593</v>
      </c>
      <c r="BB19" s="26"/>
      <c r="BC19" s="26" t="s">
        <v>14594</v>
      </c>
      <c r="BD19" s="26"/>
      <c r="BE19" s="26" t="s">
        <v>1128</v>
      </c>
      <c r="BF19" s="26"/>
      <c r="BG19" s="26" t="s">
        <v>14499</v>
      </c>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row>
    <row r="20" spans="1:85" x14ac:dyDescent="0.4">
      <c r="A20" s="26" t="s">
        <v>13105</v>
      </c>
      <c r="B20" s="26" t="s">
        <v>6</v>
      </c>
      <c r="C20" s="26" t="s">
        <v>1</v>
      </c>
      <c r="D20" s="26" t="s">
        <v>11999</v>
      </c>
      <c r="E20" s="26" t="s">
        <v>0</v>
      </c>
      <c r="F20" s="26" t="s">
        <v>13105</v>
      </c>
      <c r="G20" s="26" t="s">
        <v>13106</v>
      </c>
      <c r="H20" s="26" t="s">
        <v>14392</v>
      </c>
      <c r="I20" s="26" t="s">
        <v>7</v>
      </c>
      <c r="J20" s="26" t="s">
        <v>2</v>
      </c>
      <c r="K20" s="26" t="s">
        <v>51</v>
      </c>
      <c r="L20" s="26"/>
      <c r="M20" s="26"/>
      <c r="N20" s="26" t="s">
        <v>13109</v>
      </c>
      <c r="O20" s="26"/>
      <c r="P20" s="26"/>
      <c r="Q20" s="26" t="s">
        <v>13845</v>
      </c>
      <c r="R20" s="26"/>
      <c r="S20" s="26" t="s">
        <v>14366</v>
      </c>
      <c r="T20" s="26" t="s">
        <v>11</v>
      </c>
      <c r="U20" s="26" t="s">
        <v>14367</v>
      </c>
      <c r="V20" s="26"/>
      <c r="W20" s="26" t="s">
        <v>14368</v>
      </c>
      <c r="X20" s="26"/>
      <c r="Y20" s="26" t="s">
        <v>14369</v>
      </c>
      <c r="Z20" s="26"/>
      <c r="AA20" s="26" t="s">
        <v>14588</v>
      </c>
      <c r="AB20" s="26" t="s">
        <v>10021</v>
      </c>
      <c r="AC20" s="26" t="s">
        <v>1129</v>
      </c>
      <c r="AD20" s="26" t="s">
        <v>10021</v>
      </c>
      <c r="AE20" s="26" t="s">
        <v>1119</v>
      </c>
      <c r="AF20" s="26" t="s">
        <v>13107</v>
      </c>
      <c r="AG20" s="26" t="s">
        <v>14383</v>
      </c>
      <c r="AH20" s="26" t="s">
        <v>12037</v>
      </c>
      <c r="AI20" s="26" t="s">
        <v>1121</v>
      </c>
      <c r="AJ20" s="26"/>
      <c r="AK20" s="26" t="s">
        <v>1122</v>
      </c>
      <c r="AL20" s="26"/>
      <c r="AM20" s="26" t="s">
        <v>14384</v>
      </c>
      <c r="AN20" s="26" t="s">
        <v>11</v>
      </c>
      <c r="AO20" s="26" t="s">
        <v>1124</v>
      </c>
      <c r="AP20" s="26"/>
      <c r="AQ20" s="26" t="s">
        <v>1125</v>
      </c>
      <c r="AR20" s="26"/>
      <c r="AS20" s="26" t="s">
        <v>14385</v>
      </c>
      <c r="AT20" s="26"/>
      <c r="AU20" s="26" t="s">
        <v>1127</v>
      </c>
      <c r="AV20" s="26"/>
      <c r="AW20" s="26" t="s">
        <v>14590</v>
      </c>
      <c r="AX20" s="26" t="s">
        <v>14609</v>
      </c>
      <c r="AY20" s="26" t="s">
        <v>14592</v>
      </c>
      <c r="AZ20" s="26" t="s">
        <v>14610</v>
      </c>
      <c r="BA20" s="26" t="s">
        <v>14593</v>
      </c>
      <c r="BB20" s="26" t="s">
        <v>14611</v>
      </c>
      <c r="BC20" s="26" t="s">
        <v>14594</v>
      </c>
      <c r="BD20" s="26"/>
      <c r="BE20" s="26" t="s">
        <v>1128</v>
      </c>
      <c r="BF20" s="26" t="s">
        <v>13108</v>
      </c>
      <c r="BG20" s="26" t="s">
        <v>14499</v>
      </c>
      <c r="BH20" s="26" t="s">
        <v>14608</v>
      </c>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row>
    <row r="21" spans="1:85" x14ac:dyDescent="0.4">
      <c r="A21" s="26" t="s">
        <v>13028</v>
      </c>
      <c r="B21" s="26" t="s">
        <v>6</v>
      </c>
      <c r="C21" s="26" t="s">
        <v>1</v>
      </c>
      <c r="D21" s="26" t="s">
        <v>11999</v>
      </c>
      <c r="E21" s="26" t="s">
        <v>0</v>
      </c>
      <c r="F21" s="26" t="s">
        <v>13028</v>
      </c>
      <c r="G21" s="26" t="s">
        <v>13029</v>
      </c>
      <c r="H21" s="26" t="s">
        <v>14392</v>
      </c>
      <c r="I21" s="26" t="s">
        <v>7</v>
      </c>
      <c r="J21" s="26" t="s">
        <v>2</v>
      </c>
      <c r="K21" s="26" t="s">
        <v>1983</v>
      </c>
      <c r="L21" s="26"/>
      <c r="M21" s="26"/>
      <c r="N21" s="26" t="s">
        <v>13033</v>
      </c>
      <c r="O21" s="26"/>
      <c r="P21" s="26"/>
      <c r="Q21" s="26" t="s">
        <v>13845</v>
      </c>
      <c r="R21" s="26"/>
      <c r="S21" s="26" t="s">
        <v>14366</v>
      </c>
      <c r="T21" s="26" t="s">
        <v>11</v>
      </c>
      <c r="U21" s="26" t="s">
        <v>14367</v>
      </c>
      <c r="V21" s="26"/>
      <c r="W21" s="26" t="s">
        <v>14368</v>
      </c>
      <c r="X21" s="26"/>
      <c r="Y21" s="26" t="s">
        <v>14369</v>
      </c>
      <c r="Z21" s="26" t="s">
        <v>14370</v>
      </c>
      <c r="AA21" s="26" t="s">
        <v>14588</v>
      </c>
      <c r="AB21" s="26" t="s">
        <v>14589</v>
      </c>
      <c r="AC21" s="26" t="s">
        <v>1129</v>
      </c>
      <c r="AD21" s="26" t="s">
        <v>12026</v>
      </c>
      <c r="AE21" s="26" t="s">
        <v>1119</v>
      </c>
      <c r="AF21" s="26" t="s">
        <v>13030</v>
      </c>
      <c r="AG21" s="26" t="s">
        <v>14383</v>
      </c>
      <c r="AH21" s="26" t="s">
        <v>13031</v>
      </c>
      <c r="AI21" s="26" t="s">
        <v>1121</v>
      </c>
      <c r="AJ21" s="26"/>
      <c r="AK21" s="26" t="s">
        <v>1122</v>
      </c>
      <c r="AL21" s="26"/>
      <c r="AM21" s="26" t="s">
        <v>14384</v>
      </c>
      <c r="AN21" s="26" t="s">
        <v>11</v>
      </c>
      <c r="AO21" s="26" t="s">
        <v>1124</v>
      </c>
      <c r="AP21" s="26"/>
      <c r="AQ21" s="26" t="s">
        <v>1125</v>
      </c>
      <c r="AR21" s="26"/>
      <c r="AS21" s="26" t="s">
        <v>14385</v>
      </c>
      <c r="AT21" s="26"/>
      <c r="AU21" s="26" t="s">
        <v>1127</v>
      </c>
      <c r="AV21" s="26"/>
      <c r="AW21" s="26" t="s">
        <v>14590</v>
      </c>
      <c r="AX21" s="26" t="s">
        <v>14605</v>
      </c>
      <c r="AY21" s="26" t="s">
        <v>14592</v>
      </c>
      <c r="AZ21" s="26"/>
      <c r="BA21" s="26" t="s">
        <v>14593</v>
      </c>
      <c r="BB21" s="26"/>
      <c r="BC21" s="26" t="s">
        <v>14594</v>
      </c>
      <c r="BD21" s="26"/>
      <c r="BE21" s="26" t="s">
        <v>1128</v>
      </c>
      <c r="BF21" s="26" t="s">
        <v>13032</v>
      </c>
      <c r="BG21" s="26" t="s">
        <v>14499</v>
      </c>
      <c r="BH21" s="26" t="s">
        <v>14608</v>
      </c>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row>
    <row r="22" spans="1:85" x14ac:dyDescent="0.4">
      <c r="A22" s="26" t="s">
        <v>13038</v>
      </c>
      <c r="B22" s="26" t="s">
        <v>6</v>
      </c>
      <c r="C22" s="26" t="s">
        <v>1</v>
      </c>
      <c r="D22" s="26" t="s">
        <v>11999</v>
      </c>
      <c r="E22" s="26" t="s">
        <v>0</v>
      </c>
      <c r="F22" s="26" t="s">
        <v>13038</v>
      </c>
      <c r="G22" s="26" t="s">
        <v>13039</v>
      </c>
      <c r="H22" s="26" t="s">
        <v>14392</v>
      </c>
      <c r="I22" s="26" t="s">
        <v>7</v>
      </c>
      <c r="J22" s="26" t="s">
        <v>2</v>
      </c>
      <c r="K22" s="26" t="s">
        <v>1983</v>
      </c>
      <c r="L22" s="26"/>
      <c r="M22" s="26"/>
      <c r="N22" s="26" t="s">
        <v>13042</v>
      </c>
      <c r="O22" s="26"/>
      <c r="P22" s="26"/>
      <c r="Q22" s="26" t="s">
        <v>13845</v>
      </c>
      <c r="R22" s="26"/>
      <c r="S22" s="26" t="s">
        <v>14366</v>
      </c>
      <c r="T22" s="26" t="s">
        <v>11</v>
      </c>
      <c r="U22" s="26" t="s">
        <v>14367</v>
      </c>
      <c r="V22" s="26"/>
      <c r="W22" s="26" t="s">
        <v>14368</v>
      </c>
      <c r="X22" s="26"/>
      <c r="Y22" s="26" t="s">
        <v>14369</v>
      </c>
      <c r="Z22" s="26" t="s">
        <v>14370</v>
      </c>
      <c r="AA22" s="26" t="s">
        <v>14588</v>
      </c>
      <c r="AB22" s="26" t="s">
        <v>14589</v>
      </c>
      <c r="AC22" s="26" t="s">
        <v>1129</v>
      </c>
      <c r="AD22" s="26" t="s">
        <v>12026</v>
      </c>
      <c r="AE22" s="26" t="s">
        <v>1119</v>
      </c>
      <c r="AF22" s="26" t="s">
        <v>13040</v>
      </c>
      <c r="AG22" s="26" t="s">
        <v>14383</v>
      </c>
      <c r="AH22" s="26" t="s">
        <v>13031</v>
      </c>
      <c r="AI22" s="26" t="s">
        <v>1121</v>
      </c>
      <c r="AJ22" s="26"/>
      <c r="AK22" s="26" t="s">
        <v>1122</v>
      </c>
      <c r="AL22" s="26"/>
      <c r="AM22" s="26" t="s">
        <v>14384</v>
      </c>
      <c r="AN22" s="26" t="s">
        <v>11</v>
      </c>
      <c r="AO22" s="26" t="s">
        <v>1124</v>
      </c>
      <c r="AP22" s="26"/>
      <c r="AQ22" s="26" t="s">
        <v>1125</v>
      </c>
      <c r="AR22" s="26"/>
      <c r="AS22" s="26" t="s">
        <v>14385</v>
      </c>
      <c r="AT22" s="26"/>
      <c r="AU22" s="26" t="s">
        <v>1127</v>
      </c>
      <c r="AV22" s="26"/>
      <c r="AW22" s="26" t="s">
        <v>14590</v>
      </c>
      <c r="AX22" s="26" t="s">
        <v>14605</v>
      </c>
      <c r="AY22" s="26" t="s">
        <v>14592</v>
      </c>
      <c r="AZ22" s="26"/>
      <c r="BA22" s="26" t="s">
        <v>14593</v>
      </c>
      <c r="BB22" s="26"/>
      <c r="BC22" s="26" t="s">
        <v>14594</v>
      </c>
      <c r="BD22" s="26"/>
      <c r="BE22" s="26" t="s">
        <v>1128</v>
      </c>
      <c r="BF22" s="26" t="s">
        <v>13041</v>
      </c>
      <c r="BG22" s="26" t="s">
        <v>14499</v>
      </c>
      <c r="BH22" s="26" t="s">
        <v>14608</v>
      </c>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row>
    <row r="23" spans="1:85" x14ac:dyDescent="0.4">
      <c r="A23" s="26" t="s">
        <v>12151</v>
      </c>
      <c r="B23" s="26" t="s">
        <v>6</v>
      </c>
      <c r="C23" s="26" t="s">
        <v>1</v>
      </c>
      <c r="D23" s="26" t="s">
        <v>11999</v>
      </c>
      <c r="E23" s="26" t="s">
        <v>0</v>
      </c>
      <c r="F23" s="26" t="s">
        <v>12151</v>
      </c>
      <c r="G23" s="26" t="s">
        <v>12152</v>
      </c>
      <c r="H23" s="26" t="s">
        <v>14479</v>
      </c>
      <c r="I23" s="26" t="s">
        <v>7</v>
      </c>
      <c r="J23" s="26"/>
      <c r="K23" s="26" t="s">
        <v>1431</v>
      </c>
      <c r="L23" s="26"/>
      <c r="M23" s="26"/>
      <c r="N23" s="26" t="s">
        <v>12156</v>
      </c>
      <c r="O23" s="26"/>
      <c r="P23" s="26"/>
      <c r="Q23" s="26" t="s">
        <v>13845</v>
      </c>
      <c r="R23" s="26"/>
      <c r="S23" s="26" t="s">
        <v>14366</v>
      </c>
      <c r="T23" s="26" t="s">
        <v>11</v>
      </c>
      <c r="U23" s="26" t="s">
        <v>14367</v>
      </c>
      <c r="V23" s="26"/>
      <c r="W23" s="26" t="s">
        <v>14368</v>
      </c>
      <c r="X23" s="26"/>
      <c r="Y23" s="26" t="s">
        <v>14369</v>
      </c>
      <c r="Z23" s="26"/>
      <c r="AA23" s="26" t="s">
        <v>14588</v>
      </c>
      <c r="AB23" s="26" t="s">
        <v>14595</v>
      </c>
      <c r="AC23" s="26" t="s">
        <v>1129</v>
      </c>
      <c r="AD23" s="26" t="s">
        <v>10021</v>
      </c>
      <c r="AE23" s="26" t="s">
        <v>1119</v>
      </c>
      <c r="AF23" s="26" t="s">
        <v>12153</v>
      </c>
      <c r="AG23" s="26" t="s">
        <v>14383</v>
      </c>
      <c r="AH23" s="26" t="s">
        <v>12154</v>
      </c>
      <c r="AI23" s="26" t="s">
        <v>1121</v>
      </c>
      <c r="AJ23" s="26"/>
      <c r="AK23" s="26" t="s">
        <v>1122</v>
      </c>
      <c r="AL23" s="26"/>
      <c r="AM23" s="26" t="s">
        <v>14384</v>
      </c>
      <c r="AN23" s="26" t="s">
        <v>11</v>
      </c>
      <c r="AO23" s="26" t="s">
        <v>1124</v>
      </c>
      <c r="AP23" s="26"/>
      <c r="AQ23" s="26" t="s">
        <v>1125</v>
      </c>
      <c r="AR23" s="26"/>
      <c r="AS23" s="26" t="s">
        <v>14385</v>
      </c>
      <c r="AT23" s="26"/>
      <c r="AU23" s="26" t="s">
        <v>1127</v>
      </c>
      <c r="AV23" s="26"/>
      <c r="AW23" s="26" t="s">
        <v>14590</v>
      </c>
      <c r="AX23" s="26" t="s">
        <v>14609</v>
      </c>
      <c r="AY23" s="26" t="s">
        <v>14592</v>
      </c>
      <c r="AZ23" s="26" t="s">
        <v>14612</v>
      </c>
      <c r="BA23" s="26" t="s">
        <v>14593</v>
      </c>
      <c r="BB23" s="26" t="s">
        <v>14613</v>
      </c>
      <c r="BC23" s="26" t="s">
        <v>14594</v>
      </c>
      <c r="BD23" s="26"/>
      <c r="BE23" s="26" t="s">
        <v>1128</v>
      </c>
      <c r="BF23" s="26" t="s">
        <v>12155</v>
      </c>
      <c r="BG23" s="26" t="s">
        <v>14499</v>
      </c>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row>
    <row r="24" spans="1:85" x14ac:dyDescent="0.4">
      <c r="A24" s="26" t="s">
        <v>13274</v>
      </c>
      <c r="B24" s="26" t="s">
        <v>6</v>
      </c>
      <c r="C24" s="26" t="s">
        <v>1</v>
      </c>
      <c r="D24" s="26" t="s">
        <v>11999</v>
      </c>
      <c r="E24" s="26" t="s">
        <v>0</v>
      </c>
      <c r="F24" s="26" t="s">
        <v>13274</v>
      </c>
      <c r="G24" s="26" t="s">
        <v>13275</v>
      </c>
      <c r="H24" s="26" t="s">
        <v>14365</v>
      </c>
      <c r="I24" s="26" t="s">
        <v>7</v>
      </c>
      <c r="J24" s="26" t="s">
        <v>2</v>
      </c>
      <c r="K24" s="26" t="s">
        <v>13279</v>
      </c>
      <c r="L24" s="26"/>
      <c r="M24" s="26"/>
      <c r="N24" s="26" t="s">
        <v>13277</v>
      </c>
      <c r="O24" s="26"/>
      <c r="P24" s="26"/>
      <c r="Q24" s="26" t="s">
        <v>13845</v>
      </c>
      <c r="R24" s="26"/>
      <c r="S24" s="26" t="s">
        <v>14366</v>
      </c>
      <c r="T24" s="26" t="s">
        <v>11</v>
      </c>
      <c r="U24" s="26" t="s">
        <v>14367</v>
      </c>
      <c r="V24" s="26"/>
      <c r="W24" s="26" t="s">
        <v>14368</v>
      </c>
      <c r="X24" s="26"/>
      <c r="Y24" s="26" t="s">
        <v>14369</v>
      </c>
      <c r="Z24" s="26" t="s">
        <v>14370</v>
      </c>
      <c r="AA24" s="26" t="s">
        <v>14588</v>
      </c>
      <c r="AB24" s="26" t="s">
        <v>14595</v>
      </c>
      <c r="AC24" s="26" t="s">
        <v>1129</v>
      </c>
      <c r="AD24" s="26" t="s">
        <v>12038</v>
      </c>
      <c r="AE24" s="26" t="s">
        <v>1119</v>
      </c>
      <c r="AF24" s="26" t="s">
        <v>13276</v>
      </c>
      <c r="AG24" s="26" t="s">
        <v>14383</v>
      </c>
      <c r="AH24" s="26" t="s">
        <v>12405</v>
      </c>
      <c r="AI24" s="26" t="s">
        <v>1121</v>
      </c>
      <c r="AJ24" s="26"/>
      <c r="AK24" s="26" t="s">
        <v>1122</v>
      </c>
      <c r="AL24" s="26"/>
      <c r="AM24" s="26" t="s">
        <v>14384</v>
      </c>
      <c r="AN24" s="26" t="s">
        <v>11</v>
      </c>
      <c r="AO24" s="26" t="s">
        <v>1124</v>
      </c>
      <c r="AP24" s="26"/>
      <c r="AQ24" s="26" t="s">
        <v>1125</v>
      </c>
      <c r="AR24" s="26"/>
      <c r="AS24" s="26" t="s">
        <v>14385</v>
      </c>
      <c r="AT24" s="26"/>
      <c r="AU24" s="26" t="s">
        <v>1127</v>
      </c>
      <c r="AV24" s="26"/>
      <c r="AW24" s="26" t="s">
        <v>14590</v>
      </c>
      <c r="AX24" s="26" t="s">
        <v>14614</v>
      </c>
      <c r="AY24" s="26" t="s">
        <v>14592</v>
      </c>
      <c r="AZ24" s="26"/>
      <c r="BA24" s="26" t="s">
        <v>14593</v>
      </c>
      <c r="BB24" s="26"/>
      <c r="BC24" s="26" t="s">
        <v>14594</v>
      </c>
      <c r="BD24" s="26"/>
      <c r="BE24" s="26" t="s">
        <v>1128</v>
      </c>
      <c r="BF24" s="26"/>
      <c r="BG24" s="26" t="s">
        <v>14499</v>
      </c>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row>
    <row r="25" spans="1:85" x14ac:dyDescent="0.4">
      <c r="A25" s="26" t="s">
        <v>13221</v>
      </c>
      <c r="B25" s="26" t="s">
        <v>6</v>
      </c>
      <c r="C25" s="26" t="s">
        <v>1</v>
      </c>
      <c r="D25" s="26" t="s">
        <v>11999</v>
      </c>
      <c r="E25" s="26" t="s">
        <v>0</v>
      </c>
      <c r="F25" s="26" t="s">
        <v>13221</v>
      </c>
      <c r="G25" s="26" t="s">
        <v>13222</v>
      </c>
      <c r="H25" s="26" t="s">
        <v>14415</v>
      </c>
      <c r="I25" s="26" t="s">
        <v>7</v>
      </c>
      <c r="J25" s="26"/>
      <c r="K25" s="26" t="s">
        <v>2085</v>
      </c>
      <c r="L25" s="26"/>
      <c r="M25" s="26"/>
      <c r="N25" s="26" t="s">
        <v>13225</v>
      </c>
      <c r="O25" s="26"/>
      <c r="P25" s="26"/>
      <c r="Q25" s="26" t="s">
        <v>13845</v>
      </c>
      <c r="R25" s="26"/>
      <c r="S25" s="26" t="s">
        <v>14366</v>
      </c>
      <c r="T25" s="26" t="s">
        <v>11</v>
      </c>
      <c r="U25" s="26" t="s">
        <v>14367</v>
      </c>
      <c r="V25" s="26"/>
      <c r="W25" s="26" t="s">
        <v>14368</v>
      </c>
      <c r="X25" s="26"/>
      <c r="Y25" s="26" t="s">
        <v>14369</v>
      </c>
      <c r="Z25" s="26" t="s">
        <v>14370</v>
      </c>
      <c r="AA25" s="26" t="s">
        <v>14588</v>
      </c>
      <c r="AB25" s="26" t="s">
        <v>14595</v>
      </c>
      <c r="AC25" s="26" t="s">
        <v>1129</v>
      </c>
      <c r="AD25" s="26" t="s">
        <v>12038</v>
      </c>
      <c r="AE25" s="26" t="s">
        <v>1119</v>
      </c>
      <c r="AF25" s="26" t="s">
        <v>13223</v>
      </c>
      <c r="AG25" s="26" t="s">
        <v>14383</v>
      </c>
      <c r="AH25" s="26" t="s">
        <v>12103</v>
      </c>
      <c r="AI25" s="26" t="s">
        <v>1121</v>
      </c>
      <c r="AJ25" s="26"/>
      <c r="AK25" s="26" t="s">
        <v>1122</v>
      </c>
      <c r="AL25" s="26"/>
      <c r="AM25" s="26" t="s">
        <v>14384</v>
      </c>
      <c r="AN25" s="26" t="s">
        <v>11</v>
      </c>
      <c r="AO25" s="26" t="s">
        <v>1124</v>
      </c>
      <c r="AP25" s="26"/>
      <c r="AQ25" s="26" t="s">
        <v>1125</v>
      </c>
      <c r="AR25" s="26"/>
      <c r="AS25" s="26" t="s">
        <v>14385</v>
      </c>
      <c r="AT25" s="26"/>
      <c r="AU25" s="26" t="s">
        <v>1127</v>
      </c>
      <c r="AV25" s="26"/>
      <c r="AW25" s="26" t="s">
        <v>14590</v>
      </c>
      <c r="AX25" s="26" t="s">
        <v>14605</v>
      </c>
      <c r="AY25" s="26" t="s">
        <v>14592</v>
      </c>
      <c r="AZ25" s="26" t="s">
        <v>14615</v>
      </c>
      <c r="BA25" s="26" t="s">
        <v>14593</v>
      </c>
      <c r="BB25" s="26"/>
      <c r="BC25" s="26" t="s">
        <v>14594</v>
      </c>
      <c r="BD25" s="26"/>
      <c r="BE25" s="26" t="s">
        <v>1128</v>
      </c>
      <c r="BF25" s="26" t="s">
        <v>13224</v>
      </c>
      <c r="BG25" s="26" t="s">
        <v>14499</v>
      </c>
      <c r="BH25" s="26" t="s">
        <v>14608</v>
      </c>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row>
    <row r="26" spans="1:85" x14ac:dyDescent="0.4">
      <c r="A26" s="26" t="s">
        <v>13377</v>
      </c>
      <c r="B26" s="26" t="s">
        <v>6</v>
      </c>
      <c r="C26" s="26" t="s">
        <v>1</v>
      </c>
      <c r="D26" s="26" t="s">
        <v>11999</v>
      </c>
      <c r="E26" s="26" t="s">
        <v>93</v>
      </c>
      <c r="F26" s="26" t="s">
        <v>13377</v>
      </c>
      <c r="G26" s="26" t="s">
        <v>13378</v>
      </c>
      <c r="H26" s="26" t="s">
        <v>14365</v>
      </c>
      <c r="I26" s="26" t="s">
        <v>7</v>
      </c>
      <c r="J26" s="26" t="s">
        <v>2</v>
      </c>
      <c r="K26" s="26" t="s">
        <v>13309</v>
      </c>
      <c r="L26" s="26"/>
      <c r="M26" s="26"/>
      <c r="N26" s="26" t="s">
        <v>12126</v>
      </c>
      <c r="O26" s="26"/>
      <c r="P26" s="26"/>
      <c r="Q26" s="26" t="s">
        <v>13845</v>
      </c>
      <c r="R26" s="26"/>
      <c r="S26" s="26" t="s">
        <v>14366</v>
      </c>
      <c r="T26" s="26" t="s">
        <v>11</v>
      </c>
      <c r="U26" s="26" t="s">
        <v>14367</v>
      </c>
      <c r="V26" s="26"/>
      <c r="W26" s="26" t="s">
        <v>14368</v>
      </c>
      <c r="X26" s="26"/>
      <c r="Y26" s="26" t="s">
        <v>14369</v>
      </c>
      <c r="Z26" s="26"/>
      <c r="AA26" s="26" t="s">
        <v>14588</v>
      </c>
      <c r="AB26" s="26" t="s">
        <v>14595</v>
      </c>
      <c r="AC26" s="26" t="s">
        <v>1129</v>
      </c>
      <c r="AD26" s="26" t="s">
        <v>12038</v>
      </c>
      <c r="AE26" s="26" t="s">
        <v>1119</v>
      </c>
      <c r="AF26" s="26" t="s">
        <v>13379</v>
      </c>
      <c r="AG26" s="26" t="s">
        <v>14383</v>
      </c>
      <c r="AH26" s="26" t="s">
        <v>12060</v>
      </c>
      <c r="AI26" s="26" t="s">
        <v>1121</v>
      </c>
      <c r="AJ26" s="26"/>
      <c r="AK26" s="26" t="s">
        <v>1122</v>
      </c>
      <c r="AL26" s="26"/>
      <c r="AM26" s="26" t="s">
        <v>14384</v>
      </c>
      <c r="AN26" s="26" t="s">
        <v>11</v>
      </c>
      <c r="AO26" s="26" t="s">
        <v>1124</v>
      </c>
      <c r="AP26" s="26"/>
      <c r="AQ26" s="26" t="s">
        <v>1125</v>
      </c>
      <c r="AR26" s="26"/>
      <c r="AS26" s="26" t="s">
        <v>14385</v>
      </c>
      <c r="AT26" s="26"/>
      <c r="AU26" s="26" t="s">
        <v>1127</v>
      </c>
      <c r="AV26" s="26"/>
      <c r="AW26" s="26" t="s">
        <v>14590</v>
      </c>
      <c r="AX26" s="26" t="s">
        <v>14616</v>
      </c>
      <c r="AY26" s="26" t="s">
        <v>14592</v>
      </c>
      <c r="AZ26" s="26"/>
      <c r="BA26" s="26" t="s">
        <v>14593</v>
      </c>
      <c r="BB26" s="26"/>
      <c r="BC26" s="26" t="s">
        <v>14594</v>
      </c>
      <c r="BD26" s="26"/>
      <c r="BE26" s="26" t="s">
        <v>1128</v>
      </c>
      <c r="BF26" s="26"/>
      <c r="BG26" s="26" t="s">
        <v>14499</v>
      </c>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row>
    <row r="27" spans="1:85" x14ac:dyDescent="0.4">
      <c r="A27" s="26" t="s">
        <v>12057</v>
      </c>
      <c r="B27" s="26" t="s">
        <v>6</v>
      </c>
      <c r="C27" s="26" t="s">
        <v>1</v>
      </c>
      <c r="D27" s="26" t="s">
        <v>11999</v>
      </c>
      <c r="E27" s="26" t="s">
        <v>0</v>
      </c>
      <c r="F27" s="26" t="s">
        <v>12057</v>
      </c>
      <c r="G27" s="26" t="s">
        <v>12058</v>
      </c>
      <c r="H27" s="26" t="s">
        <v>14617</v>
      </c>
      <c r="I27" s="26" t="s">
        <v>7</v>
      </c>
      <c r="J27" s="26"/>
      <c r="K27" s="26" t="s">
        <v>14618</v>
      </c>
      <c r="L27" s="26"/>
      <c r="M27" s="26"/>
      <c r="N27" s="26" t="s">
        <v>12063</v>
      </c>
      <c r="O27" s="26"/>
      <c r="P27" s="26"/>
      <c r="Q27" s="26" t="s">
        <v>13845</v>
      </c>
      <c r="R27" s="26"/>
      <c r="S27" s="26" t="s">
        <v>14366</v>
      </c>
      <c r="T27" s="26" t="s">
        <v>11</v>
      </c>
      <c r="U27" s="26" t="s">
        <v>14367</v>
      </c>
      <c r="V27" s="26"/>
      <c r="W27" s="26" t="s">
        <v>14368</v>
      </c>
      <c r="X27" s="26"/>
      <c r="Y27" s="26" t="s">
        <v>14369</v>
      </c>
      <c r="Z27" s="26"/>
      <c r="AA27" s="26" t="s">
        <v>14588</v>
      </c>
      <c r="AB27" s="26" t="s">
        <v>10021</v>
      </c>
      <c r="AC27" s="26" t="s">
        <v>1129</v>
      </c>
      <c r="AD27" s="26" t="s">
        <v>12062</v>
      </c>
      <c r="AE27" s="26" t="s">
        <v>1119</v>
      </c>
      <c r="AF27" s="26" t="s">
        <v>12059</v>
      </c>
      <c r="AG27" s="26" t="s">
        <v>14383</v>
      </c>
      <c r="AH27" s="26" t="s">
        <v>12060</v>
      </c>
      <c r="AI27" s="26" t="s">
        <v>1121</v>
      </c>
      <c r="AJ27" s="26"/>
      <c r="AK27" s="26" t="s">
        <v>1122</v>
      </c>
      <c r="AL27" s="26"/>
      <c r="AM27" s="26" t="s">
        <v>14384</v>
      </c>
      <c r="AN27" s="26" t="s">
        <v>11</v>
      </c>
      <c r="AO27" s="26" t="s">
        <v>1124</v>
      </c>
      <c r="AP27" s="26"/>
      <c r="AQ27" s="26" t="s">
        <v>1125</v>
      </c>
      <c r="AR27" s="26"/>
      <c r="AS27" s="26" t="s">
        <v>14385</v>
      </c>
      <c r="AT27" s="26"/>
      <c r="AU27" s="26" t="s">
        <v>1127</v>
      </c>
      <c r="AV27" s="26"/>
      <c r="AW27" s="26" t="s">
        <v>14590</v>
      </c>
      <c r="AX27" s="26" t="s">
        <v>10021</v>
      </c>
      <c r="AY27" s="26" t="s">
        <v>14592</v>
      </c>
      <c r="AZ27" s="26"/>
      <c r="BA27" s="26" t="s">
        <v>14593</v>
      </c>
      <c r="BB27" s="26"/>
      <c r="BC27" s="26" t="s">
        <v>14594</v>
      </c>
      <c r="BD27" s="26"/>
      <c r="BE27" s="26" t="s">
        <v>1128</v>
      </c>
      <c r="BF27" s="26" t="s">
        <v>12061</v>
      </c>
      <c r="BG27" s="26" t="s">
        <v>14499</v>
      </c>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row>
    <row r="28" spans="1:85" x14ac:dyDescent="0.4">
      <c r="A28" s="26" t="s">
        <v>13480</v>
      </c>
      <c r="B28" s="26" t="s">
        <v>6</v>
      </c>
      <c r="C28" s="26" t="s">
        <v>1</v>
      </c>
      <c r="D28" s="26" t="s">
        <v>11999</v>
      </c>
      <c r="E28" s="26" t="s">
        <v>93</v>
      </c>
      <c r="F28" s="26" t="s">
        <v>13480</v>
      </c>
      <c r="G28" s="26" t="s">
        <v>13481</v>
      </c>
      <c r="H28" s="26" t="s">
        <v>14365</v>
      </c>
      <c r="I28" s="26" t="s">
        <v>7</v>
      </c>
      <c r="J28" s="26" t="s">
        <v>2</v>
      </c>
      <c r="K28" s="26" t="s">
        <v>5935</v>
      </c>
      <c r="L28" s="26"/>
      <c r="M28" s="26"/>
      <c r="N28" s="26" t="s">
        <v>13485</v>
      </c>
      <c r="O28" s="26"/>
      <c r="P28" s="26"/>
      <c r="Q28" s="26" t="s">
        <v>13845</v>
      </c>
      <c r="R28" s="26"/>
      <c r="S28" s="26" t="s">
        <v>14366</v>
      </c>
      <c r="T28" s="26" t="s">
        <v>11</v>
      </c>
      <c r="U28" s="26" t="s">
        <v>14367</v>
      </c>
      <c r="V28" s="26"/>
      <c r="W28" s="26" t="s">
        <v>14368</v>
      </c>
      <c r="X28" s="26"/>
      <c r="Y28" s="26" t="s">
        <v>14369</v>
      </c>
      <c r="Z28" s="26"/>
      <c r="AA28" s="26" t="s">
        <v>14588</v>
      </c>
      <c r="AB28" s="26" t="s">
        <v>10021</v>
      </c>
      <c r="AC28" s="26" t="s">
        <v>1129</v>
      </c>
      <c r="AD28" s="26" t="s">
        <v>12017</v>
      </c>
      <c r="AE28" s="26" t="s">
        <v>1119</v>
      </c>
      <c r="AF28" s="26" t="s">
        <v>13482</v>
      </c>
      <c r="AG28" s="26" t="s">
        <v>14383</v>
      </c>
      <c r="AH28" s="26" t="s">
        <v>12177</v>
      </c>
      <c r="AI28" s="26" t="s">
        <v>1121</v>
      </c>
      <c r="AJ28" s="26"/>
      <c r="AK28" s="26" t="s">
        <v>1122</v>
      </c>
      <c r="AL28" s="26"/>
      <c r="AM28" s="26" t="s">
        <v>14384</v>
      </c>
      <c r="AN28" s="26" t="s">
        <v>11</v>
      </c>
      <c r="AO28" s="26" t="s">
        <v>1124</v>
      </c>
      <c r="AP28" s="26"/>
      <c r="AQ28" s="26" t="s">
        <v>1125</v>
      </c>
      <c r="AR28" s="26"/>
      <c r="AS28" s="26" t="s">
        <v>14385</v>
      </c>
      <c r="AT28" s="26"/>
      <c r="AU28" s="26" t="s">
        <v>1127</v>
      </c>
      <c r="AV28" s="26"/>
      <c r="AW28" s="26" t="s">
        <v>14590</v>
      </c>
      <c r="AX28" s="26" t="s">
        <v>14609</v>
      </c>
      <c r="AY28" s="26" t="s">
        <v>14592</v>
      </c>
      <c r="AZ28" s="26"/>
      <c r="BA28" s="26" t="s">
        <v>14593</v>
      </c>
      <c r="BB28" s="26"/>
      <c r="BC28" s="26" t="s">
        <v>14594</v>
      </c>
      <c r="BD28" s="26"/>
      <c r="BE28" s="26" t="s">
        <v>1128</v>
      </c>
      <c r="BF28" s="26" t="s">
        <v>13483</v>
      </c>
      <c r="BG28" s="26" t="s">
        <v>14499</v>
      </c>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row>
    <row r="29" spans="1:85" x14ac:dyDescent="0.4">
      <c r="A29" s="26" t="s">
        <v>12034</v>
      </c>
      <c r="B29" s="26" t="s">
        <v>6</v>
      </c>
      <c r="C29" s="26" t="s">
        <v>1</v>
      </c>
      <c r="D29" s="26" t="s">
        <v>11999</v>
      </c>
      <c r="E29" s="26" t="s">
        <v>0</v>
      </c>
      <c r="F29" s="26" t="s">
        <v>12034</v>
      </c>
      <c r="G29" s="26" t="s">
        <v>12035</v>
      </c>
      <c r="H29" s="26" t="s">
        <v>14561</v>
      </c>
      <c r="I29" s="26" t="s">
        <v>7</v>
      </c>
      <c r="J29" s="26"/>
      <c r="K29" s="26" t="s">
        <v>1828</v>
      </c>
      <c r="L29" s="26"/>
      <c r="M29" s="26"/>
      <c r="N29" s="26" t="s">
        <v>12039</v>
      </c>
      <c r="O29" s="26"/>
      <c r="P29" s="26"/>
      <c r="Q29" s="26" t="s">
        <v>13845</v>
      </c>
      <c r="R29" s="26"/>
      <c r="S29" s="26" t="s">
        <v>14366</v>
      </c>
      <c r="T29" s="26" t="s">
        <v>11</v>
      </c>
      <c r="U29" s="26" t="s">
        <v>14367</v>
      </c>
      <c r="V29" s="26"/>
      <c r="W29" s="26" t="s">
        <v>14368</v>
      </c>
      <c r="X29" s="26"/>
      <c r="Y29" s="26" t="s">
        <v>14369</v>
      </c>
      <c r="Z29" s="26"/>
      <c r="AA29" s="26" t="s">
        <v>14588</v>
      </c>
      <c r="AB29" s="26" t="s">
        <v>14595</v>
      </c>
      <c r="AC29" s="26" t="s">
        <v>1129</v>
      </c>
      <c r="AD29" s="26" t="s">
        <v>12038</v>
      </c>
      <c r="AE29" s="26" t="s">
        <v>1119</v>
      </c>
      <c r="AF29" s="26" t="s">
        <v>12036</v>
      </c>
      <c r="AG29" s="26" t="s">
        <v>14383</v>
      </c>
      <c r="AH29" s="26" t="s">
        <v>12037</v>
      </c>
      <c r="AI29" s="26" t="s">
        <v>1121</v>
      </c>
      <c r="AJ29" s="26"/>
      <c r="AK29" s="26" t="s">
        <v>1122</v>
      </c>
      <c r="AL29" s="26"/>
      <c r="AM29" s="26" t="s">
        <v>14384</v>
      </c>
      <c r="AN29" s="26" t="s">
        <v>11</v>
      </c>
      <c r="AO29" s="26" t="s">
        <v>1124</v>
      </c>
      <c r="AP29" s="26"/>
      <c r="AQ29" s="26" t="s">
        <v>1125</v>
      </c>
      <c r="AR29" s="26"/>
      <c r="AS29" s="26" t="s">
        <v>14385</v>
      </c>
      <c r="AT29" s="26"/>
      <c r="AU29" s="26" t="s">
        <v>1127</v>
      </c>
      <c r="AV29" s="26"/>
      <c r="AW29" s="26" t="s">
        <v>14590</v>
      </c>
      <c r="AX29" s="26" t="s">
        <v>14614</v>
      </c>
      <c r="AY29" s="26" t="s">
        <v>14592</v>
      </c>
      <c r="AZ29" s="26" t="s">
        <v>14619</v>
      </c>
      <c r="BA29" s="26" t="s">
        <v>14593</v>
      </c>
      <c r="BB29" s="26"/>
      <c r="BC29" s="26" t="s">
        <v>14594</v>
      </c>
      <c r="BD29" s="26"/>
      <c r="BE29" s="26" t="s">
        <v>1128</v>
      </c>
      <c r="BF29" s="26"/>
      <c r="BG29" s="26" t="s">
        <v>14499</v>
      </c>
      <c r="BH29" s="26" t="s">
        <v>14608</v>
      </c>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row>
    <row r="30" spans="1:85" x14ac:dyDescent="0.4">
      <c r="A30" s="26" t="s">
        <v>13685</v>
      </c>
      <c r="B30" s="26" t="s">
        <v>6</v>
      </c>
      <c r="C30" s="26" t="s">
        <v>1</v>
      </c>
      <c r="D30" s="26" t="s">
        <v>11999</v>
      </c>
      <c r="E30" s="26" t="s">
        <v>0</v>
      </c>
      <c r="F30" s="26" t="s">
        <v>13685</v>
      </c>
      <c r="G30" s="26" t="s">
        <v>13686</v>
      </c>
      <c r="H30" s="26" t="s">
        <v>14365</v>
      </c>
      <c r="I30" s="26" t="s">
        <v>7</v>
      </c>
      <c r="J30" s="26" t="s">
        <v>2</v>
      </c>
      <c r="K30" s="26" t="s">
        <v>202</v>
      </c>
      <c r="L30" s="26"/>
      <c r="M30" s="26"/>
      <c r="N30" s="26" t="s">
        <v>12126</v>
      </c>
      <c r="O30" s="26"/>
      <c r="P30" s="26"/>
      <c r="Q30" s="26" t="s">
        <v>13845</v>
      </c>
      <c r="R30" s="26"/>
      <c r="S30" s="26" t="s">
        <v>14366</v>
      </c>
      <c r="T30" s="26" t="s">
        <v>11</v>
      </c>
      <c r="U30" s="26" t="s">
        <v>14367</v>
      </c>
      <c r="V30" s="26"/>
      <c r="W30" s="26" t="s">
        <v>14368</v>
      </c>
      <c r="X30" s="26"/>
      <c r="Y30" s="26" t="s">
        <v>14369</v>
      </c>
      <c r="Z30" s="26" t="s">
        <v>14370</v>
      </c>
      <c r="AA30" s="26" t="s">
        <v>14588</v>
      </c>
      <c r="AB30" s="26" t="s">
        <v>10021</v>
      </c>
      <c r="AC30" s="26" t="s">
        <v>1129</v>
      </c>
      <c r="AD30" s="26" t="s">
        <v>10021</v>
      </c>
      <c r="AE30" s="26" t="s">
        <v>1119</v>
      </c>
      <c r="AF30" s="26" t="s">
        <v>13687</v>
      </c>
      <c r="AG30" s="26" t="s">
        <v>14383</v>
      </c>
      <c r="AH30" s="26" t="s">
        <v>12060</v>
      </c>
      <c r="AI30" s="26" t="s">
        <v>1121</v>
      </c>
      <c r="AJ30" s="26"/>
      <c r="AK30" s="26" t="s">
        <v>1122</v>
      </c>
      <c r="AL30" s="26"/>
      <c r="AM30" s="26" t="s">
        <v>14384</v>
      </c>
      <c r="AN30" s="26" t="s">
        <v>11</v>
      </c>
      <c r="AO30" s="26" t="s">
        <v>1124</v>
      </c>
      <c r="AP30" s="26"/>
      <c r="AQ30" s="26" t="s">
        <v>1125</v>
      </c>
      <c r="AR30" s="26"/>
      <c r="AS30" s="26" t="s">
        <v>14385</v>
      </c>
      <c r="AT30" s="26"/>
      <c r="AU30" s="26" t="s">
        <v>1127</v>
      </c>
      <c r="AV30" s="26"/>
      <c r="AW30" s="26" t="s">
        <v>14590</v>
      </c>
      <c r="AX30" s="26" t="s">
        <v>14605</v>
      </c>
      <c r="AY30" s="26" t="s">
        <v>14592</v>
      </c>
      <c r="AZ30" s="26"/>
      <c r="BA30" s="26" t="s">
        <v>14593</v>
      </c>
      <c r="BB30" s="26"/>
      <c r="BC30" s="26" t="s">
        <v>14594</v>
      </c>
      <c r="BD30" s="26"/>
      <c r="BE30" s="26" t="s">
        <v>1128</v>
      </c>
      <c r="BF30" s="26"/>
      <c r="BG30" s="26" t="s">
        <v>14499</v>
      </c>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row>
    <row r="31" spans="1:85" x14ac:dyDescent="0.4">
      <c r="A31" s="26" t="s">
        <v>13775</v>
      </c>
      <c r="B31" s="26" t="s">
        <v>6</v>
      </c>
      <c r="C31" s="26" t="s">
        <v>1</v>
      </c>
      <c r="D31" s="26" t="s">
        <v>11999</v>
      </c>
      <c r="E31" s="26" t="s">
        <v>0</v>
      </c>
      <c r="F31" s="26" t="s">
        <v>13775</v>
      </c>
      <c r="G31" s="26" t="s">
        <v>13776</v>
      </c>
      <c r="H31" s="26" t="s">
        <v>14365</v>
      </c>
      <c r="I31" s="26" t="s">
        <v>7</v>
      </c>
      <c r="J31" s="26" t="s">
        <v>2</v>
      </c>
      <c r="K31" s="26" t="s">
        <v>1277</v>
      </c>
      <c r="L31" s="26"/>
      <c r="M31" s="26"/>
      <c r="N31" s="26" t="s">
        <v>13779</v>
      </c>
      <c r="O31" s="26"/>
      <c r="P31" s="26"/>
      <c r="Q31" s="26" t="s">
        <v>13845</v>
      </c>
      <c r="R31" s="26"/>
      <c r="S31" s="26" t="s">
        <v>14366</v>
      </c>
      <c r="T31" s="26" t="s">
        <v>11</v>
      </c>
      <c r="U31" s="26" t="s">
        <v>14367</v>
      </c>
      <c r="V31" s="26"/>
      <c r="W31" s="26" t="s">
        <v>14368</v>
      </c>
      <c r="X31" s="26"/>
      <c r="Y31" s="26" t="s">
        <v>14369</v>
      </c>
      <c r="Z31" s="26" t="s">
        <v>14370</v>
      </c>
      <c r="AA31" s="26" t="s">
        <v>14588</v>
      </c>
      <c r="AB31" s="26" t="s">
        <v>14595</v>
      </c>
      <c r="AC31" s="26" t="s">
        <v>1129</v>
      </c>
      <c r="AD31" s="26" t="s">
        <v>12038</v>
      </c>
      <c r="AE31" s="26" t="s">
        <v>1119</v>
      </c>
      <c r="AF31" s="26" t="s">
        <v>13777</v>
      </c>
      <c r="AG31" s="26" t="s">
        <v>14383</v>
      </c>
      <c r="AH31" s="26" t="s">
        <v>12501</v>
      </c>
      <c r="AI31" s="26" t="s">
        <v>1121</v>
      </c>
      <c r="AJ31" s="26"/>
      <c r="AK31" s="26" t="s">
        <v>1122</v>
      </c>
      <c r="AL31" s="26"/>
      <c r="AM31" s="26" t="s">
        <v>14384</v>
      </c>
      <c r="AN31" s="26" t="s">
        <v>11</v>
      </c>
      <c r="AO31" s="26" t="s">
        <v>1124</v>
      </c>
      <c r="AP31" s="26"/>
      <c r="AQ31" s="26" t="s">
        <v>1125</v>
      </c>
      <c r="AR31" s="26"/>
      <c r="AS31" s="26" t="s">
        <v>14385</v>
      </c>
      <c r="AT31" s="26"/>
      <c r="AU31" s="26" t="s">
        <v>1127</v>
      </c>
      <c r="AV31" s="26"/>
      <c r="AW31" s="26" t="s">
        <v>14590</v>
      </c>
      <c r="AX31" s="26" t="s">
        <v>14614</v>
      </c>
      <c r="AY31" s="26" t="s">
        <v>14592</v>
      </c>
      <c r="AZ31" s="26"/>
      <c r="BA31" s="26" t="s">
        <v>14593</v>
      </c>
      <c r="BB31" s="26"/>
      <c r="BC31" s="26" t="s">
        <v>14594</v>
      </c>
      <c r="BD31" s="26"/>
      <c r="BE31" s="26" t="s">
        <v>1128</v>
      </c>
      <c r="BF31" s="26"/>
      <c r="BG31" s="26" t="s">
        <v>14499</v>
      </c>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row>
    <row r="32" spans="1:85" x14ac:dyDescent="0.4">
      <c r="A32" s="26" t="s">
        <v>13785</v>
      </c>
      <c r="B32" s="26" t="s">
        <v>6</v>
      </c>
      <c r="C32" s="26" t="s">
        <v>1</v>
      </c>
      <c r="D32" s="26" t="s">
        <v>11999</v>
      </c>
      <c r="E32" s="26" t="s">
        <v>0</v>
      </c>
      <c r="F32" s="26" t="s">
        <v>13785</v>
      </c>
      <c r="G32" s="26" t="s">
        <v>13786</v>
      </c>
      <c r="H32" s="26" t="s">
        <v>14365</v>
      </c>
      <c r="I32" s="26" t="s">
        <v>7</v>
      </c>
      <c r="J32" s="26" t="s">
        <v>2</v>
      </c>
      <c r="K32" s="26" t="s">
        <v>1277</v>
      </c>
      <c r="L32" s="26"/>
      <c r="M32" s="26"/>
      <c r="N32" s="26" t="s">
        <v>13779</v>
      </c>
      <c r="O32" s="26"/>
      <c r="P32" s="26"/>
      <c r="Q32" s="26" t="s">
        <v>13845</v>
      </c>
      <c r="R32" s="26"/>
      <c r="S32" s="26" t="s">
        <v>14366</v>
      </c>
      <c r="T32" s="26" t="s">
        <v>11</v>
      </c>
      <c r="U32" s="26" t="s">
        <v>14367</v>
      </c>
      <c r="V32" s="26"/>
      <c r="W32" s="26" t="s">
        <v>14368</v>
      </c>
      <c r="X32" s="26"/>
      <c r="Y32" s="26" t="s">
        <v>14369</v>
      </c>
      <c r="Z32" s="26" t="s">
        <v>14370</v>
      </c>
      <c r="AA32" s="26" t="s">
        <v>14588</v>
      </c>
      <c r="AB32" s="26" t="s">
        <v>14595</v>
      </c>
      <c r="AC32" s="26" t="s">
        <v>1129</v>
      </c>
      <c r="AD32" s="26" t="s">
        <v>12038</v>
      </c>
      <c r="AE32" s="26" t="s">
        <v>1119</v>
      </c>
      <c r="AF32" s="26" t="s">
        <v>13787</v>
      </c>
      <c r="AG32" s="26" t="s">
        <v>14383</v>
      </c>
      <c r="AH32" s="26" t="s">
        <v>12501</v>
      </c>
      <c r="AI32" s="26" t="s">
        <v>1121</v>
      </c>
      <c r="AJ32" s="26"/>
      <c r="AK32" s="26" t="s">
        <v>1122</v>
      </c>
      <c r="AL32" s="26"/>
      <c r="AM32" s="26" t="s">
        <v>14384</v>
      </c>
      <c r="AN32" s="26" t="s">
        <v>11</v>
      </c>
      <c r="AO32" s="26" t="s">
        <v>1124</v>
      </c>
      <c r="AP32" s="26"/>
      <c r="AQ32" s="26" t="s">
        <v>1125</v>
      </c>
      <c r="AR32" s="26"/>
      <c r="AS32" s="26" t="s">
        <v>14385</v>
      </c>
      <c r="AT32" s="26"/>
      <c r="AU32" s="26" t="s">
        <v>1127</v>
      </c>
      <c r="AV32" s="26"/>
      <c r="AW32" s="26" t="s">
        <v>14590</v>
      </c>
      <c r="AX32" s="26" t="s">
        <v>14614</v>
      </c>
      <c r="AY32" s="26" t="s">
        <v>14592</v>
      </c>
      <c r="AZ32" s="26"/>
      <c r="BA32" s="26" t="s">
        <v>14593</v>
      </c>
      <c r="BB32" s="26"/>
      <c r="BC32" s="26" t="s">
        <v>14594</v>
      </c>
      <c r="BD32" s="26"/>
      <c r="BE32" s="26" t="s">
        <v>1128</v>
      </c>
      <c r="BF32" s="26"/>
      <c r="BG32" s="26" t="s">
        <v>14499</v>
      </c>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row>
    <row r="33" spans="1:85" x14ac:dyDescent="0.4">
      <c r="A33" s="26" t="s">
        <v>13791</v>
      </c>
      <c r="B33" s="26" t="s">
        <v>6</v>
      </c>
      <c r="C33" s="26" t="s">
        <v>1</v>
      </c>
      <c r="D33" s="26" t="s">
        <v>11999</v>
      </c>
      <c r="E33" s="26" t="s">
        <v>0</v>
      </c>
      <c r="F33" s="26" t="s">
        <v>13791</v>
      </c>
      <c r="G33" s="26" t="s">
        <v>13792</v>
      </c>
      <c r="H33" s="26" t="s">
        <v>14365</v>
      </c>
      <c r="I33" s="26" t="s">
        <v>7</v>
      </c>
      <c r="J33" s="26" t="s">
        <v>2</v>
      </c>
      <c r="K33" s="26" t="s">
        <v>1277</v>
      </c>
      <c r="L33" s="26"/>
      <c r="M33" s="26"/>
      <c r="N33" s="26" t="s">
        <v>13779</v>
      </c>
      <c r="O33" s="26"/>
      <c r="P33" s="26"/>
      <c r="Q33" s="26" t="s">
        <v>13845</v>
      </c>
      <c r="R33" s="26"/>
      <c r="S33" s="26" t="s">
        <v>14366</v>
      </c>
      <c r="T33" s="26" t="s">
        <v>11</v>
      </c>
      <c r="U33" s="26" t="s">
        <v>14367</v>
      </c>
      <c r="V33" s="26"/>
      <c r="W33" s="26" t="s">
        <v>14368</v>
      </c>
      <c r="X33" s="26"/>
      <c r="Y33" s="26" t="s">
        <v>14369</v>
      </c>
      <c r="Z33" s="26" t="s">
        <v>14370</v>
      </c>
      <c r="AA33" s="26" t="s">
        <v>14588</v>
      </c>
      <c r="AB33" s="26" t="s">
        <v>14595</v>
      </c>
      <c r="AC33" s="26" t="s">
        <v>1129</v>
      </c>
      <c r="AD33" s="26" t="s">
        <v>12038</v>
      </c>
      <c r="AE33" s="26" t="s">
        <v>1119</v>
      </c>
      <c r="AF33" s="26" t="s">
        <v>13793</v>
      </c>
      <c r="AG33" s="26" t="s">
        <v>14383</v>
      </c>
      <c r="AH33" s="26" t="s">
        <v>12501</v>
      </c>
      <c r="AI33" s="26" t="s">
        <v>1121</v>
      </c>
      <c r="AJ33" s="26"/>
      <c r="AK33" s="26" t="s">
        <v>1122</v>
      </c>
      <c r="AL33" s="26"/>
      <c r="AM33" s="26" t="s">
        <v>14384</v>
      </c>
      <c r="AN33" s="26" t="s">
        <v>11</v>
      </c>
      <c r="AO33" s="26" t="s">
        <v>1124</v>
      </c>
      <c r="AP33" s="26"/>
      <c r="AQ33" s="26" t="s">
        <v>1125</v>
      </c>
      <c r="AR33" s="26"/>
      <c r="AS33" s="26" t="s">
        <v>14385</v>
      </c>
      <c r="AT33" s="26"/>
      <c r="AU33" s="26" t="s">
        <v>1127</v>
      </c>
      <c r="AV33" s="26"/>
      <c r="AW33" s="26" t="s">
        <v>14590</v>
      </c>
      <c r="AX33" s="26" t="s">
        <v>14614</v>
      </c>
      <c r="AY33" s="26" t="s">
        <v>14592</v>
      </c>
      <c r="AZ33" s="26"/>
      <c r="BA33" s="26" t="s">
        <v>14593</v>
      </c>
      <c r="BB33" s="26"/>
      <c r="BC33" s="26" t="s">
        <v>14594</v>
      </c>
      <c r="BD33" s="26"/>
      <c r="BE33" s="26" t="s">
        <v>1128</v>
      </c>
      <c r="BF33" s="26"/>
      <c r="BG33" s="26" t="s">
        <v>14499</v>
      </c>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row>
    <row r="34" spans="1:85" x14ac:dyDescent="0.4">
      <c r="A34" s="26" t="s">
        <v>13898</v>
      </c>
      <c r="B34" s="26" t="s">
        <v>6</v>
      </c>
      <c r="C34" s="26" t="s">
        <v>1</v>
      </c>
      <c r="D34" s="26" t="s">
        <v>11999</v>
      </c>
      <c r="E34" s="26" t="s">
        <v>93</v>
      </c>
      <c r="F34" s="26" t="s">
        <v>13898</v>
      </c>
      <c r="G34" s="26" t="s">
        <v>13899</v>
      </c>
      <c r="H34" s="26" t="s">
        <v>14365</v>
      </c>
      <c r="I34" s="26" t="s">
        <v>7</v>
      </c>
      <c r="J34" s="26" t="s">
        <v>2</v>
      </c>
      <c r="K34" s="26" t="s">
        <v>10303</v>
      </c>
      <c r="L34" s="26"/>
      <c r="M34" s="26"/>
      <c r="N34" s="26" t="s">
        <v>12693</v>
      </c>
      <c r="O34" s="26"/>
      <c r="P34" s="26"/>
      <c r="Q34" s="26" t="s">
        <v>13845</v>
      </c>
      <c r="R34" s="26"/>
      <c r="S34" s="26" t="s">
        <v>14366</v>
      </c>
      <c r="T34" s="26" t="s">
        <v>11</v>
      </c>
      <c r="U34" s="26" t="s">
        <v>14367</v>
      </c>
      <c r="V34" s="26"/>
      <c r="W34" s="26" t="s">
        <v>14368</v>
      </c>
      <c r="X34" s="26"/>
      <c r="Y34" s="26" t="s">
        <v>14369</v>
      </c>
      <c r="Z34" s="26"/>
      <c r="AA34" s="26" t="s">
        <v>14588</v>
      </c>
      <c r="AB34" s="26" t="s">
        <v>14589</v>
      </c>
      <c r="AC34" s="26" t="s">
        <v>1129</v>
      </c>
      <c r="AD34" s="26" t="s">
        <v>10021</v>
      </c>
      <c r="AE34" s="26" t="s">
        <v>1119</v>
      </c>
      <c r="AF34" s="26" t="s">
        <v>13900</v>
      </c>
      <c r="AG34" s="26" t="s">
        <v>14383</v>
      </c>
      <c r="AH34" s="26" t="s">
        <v>3756</v>
      </c>
      <c r="AI34" s="26" t="s">
        <v>1121</v>
      </c>
      <c r="AJ34" s="26"/>
      <c r="AK34" s="26" t="s">
        <v>1122</v>
      </c>
      <c r="AL34" s="26"/>
      <c r="AM34" s="26" t="s">
        <v>14384</v>
      </c>
      <c r="AN34" s="26" t="s">
        <v>11</v>
      </c>
      <c r="AO34" s="26" t="s">
        <v>1124</v>
      </c>
      <c r="AP34" s="26"/>
      <c r="AQ34" s="26" t="s">
        <v>1125</v>
      </c>
      <c r="AR34" s="26"/>
      <c r="AS34" s="26" t="s">
        <v>14385</v>
      </c>
      <c r="AT34" s="26"/>
      <c r="AU34" s="26" t="s">
        <v>1127</v>
      </c>
      <c r="AV34" s="26"/>
      <c r="AW34" s="26" t="s">
        <v>14590</v>
      </c>
      <c r="AX34" s="26" t="s">
        <v>14609</v>
      </c>
      <c r="AY34" s="26" t="s">
        <v>14592</v>
      </c>
      <c r="AZ34" s="26"/>
      <c r="BA34" s="26" t="s">
        <v>14593</v>
      </c>
      <c r="BB34" s="26"/>
      <c r="BC34" s="26" t="s">
        <v>14594</v>
      </c>
      <c r="BD34" s="26"/>
      <c r="BE34" s="26" t="s">
        <v>1128</v>
      </c>
      <c r="BF34" s="26"/>
      <c r="BG34" s="26" t="s">
        <v>14499</v>
      </c>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row>
    <row r="35" spans="1:85" x14ac:dyDescent="0.4">
      <c r="A35" s="26" t="s">
        <v>13913</v>
      </c>
      <c r="B35" s="26" t="s">
        <v>6</v>
      </c>
      <c r="C35" s="26" t="s">
        <v>1</v>
      </c>
      <c r="D35" s="26" t="s">
        <v>11999</v>
      </c>
      <c r="E35" s="26" t="s">
        <v>2555</v>
      </c>
      <c r="F35" s="26" t="s">
        <v>13913</v>
      </c>
      <c r="G35" s="26" t="s">
        <v>13914</v>
      </c>
      <c r="H35" s="26" t="s">
        <v>14365</v>
      </c>
      <c r="I35" s="26" t="s">
        <v>7</v>
      </c>
      <c r="J35" s="26" t="s">
        <v>2</v>
      </c>
      <c r="K35" s="26" t="s">
        <v>13910</v>
      </c>
      <c r="L35" s="26"/>
      <c r="M35" s="26"/>
      <c r="N35" s="26" t="s">
        <v>13908</v>
      </c>
      <c r="O35" s="26"/>
      <c r="P35" s="26"/>
      <c r="Q35" s="26" t="s">
        <v>13845</v>
      </c>
      <c r="R35" s="26"/>
      <c r="S35" s="26" t="s">
        <v>14366</v>
      </c>
      <c r="T35" s="26" t="s">
        <v>11</v>
      </c>
      <c r="U35" s="26" t="s">
        <v>14367</v>
      </c>
      <c r="V35" s="26"/>
      <c r="W35" s="26" t="s">
        <v>14368</v>
      </c>
      <c r="X35" s="26"/>
      <c r="Y35" s="26" t="s">
        <v>14369</v>
      </c>
      <c r="Z35" s="26"/>
      <c r="AA35" s="26" t="s">
        <v>14588</v>
      </c>
      <c r="AB35" s="26" t="s">
        <v>14595</v>
      </c>
      <c r="AC35" s="26" t="s">
        <v>1129</v>
      </c>
      <c r="AD35" s="26" t="s">
        <v>12135</v>
      </c>
      <c r="AE35" s="26" t="s">
        <v>1119</v>
      </c>
      <c r="AF35" s="26" t="s">
        <v>13915</v>
      </c>
      <c r="AG35" s="26" t="s">
        <v>14383</v>
      </c>
      <c r="AH35" s="26" t="s">
        <v>12060</v>
      </c>
      <c r="AI35" s="26" t="s">
        <v>1121</v>
      </c>
      <c r="AJ35" s="26"/>
      <c r="AK35" s="26" t="s">
        <v>1122</v>
      </c>
      <c r="AL35" s="26"/>
      <c r="AM35" s="26" t="s">
        <v>14384</v>
      </c>
      <c r="AN35" s="26" t="s">
        <v>11</v>
      </c>
      <c r="AO35" s="26" t="s">
        <v>1124</v>
      </c>
      <c r="AP35" s="26"/>
      <c r="AQ35" s="26" t="s">
        <v>1125</v>
      </c>
      <c r="AR35" s="26"/>
      <c r="AS35" s="26" t="s">
        <v>14385</v>
      </c>
      <c r="AT35" s="26"/>
      <c r="AU35" s="26" t="s">
        <v>1127</v>
      </c>
      <c r="AV35" s="26"/>
      <c r="AW35" s="26" t="s">
        <v>14590</v>
      </c>
      <c r="AX35" s="26" t="s">
        <v>14596</v>
      </c>
      <c r="AY35" s="26" t="s">
        <v>14592</v>
      </c>
      <c r="AZ35" s="26" t="s">
        <v>14620</v>
      </c>
      <c r="BA35" s="26" t="s">
        <v>14593</v>
      </c>
      <c r="BB35" s="26"/>
      <c r="BC35" s="26" t="s">
        <v>14594</v>
      </c>
      <c r="BD35" s="26"/>
      <c r="BE35" s="26" t="s">
        <v>1128</v>
      </c>
      <c r="BF35" s="26"/>
      <c r="BG35" s="26" t="s">
        <v>14499</v>
      </c>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row>
    <row r="36" spans="1:85" x14ac:dyDescent="0.4">
      <c r="A36" s="26" t="s">
        <v>13919</v>
      </c>
      <c r="B36" s="26" t="s">
        <v>6</v>
      </c>
      <c r="C36" s="26" t="s">
        <v>1</v>
      </c>
      <c r="D36" s="26" t="s">
        <v>11999</v>
      </c>
      <c r="E36" s="26" t="s">
        <v>2555</v>
      </c>
      <c r="F36" s="26" t="s">
        <v>13919</v>
      </c>
      <c r="G36" s="26" t="s">
        <v>13920</v>
      </c>
      <c r="H36" s="26" t="s">
        <v>14365</v>
      </c>
      <c r="I36" s="26" t="s">
        <v>7</v>
      </c>
      <c r="J36" s="26" t="s">
        <v>2</v>
      </c>
      <c r="K36" s="26" t="s">
        <v>13910</v>
      </c>
      <c r="L36" s="26"/>
      <c r="M36" s="26"/>
      <c r="N36" s="26" t="s">
        <v>13908</v>
      </c>
      <c r="O36" s="26"/>
      <c r="P36" s="26"/>
      <c r="Q36" s="26" t="s">
        <v>13845</v>
      </c>
      <c r="R36" s="26"/>
      <c r="S36" s="26" t="s">
        <v>14366</v>
      </c>
      <c r="T36" s="26" t="s">
        <v>11</v>
      </c>
      <c r="U36" s="26" t="s">
        <v>14367</v>
      </c>
      <c r="V36" s="26"/>
      <c r="W36" s="26" t="s">
        <v>14368</v>
      </c>
      <c r="X36" s="26"/>
      <c r="Y36" s="26" t="s">
        <v>14369</v>
      </c>
      <c r="Z36" s="26"/>
      <c r="AA36" s="26" t="s">
        <v>14588</v>
      </c>
      <c r="AB36" s="26" t="s">
        <v>14595</v>
      </c>
      <c r="AC36" s="26" t="s">
        <v>1129</v>
      </c>
      <c r="AD36" s="26" t="s">
        <v>12135</v>
      </c>
      <c r="AE36" s="26" t="s">
        <v>1119</v>
      </c>
      <c r="AF36" s="26" t="s">
        <v>13921</v>
      </c>
      <c r="AG36" s="26" t="s">
        <v>14383</v>
      </c>
      <c r="AH36" s="26" t="s">
        <v>12060</v>
      </c>
      <c r="AI36" s="26" t="s">
        <v>1121</v>
      </c>
      <c r="AJ36" s="26"/>
      <c r="AK36" s="26" t="s">
        <v>1122</v>
      </c>
      <c r="AL36" s="26"/>
      <c r="AM36" s="26" t="s">
        <v>14384</v>
      </c>
      <c r="AN36" s="26" t="s">
        <v>11</v>
      </c>
      <c r="AO36" s="26" t="s">
        <v>1124</v>
      </c>
      <c r="AP36" s="26"/>
      <c r="AQ36" s="26" t="s">
        <v>1125</v>
      </c>
      <c r="AR36" s="26"/>
      <c r="AS36" s="26" t="s">
        <v>14385</v>
      </c>
      <c r="AT36" s="26"/>
      <c r="AU36" s="26" t="s">
        <v>1127</v>
      </c>
      <c r="AV36" s="26"/>
      <c r="AW36" s="26" t="s">
        <v>14590</v>
      </c>
      <c r="AX36" s="26" t="s">
        <v>14596</v>
      </c>
      <c r="AY36" s="26" t="s">
        <v>14592</v>
      </c>
      <c r="AZ36" s="26" t="s">
        <v>14621</v>
      </c>
      <c r="BA36" s="26" t="s">
        <v>14593</v>
      </c>
      <c r="BB36" s="26"/>
      <c r="BC36" s="26" t="s">
        <v>14594</v>
      </c>
      <c r="BD36" s="26"/>
      <c r="BE36" s="26" t="s">
        <v>1128</v>
      </c>
      <c r="BF36" s="26"/>
      <c r="BG36" s="26" t="s">
        <v>14499</v>
      </c>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row>
    <row r="37" spans="1:85" x14ac:dyDescent="0.4">
      <c r="A37" s="26" t="s">
        <v>13925</v>
      </c>
      <c r="B37" s="26" t="s">
        <v>6</v>
      </c>
      <c r="C37" s="26" t="s">
        <v>1</v>
      </c>
      <c r="D37" s="26" t="s">
        <v>11999</v>
      </c>
      <c r="E37" s="26" t="s">
        <v>2555</v>
      </c>
      <c r="F37" s="26" t="s">
        <v>13925</v>
      </c>
      <c r="G37" s="26" t="s">
        <v>13926</v>
      </c>
      <c r="H37" s="26" t="s">
        <v>14365</v>
      </c>
      <c r="I37" s="26" t="s">
        <v>7</v>
      </c>
      <c r="J37" s="26" t="s">
        <v>2</v>
      </c>
      <c r="K37" s="26" t="s">
        <v>13910</v>
      </c>
      <c r="L37" s="26"/>
      <c r="M37" s="26"/>
      <c r="N37" s="26" t="s">
        <v>13908</v>
      </c>
      <c r="O37" s="26"/>
      <c r="P37" s="26"/>
      <c r="Q37" s="26" t="s">
        <v>13845</v>
      </c>
      <c r="R37" s="26"/>
      <c r="S37" s="26" t="s">
        <v>14366</v>
      </c>
      <c r="T37" s="26" t="s">
        <v>11</v>
      </c>
      <c r="U37" s="26" t="s">
        <v>14367</v>
      </c>
      <c r="V37" s="26"/>
      <c r="W37" s="26" t="s">
        <v>14368</v>
      </c>
      <c r="X37" s="26"/>
      <c r="Y37" s="26" t="s">
        <v>14369</v>
      </c>
      <c r="Z37" s="26"/>
      <c r="AA37" s="26" t="s">
        <v>14588</v>
      </c>
      <c r="AB37" s="26" t="s">
        <v>14595</v>
      </c>
      <c r="AC37" s="26" t="s">
        <v>1129</v>
      </c>
      <c r="AD37" s="26" t="s">
        <v>12135</v>
      </c>
      <c r="AE37" s="26" t="s">
        <v>1119</v>
      </c>
      <c r="AF37" s="26" t="s">
        <v>13927</v>
      </c>
      <c r="AG37" s="26" t="s">
        <v>14383</v>
      </c>
      <c r="AH37" s="26" t="s">
        <v>12060</v>
      </c>
      <c r="AI37" s="26" t="s">
        <v>1121</v>
      </c>
      <c r="AJ37" s="26"/>
      <c r="AK37" s="26" t="s">
        <v>1122</v>
      </c>
      <c r="AL37" s="26"/>
      <c r="AM37" s="26" t="s">
        <v>14384</v>
      </c>
      <c r="AN37" s="26" t="s">
        <v>11</v>
      </c>
      <c r="AO37" s="26" t="s">
        <v>1124</v>
      </c>
      <c r="AP37" s="26"/>
      <c r="AQ37" s="26" t="s">
        <v>1125</v>
      </c>
      <c r="AR37" s="26"/>
      <c r="AS37" s="26" t="s">
        <v>14385</v>
      </c>
      <c r="AT37" s="26"/>
      <c r="AU37" s="26" t="s">
        <v>1127</v>
      </c>
      <c r="AV37" s="26"/>
      <c r="AW37" s="26" t="s">
        <v>14590</v>
      </c>
      <c r="AX37" s="26" t="s">
        <v>14596</v>
      </c>
      <c r="AY37" s="26" t="s">
        <v>14592</v>
      </c>
      <c r="AZ37" s="26" t="s">
        <v>14622</v>
      </c>
      <c r="BA37" s="26" t="s">
        <v>14593</v>
      </c>
      <c r="BB37" s="26"/>
      <c r="BC37" s="26" t="s">
        <v>14594</v>
      </c>
      <c r="BD37" s="26"/>
      <c r="BE37" s="26" t="s">
        <v>1128</v>
      </c>
      <c r="BF37" s="26"/>
      <c r="BG37" s="26" t="s">
        <v>14499</v>
      </c>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row>
    <row r="38" spans="1:85" x14ac:dyDescent="0.4">
      <c r="A38" s="26" t="s">
        <v>13930</v>
      </c>
      <c r="B38" s="26" t="s">
        <v>6</v>
      </c>
      <c r="C38" s="26" t="s">
        <v>1</v>
      </c>
      <c r="D38" s="26" t="s">
        <v>11999</v>
      </c>
      <c r="E38" s="26" t="s">
        <v>2555</v>
      </c>
      <c r="F38" s="26" t="s">
        <v>13930</v>
      </c>
      <c r="G38" s="26" t="s">
        <v>13931</v>
      </c>
      <c r="H38" s="26" t="s">
        <v>14365</v>
      </c>
      <c r="I38" s="26" t="s">
        <v>7</v>
      </c>
      <c r="J38" s="26" t="s">
        <v>2</v>
      </c>
      <c r="K38" s="26" t="s">
        <v>13910</v>
      </c>
      <c r="L38" s="26"/>
      <c r="M38" s="26"/>
      <c r="N38" s="26" t="s">
        <v>13908</v>
      </c>
      <c r="O38" s="26"/>
      <c r="P38" s="26"/>
      <c r="Q38" s="26" t="s">
        <v>13845</v>
      </c>
      <c r="R38" s="26"/>
      <c r="S38" s="26" t="s">
        <v>14366</v>
      </c>
      <c r="T38" s="26" t="s">
        <v>11</v>
      </c>
      <c r="U38" s="26" t="s">
        <v>14367</v>
      </c>
      <c r="V38" s="26"/>
      <c r="W38" s="26" t="s">
        <v>14368</v>
      </c>
      <c r="X38" s="26"/>
      <c r="Y38" s="26" t="s">
        <v>14369</v>
      </c>
      <c r="Z38" s="26"/>
      <c r="AA38" s="26" t="s">
        <v>14588</v>
      </c>
      <c r="AB38" s="26" t="s">
        <v>14595</v>
      </c>
      <c r="AC38" s="26" t="s">
        <v>1129</v>
      </c>
      <c r="AD38" s="26" t="s">
        <v>12135</v>
      </c>
      <c r="AE38" s="26" t="s">
        <v>1119</v>
      </c>
      <c r="AF38" s="26" t="s">
        <v>13932</v>
      </c>
      <c r="AG38" s="26" t="s">
        <v>14383</v>
      </c>
      <c r="AH38" s="26" t="s">
        <v>12060</v>
      </c>
      <c r="AI38" s="26" t="s">
        <v>1121</v>
      </c>
      <c r="AJ38" s="26"/>
      <c r="AK38" s="26" t="s">
        <v>1122</v>
      </c>
      <c r="AL38" s="26"/>
      <c r="AM38" s="26" t="s">
        <v>14384</v>
      </c>
      <c r="AN38" s="26" t="s">
        <v>11</v>
      </c>
      <c r="AO38" s="26" t="s">
        <v>1124</v>
      </c>
      <c r="AP38" s="26"/>
      <c r="AQ38" s="26" t="s">
        <v>1125</v>
      </c>
      <c r="AR38" s="26"/>
      <c r="AS38" s="26" t="s">
        <v>14385</v>
      </c>
      <c r="AT38" s="26"/>
      <c r="AU38" s="26" t="s">
        <v>1127</v>
      </c>
      <c r="AV38" s="26"/>
      <c r="AW38" s="26" t="s">
        <v>14590</v>
      </c>
      <c r="AX38" s="26" t="s">
        <v>14596</v>
      </c>
      <c r="AY38" s="26" t="s">
        <v>14592</v>
      </c>
      <c r="AZ38" s="26" t="s">
        <v>14623</v>
      </c>
      <c r="BA38" s="26" t="s">
        <v>14593</v>
      </c>
      <c r="BB38" s="26"/>
      <c r="BC38" s="26" t="s">
        <v>14594</v>
      </c>
      <c r="BD38" s="26"/>
      <c r="BE38" s="26" t="s">
        <v>1128</v>
      </c>
      <c r="BF38" s="26"/>
      <c r="BG38" s="26" t="s">
        <v>14499</v>
      </c>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row>
    <row r="39" spans="1:85" x14ac:dyDescent="0.4">
      <c r="A39" s="26" t="s">
        <v>13905</v>
      </c>
      <c r="B39" s="26" t="s">
        <v>6</v>
      </c>
      <c r="C39" s="26" t="s">
        <v>1</v>
      </c>
      <c r="D39" s="26" t="s">
        <v>11999</v>
      </c>
      <c r="E39" s="26" t="s">
        <v>2555</v>
      </c>
      <c r="F39" s="26" t="s">
        <v>13905</v>
      </c>
      <c r="G39" s="26" t="s">
        <v>13906</v>
      </c>
      <c r="H39" s="26" t="s">
        <v>14365</v>
      </c>
      <c r="I39" s="26" t="s">
        <v>7</v>
      </c>
      <c r="J39" s="26" t="s">
        <v>2</v>
      </c>
      <c r="K39" s="26" t="s">
        <v>13910</v>
      </c>
      <c r="L39" s="26"/>
      <c r="M39" s="26"/>
      <c r="N39" s="26" t="s">
        <v>13908</v>
      </c>
      <c r="O39" s="26"/>
      <c r="P39" s="26"/>
      <c r="Q39" s="26" t="s">
        <v>13845</v>
      </c>
      <c r="R39" s="26"/>
      <c r="S39" s="26" t="s">
        <v>14366</v>
      </c>
      <c r="T39" s="26" t="s">
        <v>11</v>
      </c>
      <c r="U39" s="26" t="s">
        <v>14367</v>
      </c>
      <c r="V39" s="26"/>
      <c r="W39" s="26" t="s">
        <v>14368</v>
      </c>
      <c r="X39" s="26"/>
      <c r="Y39" s="26" t="s">
        <v>14369</v>
      </c>
      <c r="Z39" s="26"/>
      <c r="AA39" s="26" t="s">
        <v>14588</v>
      </c>
      <c r="AB39" s="26" t="s">
        <v>14595</v>
      </c>
      <c r="AC39" s="26" t="s">
        <v>1129</v>
      </c>
      <c r="AD39" s="26" t="s">
        <v>12135</v>
      </c>
      <c r="AE39" s="26" t="s">
        <v>1119</v>
      </c>
      <c r="AF39" s="26" t="s">
        <v>13907</v>
      </c>
      <c r="AG39" s="26" t="s">
        <v>14383</v>
      </c>
      <c r="AH39" s="26" t="s">
        <v>12060</v>
      </c>
      <c r="AI39" s="26" t="s">
        <v>1121</v>
      </c>
      <c r="AJ39" s="26"/>
      <c r="AK39" s="26" t="s">
        <v>1122</v>
      </c>
      <c r="AL39" s="26"/>
      <c r="AM39" s="26" t="s">
        <v>14384</v>
      </c>
      <c r="AN39" s="26" t="s">
        <v>11</v>
      </c>
      <c r="AO39" s="26" t="s">
        <v>1124</v>
      </c>
      <c r="AP39" s="26"/>
      <c r="AQ39" s="26" t="s">
        <v>1125</v>
      </c>
      <c r="AR39" s="26"/>
      <c r="AS39" s="26" t="s">
        <v>14385</v>
      </c>
      <c r="AT39" s="26"/>
      <c r="AU39" s="26" t="s">
        <v>1127</v>
      </c>
      <c r="AV39" s="26"/>
      <c r="AW39" s="26" t="s">
        <v>14590</v>
      </c>
      <c r="AX39" s="26" t="s">
        <v>14596</v>
      </c>
      <c r="AY39" s="26" t="s">
        <v>14592</v>
      </c>
      <c r="AZ39" s="26" t="s">
        <v>14624</v>
      </c>
      <c r="BA39" s="26" t="s">
        <v>14593</v>
      </c>
      <c r="BB39" s="26"/>
      <c r="BC39" s="26" t="s">
        <v>14594</v>
      </c>
      <c r="BD39" s="26"/>
      <c r="BE39" s="26" t="s">
        <v>1128</v>
      </c>
      <c r="BF39" s="26"/>
      <c r="BG39" s="26" t="s">
        <v>14499</v>
      </c>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row>
    <row r="40" spans="1:85" x14ac:dyDescent="0.4">
      <c r="A40" s="26" t="s">
        <v>12014</v>
      </c>
      <c r="B40" s="26" t="s">
        <v>6</v>
      </c>
      <c r="C40" s="26" t="s">
        <v>1</v>
      </c>
      <c r="D40" s="26" t="s">
        <v>11999</v>
      </c>
      <c r="E40" s="26" t="s">
        <v>0</v>
      </c>
      <c r="F40" s="26" t="s">
        <v>12014</v>
      </c>
      <c r="G40" s="26" t="s">
        <v>12015</v>
      </c>
      <c r="H40" s="26" t="s">
        <v>14479</v>
      </c>
      <c r="I40" s="26" t="s">
        <v>7</v>
      </c>
      <c r="J40" s="26"/>
      <c r="K40" s="26" t="s">
        <v>14625</v>
      </c>
      <c r="L40" s="26"/>
      <c r="M40" s="26"/>
      <c r="N40" s="26" t="s">
        <v>12018</v>
      </c>
      <c r="O40" s="26"/>
      <c r="P40" s="26"/>
      <c r="Q40" s="26" t="s">
        <v>13845</v>
      </c>
      <c r="R40" s="26"/>
      <c r="S40" s="26" t="s">
        <v>14366</v>
      </c>
      <c r="T40" s="26" t="s">
        <v>11</v>
      </c>
      <c r="U40" s="26" t="s">
        <v>14367</v>
      </c>
      <c r="V40" s="26"/>
      <c r="W40" s="26" t="s">
        <v>14368</v>
      </c>
      <c r="X40" s="26"/>
      <c r="Y40" s="26" t="s">
        <v>14369</v>
      </c>
      <c r="Z40" s="26"/>
      <c r="AA40" s="26" t="s">
        <v>14588</v>
      </c>
      <c r="AB40" s="26" t="s">
        <v>14595</v>
      </c>
      <c r="AC40" s="26" t="s">
        <v>1129</v>
      </c>
      <c r="AD40" s="26" t="s">
        <v>12017</v>
      </c>
      <c r="AE40" s="26" t="s">
        <v>1119</v>
      </c>
      <c r="AF40" s="26" t="s">
        <v>12016</v>
      </c>
      <c r="AG40" s="26" t="s">
        <v>14383</v>
      </c>
      <c r="AH40" s="26" t="s">
        <v>9747</v>
      </c>
      <c r="AI40" s="26" t="s">
        <v>1121</v>
      </c>
      <c r="AJ40" s="26"/>
      <c r="AK40" s="26" t="s">
        <v>1122</v>
      </c>
      <c r="AL40" s="26"/>
      <c r="AM40" s="26" t="s">
        <v>14384</v>
      </c>
      <c r="AN40" s="26" t="s">
        <v>11</v>
      </c>
      <c r="AO40" s="26" t="s">
        <v>1124</v>
      </c>
      <c r="AP40" s="26"/>
      <c r="AQ40" s="26" t="s">
        <v>1125</v>
      </c>
      <c r="AR40" s="26"/>
      <c r="AS40" s="26" t="s">
        <v>14385</v>
      </c>
      <c r="AT40" s="26"/>
      <c r="AU40" s="26" t="s">
        <v>1127</v>
      </c>
      <c r="AV40" s="26"/>
      <c r="AW40" s="26" t="s">
        <v>14590</v>
      </c>
      <c r="AX40" s="26" t="s">
        <v>14598</v>
      </c>
      <c r="AY40" s="26" t="s">
        <v>14592</v>
      </c>
      <c r="AZ40" s="26" t="s">
        <v>14626</v>
      </c>
      <c r="BA40" s="26" t="s">
        <v>14593</v>
      </c>
      <c r="BB40" s="26"/>
      <c r="BC40" s="26" t="s">
        <v>14594</v>
      </c>
      <c r="BD40" s="26"/>
      <c r="BE40" s="26" t="s">
        <v>1128</v>
      </c>
      <c r="BF40" s="26"/>
      <c r="BG40" s="26" t="s">
        <v>14499</v>
      </c>
      <c r="BH40" s="26" t="s">
        <v>14608</v>
      </c>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row>
    <row r="41" spans="1:85" x14ac:dyDescent="0.4">
      <c r="A41" s="26" t="s">
        <v>13994</v>
      </c>
      <c r="B41" s="26" t="s">
        <v>6</v>
      </c>
      <c r="C41" s="26" t="s">
        <v>1</v>
      </c>
      <c r="D41" s="26" t="s">
        <v>11999</v>
      </c>
      <c r="E41" s="26" t="s">
        <v>93</v>
      </c>
      <c r="F41" s="26" t="s">
        <v>13994</v>
      </c>
      <c r="G41" s="26" t="s">
        <v>13995</v>
      </c>
      <c r="H41" s="26" t="s">
        <v>14365</v>
      </c>
      <c r="I41" s="26" t="s">
        <v>7</v>
      </c>
      <c r="J41" s="26" t="s">
        <v>2</v>
      </c>
      <c r="K41" s="26" t="s">
        <v>10303</v>
      </c>
      <c r="L41" s="26"/>
      <c r="M41" s="26"/>
      <c r="N41" s="26" t="s">
        <v>12741</v>
      </c>
      <c r="O41" s="26"/>
      <c r="P41" s="26"/>
      <c r="Q41" s="26" t="s">
        <v>13845</v>
      </c>
      <c r="R41" s="26"/>
      <c r="S41" s="26" t="s">
        <v>14366</v>
      </c>
      <c r="T41" s="26" t="s">
        <v>11</v>
      </c>
      <c r="U41" s="26" t="s">
        <v>14367</v>
      </c>
      <c r="V41" s="26"/>
      <c r="W41" s="26" t="s">
        <v>14368</v>
      </c>
      <c r="X41" s="26"/>
      <c r="Y41" s="26" t="s">
        <v>14369</v>
      </c>
      <c r="Z41" s="26"/>
      <c r="AA41" s="26" t="s">
        <v>14588</v>
      </c>
      <c r="AB41" s="26" t="s">
        <v>14589</v>
      </c>
      <c r="AC41" s="26" t="s">
        <v>1129</v>
      </c>
      <c r="AD41" s="26" t="s">
        <v>12038</v>
      </c>
      <c r="AE41" s="26" t="s">
        <v>1119</v>
      </c>
      <c r="AF41" s="26" t="s">
        <v>13996</v>
      </c>
      <c r="AG41" s="26" t="s">
        <v>14383</v>
      </c>
      <c r="AH41" s="26" t="s">
        <v>12501</v>
      </c>
      <c r="AI41" s="26" t="s">
        <v>1121</v>
      </c>
      <c r="AJ41" s="26"/>
      <c r="AK41" s="26" t="s">
        <v>1122</v>
      </c>
      <c r="AL41" s="26"/>
      <c r="AM41" s="26" t="s">
        <v>14384</v>
      </c>
      <c r="AN41" s="26" t="s">
        <v>11</v>
      </c>
      <c r="AO41" s="26" t="s">
        <v>1124</v>
      </c>
      <c r="AP41" s="26"/>
      <c r="AQ41" s="26" t="s">
        <v>1125</v>
      </c>
      <c r="AR41" s="26"/>
      <c r="AS41" s="26" t="s">
        <v>14385</v>
      </c>
      <c r="AT41" s="26"/>
      <c r="AU41" s="26" t="s">
        <v>1127</v>
      </c>
      <c r="AV41" s="26"/>
      <c r="AW41" s="26" t="s">
        <v>14590</v>
      </c>
      <c r="AX41" s="26" t="s">
        <v>14614</v>
      </c>
      <c r="AY41" s="26" t="s">
        <v>14592</v>
      </c>
      <c r="AZ41" s="26"/>
      <c r="BA41" s="26" t="s">
        <v>14593</v>
      </c>
      <c r="BB41" s="26"/>
      <c r="BC41" s="26" t="s">
        <v>14594</v>
      </c>
      <c r="BD41" s="26"/>
      <c r="BE41" s="26" t="s">
        <v>1128</v>
      </c>
      <c r="BF41" s="26"/>
      <c r="BG41" s="26" t="s">
        <v>14499</v>
      </c>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row>
    <row r="42" spans="1:85" x14ac:dyDescent="0.4">
      <c r="A42" s="26" t="s">
        <v>14007</v>
      </c>
      <c r="B42" s="26" t="s">
        <v>6</v>
      </c>
      <c r="C42" s="26" t="s">
        <v>1</v>
      </c>
      <c r="D42" s="26" t="s">
        <v>11999</v>
      </c>
      <c r="E42" s="26" t="s">
        <v>93</v>
      </c>
      <c r="F42" s="26" t="s">
        <v>14007</v>
      </c>
      <c r="G42" s="26" t="s">
        <v>14008</v>
      </c>
      <c r="H42" s="26" t="s">
        <v>14365</v>
      </c>
      <c r="I42" s="26" t="s">
        <v>7</v>
      </c>
      <c r="J42" s="26" t="s">
        <v>2</v>
      </c>
      <c r="K42" s="26" t="s">
        <v>10303</v>
      </c>
      <c r="L42" s="26"/>
      <c r="M42" s="26"/>
      <c r="N42" s="26" t="s">
        <v>12126</v>
      </c>
      <c r="O42" s="26"/>
      <c r="P42" s="26"/>
      <c r="Q42" s="26" t="s">
        <v>13845</v>
      </c>
      <c r="R42" s="26"/>
      <c r="S42" s="26" t="s">
        <v>14366</v>
      </c>
      <c r="T42" s="26" t="s">
        <v>11</v>
      </c>
      <c r="U42" s="26" t="s">
        <v>14367</v>
      </c>
      <c r="V42" s="26"/>
      <c r="W42" s="26" t="s">
        <v>14368</v>
      </c>
      <c r="X42" s="26"/>
      <c r="Y42" s="26" t="s">
        <v>14369</v>
      </c>
      <c r="Z42" s="26"/>
      <c r="AA42" s="26" t="s">
        <v>14588</v>
      </c>
      <c r="AB42" s="26" t="s">
        <v>14589</v>
      </c>
      <c r="AC42" s="26" t="s">
        <v>1129</v>
      </c>
      <c r="AD42" s="26" t="s">
        <v>10021</v>
      </c>
      <c r="AE42" s="26" t="s">
        <v>1119</v>
      </c>
      <c r="AF42" s="26" t="s">
        <v>14009</v>
      </c>
      <c r="AG42" s="26" t="s">
        <v>14383</v>
      </c>
      <c r="AH42" s="26" t="s">
        <v>12060</v>
      </c>
      <c r="AI42" s="26" t="s">
        <v>1121</v>
      </c>
      <c r="AJ42" s="26"/>
      <c r="AK42" s="26" t="s">
        <v>1122</v>
      </c>
      <c r="AL42" s="26"/>
      <c r="AM42" s="26" t="s">
        <v>14384</v>
      </c>
      <c r="AN42" s="26" t="s">
        <v>11</v>
      </c>
      <c r="AO42" s="26" t="s">
        <v>1124</v>
      </c>
      <c r="AP42" s="26"/>
      <c r="AQ42" s="26" t="s">
        <v>1125</v>
      </c>
      <c r="AR42" s="26"/>
      <c r="AS42" s="26" t="s">
        <v>14385</v>
      </c>
      <c r="AT42" s="26"/>
      <c r="AU42" s="26" t="s">
        <v>1127</v>
      </c>
      <c r="AV42" s="26"/>
      <c r="AW42" s="26" t="s">
        <v>14590</v>
      </c>
      <c r="AX42" s="26" t="s">
        <v>14616</v>
      </c>
      <c r="AY42" s="26" t="s">
        <v>14592</v>
      </c>
      <c r="AZ42" s="26"/>
      <c r="BA42" s="26" t="s">
        <v>14593</v>
      </c>
      <c r="BB42" s="26"/>
      <c r="BC42" s="26" t="s">
        <v>14594</v>
      </c>
      <c r="BD42" s="26"/>
      <c r="BE42" s="26" t="s">
        <v>1128</v>
      </c>
      <c r="BF42" s="26"/>
      <c r="BG42" s="26" t="s">
        <v>14499</v>
      </c>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row>
    <row r="43" spans="1:85" x14ac:dyDescent="0.4">
      <c r="A43" s="26" t="s">
        <v>14012</v>
      </c>
      <c r="B43" s="26" t="s">
        <v>6</v>
      </c>
      <c r="C43" s="26" t="s">
        <v>1</v>
      </c>
      <c r="D43" s="26" t="s">
        <v>11999</v>
      </c>
      <c r="E43" s="26" t="s">
        <v>0</v>
      </c>
      <c r="F43" s="26" t="s">
        <v>14012</v>
      </c>
      <c r="G43" s="26" t="s">
        <v>14013</v>
      </c>
      <c r="H43" s="26" t="s">
        <v>14365</v>
      </c>
      <c r="I43" s="26" t="s">
        <v>7</v>
      </c>
      <c r="J43" s="26" t="s">
        <v>2</v>
      </c>
      <c r="K43" s="26" t="s">
        <v>1277</v>
      </c>
      <c r="L43" s="26"/>
      <c r="M43" s="26"/>
      <c r="N43" s="26" t="s">
        <v>14018</v>
      </c>
      <c r="O43" s="26"/>
      <c r="P43" s="26"/>
      <c r="Q43" s="26" t="s">
        <v>13845</v>
      </c>
      <c r="R43" s="26"/>
      <c r="S43" s="26" t="s">
        <v>14366</v>
      </c>
      <c r="T43" s="26" t="s">
        <v>11</v>
      </c>
      <c r="U43" s="26" t="s">
        <v>14367</v>
      </c>
      <c r="V43" s="26"/>
      <c r="W43" s="26" t="s">
        <v>14368</v>
      </c>
      <c r="X43" s="26"/>
      <c r="Y43" s="26" t="s">
        <v>14369</v>
      </c>
      <c r="Z43" s="26" t="s">
        <v>14370</v>
      </c>
      <c r="AA43" s="26" t="s">
        <v>14588</v>
      </c>
      <c r="AB43" s="26" t="s">
        <v>14595</v>
      </c>
      <c r="AC43" s="26" t="s">
        <v>1129</v>
      </c>
      <c r="AD43" s="26" t="s">
        <v>10021</v>
      </c>
      <c r="AE43" s="26" t="s">
        <v>1119</v>
      </c>
      <c r="AF43" s="26" t="s">
        <v>14014</v>
      </c>
      <c r="AG43" s="26" t="s">
        <v>14383</v>
      </c>
      <c r="AH43" s="26" t="s">
        <v>14015</v>
      </c>
      <c r="AI43" s="26" t="s">
        <v>1121</v>
      </c>
      <c r="AJ43" s="26" t="s">
        <v>14016</v>
      </c>
      <c r="AK43" s="26" t="s">
        <v>1122</v>
      </c>
      <c r="AL43" s="26"/>
      <c r="AM43" s="26" t="s">
        <v>14384</v>
      </c>
      <c r="AN43" s="26" t="s">
        <v>11</v>
      </c>
      <c r="AO43" s="26" t="s">
        <v>1124</v>
      </c>
      <c r="AP43" s="26"/>
      <c r="AQ43" s="26" t="s">
        <v>1125</v>
      </c>
      <c r="AR43" s="26"/>
      <c r="AS43" s="26" t="s">
        <v>14385</v>
      </c>
      <c r="AT43" s="26"/>
      <c r="AU43" s="26" t="s">
        <v>1127</v>
      </c>
      <c r="AV43" s="26"/>
      <c r="AW43" s="26" t="s">
        <v>14590</v>
      </c>
      <c r="AX43" s="26" t="s">
        <v>14598</v>
      </c>
      <c r="AY43" s="26" t="s">
        <v>14592</v>
      </c>
      <c r="AZ43" s="26"/>
      <c r="BA43" s="26" t="s">
        <v>14593</v>
      </c>
      <c r="BB43" s="26"/>
      <c r="BC43" s="26" t="s">
        <v>14594</v>
      </c>
      <c r="BD43" s="26"/>
      <c r="BE43" s="26" t="s">
        <v>1128</v>
      </c>
      <c r="BF43" s="26"/>
      <c r="BG43" s="26" t="s">
        <v>14499</v>
      </c>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row>
    <row r="44" spans="1:85" x14ac:dyDescent="0.4">
      <c r="A44" s="26" t="s">
        <v>14023</v>
      </c>
      <c r="B44" s="26" t="s">
        <v>6</v>
      </c>
      <c r="C44" s="26" t="s">
        <v>1</v>
      </c>
      <c r="D44" s="26" t="s">
        <v>11999</v>
      </c>
      <c r="E44" s="26" t="s">
        <v>0</v>
      </c>
      <c r="F44" s="26" t="s">
        <v>14023</v>
      </c>
      <c r="G44" s="26" t="s">
        <v>14024</v>
      </c>
      <c r="H44" s="26" t="s">
        <v>14365</v>
      </c>
      <c r="I44" s="26" t="s">
        <v>7</v>
      </c>
      <c r="J44" s="26" t="s">
        <v>2</v>
      </c>
      <c r="K44" s="26" t="s">
        <v>1277</v>
      </c>
      <c r="L44" s="26"/>
      <c r="M44" s="26"/>
      <c r="N44" s="26" t="s">
        <v>14018</v>
      </c>
      <c r="O44" s="26"/>
      <c r="P44" s="26"/>
      <c r="Q44" s="26" t="s">
        <v>13845</v>
      </c>
      <c r="R44" s="26"/>
      <c r="S44" s="26" t="s">
        <v>14366</v>
      </c>
      <c r="T44" s="26" t="s">
        <v>11</v>
      </c>
      <c r="U44" s="26" t="s">
        <v>14367</v>
      </c>
      <c r="V44" s="26"/>
      <c r="W44" s="26" t="s">
        <v>14368</v>
      </c>
      <c r="X44" s="26"/>
      <c r="Y44" s="26" t="s">
        <v>14369</v>
      </c>
      <c r="Z44" s="26" t="s">
        <v>14370</v>
      </c>
      <c r="AA44" s="26" t="s">
        <v>14588</v>
      </c>
      <c r="AB44" s="26" t="s">
        <v>14595</v>
      </c>
      <c r="AC44" s="26" t="s">
        <v>1129</v>
      </c>
      <c r="AD44" s="26" t="s">
        <v>10021</v>
      </c>
      <c r="AE44" s="26" t="s">
        <v>1119</v>
      </c>
      <c r="AF44" s="26" t="s">
        <v>14025</v>
      </c>
      <c r="AG44" s="26" t="s">
        <v>14383</v>
      </c>
      <c r="AH44" s="26" t="s">
        <v>14015</v>
      </c>
      <c r="AI44" s="26" t="s">
        <v>1121</v>
      </c>
      <c r="AJ44" s="26" t="s">
        <v>14026</v>
      </c>
      <c r="AK44" s="26" t="s">
        <v>1122</v>
      </c>
      <c r="AL44" s="26"/>
      <c r="AM44" s="26" t="s">
        <v>14384</v>
      </c>
      <c r="AN44" s="26" t="s">
        <v>11</v>
      </c>
      <c r="AO44" s="26" t="s">
        <v>1124</v>
      </c>
      <c r="AP44" s="26"/>
      <c r="AQ44" s="26" t="s">
        <v>1125</v>
      </c>
      <c r="AR44" s="26"/>
      <c r="AS44" s="26" t="s">
        <v>14385</v>
      </c>
      <c r="AT44" s="26"/>
      <c r="AU44" s="26" t="s">
        <v>1127</v>
      </c>
      <c r="AV44" s="26"/>
      <c r="AW44" s="26" t="s">
        <v>14590</v>
      </c>
      <c r="AX44" s="26" t="s">
        <v>14598</v>
      </c>
      <c r="AY44" s="26" t="s">
        <v>14592</v>
      </c>
      <c r="AZ44" s="26"/>
      <c r="BA44" s="26" t="s">
        <v>14593</v>
      </c>
      <c r="BB44" s="26"/>
      <c r="BC44" s="26" t="s">
        <v>14594</v>
      </c>
      <c r="BD44" s="26"/>
      <c r="BE44" s="26" t="s">
        <v>1128</v>
      </c>
      <c r="BF44" s="26"/>
      <c r="BG44" s="26" t="s">
        <v>14499</v>
      </c>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row>
    <row r="45" spans="1:85" x14ac:dyDescent="0.4">
      <c r="A45" s="26" t="s">
        <v>14121</v>
      </c>
      <c r="B45" s="26" t="s">
        <v>6</v>
      </c>
      <c r="C45" s="26" t="s">
        <v>1</v>
      </c>
      <c r="D45" s="26" t="s">
        <v>11999</v>
      </c>
      <c r="E45" s="26" t="s">
        <v>93</v>
      </c>
      <c r="F45" s="26" t="s">
        <v>14121</v>
      </c>
      <c r="G45" s="26" t="s">
        <v>14122</v>
      </c>
      <c r="H45" s="26" t="s">
        <v>14365</v>
      </c>
      <c r="I45" s="26" t="s">
        <v>7</v>
      </c>
      <c r="J45" s="26" t="s">
        <v>2</v>
      </c>
      <c r="K45" s="26" t="s">
        <v>10826</v>
      </c>
      <c r="L45" s="26"/>
      <c r="M45" s="26"/>
      <c r="N45" s="26" t="s">
        <v>14126</v>
      </c>
      <c r="O45" s="26"/>
      <c r="P45" s="26"/>
      <c r="Q45" s="26" t="s">
        <v>13845</v>
      </c>
      <c r="R45" s="26"/>
      <c r="S45" s="26" t="s">
        <v>14366</v>
      </c>
      <c r="T45" s="26" t="s">
        <v>11</v>
      </c>
      <c r="U45" s="26" t="s">
        <v>14367</v>
      </c>
      <c r="V45" s="26"/>
      <c r="W45" s="26" t="s">
        <v>14368</v>
      </c>
      <c r="X45" s="26"/>
      <c r="Y45" s="26" t="s">
        <v>14369</v>
      </c>
      <c r="Z45" s="26"/>
      <c r="AA45" s="26" t="s">
        <v>14588</v>
      </c>
      <c r="AB45" s="26" t="s">
        <v>14595</v>
      </c>
      <c r="AC45" s="26" t="s">
        <v>1129</v>
      </c>
      <c r="AD45" s="26" t="s">
        <v>10021</v>
      </c>
      <c r="AE45" s="26" t="s">
        <v>1119</v>
      </c>
      <c r="AF45" s="26" t="s">
        <v>14123</v>
      </c>
      <c r="AG45" s="26" t="s">
        <v>14383</v>
      </c>
      <c r="AH45" s="26" t="s">
        <v>3756</v>
      </c>
      <c r="AI45" s="26" t="s">
        <v>1121</v>
      </c>
      <c r="AJ45" s="26"/>
      <c r="AK45" s="26" t="s">
        <v>1122</v>
      </c>
      <c r="AL45" s="26"/>
      <c r="AM45" s="26" t="s">
        <v>14384</v>
      </c>
      <c r="AN45" s="26" t="s">
        <v>11</v>
      </c>
      <c r="AO45" s="26" t="s">
        <v>1124</v>
      </c>
      <c r="AP45" s="26"/>
      <c r="AQ45" s="26" t="s">
        <v>1125</v>
      </c>
      <c r="AR45" s="26"/>
      <c r="AS45" s="26" t="s">
        <v>14385</v>
      </c>
      <c r="AT45" s="26"/>
      <c r="AU45" s="26" t="s">
        <v>1127</v>
      </c>
      <c r="AV45" s="26"/>
      <c r="AW45" s="26" t="s">
        <v>14590</v>
      </c>
      <c r="AX45" s="26" t="s">
        <v>10021</v>
      </c>
      <c r="AY45" s="26" t="s">
        <v>14592</v>
      </c>
      <c r="AZ45" s="26"/>
      <c r="BA45" s="26" t="s">
        <v>14593</v>
      </c>
      <c r="BB45" s="26" t="s">
        <v>14627</v>
      </c>
      <c r="BC45" s="26" t="s">
        <v>14594</v>
      </c>
      <c r="BD45" s="26"/>
      <c r="BE45" s="26" t="s">
        <v>1128</v>
      </c>
      <c r="BF45" s="26" t="s">
        <v>14124</v>
      </c>
      <c r="BG45" s="26" t="s">
        <v>14499</v>
      </c>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row>
    <row r="46" spans="1:85" x14ac:dyDescent="0.4">
      <c r="A46" s="26" t="s">
        <v>11998</v>
      </c>
      <c r="B46" s="26" t="s">
        <v>6</v>
      </c>
      <c r="C46" s="26" t="s">
        <v>1</v>
      </c>
      <c r="D46" s="26" t="s">
        <v>11999</v>
      </c>
      <c r="E46" s="26" t="s">
        <v>0</v>
      </c>
      <c r="F46" s="26" t="s">
        <v>11998</v>
      </c>
      <c r="G46" s="26" t="s">
        <v>12000</v>
      </c>
      <c r="H46" s="26" t="s">
        <v>14392</v>
      </c>
      <c r="I46" s="26" t="s">
        <v>7</v>
      </c>
      <c r="J46" s="26"/>
      <c r="K46" s="26" t="s">
        <v>1983</v>
      </c>
      <c r="L46" s="26"/>
      <c r="M46" s="26"/>
      <c r="N46" s="26" t="s">
        <v>12003</v>
      </c>
      <c r="O46" s="26"/>
      <c r="P46" s="26"/>
      <c r="Q46" s="26" t="s">
        <v>13845</v>
      </c>
      <c r="R46" s="26"/>
      <c r="S46" s="26" t="s">
        <v>14366</v>
      </c>
      <c r="T46" s="26" t="s">
        <v>11</v>
      </c>
      <c r="U46" s="26" t="s">
        <v>14367</v>
      </c>
      <c r="V46" s="26"/>
      <c r="W46" s="26" t="s">
        <v>14368</v>
      </c>
      <c r="X46" s="26"/>
      <c r="Y46" s="26" t="s">
        <v>14369</v>
      </c>
      <c r="Z46" s="26"/>
      <c r="AA46" s="26" t="s">
        <v>14588</v>
      </c>
      <c r="AB46" s="26" t="s">
        <v>14595</v>
      </c>
      <c r="AC46" s="26" t="s">
        <v>1129</v>
      </c>
      <c r="AD46" s="26" t="s">
        <v>10021</v>
      </c>
      <c r="AE46" s="26" t="s">
        <v>1119</v>
      </c>
      <c r="AF46" s="26" t="s">
        <v>12001</v>
      </c>
      <c r="AG46" s="26" t="s">
        <v>14383</v>
      </c>
      <c r="AH46" s="26" t="s">
        <v>12002</v>
      </c>
      <c r="AI46" s="26" t="s">
        <v>1121</v>
      </c>
      <c r="AJ46" s="26"/>
      <c r="AK46" s="26" t="s">
        <v>1122</v>
      </c>
      <c r="AL46" s="26"/>
      <c r="AM46" s="26" t="s">
        <v>14384</v>
      </c>
      <c r="AN46" s="26" t="s">
        <v>11</v>
      </c>
      <c r="AO46" s="26" t="s">
        <v>1124</v>
      </c>
      <c r="AP46" s="26"/>
      <c r="AQ46" s="26" t="s">
        <v>1125</v>
      </c>
      <c r="AR46" s="26"/>
      <c r="AS46" s="26" t="s">
        <v>14385</v>
      </c>
      <c r="AT46" s="26"/>
      <c r="AU46" s="26" t="s">
        <v>1127</v>
      </c>
      <c r="AV46" s="26"/>
      <c r="AW46" s="26" t="s">
        <v>14590</v>
      </c>
      <c r="AX46" s="26" t="s">
        <v>14598</v>
      </c>
      <c r="AY46" s="26" t="s">
        <v>14592</v>
      </c>
      <c r="AZ46" s="26"/>
      <c r="BA46" s="26" t="s">
        <v>14593</v>
      </c>
      <c r="BB46" s="26"/>
      <c r="BC46" s="26" t="s">
        <v>14594</v>
      </c>
      <c r="BD46" s="26"/>
      <c r="BE46" s="26" t="s">
        <v>1128</v>
      </c>
      <c r="BF46" s="26"/>
      <c r="BG46" s="26" t="s">
        <v>14499</v>
      </c>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row>
    <row r="47" spans="1:85" x14ac:dyDescent="0.4">
      <c r="A47" s="26" t="s">
        <v>12074</v>
      </c>
      <c r="B47" s="26" t="s">
        <v>6</v>
      </c>
      <c r="C47" s="26" t="s">
        <v>1</v>
      </c>
      <c r="D47" s="26" t="s">
        <v>11999</v>
      </c>
      <c r="E47" s="26" t="s">
        <v>0</v>
      </c>
      <c r="F47" s="26" t="s">
        <v>12074</v>
      </c>
      <c r="G47" s="26" t="s">
        <v>12075</v>
      </c>
      <c r="H47" s="26" t="s">
        <v>14392</v>
      </c>
      <c r="I47" s="26" t="s">
        <v>7</v>
      </c>
      <c r="J47" s="26" t="s">
        <v>2</v>
      </c>
      <c r="K47" s="26" t="s">
        <v>1682</v>
      </c>
      <c r="L47" s="26"/>
      <c r="M47" s="26"/>
      <c r="N47" s="26" t="s">
        <v>12079</v>
      </c>
      <c r="O47" s="26"/>
      <c r="P47" s="26"/>
      <c r="Q47" s="26" t="s">
        <v>13845</v>
      </c>
      <c r="R47" s="26"/>
      <c r="S47" s="26" t="s">
        <v>14366</v>
      </c>
      <c r="T47" s="26" t="s">
        <v>11</v>
      </c>
      <c r="U47" s="26" t="s">
        <v>14367</v>
      </c>
      <c r="V47" s="26"/>
      <c r="W47" s="26" t="s">
        <v>14368</v>
      </c>
      <c r="X47" s="26"/>
      <c r="Y47" s="26" t="s">
        <v>14369</v>
      </c>
      <c r="Z47" s="26" t="s">
        <v>14370</v>
      </c>
      <c r="AA47" s="26" t="s">
        <v>14588</v>
      </c>
      <c r="AB47" s="26" t="s">
        <v>14595</v>
      </c>
      <c r="AC47" s="26" t="s">
        <v>1129</v>
      </c>
      <c r="AD47" s="26" t="s">
        <v>12038</v>
      </c>
      <c r="AE47" s="26" t="s">
        <v>1119</v>
      </c>
      <c r="AF47" s="26" t="s">
        <v>12076</v>
      </c>
      <c r="AG47" s="26" t="s">
        <v>14383</v>
      </c>
      <c r="AH47" s="26" t="s">
        <v>12077</v>
      </c>
      <c r="AI47" s="26" t="s">
        <v>1121</v>
      </c>
      <c r="AJ47" s="26"/>
      <c r="AK47" s="26" t="s">
        <v>1122</v>
      </c>
      <c r="AL47" s="26" t="s">
        <v>12</v>
      </c>
      <c r="AM47" s="26" t="s">
        <v>14384</v>
      </c>
      <c r="AN47" s="26" t="s">
        <v>11</v>
      </c>
      <c r="AO47" s="26" t="s">
        <v>1124</v>
      </c>
      <c r="AP47" s="26"/>
      <c r="AQ47" s="26" t="s">
        <v>1125</v>
      </c>
      <c r="AR47" s="26" t="s">
        <v>12</v>
      </c>
      <c r="AS47" s="26" t="s">
        <v>14385</v>
      </c>
      <c r="AT47" s="26" t="s">
        <v>11</v>
      </c>
      <c r="AU47" s="26" t="s">
        <v>1127</v>
      </c>
      <c r="AV47" s="26"/>
      <c r="AW47" s="26" t="s">
        <v>14590</v>
      </c>
      <c r="AX47" s="26" t="s">
        <v>14596</v>
      </c>
      <c r="AY47" s="26" t="s">
        <v>14592</v>
      </c>
      <c r="AZ47" s="26"/>
      <c r="BA47" s="26" t="s">
        <v>14593</v>
      </c>
      <c r="BB47" s="26"/>
      <c r="BC47" s="26" t="s">
        <v>14594</v>
      </c>
      <c r="BD47" s="26"/>
      <c r="BE47" s="26" t="s">
        <v>1128</v>
      </c>
      <c r="BF47" s="26" t="s">
        <v>12078</v>
      </c>
      <c r="BG47" s="26" t="s">
        <v>14499</v>
      </c>
      <c r="BH47" s="26" t="s">
        <v>11</v>
      </c>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컬럼정하기_필수 속성값 정리</vt:lpstr>
      <vt:lpstr>Q코드, pdf 파일명 50코드</vt:lpstr>
      <vt:lpstr>시스템 읽어올 값.</vt:lpstr>
      <vt:lpstr>공압실린더 56개 </vt:lpstr>
      <vt:lpstr>실린더 상세사양값. 80</vt:lpstr>
      <vt:lpstr>모터 9개</vt:lpstr>
      <vt:lpstr>모터 상세사양값</vt:lpstr>
      <vt:lpstr>필터 258개</vt:lpstr>
      <vt:lpstr>필터 상세사양</vt:lpstr>
      <vt:lpstr>protection relay  75개</vt:lpstr>
      <vt:lpstr>protection Relay 상세사양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전아람(Jeon Aram)_차장_설비자재구매실</dc:creator>
  <cp:lastModifiedBy>user</cp:lastModifiedBy>
  <dcterms:created xsi:type="dcterms:W3CDTF">2026-01-27T00:51:50Z</dcterms:created>
  <dcterms:modified xsi:type="dcterms:W3CDTF">2026-03-27T06:51:01Z</dcterms:modified>
</cp:coreProperties>
</file>