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0327_ecatalog\"/>
    </mc:Choice>
  </mc:AlternateContent>
  <xr:revisionPtr revIDLastSave="0" documentId="13_ncr:1_{9DB018CB-CB98-4090-BE31-2A730C6E141E}" xr6:coauthVersionLast="47" xr6:coauthVersionMax="47" xr10:uidLastSave="{00000000-0000-0000-0000-000000000000}"/>
  <bookViews>
    <workbookView xWindow="1536" yWindow="1536" windowWidth="17280" windowHeight="8964" firstSheet="1" activeTab="2" xr2:uid="{20599BEF-A927-4261-B7A2-D48F6DBDC390}"/>
  </bookViews>
  <sheets>
    <sheet name="Pneumatic Cylinder" sheetId="1" r:id="rId1"/>
    <sheet name="AC Geared Motor" sheetId="2" r:id="rId2"/>
    <sheet name="Protection Relay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6" i="3" l="1"/>
  <c r="H16" i="3"/>
  <c r="G16" i="3"/>
  <c r="F16" i="3"/>
  <c r="D16" i="3"/>
  <c r="I15" i="3"/>
  <c r="H15" i="3"/>
  <c r="G15" i="3"/>
  <c r="F15" i="3"/>
  <c r="D15" i="3"/>
  <c r="I14" i="3"/>
  <c r="H14" i="3"/>
  <c r="G14" i="3"/>
  <c r="F14" i="3"/>
  <c r="D14" i="3"/>
  <c r="I13" i="3"/>
  <c r="H13" i="3"/>
  <c r="G13" i="3"/>
  <c r="F13" i="3"/>
  <c r="D13" i="3"/>
  <c r="I12" i="3"/>
  <c r="H12" i="3"/>
  <c r="G12" i="3"/>
  <c r="F12" i="3"/>
  <c r="D12" i="3"/>
  <c r="I11" i="3"/>
  <c r="H11" i="3"/>
  <c r="G11" i="3"/>
  <c r="F11" i="3"/>
  <c r="D11" i="3"/>
  <c r="I10" i="3"/>
  <c r="H10" i="3"/>
  <c r="G10" i="3"/>
  <c r="F10" i="3"/>
  <c r="D10" i="3"/>
  <c r="I9" i="3"/>
  <c r="H9" i="3"/>
  <c r="G9" i="3"/>
  <c r="F9" i="3"/>
  <c r="D9" i="3"/>
  <c r="I8" i="3"/>
  <c r="H8" i="3"/>
  <c r="G8" i="3"/>
  <c r="F8" i="3"/>
  <c r="D8" i="3"/>
  <c r="I7" i="3"/>
  <c r="H7" i="3"/>
  <c r="G7" i="3"/>
  <c r="F7" i="3"/>
  <c r="D7" i="3"/>
  <c r="I6" i="3"/>
  <c r="H6" i="3"/>
  <c r="G6" i="3"/>
  <c r="F6" i="3"/>
  <c r="D6" i="3"/>
  <c r="I5" i="3"/>
  <c r="H5" i="3"/>
  <c r="G5" i="3"/>
  <c r="F5" i="3"/>
  <c r="D5" i="3"/>
  <c r="I4" i="3"/>
  <c r="H4" i="3"/>
  <c r="G4" i="3"/>
  <c r="F4" i="3"/>
  <c r="D4" i="3"/>
  <c r="I3" i="3"/>
  <c r="H3" i="3"/>
  <c r="G3" i="3"/>
  <c r="F3" i="3"/>
  <c r="D3" i="3"/>
  <c r="I2" i="3"/>
  <c r="H2" i="3"/>
  <c r="G2" i="3"/>
  <c r="F2" i="3"/>
  <c r="D2" i="3"/>
  <c r="M12" i="2"/>
  <c r="L12" i="2"/>
  <c r="K12" i="2"/>
  <c r="J12" i="2"/>
  <c r="I12" i="2"/>
  <c r="H12" i="2"/>
  <c r="G12" i="2"/>
  <c r="F12" i="2"/>
  <c r="D12" i="2"/>
  <c r="M11" i="2"/>
  <c r="L11" i="2"/>
  <c r="K11" i="2"/>
  <c r="J11" i="2"/>
  <c r="I11" i="2"/>
  <c r="H11" i="2"/>
  <c r="G11" i="2"/>
  <c r="F11" i="2"/>
  <c r="D11" i="2"/>
  <c r="M10" i="2"/>
  <c r="L10" i="2"/>
  <c r="K10" i="2"/>
  <c r="J10" i="2"/>
  <c r="I10" i="2"/>
  <c r="H10" i="2"/>
  <c r="G10" i="2"/>
  <c r="F10" i="2"/>
  <c r="D10" i="2"/>
  <c r="M9" i="2"/>
  <c r="L9" i="2"/>
  <c r="K9" i="2"/>
  <c r="J9" i="2"/>
  <c r="I9" i="2"/>
  <c r="H9" i="2"/>
  <c r="G9" i="2"/>
  <c r="F9" i="2"/>
  <c r="D9" i="2"/>
  <c r="M8" i="2"/>
  <c r="L8" i="2"/>
  <c r="K8" i="2"/>
  <c r="J8" i="2"/>
  <c r="I8" i="2"/>
  <c r="H8" i="2"/>
  <c r="G8" i="2"/>
  <c r="F8" i="2"/>
  <c r="D8" i="2"/>
  <c r="M7" i="2"/>
  <c r="L7" i="2"/>
  <c r="K7" i="2"/>
  <c r="J7" i="2"/>
  <c r="I7" i="2"/>
  <c r="H7" i="2"/>
  <c r="G7" i="2"/>
  <c r="F7" i="2"/>
  <c r="D7" i="2"/>
  <c r="M6" i="2"/>
  <c r="L6" i="2"/>
  <c r="K6" i="2"/>
  <c r="J6" i="2"/>
  <c r="I6" i="2"/>
  <c r="H6" i="2"/>
  <c r="G6" i="2"/>
  <c r="F6" i="2"/>
  <c r="D6" i="2"/>
  <c r="M5" i="2"/>
  <c r="L5" i="2"/>
  <c r="K5" i="2"/>
  <c r="J5" i="2"/>
  <c r="I5" i="2"/>
  <c r="H5" i="2"/>
  <c r="G5" i="2"/>
  <c r="F5" i="2"/>
  <c r="D5" i="2"/>
  <c r="M4" i="2"/>
  <c r="L4" i="2"/>
  <c r="K4" i="2"/>
  <c r="J4" i="2"/>
  <c r="I4" i="2"/>
  <c r="H4" i="2"/>
  <c r="G4" i="2"/>
  <c r="F4" i="2"/>
  <c r="D4" i="2"/>
  <c r="M3" i="2"/>
  <c r="L3" i="2"/>
  <c r="K3" i="2"/>
  <c r="J3" i="2"/>
  <c r="I3" i="2"/>
  <c r="H3" i="2"/>
  <c r="G3" i="2"/>
  <c r="F3" i="2"/>
  <c r="D3" i="2"/>
  <c r="M2" i="2"/>
  <c r="L2" i="2"/>
  <c r="K2" i="2"/>
  <c r="J2" i="2"/>
  <c r="I2" i="2"/>
  <c r="H2" i="2"/>
  <c r="G2" i="2"/>
  <c r="F2" i="2"/>
  <c r="D2" i="2"/>
  <c r="I25" i="1"/>
  <c r="H25" i="1"/>
  <c r="G25" i="1"/>
  <c r="F25" i="1"/>
  <c r="E25" i="1"/>
  <c r="D25" i="1"/>
  <c r="I24" i="1"/>
  <c r="H24" i="1"/>
  <c r="G24" i="1"/>
  <c r="F24" i="1"/>
  <c r="E24" i="1"/>
  <c r="D24" i="1"/>
  <c r="I23" i="1"/>
  <c r="H23" i="1"/>
  <c r="G23" i="1"/>
  <c r="F23" i="1"/>
  <c r="E23" i="1"/>
  <c r="D23" i="1"/>
  <c r="I22" i="1"/>
  <c r="H22" i="1"/>
  <c r="G22" i="1"/>
  <c r="F22" i="1"/>
  <c r="E22" i="1"/>
  <c r="D22" i="1"/>
  <c r="I21" i="1"/>
  <c r="H21" i="1"/>
  <c r="G21" i="1"/>
  <c r="F21" i="1"/>
  <c r="E21" i="1"/>
  <c r="D21" i="1"/>
  <c r="I20" i="1"/>
  <c r="H20" i="1"/>
  <c r="G20" i="1"/>
  <c r="F20" i="1"/>
  <c r="E20" i="1"/>
  <c r="D20" i="1"/>
  <c r="I19" i="1"/>
  <c r="H19" i="1"/>
  <c r="G19" i="1"/>
  <c r="F19" i="1"/>
  <c r="E19" i="1"/>
  <c r="D19" i="1"/>
  <c r="I18" i="1"/>
  <c r="H18" i="1"/>
  <c r="G18" i="1"/>
  <c r="F18" i="1"/>
  <c r="E18" i="1"/>
  <c r="D18" i="1"/>
  <c r="I17" i="1"/>
  <c r="H17" i="1"/>
  <c r="G17" i="1"/>
  <c r="F17" i="1"/>
  <c r="E17" i="1"/>
  <c r="D17" i="1"/>
  <c r="I16" i="1"/>
  <c r="H16" i="1"/>
  <c r="G16" i="1"/>
  <c r="F16" i="1"/>
  <c r="E16" i="1"/>
  <c r="D16" i="1"/>
  <c r="I15" i="1"/>
  <c r="H15" i="1"/>
  <c r="G15" i="1"/>
  <c r="F15" i="1"/>
  <c r="E15" i="1"/>
  <c r="D15" i="1"/>
  <c r="I14" i="1"/>
  <c r="H14" i="1"/>
  <c r="G14" i="1"/>
  <c r="F14" i="1"/>
  <c r="E14" i="1"/>
  <c r="D14" i="1"/>
  <c r="I13" i="1"/>
  <c r="H13" i="1"/>
  <c r="G13" i="1"/>
  <c r="F13" i="1"/>
  <c r="E13" i="1"/>
  <c r="D13" i="1"/>
  <c r="I12" i="1"/>
  <c r="H12" i="1"/>
  <c r="G12" i="1"/>
  <c r="F12" i="1"/>
  <c r="E12" i="1"/>
  <c r="D12" i="1"/>
  <c r="I11" i="1"/>
  <c r="H11" i="1"/>
  <c r="G11" i="1"/>
  <c r="F11" i="1"/>
  <c r="E11" i="1"/>
  <c r="D11" i="1"/>
  <c r="I10" i="1"/>
  <c r="H10" i="1"/>
  <c r="G10" i="1"/>
  <c r="F10" i="1"/>
  <c r="E10" i="1"/>
  <c r="D10" i="1"/>
  <c r="I9" i="1"/>
  <c r="H9" i="1"/>
  <c r="G9" i="1"/>
  <c r="F9" i="1"/>
  <c r="E9" i="1"/>
  <c r="D9" i="1"/>
  <c r="I8" i="1"/>
  <c r="H8" i="1"/>
  <c r="G8" i="1"/>
  <c r="F8" i="1"/>
  <c r="E8" i="1"/>
  <c r="D8" i="1"/>
  <c r="I7" i="1"/>
  <c r="H7" i="1"/>
  <c r="G7" i="1"/>
  <c r="F7" i="1"/>
  <c r="E7" i="1"/>
  <c r="D7" i="1"/>
  <c r="I6" i="1"/>
  <c r="H6" i="1"/>
  <c r="G6" i="1"/>
  <c r="F6" i="1"/>
  <c r="E6" i="1"/>
  <c r="D6" i="1"/>
  <c r="I5" i="1"/>
  <c r="H5" i="1"/>
  <c r="G5" i="1"/>
  <c r="F5" i="1"/>
  <c r="E5" i="1"/>
  <c r="D5" i="1"/>
  <c r="I4" i="1"/>
  <c r="H4" i="1"/>
  <c r="G4" i="1"/>
  <c r="F4" i="1"/>
  <c r="E4" i="1"/>
  <c r="D4" i="1"/>
  <c r="I3" i="1"/>
  <c r="H3" i="1"/>
  <c r="G3" i="1"/>
  <c r="F3" i="1"/>
  <c r="E3" i="1"/>
  <c r="D3" i="1"/>
  <c r="I2" i="1"/>
  <c r="H2" i="1"/>
  <c r="G2" i="1"/>
  <c r="F2" i="1"/>
  <c r="E2" i="1"/>
  <c r="D2" i="1"/>
</calcChain>
</file>

<file path=xl/sharedStrings.xml><?xml version="1.0" encoding="utf-8"?>
<sst xmlns="http://schemas.openxmlformats.org/spreadsheetml/2006/main" count="484" uniqueCount="165">
  <si>
    <t>Q-Code</t>
  </si>
  <si>
    <t>그룹사명</t>
  </si>
  <si>
    <t>품명</t>
  </si>
  <si>
    <t>Model-1</t>
  </si>
  <si>
    <t>Maker Name-1</t>
  </si>
  <si>
    <t>Bore Size</t>
  </si>
  <si>
    <t>Rod Diameter</t>
  </si>
  <si>
    <t>Stroke Length</t>
  </si>
  <si>
    <t>Pressure Rating</t>
  </si>
  <si>
    <t>정답여부</t>
    <phoneticPr fontId="5" type="noConversion"/>
  </si>
  <si>
    <t>Q4675156</t>
  </si>
  <si>
    <t>포스코</t>
  </si>
  <si>
    <t>Pneumatic Cylinder</t>
  </si>
  <si>
    <t>정답</t>
    <phoneticPr fontId="5" type="noConversion"/>
  </si>
  <si>
    <t>Q4675089</t>
  </si>
  <si>
    <t>Q4675326</t>
    <phoneticPr fontId="5" type="noConversion"/>
  </si>
  <si>
    <t>Q4675164</t>
  </si>
  <si>
    <t>Q4683457</t>
    <phoneticPr fontId="5" type="noConversion"/>
  </si>
  <si>
    <t>Q4501288</t>
  </si>
  <si>
    <t>Q4550786</t>
  </si>
  <si>
    <t>Q4549165</t>
  </si>
  <si>
    <t>Q4655802</t>
  </si>
  <si>
    <t>Q4627759</t>
  </si>
  <si>
    <t>Q4669390</t>
  </si>
  <si>
    <t>Q4629827</t>
  </si>
  <si>
    <t>Q4627207</t>
  </si>
  <si>
    <t>Q4636670</t>
  </si>
  <si>
    <t>Q4680486</t>
  </si>
  <si>
    <t>Q4697437</t>
  </si>
  <si>
    <t>Q4371330</t>
    <phoneticPr fontId="5" type="noConversion"/>
  </si>
  <si>
    <t>Q4037566</t>
  </si>
  <si>
    <t>Q4521203</t>
  </si>
  <si>
    <t>Q4511190</t>
    <phoneticPr fontId="5" type="noConversion"/>
  </si>
  <si>
    <t>Q4520279</t>
    <phoneticPr fontId="5" type="noConversion"/>
  </si>
  <si>
    <t>Q4508586</t>
    <phoneticPr fontId="5" type="noConversion"/>
  </si>
  <si>
    <t>Q4520278</t>
    <phoneticPr fontId="5" type="noConversion"/>
  </si>
  <si>
    <t>Q4507377</t>
    <phoneticPr fontId="5" type="noConversion"/>
  </si>
  <si>
    <t>Q3507377</t>
    <phoneticPr fontId="5" type="noConversion"/>
  </si>
  <si>
    <t>CDS2T3200-250-CJCD0239</t>
    <phoneticPr fontId="5" type="noConversion"/>
  </si>
  <si>
    <t>SMC</t>
    <phoneticPr fontId="5" type="noConversion"/>
  </si>
  <si>
    <t>50</t>
  </si>
  <si>
    <t>10</t>
  </si>
  <si>
    <t>오류치</t>
    <phoneticPr fontId="5" type="noConversion"/>
  </si>
  <si>
    <t>Q3507378</t>
  </si>
  <si>
    <t>CPS2T3200-250-CJCD0235</t>
    <phoneticPr fontId="5" type="noConversion"/>
  </si>
  <si>
    <t>Q3507379</t>
  </si>
  <si>
    <t>CDS2T3200-250-CJCD0240</t>
  </si>
  <si>
    <t>Q3507380</t>
  </si>
  <si>
    <t>CPS2T3200-250-CJCD0236</t>
  </si>
  <si>
    <t>Q3507381</t>
  </si>
  <si>
    <t>CDS2T3200-250-CJCD0241</t>
  </si>
  <si>
    <t>Q3507382</t>
  </si>
  <si>
    <t>CPS2T3200-250-CJCD0237</t>
  </si>
  <si>
    <t>Q3507383</t>
  </si>
  <si>
    <t>CDS2T3200-250-CJCD0242</t>
  </si>
  <si>
    <t>Insulation Class</t>
  </si>
  <si>
    <t>IP Class</t>
  </si>
  <si>
    <t>Number of Poles</t>
  </si>
  <si>
    <t>Capacity</t>
  </si>
  <si>
    <t>Voltage</t>
  </si>
  <si>
    <t>Frequency</t>
  </si>
  <si>
    <t>Speed Rating</t>
  </si>
  <si>
    <t>Speed Reduction Ratio</t>
  </si>
  <si>
    <t>Q4632857</t>
  </si>
  <si>
    <t>AC Geared Motor</t>
  </si>
  <si>
    <t>Q4636710</t>
  </si>
  <si>
    <t>Q4688576</t>
  </si>
  <si>
    <t>Q4688760</t>
  </si>
  <si>
    <t>Q4622968</t>
  </si>
  <si>
    <t>Q4621316</t>
  </si>
  <si>
    <t>Q4621046</t>
  </si>
  <si>
    <t>Q4620473</t>
  </si>
  <si>
    <t>Q4620571</t>
  </si>
  <si>
    <t>Q4621315</t>
  </si>
  <si>
    <t>Q4660900</t>
  </si>
  <si>
    <t>Q3507384</t>
  </si>
  <si>
    <t>HLA020101057587</t>
  </si>
  <si>
    <t>JEIL REDUCER</t>
  </si>
  <si>
    <t>F</t>
  </si>
  <si>
    <t>IP55</t>
  </si>
  <si>
    <t>1/15</t>
  </si>
  <si>
    <t>Q3507385</t>
  </si>
  <si>
    <t>HMA01080000561</t>
  </si>
  <si>
    <t>Q3507386</t>
  </si>
  <si>
    <t>Q3507387</t>
  </si>
  <si>
    <t>HMA01080000562</t>
  </si>
  <si>
    <t>Q3507388</t>
  </si>
  <si>
    <t>Q3507389</t>
  </si>
  <si>
    <t>HMA01080000563</t>
  </si>
  <si>
    <t>Coil Voltage</t>
  </si>
  <si>
    <t>Setting Tap Range</t>
  </si>
  <si>
    <t>Setting Time Range</t>
  </si>
  <si>
    <t>Option &amp; Others</t>
  </si>
  <si>
    <t>Q4631078</t>
  </si>
  <si>
    <t>포스코퓨처엠</t>
  </si>
  <si>
    <t>Protection Relay</t>
  </si>
  <si>
    <t>Q4657312</t>
  </si>
  <si>
    <t>Q4677466</t>
  </si>
  <si>
    <t>Q4684055</t>
  </si>
  <si>
    <t>Q4573379</t>
  </si>
  <si>
    <t>POSCO MEXICO</t>
  </si>
  <si>
    <t>Q4571139</t>
  </si>
  <si>
    <t>Q4666232</t>
  </si>
  <si>
    <t>Q4666236</t>
  </si>
  <si>
    <t>Q4666301</t>
  </si>
  <si>
    <t>Q4677461</t>
  </si>
  <si>
    <t>Q4677978</t>
  </si>
  <si>
    <t>Q4677979</t>
  </si>
  <si>
    <t>Q4594710</t>
  </si>
  <si>
    <t>Q4670965</t>
  </si>
  <si>
    <t>Q4641086</t>
  </si>
  <si>
    <t>Q3507390</t>
  </si>
  <si>
    <t>DSP-AOM-69Z7-ZCT-F</t>
    <phoneticPr fontId="5" type="noConversion"/>
  </si>
  <si>
    <t>WOONYOUNG</t>
  </si>
  <si>
    <t>DC 24V</t>
  </si>
  <si>
    <t>60HZ</t>
  </si>
  <si>
    <t>Q3507391</t>
  </si>
  <si>
    <t>DSP-AOM-65Z7-ZCT-F</t>
    <phoneticPr fontId="5" type="noConversion"/>
  </si>
  <si>
    <t>Q3507392</t>
  </si>
  <si>
    <t>DSP-AOM-69Z8-ZCT-F</t>
  </si>
  <si>
    <t>Q3507393</t>
  </si>
  <si>
    <t>DSP-AOM-65Z8-ZCT-F</t>
  </si>
  <si>
    <t>Q3507394</t>
  </si>
  <si>
    <t>DSP-AOM-69Z9-ZCT-F</t>
  </si>
  <si>
    <t>Q3507395</t>
  </si>
  <si>
    <t>DSP-AOM-65Z9-ZCT-F</t>
  </si>
  <si>
    <t>Q3507396</t>
  </si>
  <si>
    <t>DSP-AOM-69Z10-ZCT-F</t>
  </si>
  <si>
    <t>Q3507397</t>
  </si>
  <si>
    <t>DSP-AOM-65Z10-ZCT-F</t>
  </si>
  <si>
    <t>Q3507398</t>
  </si>
  <si>
    <t>DSP-AOM-69Z11-ZCT-F</t>
  </si>
  <si>
    <t>Model-1 첨부URL1</t>
  </si>
  <si>
    <t>https://www.smckorea.co.kr/</t>
  </si>
  <si>
    <t>https://www.smcpneumatics.com/CA2B100-300Z.html</t>
  </si>
  <si>
    <t>http://www.smcpneumatics.com/pdfs/smc/70ACS1.pdf</t>
  </si>
  <si>
    <t>https://www.kccpr.com/bbs/search.php?url=https%3A%2F%2Fwww.kccpr.com%2Fbbs%2Fsearch.php&amp;stx=ACM</t>
  </si>
  <si>
    <t>https://www.smckorea.co.kr/ppis/data/catalog/CA2-Z.pdf</t>
  </si>
  <si>
    <t>https://www.smckorea.co.kr/ppis/data/catalog/CS1.pdf</t>
  </si>
  <si>
    <t>https://www.smckorea.co.kr/ppis/data/domyun/CJD00567-AP..pdf</t>
  </si>
  <si>
    <t>http://www.smckorea.co.kr/esales/data/sangpum/catalog/CQ2-Z.pdf</t>
  </si>
  <si>
    <t>http://www.smckorea.co.kr/homepage/ver3.5/product/catalogue_sub_detail.asp?no=914#</t>
  </si>
  <si>
    <t>http://www.smckorea.co.kr/ppis/data/catalog/C96.pdf</t>
  </si>
  <si>
    <t xml:space="preserve">http://www.smckorea.co.kr/ppis/data/catalog/CA2-Z.pdf </t>
    <phoneticPr fontId="5" type="noConversion"/>
  </si>
  <si>
    <t>http://www.smckorea.co.kr/ppis/data/catalog/CG1-Z.pdf</t>
  </si>
  <si>
    <t>http://www.smckorea.co.kr/ppis/data/catalog/CM2-Z.pdf</t>
  </si>
  <si>
    <t xml:space="preserve">http://www.smckorea.co.kr/ppis/data/catalog/CQM.pdf </t>
  </si>
  <si>
    <t>https://download.sew-eurodrive.com/download/pdf_u/22742654.pdf</t>
  </si>
  <si>
    <t>https://www.hyosungheavyindustries.com/kr/data/geared-motors</t>
  </si>
  <si>
    <t>http://jireducer.co.kr/03.html</t>
  </si>
  <si>
    <t>https://www.ls-electric.com/ko/product/view/P01054</t>
  </si>
  <si>
    <t>https://woonyoung.com/bbs/board.php?bo_table=manual&amp;wr_id=18</t>
  </si>
  <si>
    <t>www.samwhadsp.com/products/detail/D93RP00168?page=1&amp;returnCate=127&amp;cate=127&amp;keyword=AOM&amp;</t>
  </si>
  <si>
    <t>https://www.samwhadsp.com/products/detail/D93RP00169?page=1&amp;returnCate=127&amp;cate=127&amp;</t>
  </si>
  <si>
    <t>https://samwhadsp.com/</t>
  </si>
  <si>
    <t>https://www.woonyoung.com/page/search_list.php?sercatecode1=&amp;sercatecode2=&amp;itemsearchStr=WYER-D16NC&amp;searchitem=itemname&amp;note5=&amp;catetopcode=&amp;ocatecode=&amp;gnsub=&amp;ogcname=&amp;gcate2code=&amp;stype=&amp;note2=&amp;note3=&amp;note4=</t>
  </si>
  <si>
    <t>https://woonyoung.com/page/s0201_mid.php?gcatecode=1337921322&amp;gcname=%EC%A7%80%EB%9D%BD%EA%B2%80%EC%B6%9C%EA%B3%84%EC%A0%84%EA%B8%B0&amp;gn_sub=GFR</t>
  </si>
  <si>
    <t>HANA MECHANICAL&amp;ELECTRICAL</t>
  </si>
  <si>
    <t>SEW</t>
  </si>
  <si>
    <t>HYOSUNG</t>
  </si>
  <si>
    <t>LS</t>
  </si>
  <si>
    <t>SIEMENS</t>
  </si>
  <si>
    <t>SAMWHADSP</t>
  </si>
  <si>
    <t>SAM WHA DSP</t>
  </si>
  <si>
    <t>KYONGBO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</si>
</sst>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2"/>
      <charset val="129"/>
    </font>
    <font>
      <sz val="11"/>
      <color rgb="FFFF0000"/>
      <name val="맑은 고딕"/>
      <family val="2"/>
      <charset val="129"/>
    </font>
    <font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</font>
    <font>
      <b/>
      <sz val="11"/>
      <color rgb="FF0000FF"/>
      <name val="맑은 고딕"/>
      <family val="3"/>
      <charset val="129"/>
      <scheme val="minor"/>
    </font>
    <font>
      <sz val="11"/>
      <color rgb="FF0000FF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4" tint="0.79998168889431442"/>
        <bgColor theme="1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/>
      <bottom style="medium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1" fillId="0" borderId="0" applyNumberForma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3" fillId="2" borderId="1" xfId="1" applyFont="1" applyFill="1" applyBorder="1" applyAlignment="1">
      <alignment horizontal="center" vertical="center"/>
    </xf>
    <xf numFmtId="0" fontId="1" fillId="0" borderId="0" xfId="1">
      <alignment vertical="center"/>
    </xf>
    <xf numFmtId="0" fontId="0" fillId="0" borderId="0" xfId="0" applyAlignment="1">
      <alignment horizontal="center" vertical="center"/>
    </xf>
    <xf numFmtId="0" fontId="2" fillId="0" borderId="0" xfId="1" applyFo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1" applyFont="1">
      <alignment vertical="center"/>
    </xf>
    <xf numFmtId="0" fontId="8" fillId="0" borderId="0" xfId="0" applyFont="1" applyAlignment="1">
      <alignment horizontal="center" vertical="center"/>
    </xf>
    <xf numFmtId="0" fontId="9" fillId="3" borderId="1" xfId="1" applyFont="1" applyFill="1" applyBorder="1" applyAlignment="1">
      <alignment horizontal="center" vertical="center"/>
    </xf>
    <xf numFmtId="0" fontId="10" fillId="0" borderId="2" xfId="1" applyFont="1" applyBorder="1">
      <alignment vertical="center"/>
    </xf>
    <xf numFmtId="0" fontId="11" fillId="0" borderId="2" xfId="2" applyBorder="1">
      <alignment vertical="center"/>
    </xf>
  </cellXfs>
  <cellStyles count="3">
    <cellStyle name="표준" xfId="0" builtinId="0"/>
    <cellStyle name="표준 10" xfId="1" xr:uid="{A23BD83E-5F03-4A0B-90B5-526D849849CC}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1_&#44284;&#51228;%20&#44592;&#52488;&#51088;&#47308;/260317_&#53945;&#51221;&#49324;&#50577;&#54408;%20&#44592;&#46321;&#47197;&#54408;%20&#49368;&#54540;%20&#45796;&#50868;&#47196;&#46300;%20list%20(&#49688;&#51221;&#48260;&#51204;_&#52628;&#44032;&#51088;&#47308;%20&#54252;&#54632;)%20-%20&#51089;&#50629;&#54028;&#5106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컬럼정하기_필수 속성값 정리"/>
      <sheetName val="Q코드, pdf 파일명 50코드"/>
      <sheetName val="시스템 읽어올 값."/>
      <sheetName val="공압실린더 56개 "/>
      <sheetName val="실린더 상세사양값. 80"/>
      <sheetName val="모터 9개"/>
      <sheetName val="모터 상세사양값"/>
      <sheetName val="필터 258개"/>
      <sheetName val="필터 상세사양"/>
      <sheetName val="protection relay  75개"/>
      <sheetName val="protection Relay 상세사양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 t="str">
            <v>ITEM코드</v>
          </cell>
          <cell r="B1" t="str">
            <v>처리상태</v>
          </cell>
          <cell r="C1" t="str">
            <v>자재특성구분</v>
          </cell>
          <cell r="D1" t="str">
            <v>해당여부</v>
          </cell>
          <cell r="E1" t="str">
            <v>물품(Leaf Class)명</v>
          </cell>
          <cell r="F1" t="str">
            <v>그룹사명</v>
          </cell>
          <cell r="G1" t="str">
            <v>사양/규격</v>
          </cell>
          <cell r="H1" t="str">
            <v>개정차수</v>
          </cell>
          <cell r="I1" t="str">
            <v>단위</v>
          </cell>
          <cell r="J1" t="str">
            <v>조달구분</v>
          </cell>
          <cell r="K1" t="str">
            <v>신청자</v>
          </cell>
          <cell r="L1" t="str">
            <v>도면번호</v>
          </cell>
          <cell r="M1" t="str">
            <v>행번호</v>
          </cell>
          <cell r="N1" t="str">
            <v>첨부URL1</v>
          </cell>
          <cell r="O1" t="str">
            <v>첨부URL2</v>
          </cell>
          <cell r="P1" t="str">
            <v>첨부URL3</v>
          </cell>
          <cell r="Q1" t="str">
            <v>SPEC_TITLE_1</v>
          </cell>
          <cell r="R1" t="str">
            <v>SPEC_VALUE_1</v>
          </cell>
          <cell r="S1" t="str">
            <v>SPEC_TITLE_2</v>
          </cell>
          <cell r="T1" t="str">
            <v>SPEC_VALUE_2</v>
          </cell>
          <cell r="U1" t="str">
            <v>SPEC_TITLE_3</v>
          </cell>
          <cell r="V1" t="str">
            <v>SPEC_VALUE_3</v>
          </cell>
          <cell r="W1" t="str">
            <v>SPEC_TITLE_4</v>
          </cell>
          <cell r="X1" t="str">
            <v>SPEC_VALUE_4</v>
          </cell>
          <cell r="Y1" t="str">
            <v>SPEC_TITLE_5</v>
          </cell>
          <cell r="Z1" t="str">
            <v>SPEC_VALUE_5</v>
          </cell>
          <cell r="AA1" t="str">
            <v>SPEC_TITLE_6</v>
          </cell>
          <cell r="AB1" t="str">
            <v>SPEC_VALUE_6</v>
          </cell>
          <cell r="AC1" t="str">
            <v>SPEC_TITLE_7</v>
          </cell>
          <cell r="AD1" t="str">
            <v>SPEC_VALUE_7</v>
          </cell>
          <cell r="AE1" t="str">
            <v>SPEC_TITLE_8</v>
          </cell>
          <cell r="AF1" t="str">
            <v>SPEC_VALUE_8</v>
          </cell>
          <cell r="AG1" t="str">
            <v>SPEC_TITLE_9</v>
          </cell>
          <cell r="AH1" t="str">
            <v>SPEC_VALUE_9</v>
          </cell>
          <cell r="AI1" t="str">
            <v>SPEC_TITLE_10</v>
          </cell>
          <cell r="AJ1" t="str">
            <v>SPEC_VALUE_10</v>
          </cell>
          <cell r="AK1" t="str">
            <v>SPEC_TITLE_11</v>
          </cell>
          <cell r="AL1" t="str">
            <v>SPEC_VALUE_11</v>
          </cell>
          <cell r="AM1" t="str">
            <v>SPEC_TITLE_12</v>
          </cell>
          <cell r="AN1" t="str">
            <v>SPEC_VALUE_12</v>
          </cell>
          <cell r="AO1" t="str">
            <v>SPEC_TITLE_13</v>
          </cell>
          <cell r="AP1" t="str">
            <v>SPEC_VALUE_13</v>
          </cell>
          <cell r="AQ1" t="str">
            <v>SPEC_TITLE_14</v>
          </cell>
          <cell r="AR1" t="str">
            <v>SPEC_VALUE_14</v>
          </cell>
          <cell r="AS1" t="str">
            <v>SPEC_TITLE_15</v>
          </cell>
          <cell r="AT1" t="str">
            <v>SPEC_VALUE_15</v>
          </cell>
          <cell r="AU1" t="str">
            <v>SPEC_TITLE_16</v>
          </cell>
          <cell r="AV1" t="str">
            <v>SPEC_VALUE_16</v>
          </cell>
          <cell r="AW1" t="str">
            <v>SPEC_TITLE_17</v>
          </cell>
          <cell r="AX1" t="str">
            <v>SPEC_VALUE_17</v>
          </cell>
          <cell r="AY1" t="str">
            <v>SPEC_TITLE_18</v>
          </cell>
          <cell r="AZ1" t="str">
            <v>SPEC_VALUE_18</v>
          </cell>
          <cell r="BA1" t="str">
            <v>SPEC_TITLE_19</v>
          </cell>
          <cell r="BB1" t="str">
            <v>SPEC_VALUE_19</v>
          </cell>
          <cell r="BC1" t="str">
            <v>SPEC_TITLE_20</v>
          </cell>
          <cell r="BD1" t="str">
            <v>SPEC_VALUE_20</v>
          </cell>
          <cell r="BE1" t="str">
            <v>SPEC_TITLE_21</v>
          </cell>
          <cell r="BF1" t="str">
            <v>SPEC_VALUE_21</v>
          </cell>
          <cell r="BG1" t="str">
            <v>SPEC_TITLE_22</v>
          </cell>
          <cell r="BH1" t="str">
            <v>SPEC_VALUE_22</v>
          </cell>
          <cell r="BI1" t="str">
            <v>SPEC_TITLE_23</v>
          </cell>
          <cell r="BJ1" t="str">
            <v>SPEC_VALUE_23</v>
          </cell>
          <cell r="BK1" t="str">
            <v>SPEC_TITLE_24</v>
          </cell>
          <cell r="BL1" t="str">
            <v>SPEC_VALUE_24</v>
          </cell>
          <cell r="BM1" t="str">
            <v>SPEC_TITLE_25</v>
          </cell>
          <cell r="BN1" t="str">
            <v>SPEC_VALUE_25</v>
          </cell>
          <cell r="BO1" t="str">
            <v>SPEC_TITLE_26</v>
          </cell>
          <cell r="BP1" t="str">
            <v>SPEC_VALUE_26</v>
          </cell>
          <cell r="BQ1" t="str">
            <v>SPEC_TITLE_27</v>
          </cell>
          <cell r="BR1" t="str">
            <v>SPEC_VALUE_27</v>
          </cell>
          <cell r="BS1" t="str">
            <v>SPEC_TITLE_28</v>
          </cell>
          <cell r="BT1" t="str">
            <v>SPEC_VALUE_28</v>
          </cell>
          <cell r="BU1" t="str">
            <v>SPEC_TITLE_29</v>
          </cell>
          <cell r="BV1" t="str">
            <v>SPEC_VALUE_29</v>
          </cell>
          <cell r="BW1" t="str">
            <v>SPEC_TITLE_30</v>
          </cell>
          <cell r="BX1" t="str">
            <v>SPEC_VALUE_30</v>
          </cell>
          <cell r="BY1" t="str">
            <v>SPEC_TITLE_31</v>
          </cell>
          <cell r="BZ1" t="str">
            <v>SPEC_VALUE_31</v>
          </cell>
          <cell r="CA1" t="str">
            <v>SPEC_TITLE_32</v>
          </cell>
          <cell r="CB1" t="str">
            <v>SPEC_VALUE_32</v>
          </cell>
          <cell r="CC1" t="str">
            <v>SPEC_TITLE_33</v>
          </cell>
          <cell r="CD1" t="str">
            <v>SPEC_VALUE_33</v>
          </cell>
          <cell r="CE1" t="str">
            <v>SPEC_TITLE_34</v>
          </cell>
          <cell r="CF1" t="str">
            <v>SPEC_VALUE_34</v>
          </cell>
          <cell r="CG1" t="str">
            <v>SPEC_VALUE_34</v>
          </cell>
        </row>
        <row r="2">
          <cell r="A2" t="str">
            <v>Q4269320</v>
          </cell>
          <cell r="B2" t="str">
            <v>ACTIVE</v>
          </cell>
          <cell r="C2" t="str">
            <v>특정사양품(단수)</v>
          </cell>
          <cell r="D2" t="str">
            <v>Q4269320</v>
          </cell>
          <cell r="E2" t="str">
            <v>Pneumatic Cylinder</v>
          </cell>
          <cell r="F2" t="str">
            <v>포스코</v>
          </cell>
          <cell r="G2" t="str">
            <v>CWC(DA),CA,160Dx40Dx900ST,10kgf/cm2,[CS1CN160-900-CJQD1890/SMC],FOR 2SMP KR IMPELLER SLAG CUTING CYLINDER,OR EQUIVALENT</v>
          </cell>
          <cell r="H2" t="str">
            <v>1</v>
          </cell>
          <cell r="I2" t="str">
            <v>SET</v>
          </cell>
          <cell r="J2" t="str">
            <v>L</v>
          </cell>
          <cell r="K2" t="str">
            <v>하성원</v>
          </cell>
          <cell r="N2" t="str">
            <v>http://www.smckorea.co.kr/posco/Q1890D_AP.tif</v>
          </cell>
          <cell r="Q2" t="str">
            <v>Used Goods</v>
          </cell>
          <cell r="S2" t="str">
            <v>Green Purchase</v>
          </cell>
          <cell r="T2" t="str">
            <v>NONE</v>
          </cell>
          <cell r="U2" t="str">
            <v>Safety Management</v>
          </cell>
          <cell r="V2" t="str">
            <v>NONE</v>
          </cell>
          <cell r="W2" t="str">
            <v>Posco Patent</v>
          </cell>
          <cell r="Y2" t="str">
            <v>Or Equivalent</v>
          </cell>
          <cell r="Z2" t="str">
            <v>OR EQUIVALENT</v>
          </cell>
          <cell r="AA2" t="str">
            <v>Cylinder Type</v>
          </cell>
          <cell r="AB2" t="str">
            <v>CWC(DA)</v>
          </cell>
          <cell r="AC2" t="str">
            <v>Mounting Type</v>
          </cell>
          <cell r="AD2" t="str">
            <v>CA</v>
          </cell>
          <cell r="AE2" t="str">
            <v>Bore Size</v>
          </cell>
          <cell r="AF2" t="str">
            <v>160</v>
          </cell>
          <cell r="AG2" t="str">
            <v>Rod Diameter</v>
          </cell>
          <cell r="AH2" t="str">
            <v>40</v>
          </cell>
          <cell r="AI2" t="str">
            <v>Stroke Length</v>
          </cell>
          <cell r="AJ2" t="str">
            <v>900</v>
          </cell>
          <cell r="AK2" t="str">
            <v>Pressure Rating</v>
          </cell>
          <cell r="AL2" t="str">
            <v>10</v>
          </cell>
          <cell r="AM2" t="str">
            <v>Model-1</v>
          </cell>
          <cell r="AN2" t="str">
            <v>CS1CN160-900-CJQD1890</v>
          </cell>
          <cell r="AO2" t="str">
            <v>Maker Name-1</v>
          </cell>
          <cell r="AP2" t="str">
            <v>SMC</v>
          </cell>
          <cell r="AQ2" t="str">
            <v>Option-1</v>
          </cell>
          <cell r="AS2" t="str">
            <v>Model-2</v>
          </cell>
          <cell r="AU2" t="str">
            <v>Maker Name-2</v>
          </cell>
          <cell r="AV2" t="str">
            <v>NONE</v>
          </cell>
          <cell r="AW2" t="str">
            <v>Option-2</v>
          </cell>
          <cell r="AY2" t="str">
            <v>Model-3</v>
          </cell>
          <cell r="BA2" t="str">
            <v>Maker Name-3</v>
          </cell>
          <cell r="BC2" t="str">
            <v>Option-3</v>
          </cell>
          <cell r="BE2" t="str">
            <v>Option &amp; Others</v>
          </cell>
          <cell r="BG2" t="str">
            <v>Application</v>
          </cell>
          <cell r="BH2" t="str">
            <v>FOR 2SMP KR IMPELLER SLAG CUTING CYLINDER</v>
          </cell>
        </row>
        <row r="3">
          <cell r="A3" t="str">
            <v>Q4507377</v>
          </cell>
          <cell r="B3" t="str">
            <v>ACTIVE</v>
          </cell>
          <cell r="C3" t="str">
            <v>특정사양품(단수)</v>
          </cell>
          <cell r="D3" t="str">
            <v>Q4507377</v>
          </cell>
          <cell r="E3" t="str">
            <v>Pneumatic Cylinder</v>
          </cell>
          <cell r="F3" t="str">
            <v>포스코</v>
          </cell>
          <cell r="G3" t="str">
            <v>CWC(DA),FA,50Dx20Dx10ST,10kgf/cm2,[CDQMB50-10-A72/SMC],FOR 2ZRM ROLL CHANGE CAR LIFTER ROLL SHIFT CYLINDER,OR EQUIVALENT</v>
          </cell>
          <cell r="H3" t="str">
            <v>1</v>
          </cell>
          <cell r="I3" t="str">
            <v>EA</v>
          </cell>
          <cell r="J3" t="str">
            <v>L</v>
          </cell>
          <cell r="K3" t="str">
            <v>박용봉</v>
          </cell>
          <cell r="N3" t="str">
            <v xml:space="preserve">http://www.smckorea.co.kr/ppis/data/catalog/CQM.pdf </v>
          </cell>
          <cell r="Q3" t="str">
            <v>Used Goods</v>
          </cell>
          <cell r="S3" t="str">
            <v>Green Purchase</v>
          </cell>
          <cell r="T3" t="str">
            <v>NONE</v>
          </cell>
          <cell r="U3" t="str">
            <v>Safety Management</v>
          </cell>
          <cell r="V3" t="str">
            <v>NONE</v>
          </cell>
          <cell r="W3" t="str">
            <v>Posco Patent</v>
          </cell>
          <cell r="Y3" t="str">
            <v>Or Equivalent</v>
          </cell>
          <cell r="Z3" t="str">
            <v>OR EQUIVALENT</v>
          </cell>
          <cell r="AA3" t="str">
            <v>Cylinder Type</v>
          </cell>
          <cell r="AB3" t="str">
            <v>CWC(DA)</v>
          </cell>
          <cell r="AC3" t="str">
            <v>Mounting Type</v>
          </cell>
          <cell r="AD3" t="str">
            <v>FA</v>
          </cell>
          <cell r="AE3" t="str">
            <v>Bore Size</v>
          </cell>
          <cell r="AF3" t="str">
            <v>50</v>
          </cell>
          <cell r="AG3" t="str">
            <v>Rod Diameter</v>
          </cell>
          <cell r="AH3" t="str">
            <v>20</v>
          </cell>
          <cell r="AI3" t="str">
            <v>Stroke Length</v>
          </cell>
          <cell r="AJ3" t="str">
            <v>10</v>
          </cell>
          <cell r="AK3" t="str">
            <v>Pressure Rating</v>
          </cell>
          <cell r="AL3" t="str">
            <v>10</v>
          </cell>
          <cell r="AM3" t="str">
            <v>Model-1</v>
          </cell>
          <cell r="AN3" t="str">
            <v>CDQMB50-10-A72</v>
          </cell>
          <cell r="AO3" t="str">
            <v>Maker Name-1</v>
          </cell>
          <cell r="AP3" t="str">
            <v>SMC</v>
          </cell>
          <cell r="AQ3" t="str">
            <v>Option-1</v>
          </cell>
          <cell r="AS3" t="str">
            <v>Model-2</v>
          </cell>
          <cell r="AU3" t="str">
            <v>Maker Name-2</v>
          </cell>
          <cell r="AV3" t="str">
            <v>NONE</v>
          </cell>
          <cell r="AW3" t="str">
            <v>Option-2</v>
          </cell>
          <cell r="AY3" t="str">
            <v>Model-3</v>
          </cell>
          <cell r="BA3" t="str">
            <v>Maker Name-3</v>
          </cell>
          <cell r="BC3" t="str">
            <v>Option-3</v>
          </cell>
          <cell r="BE3" t="str">
            <v>Option &amp; Others</v>
          </cell>
          <cell r="BG3" t="str">
            <v>Application</v>
          </cell>
          <cell r="BH3" t="str">
            <v>FOR 2ZRM ROLL CHANGE CAR LIFTER ROLL SHIFT CYLINDER</v>
          </cell>
        </row>
        <row r="4">
          <cell r="A4" t="str">
            <v>Q4508586</v>
          </cell>
          <cell r="B4" t="str">
            <v>ACTIVE</v>
          </cell>
          <cell r="C4" t="str">
            <v>특정사양품(단수)</v>
          </cell>
          <cell r="D4" t="str">
            <v>Q4508586</v>
          </cell>
          <cell r="E4" t="str">
            <v>Pneumatic Cylinder</v>
          </cell>
          <cell r="F4" t="str">
            <v>포스코</v>
          </cell>
          <cell r="G4" t="str">
            <v>CWC(DA),[CDM2E32-200Z-NW-A93L/SMC],4CC MARKING</v>
          </cell>
          <cell r="H4" t="str">
            <v>1</v>
          </cell>
          <cell r="I4" t="str">
            <v>SET</v>
          </cell>
          <cell r="J4" t="str">
            <v>L</v>
          </cell>
          <cell r="K4" t="str">
            <v>김재석</v>
          </cell>
          <cell r="N4" t="str">
            <v>http://www.smckorea.co.kr/ppis/data/catalog/CM2-Z.pdf</v>
          </cell>
          <cell r="Q4" t="str">
            <v>Used Goods</v>
          </cell>
          <cell r="S4" t="str">
            <v>Green Purchase</v>
          </cell>
          <cell r="T4" t="str">
            <v>NONE</v>
          </cell>
          <cell r="U4" t="str">
            <v>Safety Management</v>
          </cell>
          <cell r="V4" t="str">
            <v>NONE</v>
          </cell>
          <cell r="W4" t="str">
            <v>Posco Patent</v>
          </cell>
          <cell r="Y4" t="str">
            <v>Or Equivalent</v>
          </cell>
          <cell r="AA4" t="str">
            <v>Cylinder Type</v>
          </cell>
          <cell r="AB4" t="str">
            <v>CWC(DA)</v>
          </cell>
          <cell r="AC4" t="str">
            <v>Mounting Type</v>
          </cell>
          <cell r="AD4" t="str">
            <v>OTHERS</v>
          </cell>
          <cell r="AE4" t="str">
            <v>Bore Size</v>
          </cell>
          <cell r="AF4" t="str">
            <v>9999</v>
          </cell>
          <cell r="AG4" t="str">
            <v>Rod Diameter</v>
          </cell>
          <cell r="AH4" t="str">
            <v>9999</v>
          </cell>
          <cell r="AI4" t="str">
            <v>Stroke Length</v>
          </cell>
          <cell r="AJ4" t="str">
            <v>9999</v>
          </cell>
          <cell r="AK4" t="str">
            <v>Pressure Rating</v>
          </cell>
          <cell r="AM4" t="str">
            <v>Model-1</v>
          </cell>
          <cell r="AN4" t="str">
            <v>CDM2E32-200Z-NW-A93L</v>
          </cell>
          <cell r="AO4" t="str">
            <v>Maker Name-1</v>
          </cell>
          <cell r="AP4" t="str">
            <v>SMC</v>
          </cell>
          <cell r="AQ4" t="str">
            <v>Option-1</v>
          </cell>
          <cell r="AS4" t="str">
            <v>Model-2</v>
          </cell>
          <cell r="AU4" t="str">
            <v>Maker Name-2</v>
          </cell>
          <cell r="AV4" t="str">
            <v>NONE</v>
          </cell>
          <cell r="AW4" t="str">
            <v>Option-2</v>
          </cell>
          <cell r="AY4" t="str">
            <v>Model-3</v>
          </cell>
          <cell r="BA4" t="str">
            <v>Maker Name-3</v>
          </cell>
          <cell r="BC4" t="str">
            <v>Option-3</v>
          </cell>
          <cell r="BE4" t="str">
            <v>Option &amp; Others</v>
          </cell>
          <cell r="BG4" t="str">
            <v>Application</v>
          </cell>
          <cell r="BH4" t="str">
            <v xml:space="preserve">4CC MARKING </v>
          </cell>
        </row>
        <row r="5">
          <cell r="A5" t="str">
            <v>Q4510521</v>
          </cell>
          <cell r="B5" t="str">
            <v>ACTIVE</v>
          </cell>
          <cell r="C5" t="str">
            <v>특정사양품(단수)</v>
          </cell>
          <cell r="D5" t="str">
            <v>Q4510521</v>
          </cell>
          <cell r="E5" t="str">
            <v>Pneumatic Cylinder</v>
          </cell>
          <cell r="F5" t="str">
            <v>포스코퓨처엠</v>
          </cell>
          <cell r="G5" t="str">
            <v>CWC(DA),CA,80Dx25Dx100ST,10kgf/cm2,[CDQ2B80-100DMZ-XA18/SMC]</v>
          </cell>
          <cell r="H5" t="str">
            <v>1</v>
          </cell>
          <cell r="I5" t="str">
            <v>SET</v>
          </cell>
          <cell r="J5" t="str">
            <v>L</v>
          </cell>
          <cell r="K5" t="str">
            <v>김 지환</v>
          </cell>
          <cell r="N5" t="str">
            <v>http://www.smckorea.co.kr/ppis/data/catalog/CQ-Z.pdf</v>
          </cell>
          <cell r="Q5" t="str">
            <v>Used Goods</v>
          </cell>
          <cell r="S5" t="str">
            <v>Green Purchase</v>
          </cell>
          <cell r="T5" t="str">
            <v>NONE</v>
          </cell>
          <cell r="U5" t="str">
            <v>Safety Management</v>
          </cell>
          <cell r="V5" t="str">
            <v>NONE</v>
          </cell>
          <cell r="W5" t="str">
            <v>Posco Patent</v>
          </cell>
          <cell r="Y5" t="str">
            <v>Or Equivalent</v>
          </cell>
          <cell r="AA5" t="str">
            <v>Cylinder Type</v>
          </cell>
          <cell r="AB5" t="str">
            <v>CWC(DA)</v>
          </cell>
          <cell r="AC5" t="str">
            <v>Mounting Type</v>
          </cell>
          <cell r="AD5" t="str">
            <v>CA</v>
          </cell>
          <cell r="AE5" t="str">
            <v>Bore Size</v>
          </cell>
          <cell r="AF5" t="str">
            <v>80</v>
          </cell>
          <cell r="AG5" t="str">
            <v>Rod Diameter</v>
          </cell>
          <cell r="AH5" t="str">
            <v>25</v>
          </cell>
          <cell r="AI5" t="str">
            <v>Stroke Length</v>
          </cell>
          <cell r="AJ5" t="str">
            <v>100</v>
          </cell>
          <cell r="AK5" t="str">
            <v>Pressure Rating</v>
          </cell>
          <cell r="AL5" t="str">
            <v>10</v>
          </cell>
          <cell r="AM5" t="str">
            <v>Model-1</v>
          </cell>
          <cell r="AN5" t="str">
            <v>CDQ2B80-100DMZ-XA18</v>
          </cell>
          <cell r="AO5" t="str">
            <v>Maker Name-1</v>
          </cell>
          <cell r="AP5" t="str">
            <v>SMC</v>
          </cell>
          <cell r="AQ5" t="str">
            <v>Option-1</v>
          </cell>
          <cell r="AS5" t="str">
            <v>Model-2</v>
          </cell>
          <cell r="AU5" t="str">
            <v>Maker Name-2</v>
          </cell>
          <cell r="AV5" t="str">
            <v>NONE</v>
          </cell>
          <cell r="AW5" t="str">
            <v>Option-2</v>
          </cell>
          <cell r="AY5" t="str">
            <v>Model-3</v>
          </cell>
          <cell r="BA5" t="str">
            <v>Maker Name-3</v>
          </cell>
          <cell r="BC5" t="str">
            <v>Option-3</v>
          </cell>
          <cell r="BE5" t="str">
            <v>Option &amp; Others</v>
          </cell>
          <cell r="BG5" t="str">
            <v>Application</v>
          </cell>
        </row>
        <row r="6">
          <cell r="A6" t="str">
            <v>Q4361361</v>
          </cell>
          <cell r="B6" t="str">
            <v>ACTIVE</v>
          </cell>
          <cell r="C6" t="str">
            <v>특정사양품(단수)</v>
          </cell>
          <cell r="D6" t="str">
            <v>Q4361361</v>
          </cell>
          <cell r="E6" t="str">
            <v>Pneumatic Cylinder</v>
          </cell>
          <cell r="F6" t="str">
            <v>포스코</v>
          </cell>
          <cell r="G6" t="str">
            <v>CWC(DA),TC,180Dx45Dx800ST,10kgf/cm2,[CS1T180-800-XC86B/SMC],FOR SOFT COKE HOPPER GATE CYLINDER,OR EQUIVALENT</v>
          </cell>
          <cell r="H6" t="str">
            <v>2</v>
          </cell>
          <cell r="I6" t="str">
            <v>EA</v>
          </cell>
          <cell r="K6" t="str">
            <v>이오근</v>
          </cell>
          <cell r="N6" t="str">
            <v>http://www.smckorea.co.kr/ppis/data/catalog/CS1.pdf</v>
          </cell>
          <cell r="Q6" t="str">
            <v>Used Goods</v>
          </cell>
          <cell r="S6" t="str">
            <v>Green Purchase</v>
          </cell>
          <cell r="T6" t="str">
            <v>NONE</v>
          </cell>
          <cell r="U6" t="str">
            <v>Safety Management</v>
          </cell>
          <cell r="V6" t="str">
            <v>NONE</v>
          </cell>
          <cell r="W6" t="str">
            <v>Posco Patent</v>
          </cell>
          <cell r="Y6" t="str">
            <v>Or Equivalent</v>
          </cell>
          <cell r="Z6" t="str">
            <v>OR EQUIVALENT</v>
          </cell>
          <cell r="AA6" t="str">
            <v>Cylinder Type</v>
          </cell>
          <cell r="AB6" t="str">
            <v>CWC(DA)</v>
          </cell>
          <cell r="AC6" t="str">
            <v>Mounting Type</v>
          </cell>
          <cell r="AD6" t="str">
            <v>TC</v>
          </cell>
          <cell r="AE6" t="str">
            <v>Bore Size</v>
          </cell>
          <cell r="AF6" t="str">
            <v>180</v>
          </cell>
          <cell r="AG6" t="str">
            <v>Rod Diameter</v>
          </cell>
          <cell r="AH6" t="str">
            <v>45</v>
          </cell>
          <cell r="AI6" t="str">
            <v>Stroke Length</v>
          </cell>
          <cell r="AJ6" t="str">
            <v>800</v>
          </cell>
          <cell r="AK6" t="str">
            <v>Pressure Rating</v>
          </cell>
          <cell r="AL6" t="str">
            <v>10</v>
          </cell>
          <cell r="AM6" t="str">
            <v>Model-1</v>
          </cell>
          <cell r="AN6" t="str">
            <v>CS1T180-800-XC86B</v>
          </cell>
          <cell r="AO6" t="str">
            <v>Maker Name-1</v>
          </cell>
          <cell r="AP6" t="str">
            <v>SMC</v>
          </cell>
          <cell r="AQ6" t="str">
            <v>Option-1</v>
          </cell>
          <cell r="AS6" t="str">
            <v>Model-2</v>
          </cell>
          <cell r="AU6" t="str">
            <v>Maker Name-2</v>
          </cell>
          <cell r="AV6" t="str">
            <v>NONE</v>
          </cell>
          <cell r="AW6" t="str">
            <v>Option-2</v>
          </cell>
          <cell r="AY6" t="str">
            <v>Model-3</v>
          </cell>
          <cell r="BA6" t="str">
            <v>Maker Name-3</v>
          </cell>
          <cell r="BC6" t="str">
            <v>Option-3</v>
          </cell>
          <cell r="BE6" t="str">
            <v>Option &amp; Others</v>
          </cell>
          <cell r="BG6" t="str">
            <v>Application</v>
          </cell>
          <cell r="BH6" t="str">
            <v>FOR SOFT COKE HOPPER GATE CYLINDER</v>
          </cell>
        </row>
        <row r="7">
          <cell r="A7" t="str">
            <v>Q4511190</v>
          </cell>
          <cell r="B7" t="str">
            <v>ACTIVE</v>
          </cell>
          <cell r="C7" t="str">
            <v>특정사양품(단수)</v>
          </cell>
          <cell r="D7" t="str">
            <v>Q4511190</v>
          </cell>
          <cell r="E7" t="str">
            <v>Pneumatic Cylinder</v>
          </cell>
          <cell r="F7" t="str">
            <v>포스코</v>
          </cell>
          <cell r="G7" t="str">
            <v>CWC(DA),TC,100Dx30Dx125ST,[CDA2T100-KRT09KO-125Z-W-A96L/SMC],FOR 2PL MAIN MARKING LINK CYLINDER,OR EQUIVALENT</v>
          </cell>
          <cell r="H7" t="str">
            <v>1</v>
          </cell>
          <cell r="I7" t="str">
            <v>EA</v>
          </cell>
          <cell r="J7" t="str">
            <v>L</v>
          </cell>
          <cell r="K7" t="str">
            <v>김형진</v>
          </cell>
          <cell r="N7" t="str">
            <v xml:space="preserve">http://www.smckorea.co.kr/ppis/data/catalog/CA2-Z.pdf </v>
          </cell>
          <cell r="Q7" t="str">
            <v>Used Goods</v>
          </cell>
          <cell r="S7" t="str">
            <v>Green Purchase</v>
          </cell>
          <cell r="T7" t="str">
            <v>NONE</v>
          </cell>
          <cell r="U7" t="str">
            <v>Safety Management</v>
          </cell>
          <cell r="V7" t="str">
            <v>NONE</v>
          </cell>
          <cell r="W7" t="str">
            <v>Posco Patent</v>
          </cell>
          <cell r="Y7" t="str">
            <v>Or Equivalent</v>
          </cell>
          <cell r="Z7" t="str">
            <v>OR EQUIVALENT</v>
          </cell>
          <cell r="AA7" t="str">
            <v>Cylinder Type</v>
          </cell>
          <cell r="AB7" t="str">
            <v>CWC(DA)</v>
          </cell>
          <cell r="AC7" t="str">
            <v>Mounting Type</v>
          </cell>
          <cell r="AD7" t="str">
            <v>TC</v>
          </cell>
          <cell r="AE7" t="str">
            <v>Bore Size</v>
          </cell>
          <cell r="AF7" t="str">
            <v>100</v>
          </cell>
          <cell r="AG7" t="str">
            <v>Rod Diameter</v>
          </cell>
          <cell r="AH7" t="str">
            <v>30</v>
          </cell>
          <cell r="AI7" t="str">
            <v>Stroke Length</v>
          </cell>
          <cell r="AJ7" t="str">
            <v>125</v>
          </cell>
          <cell r="AK7" t="str">
            <v>Pressure Rating</v>
          </cell>
          <cell r="AM7" t="str">
            <v>Model-1</v>
          </cell>
          <cell r="AN7" t="str">
            <v>CDA2T100-KRT09KO-125Z-W-A96L</v>
          </cell>
          <cell r="AO7" t="str">
            <v>Maker Name-1</v>
          </cell>
          <cell r="AP7" t="str">
            <v>SMC</v>
          </cell>
          <cell r="AQ7" t="str">
            <v>Option-1</v>
          </cell>
          <cell r="AS7" t="str">
            <v>Model-2</v>
          </cell>
          <cell r="AU7" t="str">
            <v>Maker Name-2</v>
          </cell>
          <cell r="AV7" t="str">
            <v>NONE</v>
          </cell>
          <cell r="AW7" t="str">
            <v>Option-2</v>
          </cell>
          <cell r="AY7" t="str">
            <v>Model-3</v>
          </cell>
          <cell r="BA7" t="str">
            <v>Maker Name-3</v>
          </cell>
          <cell r="BC7" t="str">
            <v>Option-3</v>
          </cell>
          <cell r="BE7" t="str">
            <v>Option &amp; Others</v>
          </cell>
          <cell r="BG7" t="str">
            <v>Application</v>
          </cell>
          <cell r="BH7" t="str">
            <v>FOR 2PL MAIN MARKING LINK CYLINDER</v>
          </cell>
        </row>
        <row r="8">
          <cell r="A8" t="str">
            <v>Q4520278</v>
          </cell>
          <cell r="B8" t="str">
            <v>ACTIVE</v>
          </cell>
          <cell r="C8" t="str">
            <v>특정사양품(단수)</v>
          </cell>
          <cell r="D8" t="str">
            <v>Q4520278</v>
          </cell>
          <cell r="E8" t="str">
            <v>Pneumatic Cylinder</v>
          </cell>
          <cell r="F8" t="str">
            <v>포스코</v>
          </cell>
          <cell r="G8" t="str">
            <v>CWC(DA),CA,40Dx14Dx160ST,10kgf/cm2,[CDM2E40TF-160Z-XC6/SMC],FOR 2PL UST MEASURING WHEEL CYLINDER,OR EQUIVALENT</v>
          </cell>
          <cell r="H8" t="str">
            <v>1</v>
          </cell>
          <cell r="I8" t="str">
            <v>EA</v>
          </cell>
          <cell r="J8" t="str">
            <v>L</v>
          </cell>
          <cell r="K8" t="str">
            <v>김형진</v>
          </cell>
          <cell r="N8" t="str">
            <v>http://www.smckorea.co.kr/ppis/data/catalog/CM2-Z.pdf</v>
          </cell>
          <cell r="Q8" t="str">
            <v>Used Goods</v>
          </cell>
          <cell r="S8" t="str">
            <v>Green Purchase</v>
          </cell>
          <cell r="T8" t="str">
            <v>NONE</v>
          </cell>
          <cell r="U8" t="str">
            <v>Safety Management</v>
          </cell>
          <cell r="V8" t="str">
            <v>NONE</v>
          </cell>
          <cell r="W8" t="str">
            <v>Posco Patent</v>
          </cell>
          <cell r="Y8" t="str">
            <v>Or Equivalent</v>
          </cell>
          <cell r="Z8" t="str">
            <v>OR EQUIVALENT</v>
          </cell>
          <cell r="AA8" t="str">
            <v>Cylinder Type</v>
          </cell>
          <cell r="AB8" t="str">
            <v>CWC(DA)</v>
          </cell>
          <cell r="AC8" t="str">
            <v>Mounting Type</v>
          </cell>
          <cell r="AD8" t="str">
            <v>CA</v>
          </cell>
          <cell r="AE8" t="str">
            <v>Bore Size</v>
          </cell>
          <cell r="AF8" t="str">
            <v>40</v>
          </cell>
          <cell r="AG8" t="str">
            <v>Rod Diameter</v>
          </cell>
          <cell r="AH8" t="str">
            <v>14</v>
          </cell>
          <cell r="AI8" t="str">
            <v>Stroke Length</v>
          </cell>
          <cell r="AJ8" t="str">
            <v>160</v>
          </cell>
          <cell r="AK8" t="str">
            <v>Pressure Rating</v>
          </cell>
          <cell r="AL8" t="str">
            <v>10</v>
          </cell>
          <cell r="AM8" t="str">
            <v>Model-1</v>
          </cell>
          <cell r="AN8" t="str">
            <v>CDM2E40TF-160Z-XC6</v>
          </cell>
          <cell r="AO8" t="str">
            <v>Maker Name-1</v>
          </cell>
          <cell r="AP8" t="str">
            <v>SMC</v>
          </cell>
          <cell r="AQ8" t="str">
            <v>Option-1</v>
          </cell>
          <cell r="AS8" t="str">
            <v>Model-2</v>
          </cell>
          <cell r="AU8" t="str">
            <v>Maker Name-2</v>
          </cell>
          <cell r="AV8" t="str">
            <v>NONE</v>
          </cell>
          <cell r="AW8" t="str">
            <v>Option-2</v>
          </cell>
          <cell r="AY8" t="str">
            <v>Model-3</v>
          </cell>
          <cell r="BA8" t="str">
            <v>Maker Name-3</v>
          </cell>
          <cell r="BC8" t="str">
            <v>Option-3</v>
          </cell>
          <cell r="BE8" t="str">
            <v>Option &amp; Others</v>
          </cell>
          <cell r="BG8" t="str">
            <v>Application</v>
          </cell>
          <cell r="BH8" t="str">
            <v>FOR 2PL UST MEASURING WHEEL CYLINDER</v>
          </cell>
        </row>
        <row r="9">
          <cell r="A9" t="str">
            <v>Q4521203</v>
          </cell>
          <cell r="B9" t="str">
            <v>ACTIVE</v>
          </cell>
          <cell r="C9" t="str">
            <v>특정사양품(단수)</v>
          </cell>
          <cell r="D9" t="str">
            <v>Q4521203</v>
          </cell>
          <cell r="E9" t="str">
            <v>Pneumatic Cylinder</v>
          </cell>
          <cell r="F9" t="str">
            <v>포스코</v>
          </cell>
          <cell r="G9" t="str">
            <v>CWC(DA),CB,100Dx25Dx320ST,10kgf/cm2,[C96SD100-320C/SMC],OR EQUIVALENT</v>
          </cell>
          <cell r="H9" t="str">
            <v>1</v>
          </cell>
          <cell r="I9" t="str">
            <v>SET</v>
          </cell>
          <cell r="J9" t="str">
            <v>L</v>
          </cell>
          <cell r="K9" t="str">
            <v>최춘식</v>
          </cell>
          <cell r="N9" t="str">
            <v>http://www.smckorea.co.kr/ppis/data/catalog/C96.pdf</v>
          </cell>
          <cell r="Q9" t="str">
            <v>Used Goods</v>
          </cell>
          <cell r="S9" t="str">
            <v>Green Purchase</v>
          </cell>
          <cell r="T9" t="str">
            <v>NONE</v>
          </cell>
          <cell r="U9" t="str">
            <v>Safety Management</v>
          </cell>
          <cell r="V9" t="str">
            <v>NONE</v>
          </cell>
          <cell r="W9" t="str">
            <v>Posco Patent</v>
          </cell>
          <cell r="Y9" t="str">
            <v>Or Equivalent</v>
          </cell>
          <cell r="Z9" t="str">
            <v>OR EQUIVALENT</v>
          </cell>
          <cell r="AA9" t="str">
            <v>Cylinder Type</v>
          </cell>
          <cell r="AB9" t="str">
            <v>CWC(DA)</v>
          </cell>
          <cell r="AC9" t="str">
            <v>Mounting Type</v>
          </cell>
          <cell r="AD9" t="str">
            <v>CB</v>
          </cell>
          <cell r="AE9" t="str">
            <v>Bore Size</v>
          </cell>
          <cell r="AF9" t="str">
            <v>100</v>
          </cell>
          <cell r="AG9" t="str">
            <v>Rod Diameter</v>
          </cell>
          <cell r="AH9" t="str">
            <v>25</v>
          </cell>
          <cell r="AI9" t="str">
            <v>Stroke Length</v>
          </cell>
          <cell r="AJ9" t="str">
            <v>320</v>
          </cell>
          <cell r="AK9" t="str">
            <v>Pressure Rating</v>
          </cell>
          <cell r="AL9" t="str">
            <v>10</v>
          </cell>
          <cell r="AM9" t="str">
            <v>Model-1</v>
          </cell>
          <cell r="AN9" t="str">
            <v>C96SD100-320C</v>
          </cell>
          <cell r="AO9" t="str">
            <v>Maker Name-1</v>
          </cell>
          <cell r="AP9" t="str">
            <v>SMC</v>
          </cell>
          <cell r="AQ9" t="str">
            <v>Option-1</v>
          </cell>
          <cell r="AS9" t="str">
            <v>Model-2</v>
          </cell>
          <cell r="AU9" t="str">
            <v>Maker Name-2</v>
          </cell>
          <cell r="AV9" t="str">
            <v>NONE</v>
          </cell>
          <cell r="AW9" t="str">
            <v>Option-2</v>
          </cell>
          <cell r="AY9" t="str">
            <v>Model-3</v>
          </cell>
          <cell r="BA9" t="str">
            <v>Maker Name-3</v>
          </cell>
          <cell r="BC9" t="str">
            <v>Option-3</v>
          </cell>
          <cell r="BE9" t="str">
            <v>Option &amp; Others</v>
          </cell>
          <cell r="BG9" t="str">
            <v>Application</v>
          </cell>
        </row>
        <row r="10">
          <cell r="A10" t="str">
            <v>Q4524100</v>
          </cell>
          <cell r="B10" t="str">
            <v>ACTIVE</v>
          </cell>
          <cell r="C10" t="str">
            <v>특정사양품(단수)</v>
          </cell>
          <cell r="D10" t="str">
            <v>Q4524100</v>
          </cell>
          <cell r="E10" t="str">
            <v>Pneumatic Cylinder</v>
          </cell>
          <cell r="F10" t="str">
            <v>포스코</v>
          </cell>
          <cell r="G10" t="str">
            <v>20Dx50ST,[JCMMZ20TR-50/SMC],FOR 1WRM BTJ A-LINE G/M #1,2,3 WHEEL MEASURING CYL',OR EQUIVALENT</v>
          </cell>
          <cell r="H10" t="str">
            <v>1</v>
          </cell>
          <cell r="I10" t="str">
            <v>EA</v>
          </cell>
          <cell r="J10" t="str">
            <v>L</v>
          </cell>
          <cell r="K10" t="str">
            <v>김성엽</v>
          </cell>
          <cell r="N10" t="str">
            <v>http://ca01.smcworld.com/catalog/New-products/mpv/s20-237-jcm/index.html#target/page_no=4</v>
          </cell>
          <cell r="Q10" t="str">
            <v>Used Goods</v>
          </cell>
          <cell r="S10" t="str">
            <v>Green Purchase</v>
          </cell>
          <cell r="T10" t="str">
            <v>NONE</v>
          </cell>
          <cell r="U10" t="str">
            <v>Safety Management</v>
          </cell>
          <cell r="W10" t="str">
            <v>Posco Patent</v>
          </cell>
          <cell r="Y10" t="str">
            <v>Or Equivalent</v>
          </cell>
          <cell r="Z10" t="str">
            <v>OR EQUIVALENT</v>
          </cell>
          <cell r="AA10" t="str">
            <v>Cylinder Type</v>
          </cell>
          <cell r="AB10" t="str">
            <v>OTHERS</v>
          </cell>
          <cell r="AC10" t="str">
            <v>Mounting Type</v>
          </cell>
          <cell r="AD10" t="str">
            <v>OTHERS</v>
          </cell>
          <cell r="AE10" t="str">
            <v>Bore Size</v>
          </cell>
          <cell r="AF10" t="str">
            <v>20</v>
          </cell>
          <cell r="AG10" t="str">
            <v>Rod Diameter</v>
          </cell>
          <cell r="AH10" t="str">
            <v>9999</v>
          </cell>
          <cell r="AI10" t="str">
            <v>Stroke Length</v>
          </cell>
          <cell r="AJ10" t="str">
            <v>50</v>
          </cell>
          <cell r="AK10" t="str">
            <v>Pressure Rating</v>
          </cell>
          <cell r="AM10" t="str">
            <v>Model-1</v>
          </cell>
          <cell r="AN10" t="str">
            <v>JCMMZ20TR-50</v>
          </cell>
          <cell r="AO10" t="str">
            <v>Maker Name-1</v>
          </cell>
          <cell r="AP10" t="str">
            <v>SMC</v>
          </cell>
          <cell r="AQ10" t="str">
            <v>Option-1</v>
          </cell>
          <cell r="AS10" t="str">
            <v>Model-2</v>
          </cell>
          <cell r="AU10" t="str">
            <v>Maker Name-2</v>
          </cell>
          <cell r="AV10" t="str">
            <v>NONE</v>
          </cell>
          <cell r="AW10" t="str">
            <v>Option-2</v>
          </cell>
          <cell r="AY10" t="str">
            <v>Model-3</v>
          </cell>
          <cell r="BA10" t="str">
            <v>Maker Name-3</v>
          </cell>
          <cell r="BC10" t="str">
            <v>Option-3</v>
          </cell>
          <cell r="BE10" t="str">
            <v>Option &amp; Others</v>
          </cell>
          <cell r="BG10" t="str">
            <v>Application</v>
          </cell>
          <cell r="BH10" t="str">
            <v>FOR 1WRM BTJ A-LINE G/M #1,2,3 WHEEL MEASURING CYL'</v>
          </cell>
        </row>
        <row r="11">
          <cell r="A11" t="str">
            <v>Q4532140</v>
          </cell>
          <cell r="B11" t="str">
            <v>ACTIVE</v>
          </cell>
          <cell r="C11" t="str">
            <v>특정사양품(단수)</v>
          </cell>
          <cell r="D11" t="str">
            <v>Q4532140</v>
          </cell>
          <cell r="E11" t="str">
            <v>Pneumatic Cylinder</v>
          </cell>
          <cell r="F11" t="str">
            <v>포스코</v>
          </cell>
          <cell r="G11" t="str">
            <v>CWC(DA),LC,50Dx20Dx50ST,10kgf/cm2,[MDBL50-50Z-A93/SMC],FOR 2ZRM W/ROLL CHANGE CAR W/ROLL PULLING CYLINDER,OR EQUIVALENT</v>
          </cell>
          <cell r="H11" t="str">
            <v>1</v>
          </cell>
          <cell r="I11" t="str">
            <v>SET</v>
          </cell>
          <cell r="J11" t="str">
            <v>L</v>
          </cell>
          <cell r="K11" t="str">
            <v>박용봉</v>
          </cell>
          <cell r="N11" t="str">
            <v>https://www.smckorea.co.kr/ppis/data/catalog/MB-Z.pdf</v>
          </cell>
          <cell r="Q11" t="str">
            <v>Used Goods</v>
          </cell>
          <cell r="S11" t="str">
            <v>Green Purchase</v>
          </cell>
          <cell r="T11" t="str">
            <v>NONE</v>
          </cell>
          <cell r="U11" t="str">
            <v>Safety Management</v>
          </cell>
          <cell r="W11" t="str">
            <v>Posco Patent</v>
          </cell>
          <cell r="Y11" t="str">
            <v>Or Equivalent</v>
          </cell>
          <cell r="Z11" t="str">
            <v>OR EQUIVALENT</v>
          </cell>
          <cell r="AA11" t="str">
            <v>Cylinder Type</v>
          </cell>
          <cell r="AB11" t="str">
            <v>CWC(DA)</v>
          </cell>
          <cell r="AC11" t="str">
            <v>Mounting Type</v>
          </cell>
          <cell r="AD11" t="str">
            <v>LC</v>
          </cell>
          <cell r="AE11" t="str">
            <v>Bore Size</v>
          </cell>
          <cell r="AF11" t="str">
            <v>50</v>
          </cell>
          <cell r="AG11" t="str">
            <v>Rod Diameter</v>
          </cell>
          <cell r="AH11" t="str">
            <v>20</v>
          </cell>
          <cell r="AI11" t="str">
            <v>Stroke Length</v>
          </cell>
          <cell r="AJ11" t="str">
            <v>50</v>
          </cell>
          <cell r="AK11" t="str">
            <v>Pressure Rating</v>
          </cell>
          <cell r="AL11" t="str">
            <v>10</v>
          </cell>
          <cell r="AM11" t="str">
            <v>Model-1</v>
          </cell>
          <cell r="AN11" t="str">
            <v>MDBL50-50Z-A93</v>
          </cell>
          <cell r="AO11" t="str">
            <v>Maker Name-1</v>
          </cell>
          <cell r="AP11" t="str">
            <v>SMC</v>
          </cell>
          <cell r="AQ11" t="str">
            <v>Option-1</v>
          </cell>
          <cell r="AS11" t="str">
            <v>Model-2</v>
          </cell>
          <cell r="AU11" t="str">
            <v>Maker Name-2</v>
          </cell>
          <cell r="AV11" t="str">
            <v>NONE</v>
          </cell>
          <cell r="AW11" t="str">
            <v>Option-2</v>
          </cell>
          <cell r="AY11" t="str">
            <v>Model-3</v>
          </cell>
          <cell r="BA11" t="str">
            <v>Maker Name-3</v>
          </cell>
          <cell r="BC11" t="str">
            <v>Option-3</v>
          </cell>
          <cell r="BE11" t="str">
            <v>Option &amp; Others</v>
          </cell>
          <cell r="BG11" t="str">
            <v>Application</v>
          </cell>
          <cell r="BH11" t="str">
            <v>FOR 2ZRM W/ROLL CHANGE CAR W/ROLL PULLING CYLINDER</v>
          </cell>
        </row>
        <row r="12">
          <cell r="A12" t="str">
            <v>Q4532141</v>
          </cell>
          <cell r="B12" t="str">
            <v>ACTIVE</v>
          </cell>
          <cell r="C12" t="str">
            <v>특정사양품(단수)</v>
          </cell>
          <cell r="D12" t="str">
            <v>Q4532141</v>
          </cell>
          <cell r="E12" t="str">
            <v>Pneumatic Cylinder</v>
          </cell>
          <cell r="F12" t="str">
            <v>포스코</v>
          </cell>
          <cell r="G12" t="str">
            <v>CWC(DA),SD,40Dx20Dx700ST,10kgf/cm2,[MGZ40-700-A93/SMC],FOR 2ZRM WR CHANGE CAR WR PUSHER,OR EQUIVALENT</v>
          </cell>
          <cell r="H12" t="str">
            <v>1</v>
          </cell>
          <cell r="I12" t="str">
            <v>SET</v>
          </cell>
          <cell r="J12" t="str">
            <v>L</v>
          </cell>
          <cell r="K12" t="str">
            <v>박용봉</v>
          </cell>
          <cell r="N12" t="str">
            <v>https://www.smckorea.co.kr/ppis/data/catalog/MGZ_MGZR.pdf</v>
          </cell>
          <cell r="Q12" t="str">
            <v>Used Goods</v>
          </cell>
          <cell r="S12" t="str">
            <v>Green Purchase</v>
          </cell>
          <cell r="T12" t="str">
            <v>NONE</v>
          </cell>
          <cell r="U12" t="str">
            <v>Safety Management</v>
          </cell>
          <cell r="W12" t="str">
            <v>Posco Patent</v>
          </cell>
          <cell r="Y12" t="str">
            <v>Or Equivalent</v>
          </cell>
          <cell r="Z12" t="str">
            <v>OR EQUIVALENT</v>
          </cell>
          <cell r="AA12" t="str">
            <v>Cylinder Type</v>
          </cell>
          <cell r="AB12" t="str">
            <v>CWC(DA)</v>
          </cell>
          <cell r="AC12" t="str">
            <v>Mounting Type</v>
          </cell>
          <cell r="AD12" t="str">
            <v>SD</v>
          </cell>
          <cell r="AE12" t="str">
            <v>Bore Size</v>
          </cell>
          <cell r="AF12" t="str">
            <v>40</v>
          </cell>
          <cell r="AG12" t="str">
            <v>Rod Diameter</v>
          </cell>
          <cell r="AH12" t="str">
            <v>20</v>
          </cell>
          <cell r="AI12" t="str">
            <v>Stroke Length</v>
          </cell>
          <cell r="AJ12" t="str">
            <v>700</v>
          </cell>
          <cell r="AK12" t="str">
            <v>Pressure Rating</v>
          </cell>
          <cell r="AL12" t="str">
            <v>10</v>
          </cell>
          <cell r="AM12" t="str">
            <v>Model-1</v>
          </cell>
          <cell r="AN12" t="str">
            <v>MGZ40-700-A93</v>
          </cell>
          <cell r="AO12" t="str">
            <v>Maker Name-1</v>
          </cell>
          <cell r="AP12" t="str">
            <v>SMC</v>
          </cell>
          <cell r="AQ12" t="str">
            <v>Option-1</v>
          </cell>
          <cell r="AS12" t="str">
            <v>Model-2</v>
          </cell>
          <cell r="AU12" t="str">
            <v>Maker Name-2</v>
          </cell>
          <cell r="AV12" t="str">
            <v>NONE</v>
          </cell>
          <cell r="AW12" t="str">
            <v>Option-2</v>
          </cell>
          <cell r="AY12" t="str">
            <v>Model-3</v>
          </cell>
          <cell r="BA12" t="str">
            <v>Maker Name-3</v>
          </cell>
          <cell r="BC12" t="str">
            <v>Option-3</v>
          </cell>
          <cell r="BE12" t="str">
            <v>Option &amp; Others</v>
          </cell>
          <cell r="BG12" t="str">
            <v>Application</v>
          </cell>
          <cell r="BH12" t="str">
            <v>FOR 2ZRM WR CHANGE CAR WR PUSHER</v>
          </cell>
        </row>
        <row r="13">
          <cell r="A13" t="str">
            <v>Q4532142</v>
          </cell>
          <cell r="B13" t="str">
            <v>ACTIVE</v>
          </cell>
          <cell r="C13" t="str">
            <v>특정사양품(단수)</v>
          </cell>
          <cell r="D13" t="str">
            <v>Q4532142</v>
          </cell>
          <cell r="E13" t="str">
            <v>Pneumatic Cylinder</v>
          </cell>
          <cell r="F13" t="str">
            <v>포스코</v>
          </cell>
          <cell r="G13" t="str">
            <v>CWC(DA),SD,40Dx20Dx100ST,10kgf/cm2,[MGZL40-100-A93/SMC],FOR 2ZRM WR CHANGE CAR WR SHIFT AND ESCAPER STOPPER AIR CYLINDER,OR EQUIVALENT</v>
          </cell>
          <cell r="H13" t="str">
            <v>1</v>
          </cell>
          <cell r="I13" t="str">
            <v>SET</v>
          </cell>
          <cell r="J13" t="str">
            <v>L</v>
          </cell>
          <cell r="K13" t="str">
            <v>박용봉</v>
          </cell>
          <cell r="N13" t="str">
            <v>https://www.smckorea.co.kr/ppis/data/catalog/MGZ_MGZR.pdf</v>
          </cell>
          <cell r="Q13" t="str">
            <v>Used Goods</v>
          </cell>
          <cell r="S13" t="str">
            <v>Green Purchase</v>
          </cell>
          <cell r="T13" t="str">
            <v>NONE</v>
          </cell>
          <cell r="U13" t="str">
            <v>Safety Management</v>
          </cell>
          <cell r="W13" t="str">
            <v>Posco Patent</v>
          </cell>
          <cell r="Y13" t="str">
            <v>Or Equivalent</v>
          </cell>
          <cell r="Z13" t="str">
            <v>OR EQUIVALENT</v>
          </cell>
          <cell r="AA13" t="str">
            <v>Cylinder Type</v>
          </cell>
          <cell r="AB13" t="str">
            <v>CWC(DA)</v>
          </cell>
          <cell r="AC13" t="str">
            <v>Mounting Type</v>
          </cell>
          <cell r="AD13" t="str">
            <v>SD</v>
          </cell>
          <cell r="AE13" t="str">
            <v>Bore Size</v>
          </cell>
          <cell r="AF13" t="str">
            <v>40</v>
          </cell>
          <cell r="AG13" t="str">
            <v>Rod Diameter</v>
          </cell>
          <cell r="AH13" t="str">
            <v>20</v>
          </cell>
          <cell r="AI13" t="str">
            <v>Stroke Length</v>
          </cell>
          <cell r="AJ13" t="str">
            <v>100</v>
          </cell>
          <cell r="AK13" t="str">
            <v>Pressure Rating</v>
          </cell>
          <cell r="AL13" t="str">
            <v>10</v>
          </cell>
          <cell r="AM13" t="str">
            <v>Model-1</v>
          </cell>
          <cell r="AN13" t="str">
            <v>MGZL40-100-A93</v>
          </cell>
          <cell r="AO13" t="str">
            <v>Maker Name-1</v>
          </cell>
          <cell r="AP13" t="str">
            <v>SMC</v>
          </cell>
          <cell r="AQ13" t="str">
            <v>Option-1</v>
          </cell>
          <cell r="AS13" t="str">
            <v>Model-2</v>
          </cell>
          <cell r="AU13" t="str">
            <v>Maker Name-2</v>
          </cell>
          <cell r="AV13" t="str">
            <v>NONE</v>
          </cell>
          <cell r="AW13" t="str">
            <v>Option-2</v>
          </cell>
          <cell r="AY13" t="str">
            <v>Model-3</v>
          </cell>
          <cell r="BA13" t="str">
            <v>Maker Name-3</v>
          </cell>
          <cell r="BC13" t="str">
            <v>Option-3</v>
          </cell>
          <cell r="BE13" t="str">
            <v>Option &amp; Others</v>
          </cell>
          <cell r="BG13" t="str">
            <v>Application</v>
          </cell>
          <cell r="BH13" t="str">
            <v>FOR 2ZRM WR CHANGE CAR WR SHIFT AND ESCAPER STOPPER AIR CYLINDER</v>
          </cell>
        </row>
        <row r="14">
          <cell r="A14" t="str">
            <v>Q4532144</v>
          </cell>
          <cell r="B14" t="str">
            <v>ACTIVE</v>
          </cell>
          <cell r="C14" t="str">
            <v>특정사양품(단수)</v>
          </cell>
          <cell r="D14" t="str">
            <v>Q4532144</v>
          </cell>
          <cell r="E14" t="str">
            <v>Pneumatic Cylinder</v>
          </cell>
          <cell r="F14" t="str">
            <v>포스코</v>
          </cell>
          <cell r="G14" t="str">
            <v>CWC(DA),CC,63Dx20Dx110ST,10kgf/cm2,[CDA2C63-110Z-A93L/SMC],FOR 2ZRM WR CHANGE CAR NEW ROLL STORAGE STOPPER,OR EQUIVALENT</v>
          </cell>
          <cell r="H14" t="str">
            <v>1</v>
          </cell>
          <cell r="I14" t="str">
            <v>SET</v>
          </cell>
          <cell r="J14" t="str">
            <v>L</v>
          </cell>
          <cell r="K14" t="str">
            <v>박용봉</v>
          </cell>
          <cell r="N14" t="str">
            <v xml:space="preserve">https://www.smckorea.co.kr/ppis/data/catalog/CA2-Z.pdf </v>
          </cell>
          <cell r="Q14" t="str">
            <v>Used Goods</v>
          </cell>
          <cell r="S14" t="str">
            <v>Green Purchase</v>
          </cell>
          <cell r="T14" t="str">
            <v>NONE</v>
          </cell>
          <cell r="U14" t="str">
            <v>Safety Management</v>
          </cell>
          <cell r="W14" t="str">
            <v>Posco Patent</v>
          </cell>
          <cell r="Y14" t="str">
            <v>Or Equivalent</v>
          </cell>
          <cell r="Z14" t="str">
            <v>OR EQUIVALENT</v>
          </cell>
          <cell r="AA14" t="str">
            <v>Cylinder Type</v>
          </cell>
          <cell r="AB14" t="str">
            <v>CWC(DA)</v>
          </cell>
          <cell r="AC14" t="str">
            <v>Mounting Type</v>
          </cell>
          <cell r="AD14" t="str">
            <v>CC</v>
          </cell>
          <cell r="AE14" t="str">
            <v>Bore Size</v>
          </cell>
          <cell r="AF14" t="str">
            <v>63</v>
          </cell>
          <cell r="AG14" t="str">
            <v>Rod Diameter</v>
          </cell>
          <cell r="AH14" t="str">
            <v>20</v>
          </cell>
          <cell r="AI14" t="str">
            <v>Stroke Length</v>
          </cell>
          <cell r="AJ14" t="str">
            <v>110</v>
          </cell>
          <cell r="AK14" t="str">
            <v>Pressure Rating</v>
          </cell>
          <cell r="AL14" t="str">
            <v>10</v>
          </cell>
          <cell r="AM14" t="str">
            <v>Model-1</v>
          </cell>
          <cell r="AN14" t="str">
            <v>CDA2C63-110Z-A93L</v>
          </cell>
          <cell r="AO14" t="str">
            <v>Maker Name-1</v>
          </cell>
          <cell r="AP14" t="str">
            <v>SMC</v>
          </cell>
          <cell r="AQ14" t="str">
            <v>Option-1</v>
          </cell>
          <cell r="AS14" t="str">
            <v>Model-2</v>
          </cell>
          <cell r="AU14" t="str">
            <v>Maker Name-2</v>
          </cell>
          <cell r="AV14" t="str">
            <v>NONE</v>
          </cell>
          <cell r="AW14" t="str">
            <v>Option-2</v>
          </cell>
          <cell r="AY14" t="str">
            <v>Model-3</v>
          </cell>
          <cell r="BA14" t="str">
            <v>Maker Name-3</v>
          </cell>
          <cell r="BC14" t="str">
            <v>Option-3</v>
          </cell>
          <cell r="BE14" t="str">
            <v>Option &amp; Others</v>
          </cell>
          <cell r="BG14" t="str">
            <v>Application</v>
          </cell>
          <cell r="BH14" t="str">
            <v>FOR 2ZRM WR CHANGE CAR NEW ROLL STORAGE STOPPER</v>
          </cell>
        </row>
        <row r="15">
          <cell r="A15" t="str">
            <v>Q4532777</v>
          </cell>
          <cell r="B15" t="str">
            <v>ACTIVE</v>
          </cell>
          <cell r="C15" t="str">
            <v>특정사양품(단수)</v>
          </cell>
          <cell r="D15" t="str">
            <v>Q4532777</v>
          </cell>
          <cell r="E15" t="str">
            <v>Pneumatic Cylinder</v>
          </cell>
          <cell r="F15" t="str">
            <v>포스코</v>
          </cell>
          <cell r="G15" t="str">
            <v>CWC(DA),40Dx350ST,[CDA2G40-350Z-W-A93L/SMC],1CC BILLET MARKING MACHINE,OR EQUIVALENT</v>
          </cell>
          <cell r="H15" t="str">
            <v>1</v>
          </cell>
          <cell r="I15" t="str">
            <v>SET</v>
          </cell>
          <cell r="J15" t="str">
            <v>L</v>
          </cell>
          <cell r="K15" t="str">
            <v>김재석</v>
          </cell>
          <cell r="N15" t="str">
            <v>https://kr.c.misumi-ec.com/book/SMC1_37/digitalcatalog.html?page_num=A-470</v>
          </cell>
          <cell r="Q15" t="str">
            <v>Used Goods</v>
          </cell>
          <cell r="S15" t="str">
            <v>Green Purchase</v>
          </cell>
          <cell r="T15" t="str">
            <v>NONE</v>
          </cell>
          <cell r="U15" t="str">
            <v>Safety Management</v>
          </cell>
          <cell r="W15" t="str">
            <v>Posco Patent</v>
          </cell>
          <cell r="Y15" t="str">
            <v>Or Equivalent</v>
          </cell>
          <cell r="Z15" t="str">
            <v>OR EQUIVALENT</v>
          </cell>
          <cell r="AA15" t="str">
            <v>Cylinder Type</v>
          </cell>
          <cell r="AB15" t="str">
            <v>CWC(DA)</v>
          </cell>
          <cell r="AC15" t="str">
            <v>Mounting Type</v>
          </cell>
          <cell r="AD15" t="str">
            <v>OTHERS</v>
          </cell>
          <cell r="AE15" t="str">
            <v>Bore Size</v>
          </cell>
          <cell r="AF15" t="str">
            <v>40</v>
          </cell>
          <cell r="AG15" t="str">
            <v>Rod Diameter</v>
          </cell>
          <cell r="AH15" t="str">
            <v>9999</v>
          </cell>
          <cell r="AI15" t="str">
            <v>Stroke Length</v>
          </cell>
          <cell r="AJ15" t="str">
            <v>350</v>
          </cell>
          <cell r="AK15" t="str">
            <v>Pressure Rating</v>
          </cell>
          <cell r="AM15" t="str">
            <v>Model-1</v>
          </cell>
          <cell r="AN15" t="str">
            <v>CDA2G40-350Z-W-A93L</v>
          </cell>
          <cell r="AO15" t="str">
            <v>Maker Name-1</v>
          </cell>
          <cell r="AP15" t="str">
            <v>SMC</v>
          </cell>
          <cell r="AQ15" t="str">
            <v>Option-1</v>
          </cell>
          <cell r="AS15" t="str">
            <v>Model-2</v>
          </cell>
          <cell r="AU15" t="str">
            <v>Maker Name-2</v>
          </cell>
          <cell r="AV15" t="str">
            <v>NONE</v>
          </cell>
          <cell r="AW15" t="str">
            <v>Option-2</v>
          </cell>
          <cell r="AY15" t="str">
            <v>Model-3</v>
          </cell>
          <cell r="BA15" t="str">
            <v>Maker Name-3</v>
          </cell>
          <cell r="BC15" t="str">
            <v>Option-3</v>
          </cell>
          <cell r="BE15" t="str">
            <v>Option &amp; Others</v>
          </cell>
          <cell r="BG15" t="str">
            <v>Application</v>
          </cell>
          <cell r="BH15" t="str">
            <v xml:space="preserve">1CC BILLET MARKING MACHINE </v>
          </cell>
        </row>
        <row r="16">
          <cell r="A16" t="str">
            <v>Q4533799</v>
          </cell>
          <cell r="B16" t="str">
            <v>ACTIVE</v>
          </cell>
          <cell r="C16" t="str">
            <v>특정사양품(단수)</v>
          </cell>
          <cell r="D16" t="str">
            <v>Q4533799</v>
          </cell>
          <cell r="E16" t="str">
            <v>Pneumatic Cylinder</v>
          </cell>
          <cell r="F16" t="str">
            <v>포스코</v>
          </cell>
          <cell r="G16" t="str">
            <v>CWC(DA),40Dx200ST,[CDG1TA40-200Z-H7BWL3/SMC],OR EQUIVALENT</v>
          </cell>
          <cell r="H16" t="str">
            <v>2</v>
          </cell>
          <cell r="I16" t="str">
            <v>SET</v>
          </cell>
          <cell r="K16" t="str">
            <v>김재석</v>
          </cell>
          <cell r="N16" t="str">
            <v>https://www.smckorea.co.kr/ppis/data/catalog/CG1-Z.pdf</v>
          </cell>
          <cell r="Q16" t="str">
            <v>Used Goods</v>
          </cell>
          <cell r="S16" t="str">
            <v>Green Purchase</v>
          </cell>
          <cell r="T16" t="str">
            <v>NONE</v>
          </cell>
          <cell r="U16" t="str">
            <v>Safety Management</v>
          </cell>
          <cell r="W16" t="str">
            <v>Posco Patent</v>
          </cell>
          <cell r="Y16" t="str">
            <v>Or Equivalent</v>
          </cell>
          <cell r="Z16" t="str">
            <v>OR EQUIVALENT</v>
          </cell>
          <cell r="AA16" t="str">
            <v>Cylinder Type</v>
          </cell>
          <cell r="AB16" t="str">
            <v>CWC(DA)</v>
          </cell>
          <cell r="AC16" t="str">
            <v>Mounting Type</v>
          </cell>
          <cell r="AD16" t="str">
            <v>OTHERS</v>
          </cell>
          <cell r="AE16" t="str">
            <v>Bore Size</v>
          </cell>
          <cell r="AF16" t="str">
            <v>40</v>
          </cell>
          <cell r="AG16" t="str">
            <v>Rod Diameter</v>
          </cell>
          <cell r="AH16" t="str">
            <v>9999</v>
          </cell>
          <cell r="AI16" t="str">
            <v>Stroke Length</v>
          </cell>
          <cell r="AJ16" t="str">
            <v>200</v>
          </cell>
          <cell r="AK16" t="str">
            <v>Pressure Rating</v>
          </cell>
          <cell r="AM16" t="str">
            <v>Model-1</v>
          </cell>
          <cell r="AN16" t="str">
            <v>CDG1TA40-200Z-H7BWL3</v>
          </cell>
          <cell r="AO16" t="str">
            <v>Maker Name-1</v>
          </cell>
          <cell r="AP16" t="str">
            <v>SMC</v>
          </cell>
          <cell r="AQ16" t="str">
            <v>Option-1</v>
          </cell>
          <cell r="AS16" t="str">
            <v>Model-2</v>
          </cell>
          <cell r="AU16" t="str">
            <v>Maker Name-2</v>
          </cell>
          <cell r="AV16" t="str">
            <v>NONE</v>
          </cell>
          <cell r="AW16" t="str">
            <v>Option-2</v>
          </cell>
          <cell r="AY16" t="str">
            <v>Model-3</v>
          </cell>
          <cell r="BA16" t="str">
            <v>Maker Name-3</v>
          </cell>
          <cell r="BC16" t="str">
            <v>Option-3</v>
          </cell>
          <cell r="BE16" t="str">
            <v>Option &amp; Others</v>
          </cell>
          <cell r="BG16" t="str">
            <v>Application</v>
          </cell>
        </row>
        <row r="17">
          <cell r="A17" t="str">
            <v>Q4542398</v>
          </cell>
          <cell r="B17" t="str">
            <v>ACTIVE</v>
          </cell>
          <cell r="C17" t="str">
            <v>특정사양품(단수)</v>
          </cell>
          <cell r="D17" t="str">
            <v>Q4542398</v>
          </cell>
          <cell r="E17" t="str">
            <v>Pneumatic Cylinder</v>
          </cell>
          <cell r="F17" t="str">
            <v>포스코</v>
          </cell>
          <cell r="G17" t="str">
            <v>CWC(DA),FA,160Dx40Dx550ST,10kgf/cm2,[CS1FN160-550-CJZD0231/SMC],FOR 3SMP RH ALLOYING,OR EQUIVALENT</v>
          </cell>
          <cell r="H17" t="str">
            <v>1</v>
          </cell>
          <cell r="I17" t="str">
            <v>SET</v>
          </cell>
          <cell r="J17" t="str">
            <v>L</v>
          </cell>
          <cell r="K17" t="str">
            <v>김종훈</v>
          </cell>
          <cell r="N17" t="str">
            <v>https://www.smckorea.co.kr/ppis/data/domyun/CJZD0231-AP.pdf</v>
          </cell>
          <cell r="Q17" t="str">
            <v>Used Goods</v>
          </cell>
          <cell r="S17" t="str">
            <v>Green Purchase</v>
          </cell>
          <cell r="T17" t="str">
            <v>NONE</v>
          </cell>
          <cell r="U17" t="str">
            <v>Safety Management</v>
          </cell>
          <cell r="W17" t="str">
            <v>Posco Patent</v>
          </cell>
          <cell r="Y17" t="str">
            <v>Or Equivalent</v>
          </cell>
          <cell r="Z17" t="str">
            <v>OR EQUIVALENT</v>
          </cell>
          <cell r="AA17" t="str">
            <v>Cylinder Type</v>
          </cell>
          <cell r="AB17" t="str">
            <v>CWC(DA)</v>
          </cell>
          <cell r="AC17" t="str">
            <v>Mounting Type</v>
          </cell>
          <cell r="AD17" t="str">
            <v>FA</v>
          </cell>
          <cell r="AE17" t="str">
            <v>Bore Size</v>
          </cell>
          <cell r="AF17" t="str">
            <v>160</v>
          </cell>
          <cell r="AG17" t="str">
            <v>Rod Diameter</v>
          </cell>
          <cell r="AH17" t="str">
            <v>40</v>
          </cell>
          <cell r="AI17" t="str">
            <v>Stroke Length</v>
          </cell>
          <cell r="AJ17" t="str">
            <v>550</v>
          </cell>
          <cell r="AK17" t="str">
            <v>Pressure Rating</v>
          </cell>
          <cell r="AL17" t="str">
            <v>10</v>
          </cell>
          <cell r="AM17" t="str">
            <v>Model-1</v>
          </cell>
          <cell r="AN17" t="str">
            <v>CS1FN160-550-CJZD0231</v>
          </cell>
          <cell r="AO17" t="str">
            <v>Maker Name-1</v>
          </cell>
          <cell r="AP17" t="str">
            <v>SMC</v>
          </cell>
          <cell r="AQ17" t="str">
            <v>Option-1</v>
          </cell>
          <cell r="AS17" t="str">
            <v>Model-2</v>
          </cell>
          <cell r="AU17" t="str">
            <v>Maker Name-2</v>
          </cell>
          <cell r="AV17" t="str">
            <v>NONE</v>
          </cell>
          <cell r="AW17" t="str">
            <v>Option-2</v>
          </cell>
          <cell r="AY17" t="str">
            <v>Model-3</v>
          </cell>
          <cell r="BA17" t="str">
            <v>Maker Name-3</v>
          </cell>
          <cell r="BC17" t="str">
            <v>Option-3</v>
          </cell>
          <cell r="BE17" t="str">
            <v>Option &amp; Others</v>
          </cell>
          <cell r="BG17" t="str">
            <v>Application</v>
          </cell>
          <cell r="BH17" t="str">
            <v>FOR 3SMP RH ALLOYING</v>
          </cell>
        </row>
        <row r="18">
          <cell r="A18" t="str">
            <v>Q4459460</v>
          </cell>
          <cell r="B18" t="str">
            <v>ACTIVE</v>
          </cell>
          <cell r="C18" t="str">
            <v>특정사양품(단수)</v>
          </cell>
          <cell r="D18" t="str">
            <v>Q4459460</v>
          </cell>
          <cell r="E18" t="str">
            <v>Pneumatic Cylinder</v>
          </cell>
          <cell r="F18" t="str">
            <v>포스코</v>
          </cell>
          <cell r="G18" t="str">
            <v>CWC(DA),FA,200Dx50Dx125ST,[CS1FN200-KRT04JO-125-XC6/SMC],FOR K1CGL WATER QUENCH,OR EQUIVALENT</v>
          </cell>
          <cell r="H18" t="str">
            <v>2</v>
          </cell>
          <cell r="I18" t="str">
            <v>EA</v>
          </cell>
          <cell r="K18" t="str">
            <v>박광웅</v>
          </cell>
          <cell r="N18" t="str">
            <v>http://www.smckorea.co.kr/ppis/data/catalog/CS1.pdf</v>
          </cell>
          <cell r="Q18" t="str">
            <v>Used Goods</v>
          </cell>
          <cell r="S18" t="str">
            <v>Green Purchase</v>
          </cell>
          <cell r="T18" t="str">
            <v>NONE</v>
          </cell>
          <cell r="U18" t="str">
            <v>Safety Management</v>
          </cell>
          <cell r="V18" t="str">
            <v>NONE</v>
          </cell>
          <cell r="W18" t="str">
            <v>Posco Patent</v>
          </cell>
          <cell r="Y18" t="str">
            <v>Or Equivalent</v>
          </cell>
          <cell r="Z18" t="str">
            <v>OR EQUIVALENT</v>
          </cell>
          <cell r="AA18" t="str">
            <v>Cylinder Type</v>
          </cell>
          <cell r="AB18" t="str">
            <v>CWC(DA)</v>
          </cell>
          <cell r="AC18" t="str">
            <v>Mounting Type</v>
          </cell>
          <cell r="AD18" t="str">
            <v>FA</v>
          </cell>
          <cell r="AE18" t="str">
            <v>Bore Size</v>
          </cell>
          <cell r="AF18" t="str">
            <v>200</v>
          </cell>
          <cell r="AG18" t="str">
            <v>Rod Diameter</v>
          </cell>
          <cell r="AH18" t="str">
            <v>50</v>
          </cell>
          <cell r="AI18" t="str">
            <v>Stroke Length</v>
          </cell>
          <cell r="AJ18" t="str">
            <v>125</v>
          </cell>
          <cell r="AK18" t="str">
            <v>Pressure Rating</v>
          </cell>
          <cell r="AM18" t="str">
            <v>Model-1</v>
          </cell>
          <cell r="AN18" t="str">
            <v>CS1FN200-KRT04JO-125-XC6</v>
          </cell>
          <cell r="AO18" t="str">
            <v>Maker Name-1</v>
          </cell>
          <cell r="AP18" t="str">
            <v>SMC</v>
          </cell>
          <cell r="AQ18" t="str">
            <v>Option-1</v>
          </cell>
          <cell r="AS18" t="str">
            <v>Model-2</v>
          </cell>
          <cell r="AU18" t="str">
            <v>Maker Name-2</v>
          </cell>
          <cell r="AV18" t="str">
            <v>NONE</v>
          </cell>
          <cell r="AW18" t="str">
            <v>Option-2</v>
          </cell>
          <cell r="AY18" t="str">
            <v>Model-3</v>
          </cell>
          <cell r="BA18" t="str">
            <v>Maker Name-3</v>
          </cell>
          <cell r="BC18" t="str">
            <v>Option-3</v>
          </cell>
          <cell r="BE18" t="str">
            <v>Option &amp; Others</v>
          </cell>
          <cell r="BG18" t="str">
            <v>Application</v>
          </cell>
          <cell r="BH18" t="str">
            <v>FOR K1CGL WATER QUENCH</v>
          </cell>
        </row>
        <row r="19">
          <cell r="A19" t="str">
            <v>Q4501288</v>
          </cell>
          <cell r="B19" t="str">
            <v>ACTIVE</v>
          </cell>
          <cell r="C19" t="str">
            <v>특정사양품(단수)</v>
          </cell>
          <cell r="D19" t="str">
            <v>Q4501288</v>
          </cell>
          <cell r="E19" t="str">
            <v>Pneumatic Cylinder</v>
          </cell>
          <cell r="F19" t="str">
            <v>포스코</v>
          </cell>
          <cell r="G19" t="str">
            <v>CWC(DA),160Dx100ST,[CS1CN160-100-CJAD0046/SMC],FOR 1CGL #5,#6,#7 TENSION BRIDLE SNUBBER ROLL,OR EQUIVALENT</v>
          </cell>
          <cell r="H19" t="str">
            <v>2</v>
          </cell>
          <cell r="I19" t="str">
            <v>EA</v>
          </cell>
          <cell r="K19" t="str">
            <v>박광웅</v>
          </cell>
          <cell r="N19" t="str">
            <v>http://www.smcpneumatics.com/pdfs/smc/70ACS1.pdf</v>
          </cell>
          <cell r="Q19" t="str">
            <v>Used Goods</v>
          </cell>
          <cell r="S19" t="str">
            <v>Green Purchase</v>
          </cell>
          <cell r="T19" t="str">
            <v>NONE</v>
          </cell>
          <cell r="U19" t="str">
            <v>Safety Management</v>
          </cell>
          <cell r="V19" t="str">
            <v>NONE</v>
          </cell>
          <cell r="W19" t="str">
            <v>Posco Patent</v>
          </cell>
          <cell r="Y19" t="str">
            <v>Or Equivalent</v>
          </cell>
          <cell r="Z19" t="str">
            <v>OR EQUIVALENT</v>
          </cell>
          <cell r="AA19" t="str">
            <v>Cylinder Type</v>
          </cell>
          <cell r="AB19" t="str">
            <v>CWC(DA)</v>
          </cell>
          <cell r="AC19" t="str">
            <v>Mounting Type</v>
          </cell>
          <cell r="AD19" t="str">
            <v>OTHERS</v>
          </cell>
          <cell r="AE19" t="str">
            <v>Bore Size</v>
          </cell>
          <cell r="AF19" t="str">
            <v>160</v>
          </cell>
          <cell r="AG19" t="str">
            <v>Rod Diameter</v>
          </cell>
          <cell r="AH19" t="str">
            <v>9999</v>
          </cell>
          <cell r="AI19" t="str">
            <v>Stroke Length</v>
          </cell>
          <cell r="AJ19" t="str">
            <v>100</v>
          </cell>
          <cell r="AK19" t="str">
            <v>Pressure Rating</v>
          </cell>
          <cell r="AM19" t="str">
            <v>Model-1</v>
          </cell>
          <cell r="AN19" t="str">
            <v>CS1CN160-100-CJAD0046</v>
          </cell>
          <cell r="AO19" t="str">
            <v>Maker Name-1</v>
          </cell>
          <cell r="AP19" t="str">
            <v>SMC</v>
          </cell>
          <cell r="AQ19" t="str">
            <v>Option-1</v>
          </cell>
          <cell r="AS19" t="str">
            <v>Model-2</v>
          </cell>
          <cell r="AU19" t="str">
            <v>Maker Name-2</v>
          </cell>
          <cell r="AV19" t="str">
            <v>NONE</v>
          </cell>
          <cell r="AW19" t="str">
            <v>Option-2</v>
          </cell>
          <cell r="AY19" t="str">
            <v>Model-3</v>
          </cell>
          <cell r="BA19" t="str">
            <v>Maker Name-3</v>
          </cell>
          <cell r="BC19" t="str">
            <v>Option-3</v>
          </cell>
          <cell r="BE19" t="str">
            <v>Option &amp; Others</v>
          </cell>
          <cell r="BG19" t="str">
            <v>Application</v>
          </cell>
          <cell r="BH19" t="str">
            <v xml:space="preserve">FOR 1CGL #5,#6,#7 TENSION BRIDLE SNUBBER ROLL </v>
          </cell>
        </row>
        <row r="20">
          <cell r="A20" t="str">
            <v>Q4549165</v>
          </cell>
          <cell r="B20" t="str">
            <v>ACTIVE</v>
          </cell>
          <cell r="C20" t="str">
            <v>특정사양품(단수)</v>
          </cell>
          <cell r="D20" t="str">
            <v>Q4549165</v>
          </cell>
          <cell r="E20" t="str">
            <v>Pneumatic Cylinder</v>
          </cell>
          <cell r="F20" t="str">
            <v>포스코</v>
          </cell>
          <cell r="G20" t="str">
            <v>CWC(DA),TC,80Dx25Dx125ST,10kgf/cm2,[ACM-N-TC80-S125-J/KCC],FOR CGL SHOT BLAST DUST COLLECTOR DOUBLE DAMPER PNEUMATIC CYLINDER,OR EQUIVALENT</v>
          </cell>
          <cell r="H20" t="str">
            <v>1</v>
          </cell>
          <cell r="I20" t="str">
            <v>EA</v>
          </cell>
          <cell r="J20" t="str">
            <v>L</v>
          </cell>
          <cell r="K20" t="str">
            <v>권인순</v>
          </cell>
          <cell r="N20" t="str">
            <v>https://www.kccpr.com/bbs/search.php?url=https%3A%2F%2Fwww.kccpr.com%2Fbbs%2Fsearch.php&amp;stx=ACM</v>
          </cell>
          <cell r="Q20" t="str">
            <v>Used Goods</v>
          </cell>
          <cell r="S20" t="str">
            <v>Green Purchase</v>
          </cell>
          <cell r="T20" t="str">
            <v>NONE</v>
          </cell>
          <cell r="U20" t="str">
            <v>Safety Management</v>
          </cell>
          <cell r="W20" t="str">
            <v>Posco Patent</v>
          </cell>
          <cell r="Y20" t="str">
            <v>Or Equivalent</v>
          </cell>
          <cell r="Z20" t="str">
            <v>OR EQUIVALENT</v>
          </cell>
          <cell r="AA20" t="str">
            <v>Cylinder Type</v>
          </cell>
          <cell r="AB20" t="str">
            <v>CWC(DA)</v>
          </cell>
          <cell r="AC20" t="str">
            <v>Mounting Type</v>
          </cell>
          <cell r="AD20" t="str">
            <v>TC</v>
          </cell>
          <cell r="AE20" t="str">
            <v>Bore Size</v>
          </cell>
          <cell r="AF20" t="str">
            <v>80</v>
          </cell>
          <cell r="AG20" t="str">
            <v>Rod Diameter</v>
          </cell>
          <cell r="AH20" t="str">
            <v>25</v>
          </cell>
          <cell r="AI20" t="str">
            <v>Stroke Length</v>
          </cell>
          <cell r="AJ20" t="str">
            <v>125</v>
          </cell>
          <cell r="AK20" t="str">
            <v>Pressure Rating</v>
          </cell>
          <cell r="AL20" t="str">
            <v>10</v>
          </cell>
          <cell r="AM20" t="str">
            <v>Model-1</v>
          </cell>
          <cell r="AN20" t="str">
            <v>ACM-N-TC80-S125-J</v>
          </cell>
          <cell r="AO20" t="str">
            <v>Maker Name-1</v>
          </cell>
          <cell r="AP20" t="str">
            <v>KCC</v>
          </cell>
          <cell r="AQ20" t="str">
            <v>Option-1</v>
          </cell>
          <cell r="AS20" t="str">
            <v>Model-2</v>
          </cell>
          <cell r="AU20" t="str">
            <v>Maker Name-2</v>
          </cell>
          <cell r="AV20" t="str">
            <v>NONE</v>
          </cell>
          <cell r="AW20" t="str">
            <v>Option-2</v>
          </cell>
          <cell r="AY20" t="str">
            <v>Model-3</v>
          </cell>
          <cell r="BA20" t="str">
            <v>Maker Name-3</v>
          </cell>
          <cell r="BC20" t="str">
            <v>Option-3</v>
          </cell>
          <cell r="BE20" t="str">
            <v>Option &amp; Others</v>
          </cell>
          <cell r="BG20" t="str">
            <v>Application</v>
          </cell>
          <cell r="BH20" t="str">
            <v>FOR CGL SHOT BLAST DUST COLLECTOR DOUBLE DAMPER PNEUMATIC CYLINDER</v>
          </cell>
        </row>
        <row r="21">
          <cell r="A21" t="str">
            <v>Q4550786</v>
          </cell>
          <cell r="B21" t="str">
            <v>ACTIVE</v>
          </cell>
          <cell r="C21" t="str">
            <v>특정사양품(단수)</v>
          </cell>
          <cell r="D21" t="str">
            <v>Q4550786</v>
          </cell>
          <cell r="E21" t="str">
            <v>Pneumatic Cylinder</v>
          </cell>
          <cell r="F21" t="str">
            <v>포스코</v>
          </cell>
          <cell r="G21" t="str">
            <v>FA,50Dx20Dx425ST,10kgf/cm2,[ACM-N-FA50-S425/KCC],OR EQUIVALENT</v>
          </cell>
          <cell r="H21" t="str">
            <v>1</v>
          </cell>
          <cell r="I21" t="str">
            <v>SET</v>
          </cell>
          <cell r="J21" t="str">
            <v>L</v>
          </cell>
          <cell r="K21" t="str">
            <v>이규연</v>
          </cell>
          <cell r="N21" t="str">
            <v>https://www.kccpr.com/bbs/search.php?url=https%3A%2F%2Fwww.kccpr.com%2Fbbs%2Fsearch.php&amp;stx=ACM</v>
          </cell>
          <cell r="Q21" t="str">
            <v>Used Goods</v>
          </cell>
          <cell r="S21" t="str">
            <v>Green Purchase</v>
          </cell>
          <cell r="T21" t="str">
            <v>NONE</v>
          </cell>
          <cell r="U21" t="str">
            <v>Safety Management</v>
          </cell>
          <cell r="W21" t="str">
            <v>Posco Patent</v>
          </cell>
          <cell r="Y21" t="str">
            <v>Or Equivalent</v>
          </cell>
          <cell r="Z21" t="str">
            <v>OR EQUIVALENT</v>
          </cell>
          <cell r="AA21" t="str">
            <v>Cylinder Type</v>
          </cell>
          <cell r="AB21" t="str">
            <v>OTHERS</v>
          </cell>
          <cell r="AC21" t="str">
            <v>Mounting Type</v>
          </cell>
          <cell r="AD21" t="str">
            <v>FA</v>
          </cell>
          <cell r="AE21" t="str">
            <v>Bore Size</v>
          </cell>
          <cell r="AF21" t="str">
            <v>50</v>
          </cell>
          <cell r="AG21" t="str">
            <v>Rod Diameter</v>
          </cell>
          <cell r="AH21" t="str">
            <v>20</v>
          </cell>
          <cell r="AI21" t="str">
            <v>Stroke Length</v>
          </cell>
          <cell r="AJ21" t="str">
            <v>425</v>
          </cell>
          <cell r="AK21" t="str">
            <v>Pressure Rating</v>
          </cell>
          <cell r="AL21" t="str">
            <v>10</v>
          </cell>
          <cell r="AM21" t="str">
            <v>Model-1</v>
          </cell>
          <cell r="AN21" t="str">
            <v>ACM-N-FA50-S425</v>
          </cell>
          <cell r="AO21" t="str">
            <v>Maker Name-1</v>
          </cell>
          <cell r="AP21" t="str">
            <v>KCC</v>
          </cell>
          <cell r="AQ21" t="str">
            <v>Option-1</v>
          </cell>
          <cell r="AS21" t="str">
            <v>Model-2</v>
          </cell>
          <cell r="AU21" t="str">
            <v>Maker Name-2</v>
          </cell>
          <cell r="AV21" t="str">
            <v>NONE</v>
          </cell>
          <cell r="AW21" t="str">
            <v>Option-2</v>
          </cell>
          <cell r="AY21" t="str">
            <v>Model-3</v>
          </cell>
          <cell r="BA21" t="str">
            <v>Maker Name-3</v>
          </cell>
          <cell r="BC21" t="str">
            <v>Option-3</v>
          </cell>
          <cell r="BE21" t="str">
            <v>Option &amp; Others</v>
          </cell>
          <cell r="BG21" t="str">
            <v>Application</v>
          </cell>
        </row>
        <row r="22">
          <cell r="A22" t="str">
            <v>Q4550787</v>
          </cell>
          <cell r="B22" t="str">
            <v>ACTIVE</v>
          </cell>
          <cell r="C22" t="str">
            <v>특정사양품(단수)</v>
          </cell>
          <cell r="D22" t="str">
            <v>Q4550787</v>
          </cell>
          <cell r="E22" t="str">
            <v>Pneumatic Cylinder</v>
          </cell>
          <cell r="F22" t="str">
            <v>포스코</v>
          </cell>
          <cell r="G22" t="str">
            <v>CWC(DA),LB,50Dx20Dx30ST,[SDG1LN50-S8630-30/SMC],OR EQUIVALENT</v>
          </cell>
          <cell r="H22" t="str">
            <v>1</v>
          </cell>
          <cell r="I22" t="str">
            <v>SET</v>
          </cell>
          <cell r="J22" t="str">
            <v>L</v>
          </cell>
          <cell r="K22" t="str">
            <v>이규연</v>
          </cell>
          <cell r="N22" t="str">
            <v>https://www.smckorea.co.kr/ppis/data/catalog/CG1-Z.pdf</v>
          </cell>
          <cell r="Q22" t="str">
            <v>Used Goods</v>
          </cell>
          <cell r="S22" t="str">
            <v>Green Purchase</v>
          </cell>
          <cell r="T22" t="str">
            <v>NONE</v>
          </cell>
          <cell r="U22" t="str">
            <v>Safety Management</v>
          </cell>
          <cell r="W22" t="str">
            <v>Posco Patent</v>
          </cell>
          <cell r="Y22" t="str">
            <v>Or Equivalent</v>
          </cell>
          <cell r="Z22" t="str">
            <v>OR EQUIVALENT</v>
          </cell>
          <cell r="AA22" t="str">
            <v>Cylinder Type</v>
          </cell>
          <cell r="AB22" t="str">
            <v>CWC(DA)</v>
          </cell>
          <cell r="AC22" t="str">
            <v>Mounting Type</v>
          </cell>
          <cell r="AD22" t="str">
            <v>LB</v>
          </cell>
          <cell r="AE22" t="str">
            <v>Bore Size</v>
          </cell>
          <cell r="AF22" t="str">
            <v>50</v>
          </cell>
          <cell r="AG22" t="str">
            <v>Rod Diameter</v>
          </cell>
          <cell r="AH22" t="str">
            <v>20</v>
          </cell>
          <cell r="AI22" t="str">
            <v>Stroke Length</v>
          </cell>
          <cell r="AJ22" t="str">
            <v>30</v>
          </cell>
          <cell r="AK22" t="str">
            <v>Pressure Rating</v>
          </cell>
          <cell r="AM22" t="str">
            <v>Model-1</v>
          </cell>
          <cell r="AN22" t="str">
            <v>SDG1LN50-S8630-30</v>
          </cell>
          <cell r="AO22" t="str">
            <v>Maker Name-1</v>
          </cell>
          <cell r="AP22" t="str">
            <v>SMC</v>
          </cell>
          <cell r="AQ22" t="str">
            <v>Option-1</v>
          </cell>
          <cell r="AS22" t="str">
            <v>Model-2</v>
          </cell>
          <cell r="AU22" t="str">
            <v>Maker Name-2</v>
          </cell>
          <cell r="AV22" t="str">
            <v>NONE</v>
          </cell>
          <cell r="AW22" t="str">
            <v>Option-2</v>
          </cell>
          <cell r="AY22" t="str">
            <v>Model-3</v>
          </cell>
          <cell r="BA22" t="str">
            <v>Maker Name-3</v>
          </cell>
          <cell r="BC22" t="str">
            <v>Option-3</v>
          </cell>
          <cell r="BE22" t="str">
            <v>Option &amp; Others</v>
          </cell>
          <cell r="BG22" t="str">
            <v>Application</v>
          </cell>
        </row>
        <row r="23">
          <cell r="A23" t="str">
            <v>Q4550788</v>
          </cell>
          <cell r="B23" t="str">
            <v>ACTIVE</v>
          </cell>
          <cell r="C23" t="str">
            <v>특정사양품(단수)</v>
          </cell>
          <cell r="D23" t="str">
            <v>Q4550788</v>
          </cell>
          <cell r="E23" t="str">
            <v>Pneumatic Cylinder</v>
          </cell>
          <cell r="F23" t="str">
            <v>포스코</v>
          </cell>
          <cell r="G23" t="str">
            <v>CWC(DA),TC,40Dx16Dx575ST,[CDA2T40-575Z/SMC],OR EQUIVALENT</v>
          </cell>
          <cell r="H23" t="str">
            <v>1</v>
          </cell>
          <cell r="I23" t="str">
            <v>SET</v>
          </cell>
          <cell r="J23" t="str">
            <v>L</v>
          </cell>
          <cell r="K23" t="str">
            <v>이규연</v>
          </cell>
          <cell r="N23" t="str">
            <v>https://www.smckorea.co.kr/esales/data/sangpum/catalog/CA2.pdf</v>
          </cell>
          <cell r="Q23" t="str">
            <v>Used Goods</v>
          </cell>
          <cell r="S23" t="str">
            <v>Green Purchase</v>
          </cell>
          <cell r="T23" t="str">
            <v>NONE</v>
          </cell>
          <cell r="U23" t="str">
            <v>Safety Management</v>
          </cell>
          <cell r="W23" t="str">
            <v>Posco Patent</v>
          </cell>
          <cell r="Y23" t="str">
            <v>Or Equivalent</v>
          </cell>
          <cell r="Z23" t="str">
            <v>OR EQUIVALENT</v>
          </cell>
          <cell r="AA23" t="str">
            <v>Cylinder Type</v>
          </cell>
          <cell r="AB23" t="str">
            <v>CWC(DA)</v>
          </cell>
          <cell r="AC23" t="str">
            <v>Mounting Type</v>
          </cell>
          <cell r="AD23" t="str">
            <v>TC</v>
          </cell>
          <cell r="AE23" t="str">
            <v>Bore Size</v>
          </cell>
          <cell r="AF23" t="str">
            <v>40</v>
          </cell>
          <cell r="AG23" t="str">
            <v>Rod Diameter</v>
          </cell>
          <cell r="AH23" t="str">
            <v>16</v>
          </cell>
          <cell r="AI23" t="str">
            <v>Stroke Length</v>
          </cell>
          <cell r="AJ23" t="str">
            <v>575</v>
          </cell>
          <cell r="AK23" t="str">
            <v>Pressure Rating</v>
          </cell>
          <cell r="AM23" t="str">
            <v>Model-1</v>
          </cell>
          <cell r="AN23" t="str">
            <v>CDA2T40-575Z</v>
          </cell>
          <cell r="AO23" t="str">
            <v>Maker Name-1</v>
          </cell>
          <cell r="AP23" t="str">
            <v>SMC</v>
          </cell>
          <cell r="AQ23" t="str">
            <v>Option-1</v>
          </cell>
          <cell r="AS23" t="str">
            <v>Model-2</v>
          </cell>
          <cell r="AU23" t="str">
            <v>Maker Name-2</v>
          </cell>
          <cell r="AV23" t="str">
            <v>NONE</v>
          </cell>
          <cell r="AW23" t="str">
            <v>Option-2</v>
          </cell>
          <cell r="AY23" t="str">
            <v>Model-3</v>
          </cell>
          <cell r="BA23" t="str">
            <v>Maker Name-3</v>
          </cell>
          <cell r="BC23" t="str">
            <v>Option-3</v>
          </cell>
          <cell r="BE23" t="str">
            <v>Option &amp; Others</v>
          </cell>
          <cell r="BG23" t="str">
            <v>Application</v>
          </cell>
        </row>
        <row r="24">
          <cell r="A24" t="str">
            <v>Q4284408</v>
          </cell>
          <cell r="B24" t="str">
            <v>ACTIVE</v>
          </cell>
          <cell r="C24" t="str">
            <v>특정사양품(단수)</v>
          </cell>
          <cell r="D24" t="str">
            <v>Q4284408</v>
          </cell>
          <cell r="E24" t="str">
            <v>Pneumatic Cylinder</v>
          </cell>
          <cell r="F24" t="str">
            <v>포스코</v>
          </cell>
          <cell r="G24" t="str">
            <v>CWC(DA),TE,32Dx12Dx30ST,10kgf/cm2,[DWG NO:CDM2HU32-30Z-A93L/SMC],AUTO S/W D-A93L,FOR 2CAL WELDER UPPER &amp; LOWER DRESS SWING</v>
          </cell>
          <cell r="H24" t="str">
            <v>3</v>
          </cell>
          <cell r="I24" t="str">
            <v>SET</v>
          </cell>
          <cell r="K24" t="str">
            <v>이현식</v>
          </cell>
          <cell r="N24" t="str">
            <v>http://www.smckorea.co.kr/posco/CDM2HU32-30-A93LS.tif</v>
          </cell>
          <cell r="Q24" t="str">
            <v>Used Goods</v>
          </cell>
          <cell r="S24" t="str">
            <v>Green Purchase</v>
          </cell>
          <cell r="T24" t="str">
            <v>NONE</v>
          </cell>
          <cell r="U24" t="str">
            <v>Safety Management</v>
          </cell>
          <cell r="V24" t="str">
            <v>NONE</v>
          </cell>
          <cell r="W24" t="str">
            <v>Posco Patent</v>
          </cell>
          <cell r="Y24" t="str">
            <v>Or Equivalent</v>
          </cell>
          <cell r="AA24" t="str">
            <v>Cylinder Type</v>
          </cell>
          <cell r="AB24" t="str">
            <v>CWC(DA)</v>
          </cell>
          <cell r="AC24" t="str">
            <v>Mounting Type</v>
          </cell>
          <cell r="AD24" t="str">
            <v>TE</v>
          </cell>
          <cell r="AE24" t="str">
            <v>Bore Size</v>
          </cell>
          <cell r="AF24" t="str">
            <v>32</v>
          </cell>
          <cell r="AG24" t="str">
            <v>Rod Diameter</v>
          </cell>
          <cell r="AH24" t="str">
            <v>12</v>
          </cell>
          <cell r="AI24" t="str">
            <v>Stroke Length</v>
          </cell>
          <cell r="AJ24" t="str">
            <v>30</v>
          </cell>
          <cell r="AK24" t="str">
            <v>Pressure Rating</v>
          </cell>
          <cell r="AL24" t="str">
            <v>10</v>
          </cell>
          <cell r="AM24" t="str">
            <v>Model-1</v>
          </cell>
          <cell r="AN24" t="str">
            <v>DWG NO:CDM2HU32-30Z-A93L</v>
          </cell>
          <cell r="AO24" t="str">
            <v>Maker Name-1</v>
          </cell>
          <cell r="AP24" t="str">
            <v>SMC</v>
          </cell>
          <cell r="AQ24" t="str">
            <v>Option-1</v>
          </cell>
          <cell r="AS24" t="str">
            <v>Model-2</v>
          </cell>
          <cell r="AU24" t="str">
            <v>Maker Name-2</v>
          </cell>
          <cell r="AV24" t="str">
            <v>NONE</v>
          </cell>
          <cell r="AW24" t="str">
            <v>Option-2</v>
          </cell>
          <cell r="AY24" t="str">
            <v>Model-3</v>
          </cell>
          <cell r="BA24" t="str">
            <v>Maker Name-3</v>
          </cell>
          <cell r="BC24" t="str">
            <v>Option-3</v>
          </cell>
          <cell r="BE24" t="str">
            <v>Option &amp; Others</v>
          </cell>
          <cell r="BF24" t="str">
            <v>AUTO S/W D-A93L</v>
          </cell>
          <cell r="BG24" t="str">
            <v>Application</v>
          </cell>
          <cell r="BH24" t="str">
            <v>FOR 2CAL WELDER UPPER &amp; LOWER DRESS SWING</v>
          </cell>
        </row>
        <row r="25">
          <cell r="A25" t="str">
            <v>Q4570987</v>
          </cell>
          <cell r="B25" t="str">
            <v>ACTIVE</v>
          </cell>
          <cell r="C25" t="str">
            <v>특정사양품(단수)</v>
          </cell>
          <cell r="D25" t="str">
            <v>Q4570987</v>
          </cell>
          <cell r="E25" t="str">
            <v>Pneumatic Cylinder</v>
          </cell>
          <cell r="F25" t="str">
            <v>포스코</v>
          </cell>
          <cell r="G25" t="str">
            <v>CWC(DA),LB,50Dx30Dx165ST,3.0kgf/cm2,[CDA2T50-KRT09TO-165Z-A54Z/SMC],FOR 4M/C AIR CYLINDER,OR EQUIVALENT</v>
          </cell>
          <cell r="H25" t="str">
            <v>1</v>
          </cell>
          <cell r="I25" t="str">
            <v>SET</v>
          </cell>
          <cell r="J25" t="str">
            <v>L</v>
          </cell>
          <cell r="K25" t="str">
            <v>김재석</v>
          </cell>
          <cell r="N25" t="str">
            <v>https://www.smckorea.co.kr/ppis/data/catalog/CA2-Z.pdf</v>
          </cell>
          <cell r="Q25" t="str">
            <v>Used Goods</v>
          </cell>
          <cell r="S25" t="str">
            <v>Green Purchase</v>
          </cell>
          <cell r="T25" t="str">
            <v>NONE</v>
          </cell>
          <cell r="U25" t="str">
            <v>Safety Management</v>
          </cell>
          <cell r="W25" t="str">
            <v>Posco Patent</v>
          </cell>
          <cell r="Y25" t="str">
            <v>Or Equivalent</v>
          </cell>
          <cell r="Z25" t="str">
            <v>OR EQUIVALENT</v>
          </cell>
          <cell r="AA25" t="str">
            <v>Cylinder Type</v>
          </cell>
          <cell r="AB25" t="str">
            <v>CWC(DA)</v>
          </cell>
          <cell r="AC25" t="str">
            <v>Mounting Type</v>
          </cell>
          <cell r="AD25" t="str">
            <v>LB</v>
          </cell>
          <cell r="AE25" t="str">
            <v>Bore Size</v>
          </cell>
          <cell r="AF25" t="str">
            <v>50</v>
          </cell>
          <cell r="AG25" t="str">
            <v>Rod Diameter</v>
          </cell>
          <cell r="AH25" t="str">
            <v>30</v>
          </cell>
          <cell r="AI25" t="str">
            <v>Stroke Length</v>
          </cell>
          <cell r="AJ25" t="str">
            <v>165</v>
          </cell>
          <cell r="AK25" t="str">
            <v>Pressure Rating</v>
          </cell>
          <cell r="AL25" t="str">
            <v>3.0</v>
          </cell>
          <cell r="AM25" t="str">
            <v>Model-1</v>
          </cell>
          <cell r="AN25" t="str">
            <v>CDA2T50-KRT09TO-165Z-A54Z</v>
          </cell>
          <cell r="AO25" t="str">
            <v>Maker Name-1</v>
          </cell>
          <cell r="AP25" t="str">
            <v>SMC</v>
          </cell>
          <cell r="AQ25" t="str">
            <v>Option-1</v>
          </cell>
          <cell r="AS25" t="str">
            <v>Model-2</v>
          </cell>
          <cell r="AU25" t="str">
            <v>Maker Name-2</v>
          </cell>
          <cell r="AV25" t="str">
            <v>NONE</v>
          </cell>
          <cell r="AW25" t="str">
            <v>Option-2</v>
          </cell>
          <cell r="AY25" t="str">
            <v>Model-3</v>
          </cell>
          <cell r="BA25" t="str">
            <v>Maker Name-3</v>
          </cell>
          <cell r="BC25" t="str">
            <v>Option-3</v>
          </cell>
          <cell r="BE25" t="str">
            <v>Option &amp; Others</v>
          </cell>
          <cell r="BG25" t="str">
            <v>Application</v>
          </cell>
          <cell r="BH25" t="str">
            <v>FOR 4M/C AIR CYLINDER</v>
          </cell>
        </row>
        <row r="26">
          <cell r="A26" t="str">
            <v>Q4580829</v>
          </cell>
          <cell r="B26" t="str">
            <v>ACTIVE</v>
          </cell>
          <cell r="C26" t="str">
            <v>특정사양품(단수)</v>
          </cell>
          <cell r="D26" t="str">
            <v>Q4580829</v>
          </cell>
          <cell r="E26" t="str">
            <v>Pneumatic Cylinder</v>
          </cell>
          <cell r="F26" t="str">
            <v>포스코</v>
          </cell>
          <cell r="G26" t="str">
            <v>40Dx16Dx450ST,[CDA2F40-450Z-Z73/SMC],FOR P1H HSL LABEL MACHINE   FEEDER  PNEUMATIC CYLINDER,OR EQUIVALENT</v>
          </cell>
          <cell r="H26" t="str">
            <v>1</v>
          </cell>
          <cell r="I26" t="str">
            <v>EA</v>
          </cell>
          <cell r="J26" t="str">
            <v>L</v>
          </cell>
          <cell r="K26" t="str">
            <v>조규호</v>
          </cell>
          <cell r="N26" t="str">
            <v>https://www.smckorea.co.kr/ppis/data/catalog/CA2-Z.pdf</v>
          </cell>
          <cell r="Q26" t="str">
            <v>Used Goods</v>
          </cell>
          <cell r="S26" t="str">
            <v>Green Purchase</v>
          </cell>
          <cell r="T26" t="str">
            <v>NONE</v>
          </cell>
          <cell r="U26" t="str">
            <v>Safety Management</v>
          </cell>
          <cell r="W26" t="str">
            <v>Posco Patent</v>
          </cell>
          <cell r="Y26" t="str">
            <v>Or Equivalent</v>
          </cell>
          <cell r="Z26" t="str">
            <v>OR EQUIVALENT</v>
          </cell>
          <cell r="AA26" t="str">
            <v>Cylinder Type</v>
          </cell>
          <cell r="AB26" t="str">
            <v>OTHERS</v>
          </cell>
          <cell r="AC26" t="str">
            <v>Mounting Type</v>
          </cell>
          <cell r="AD26" t="str">
            <v>OTHERS</v>
          </cell>
          <cell r="AE26" t="str">
            <v>Bore Size</v>
          </cell>
          <cell r="AF26" t="str">
            <v>40</v>
          </cell>
          <cell r="AG26" t="str">
            <v>Rod Diameter</v>
          </cell>
          <cell r="AH26" t="str">
            <v>16</v>
          </cell>
          <cell r="AI26" t="str">
            <v>Stroke Length</v>
          </cell>
          <cell r="AJ26" t="str">
            <v>450</v>
          </cell>
          <cell r="AK26" t="str">
            <v>Pressure Rating</v>
          </cell>
          <cell r="AM26" t="str">
            <v>Model-1</v>
          </cell>
          <cell r="AN26" t="str">
            <v>CDA2F40-450Z-Z73</v>
          </cell>
          <cell r="AO26" t="str">
            <v>Maker Name-1</v>
          </cell>
          <cell r="AP26" t="str">
            <v>SMC</v>
          </cell>
          <cell r="AQ26" t="str">
            <v>Option-1</v>
          </cell>
          <cell r="AS26" t="str">
            <v>Model-2</v>
          </cell>
          <cell r="AU26" t="str">
            <v>Maker Name-2</v>
          </cell>
          <cell r="AV26" t="str">
            <v>NONE</v>
          </cell>
          <cell r="AW26" t="str">
            <v>Option-2</v>
          </cell>
          <cell r="AY26" t="str">
            <v>Model-3</v>
          </cell>
          <cell r="BA26" t="str">
            <v>Maker Name-3</v>
          </cell>
          <cell r="BC26" t="str">
            <v>Option-3</v>
          </cell>
          <cell r="BE26" t="str">
            <v>Option &amp; Others</v>
          </cell>
          <cell r="BG26" t="str">
            <v>Application</v>
          </cell>
          <cell r="BH26" t="str">
            <v>FOR P1H HSL LABEL MACHINE   FEEDER  PNEUMATIC CYLINDER</v>
          </cell>
        </row>
        <row r="27">
          <cell r="A27" t="str">
            <v>Q4586797</v>
          </cell>
          <cell r="B27" t="str">
            <v>ACTIVE</v>
          </cell>
          <cell r="C27" t="str">
            <v>특정사양품(단수)</v>
          </cell>
          <cell r="D27" t="str">
            <v>Q4586797</v>
          </cell>
          <cell r="E27" t="str">
            <v>Pneumatic Cylinder</v>
          </cell>
          <cell r="F27" t="str">
            <v>포스코</v>
          </cell>
          <cell r="G27" t="str">
            <v>CWC(DA),LB,50Dx20Dx550ST,[CDNA2L50-550-D-A93L3/SMC],FOR P1H LABEL MACHINE FEEDER LOCK PNEUMATIC CYLINDER,OR EQUIVALENT</v>
          </cell>
          <cell r="H27" t="str">
            <v>1</v>
          </cell>
          <cell r="I27" t="str">
            <v>SET</v>
          </cell>
          <cell r="J27" t="str">
            <v>L</v>
          </cell>
          <cell r="K27" t="str">
            <v>조규호</v>
          </cell>
          <cell r="N27" t="str">
            <v>https://www.smckorea.co.kr/ppis/data/catalog/CNA2.pdf</v>
          </cell>
          <cell r="Q27" t="str">
            <v>Used Goods</v>
          </cell>
          <cell r="S27" t="str">
            <v>Green Purchase</v>
          </cell>
          <cell r="T27" t="str">
            <v>NONE</v>
          </cell>
          <cell r="U27" t="str">
            <v>Safety Management</v>
          </cell>
          <cell r="W27" t="str">
            <v>Posco Patent</v>
          </cell>
          <cell r="Y27" t="str">
            <v>Or Equivalent</v>
          </cell>
          <cell r="Z27" t="str">
            <v>OR EQUIVALENT</v>
          </cell>
          <cell r="AA27" t="str">
            <v>Cylinder Type</v>
          </cell>
          <cell r="AB27" t="str">
            <v>CWC(DA)</v>
          </cell>
          <cell r="AC27" t="str">
            <v>Mounting Type</v>
          </cell>
          <cell r="AD27" t="str">
            <v>LB</v>
          </cell>
          <cell r="AE27" t="str">
            <v>Bore Size</v>
          </cell>
          <cell r="AF27" t="str">
            <v>50</v>
          </cell>
          <cell r="AG27" t="str">
            <v>Rod Diameter</v>
          </cell>
          <cell r="AH27" t="str">
            <v>20</v>
          </cell>
          <cell r="AI27" t="str">
            <v>Stroke Length</v>
          </cell>
          <cell r="AJ27" t="str">
            <v>550</v>
          </cell>
          <cell r="AK27" t="str">
            <v>Pressure Rating</v>
          </cell>
          <cell r="AM27" t="str">
            <v>Model-1</v>
          </cell>
          <cell r="AN27" t="str">
            <v>CDNA2L50-550-D-A93L3</v>
          </cell>
          <cell r="AO27" t="str">
            <v>Maker Name-1</v>
          </cell>
          <cell r="AP27" t="str">
            <v>SMC</v>
          </cell>
          <cell r="AQ27" t="str">
            <v>Option-1</v>
          </cell>
          <cell r="AS27" t="str">
            <v>Model-2</v>
          </cell>
          <cell r="AU27" t="str">
            <v>Maker Name-2</v>
          </cell>
          <cell r="AV27" t="str">
            <v>NONE</v>
          </cell>
          <cell r="AW27" t="str">
            <v>Option-2</v>
          </cell>
          <cell r="AY27" t="str">
            <v>Model-3</v>
          </cell>
          <cell r="BA27" t="str">
            <v>Maker Name-3</v>
          </cell>
          <cell r="BC27" t="str">
            <v>Option-3</v>
          </cell>
          <cell r="BE27" t="str">
            <v>Option &amp; Others</v>
          </cell>
          <cell r="BG27" t="str">
            <v>Application</v>
          </cell>
          <cell r="BH27" t="str">
            <v>FOR P1H LABEL MACHINE FEEDER LOCK PNEUMATIC CYLINDER</v>
          </cell>
        </row>
        <row r="28">
          <cell r="A28" t="str">
            <v>Q4590564</v>
          </cell>
          <cell r="B28" t="str">
            <v>ACTIVE</v>
          </cell>
          <cell r="C28" t="str">
            <v>특정사양품(단수)</v>
          </cell>
          <cell r="D28" t="str">
            <v>Q4590564</v>
          </cell>
          <cell r="E28" t="str">
            <v>Pneumatic Cylinder</v>
          </cell>
          <cell r="F28" t="str">
            <v>포스코</v>
          </cell>
          <cell r="G28" t="str">
            <v>CWC(DA),40Dx30ST,[CQ2B40-30DZ/SMC],FOR 1CGL ZINC POT AIR KNIFE DOCKING UNIT,OR EQUIVALENT</v>
          </cell>
          <cell r="H28" t="str">
            <v>1</v>
          </cell>
          <cell r="I28" t="str">
            <v>SET</v>
          </cell>
          <cell r="J28" t="str">
            <v>L</v>
          </cell>
          <cell r="K28" t="str">
            <v>박광웅</v>
          </cell>
          <cell r="N28" t="str">
            <v>https://www.smckorea.co.kr/ppis/data/catalog/CQ2-Z.pdf</v>
          </cell>
          <cell r="Q28" t="str">
            <v>Used Goods</v>
          </cell>
          <cell r="S28" t="str">
            <v>Green Purchase</v>
          </cell>
          <cell r="T28" t="str">
            <v>NONE</v>
          </cell>
          <cell r="U28" t="str">
            <v>Safety Management</v>
          </cell>
          <cell r="W28" t="str">
            <v>Posco Patent</v>
          </cell>
          <cell r="Y28" t="str">
            <v>Or Equivalent</v>
          </cell>
          <cell r="Z28" t="str">
            <v>OR EQUIVALENT</v>
          </cell>
          <cell r="AA28" t="str">
            <v>Cylinder Type</v>
          </cell>
          <cell r="AB28" t="str">
            <v>CWC(DA)</v>
          </cell>
          <cell r="AC28" t="str">
            <v>Mounting Type</v>
          </cell>
          <cell r="AD28" t="str">
            <v>OTHERS</v>
          </cell>
          <cell r="AE28" t="str">
            <v>Bore Size</v>
          </cell>
          <cell r="AF28" t="str">
            <v>40</v>
          </cell>
          <cell r="AG28" t="str">
            <v>Rod Diameter</v>
          </cell>
          <cell r="AH28" t="str">
            <v>9999</v>
          </cell>
          <cell r="AI28" t="str">
            <v>Stroke Length</v>
          </cell>
          <cell r="AJ28" t="str">
            <v>30</v>
          </cell>
          <cell r="AK28" t="str">
            <v>Pressure Rating</v>
          </cell>
          <cell r="AM28" t="str">
            <v>Model-1</v>
          </cell>
          <cell r="AN28" t="str">
            <v>CQ2B40-30DZ</v>
          </cell>
          <cell r="AO28" t="str">
            <v>Maker Name-1</v>
          </cell>
          <cell r="AP28" t="str">
            <v>SMC</v>
          </cell>
          <cell r="AQ28" t="str">
            <v>Option-1</v>
          </cell>
          <cell r="AS28" t="str">
            <v>Model-2</v>
          </cell>
          <cell r="AU28" t="str">
            <v>Maker Name-2</v>
          </cell>
          <cell r="AV28" t="str">
            <v>NONE</v>
          </cell>
          <cell r="AW28" t="str">
            <v>Option-2</v>
          </cell>
          <cell r="AY28" t="str">
            <v>Model-3</v>
          </cell>
          <cell r="BA28" t="str">
            <v>Maker Name-3</v>
          </cell>
          <cell r="BC28" t="str">
            <v>Option-3</v>
          </cell>
          <cell r="BE28" t="str">
            <v>Option &amp; Others</v>
          </cell>
          <cell r="BG28" t="str">
            <v>Application</v>
          </cell>
          <cell r="BH28" t="str">
            <v>FOR 1CGL ZINC POT AIR KNIFE DOCKING UNIT</v>
          </cell>
        </row>
        <row r="29">
          <cell r="A29" t="str">
            <v>Q4592305</v>
          </cell>
          <cell r="B29" t="str">
            <v>ACTIVE</v>
          </cell>
          <cell r="C29" t="str">
            <v>특정사양품(단수)</v>
          </cell>
          <cell r="D29" t="str">
            <v>Q4592305</v>
          </cell>
          <cell r="E29" t="str">
            <v>Pneumatic Cylinder</v>
          </cell>
          <cell r="F29" t="str">
            <v>포스코</v>
          </cell>
          <cell r="G29" t="str">
            <v>CWC(DA),CA,160Dx40Dx320ST,[CS1CN160-320-CJBD0239/SMC],FOR 2CC MULTI BEBURRER,OR EQUIVALENT</v>
          </cell>
          <cell r="H29" t="str">
            <v>1</v>
          </cell>
          <cell r="I29" t="str">
            <v>SET</v>
          </cell>
          <cell r="J29" t="str">
            <v>L</v>
          </cell>
          <cell r="K29" t="str">
            <v>서대봉</v>
          </cell>
          <cell r="N29" t="str">
            <v>https://www.smckorea.co.kr/ppis/data/domyun/CJBD0239-AP.pdf</v>
          </cell>
          <cell r="Q29" t="str">
            <v>Used Goods</v>
          </cell>
          <cell r="S29" t="str">
            <v>Green Purchase</v>
          </cell>
          <cell r="T29" t="str">
            <v>NONE</v>
          </cell>
          <cell r="U29" t="str">
            <v>Safety Management</v>
          </cell>
          <cell r="W29" t="str">
            <v>Posco Patent</v>
          </cell>
          <cell r="Y29" t="str">
            <v>Or Equivalent</v>
          </cell>
          <cell r="Z29" t="str">
            <v>OR EQUIVALENT</v>
          </cell>
          <cell r="AA29" t="str">
            <v>Cylinder Type</v>
          </cell>
          <cell r="AB29" t="str">
            <v>CWC(DA)</v>
          </cell>
          <cell r="AC29" t="str">
            <v>Mounting Type</v>
          </cell>
          <cell r="AD29" t="str">
            <v>CA</v>
          </cell>
          <cell r="AE29" t="str">
            <v>Bore Size</v>
          </cell>
          <cell r="AF29" t="str">
            <v>160</v>
          </cell>
          <cell r="AG29" t="str">
            <v>Rod Diameter</v>
          </cell>
          <cell r="AH29" t="str">
            <v>40</v>
          </cell>
          <cell r="AI29" t="str">
            <v>Stroke Length</v>
          </cell>
          <cell r="AJ29" t="str">
            <v>320</v>
          </cell>
          <cell r="AK29" t="str">
            <v>Pressure Rating</v>
          </cell>
          <cell r="AM29" t="str">
            <v>Model-1</v>
          </cell>
          <cell r="AN29" t="str">
            <v>CS1CN160-320-CJBD0239</v>
          </cell>
          <cell r="AO29" t="str">
            <v>Maker Name-1</v>
          </cell>
          <cell r="AP29" t="str">
            <v>SMC</v>
          </cell>
          <cell r="AQ29" t="str">
            <v>Option-1</v>
          </cell>
          <cell r="AS29" t="str">
            <v>Model-2</v>
          </cell>
          <cell r="AU29" t="str">
            <v>Maker Name-2</v>
          </cell>
          <cell r="AV29" t="str">
            <v>NONE</v>
          </cell>
          <cell r="AW29" t="str">
            <v>Option-2</v>
          </cell>
          <cell r="AY29" t="str">
            <v>Model-3</v>
          </cell>
          <cell r="BA29" t="str">
            <v>Maker Name-3</v>
          </cell>
          <cell r="BC29" t="str">
            <v>Option-3</v>
          </cell>
          <cell r="BE29" t="str">
            <v>Option &amp; Others</v>
          </cell>
          <cell r="BG29" t="str">
            <v>Application</v>
          </cell>
          <cell r="BH29" t="str">
            <v xml:space="preserve">FOR 2CC MULTI BEBURRER </v>
          </cell>
        </row>
        <row r="30">
          <cell r="A30" t="str">
            <v>Q4592849</v>
          </cell>
          <cell r="B30" t="str">
            <v>ACTIVE</v>
          </cell>
          <cell r="C30" t="str">
            <v>특정사양품(단수)</v>
          </cell>
          <cell r="D30" t="str">
            <v>Q4592849</v>
          </cell>
          <cell r="E30" t="str">
            <v>Pneumatic Cylinder</v>
          </cell>
          <cell r="F30" t="str">
            <v>포스코</v>
          </cell>
          <cell r="G30" t="str">
            <v>CWC(DA),TC,63Dx20Dx1100ST,[CA2T63-1100Z-XC14/SMC],FOR 1CGL BANDING MACHINE LOWER CHUTE CYLINDER,OR EQUIVALENT</v>
          </cell>
          <cell r="H30" t="str">
            <v>1</v>
          </cell>
          <cell r="I30" t="str">
            <v>EA</v>
          </cell>
          <cell r="J30" t="str">
            <v>L</v>
          </cell>
          <cell r="K30" t="str">
            <v>김응백</v>
          </cell>
          <cell r="N30" t="str">
            <v>https://www.smckorea.co.kr</v>
          </cell>
          <cell r="Q30" t="str">
            <v>Used Goods</v>
          </cell>
          <cell r="S30" t="str">
            <v>Green Purchase</v>
          </cell>
          <cell r="T30" t="str">
            <v>NONE</v>
          </cell>
          <cell r="U30" t="str">
            <v>Safety Management</v>
          </cell>
          <cell r="W30" t="str">
            <v>Posco Patent</v>
          </cell>
          <cell r="Y30" t="str">
            <v>Or Equivalent</v>
          </cell>
          <cell r="Z30" t="str">
            <v>OR EQUIVALENT</v>
          </cell>
          <cell r="AA30" t="str">
            <v>Cylinder Type</v>
          </cell>
          <cell r="AB30" t="str">
            <v>CWC(DA)</v>
          </cell>
          <cell r="AC30" t="str">
            <v>Mounting Type</v>
          </cell>
          <cell r="AD30" t="str">
            <v>TC</v>
          </cell>
          <cell r="AE30" t="str">
            <v>Bore Size</v>
          </cell>
          <cell r="AF30" t="str">
            <v>63</v>
          </cell>
          <cell r="AG30" t="str">
            <v>Rod Diameter</v>
          </cell>
          <cell r="AH30" t="str">
            <v>20</v>
          </cell>
          <cell r="AI30" t="str">
            <v>Stroke Length</v>
          </cell>
          <cell r="AJ30" t="str">
            <v>1100</v>
          </cell>
          <cell r="AK30" t="str">
            <v>Pressure Rating</v>
          </cell>
          <cell r="AM30" t="str">
            <v>Model-1</v>
          </cell>
          <cell r="AN30" t="str">
            <v>CA2T63-1100Z-XC14</v>
          </cell>
          <cell r="AO30" t="str">
            <v>Maker Name-1</v>
          </cell>
          <cell r="AP30" t="str">
            <v>SMC</v>
          </cell>
          <cell r="AQ30" t="str">
            <v>Option-1</v>
          </cell>
          <cell r="AS30" t="str">
            <v>Model-2</v>
          </cell>
          <cell r="AU30" t="str">
            <v>Maker Name-2</v>
          </cell>
          <cell r="AV30" t="str">
            <v>NONE</v>
          </cell>
          <cell r="AW30" t="str">
            <v>Option-2</v>
          </cell>
          <cell r="AY30" t="str">
            <v>Model-3</v>
          </cell>
          <cell r="BA30" t="str">
            <v>Maker Name-3</v>
          </cell>
          <cell r="BC30" t="str">
            <v>Option-3</v>
          </cell>
          <cell r="BE30" t="str">
            <v>Option &amp; Others</v>
          </cell>
          <cell r="BG30" t="str">
            <v>Application</v>
          </cell>
          <cell r="BH30" t="str">
            <v>FOR 1CGL BANDING MACHINE LOWER CHUTE CYLINDER</v>
          </cell>
        </row>
        <row r="31">
          <cell r="A31" t="str">
            <v>Q4596799</v>
          </cell>
          <cell r="B31" t="str">
            <v>ACTIVE</v>
          </cell>
          <cell r="C31" t="str">
            <v>특정사양품(단수)</v>
          </cell>
          <cell r="D31" t="str">
            <v>Q4596799</v>
          </cell>
          <cell r="E31" t="str">
            <v>Pneumatic Cylinder</v>
          </cell>
          <cell r="F31" t="str">
            <v>포스코</v>
          </cell>
          <cell r="G31" t="str">
            <v>32Dx200ST,[MY1B32-200Z-M9N/SMC],OR EQUIVALENT</v>
          </cell>
          <cell r="H31" t="str">
            <v>1</v>
          </cell>
          <cell r="I31" t="str">
            <v>SET</v>
          </cell>
          <cell r="J31" t="str">
            <v>L</v>
          </cell>
          <cell r="K31" t="str">
            <v>박제혁</v>
          </cell>
          <cell r="N31" t="str">
            <v>https://www.smckorea.co.kr/ppis/data/catalog/MY1.pdf</v>
          </cell>
          <cell r="Q31" t="str">
            <v>Used Goods</v>
          </cell>
          <cell r="S31" t="str">
            <v>Green Purchase</v>
          </cell>
          <cell r="T31" t="str">
            <v>NONE</v>
          </cell>
          <cell r="U31" t="str">
            <v>Safety Management</v>
          </cell>
          <cell r="W31" t="str">
            <v>Posco Patent</v>
          </cell>
          <cell r="Y31" t="str">
            <v>Or Equivalent</v>
          </cell>
          <cell r="Z31" t="str">
            <v>OR EQUIVALENT</v>
          </cell>
          <cell r="AA31" t="str">
            <v>Cylinder Type</v>
          </cell>
          <cell r="AB31" t="str">
            <v>OTHERS</v>
          </cell>
          <cell r="AC31" t="str">
            <v>Mounting Type</v>
          </cell>
          <cell r="AD31" t="str">
            <v>OTHERS</v>
          </cell>
          <cell r="AE31" t="str">
            <v>Bore Size</v>
          </cell>
          <cell r="AF31" t="str">
            <v>32</v>
          </cell>
          <cell r="AG31" t="str">
            <v>Rod Diameter</v>
          </cell>
          <cell r="AH31" t="str">
            <v>9999</v>
          </cell>
          <cell r="AI31" t="str">
            <v>Stroke Length</v>
          </cell>
          <cell r="AJ31" t="str">
            <v>200</v>
          </cell>
          <cell r="AK31" t="str">
            <v>Pressure Rating</v>
          </cell>
          <cell r="AM31" t="str">
            <v>Model-1</v>
          </cell>
          <cell r="AN31" t="str">
            <v>MY1B32-200Z-M9N</v>
          </cell>
          <cell r="AO31" t="str">
            <v>Maker Name-1</v>
          </cell>
          <cell r="AP31" t="str">
            <v>SMC</v>
          </cell>
          <cell r="AQ31" t="str">
            <v>Option-1</v>
          </cell>
          <cell r="AS31" t="str">
            <v>Model-2</v>
          </cell>
          <cell r="AU31" t="str">
            <v>Maker Name-2</v>
          </cell>
          <cell r="AV31" t="str">
            <v>NONE</v>
          </cell>
          <cell r="AW31" t="str">
            <v>Option-2</v>
          </cell>
          <cell r="AY31" t="str">
            <v>Model-3</v>
          </cell>
          <cell r="BA31" t="str">
            <v>Maker Name-3</v>
          </cell>
          <cell r="BC31" t="str">
            <v>Option-3</v>
          </cell>
          <cell r="BE31" t="str">
            <v>Option &amp; Others</v>
          </cell>
          <cell r="BG31" t="str">
            <v>Application</v>
          </cell>
        </row>
        <row r="32">
          <cell r="A32" t="str">
            <v>Q4602359</v>
          </cell>
          <cell r="B32" t="str">
            <v>ACTIVE</v>
          </cell>
          <cell r="C32" t="str">
            <v>특정사양품(단수)</v>
          </cell>
          <cell r="D32" t="str">
            <v>Q4602359</v>
          </cell>
          <cell r="E32" t="str">
            <v>Pneumatic Cylinder</v>
          </cell>
          <cell r="F32" t="str">
            <v>포스코</v>
          </cell>
          <cell r="G32" t="str">
            <v>CWC(DA),CA,63Dx20Dx300ST,[CDA2C63-KRT09JO-300Z-W-A54/SMC],FOR CGL OVEN FUME EXHAUST FAN DAMPER CYLINDER,OR EQUIVALENT</v>
          </cell>
          <cell r="H32" t="str">
            <v>1</v>
          </cell>
          <cell r="I32" t="str">
            <v>EA</v>
          </cell>
          <cell r="J32" t="str">
            <v>L</v>
          </cell>
          <cell r="K32" t="str">
            <v>김응백</v>
          </cell>
          <cell r="N32" t="str">
            <v xml:space="preserve">https://www.smckorea.co.kr/ </v>
          </cell>
          <cell r="Q32" t="str">
            <v>Used Goods</v>
          </cell>
          <cell r="S32" t="str">
            <v>Green Purchase</v>
          </cell>
          <cell r="T32" t="str">
            <v>NONE</v>
          </cell>
          <cell r="U32" t="str">
            <v>Safety Management</v>
          </cell>
          <cell r="W32" t="str">
            <v>Posco Patent</v>
          </cell>
          <cell r="Y32" t="str">
            <v>Or Equivalent</v>
          </cell>
          <cell r="Z32" t="str">
            <v>OR EQUIVALENT</v>
          </cell>
          <cell r="AA32" t="str">
            <v>Cylinder Type</v>
          </cell>
          <cell r="AB32" t="str">
            <v>CWC(DA)</v>
          </cell>
          <cell r="AC32" t="str">
            <v>Mounting Type</v>
          </cell>
          <cell r="AD32" t="str">
            <v>CA</v>
          </cell>
          <cell r="AE32" t="str">
            <v>Bore Size</v>
          </cell>
          <cell r="AF32" t="str">
            <v>63</v>
          </cell>
          <cell r="AG32" t="str">
            <v>Rod Diameter</v>
          </cell>
          <cell r="AH32" t="str">
            <v>20</v>
          </cell>
          <cell r="AI32" t="str">
            <v>Stroke Length</v>
          </cell>
          <cell r="AJ32" t="str">
            <v>300</v>
          </cell>
          <cell r="AK32" t="str">
            <v>Pressure Rating</v>
          </cell>
          <cell r="AM32" t="str">
            <v>Model-1</v>
          </cell>
          <cell r="AN32" t="str">
            <v>CDA2C63-KRT09JO-300Z-W-A54</v>
          </cell>
          <cell r="AO32" t="str">
            <v>Maker Name-1</v>
          </cell>
          <cell r="AP32" t="str">
            <v>SMC</v>
          </cell>
          <cell r="AQ32" t="str">
            <v>Option-1</v>
          </cell>
          <cell r="AS32" t="str">
            <v>Model-2</v>
          </cell>
          <cell r="AU32" t="str">
            <v>Maker Name-2</v>
          </cell>
          <cell r="AV32" t="str">
            <v>NONE</v>
          </cell>
          <cell r="AW32" t="str">
            <v>Option-2</v>
          </cell>
          <cell r="AY32" t="str">
            <v>Model-3</v>
          </cell>
          <cell r="BA32" t="str">
            <v>Maker Name-3</v>
          </cell>
          <cell r="BC32" t="str">
            <v>Option-3</v>
          </cell>
          <cell r="BE32" t="str">
            <v>Option &amp; Others</v>
          </cell>
          <cell r="BG32" t="str">
            <v>Application</v>
          </cell>
          <cell r="BH32" t="str">
            <v>FOR CGL OVEN FUME EXHAUST FAN DAMPER CYLINDER</v>
          </cell>
        </row>
        <row r="33">
          <cell r="A33" t="str">
            <v>Q4603925</v>
          </cell>
          <cell r="B33" t="str">
            <v>ACTIVE</v>
          </cell>
          <cell r="C33" t="str">
            <v>특정사양품(단수)</v>
          </cell>
          <cell r="D33" t="str">
            <v>Q4603925</v>
          </cell>
          <cell r="E33" t="str">
            <v>Pneumatic Cylinder</v>
          </cell>
          <cell r="F33" t="str">
            <v>포스코</v>
          </cell>
          <cell r="G33" t="str">
            <v>CWC(DA),FA,50Dx20Dx450ST,10kgf/cm2,[CDNA2F50-KRT22KO-450-D-B54L/SMC],FOR 2PL GAS CUTTING MACHINE MC2000,OR EQUIVALENT</v>
          </cell>
          <cell r="H33" t="str">
            <v>1</v>
          </cell>
          <cell r="I33" t="str">
            <v>EA</v>
          </cell>
          <cell r="J33" t="str">
            <v>L</v>
          </cell>
          <cell r="K33" t="str">
            <v>장원령</v>
          </cell>
          <cell r="N33" t="str">
            <v>https://www.smckorea.co.kr/ppis/data/catalog/CNA2.pdf</v>
          </cell>
          <cell r="Q33" t="str">
            <v>Used Goods</v>
          </cell>
          <cell r="S33" t="str">
            <v>Green Purchase</v>
          </cell>
          <cell r="T33" t="str">
            <v>NONE</v>
          </cell>
          <cell r="U33" t="str">
            <v>Safety Management</v>
          </cell>
          <cell r="W33" t="str">
            <v>Posco Patent</v>
          </cell>
          <cell r="Y33" t="str">
            <v>Or Equivalent</v>
          </cell>
          <cell r="Z33" t="str">
            <v>OR EQUIVALENT</v>
          </cell>
          <cell r="AA33" t="str">
            <v>Cylinder Type</v>
          </cell>
          <cell r="AB33" t="str">
            <v>CWC(DA)</v>
          </cell>
          <cell r="AC33" t="str">
            <v>Mounting Type</v>
          </cell>
          <cell r="AD33" t="str">
            <v>FA</v>
          </cell>
          <cell r="AE33" t="str">
            <v>Bore Size</v>
          </cell>
          <cell r="AF33" t="str">
            <v>50</v>
          </cell>
          <cell r="AG33" t="str">
            <v>Rod Diameter</v>
          </cell>
          <cell r="AH33" t="str">
            <v>20</v>
          </cell>
          <cell r="AI33" t="str">
            <v>Stroke Length</v>
          </cell>
          <cell r="AJ33" t="str">
            <v>450</v>
          </cell>
          <cell r="AK33" t="str">
            <v>Pressure Rating</v>
          </cell>
          <cell r="AL33" t="str">
            <v>10</v>
          </cell>
          <cell r="AM33" t="str">
            <v>Model-1</v>
          </cell>
          <cell r="AN33" t="str">
            <v>CDNA2F50-KRT22KO-450-D-B54L</v>
          </cell>
          <cell r="AO33" t="str">
            <v>Maker Name-1</v>
          </cell>
          <cell r="AP33" t="str">
            <v>SMC</v>
          </cell>
          <cell r="AQ33" t="str">
            <v>Option-1</v>
          </cell>
          <cell r="AS33" t="str">
            <v>Model-2</v>
          </cell>
          <cell r="AU33" t="str">
            <v>Maker Name-2</v>
          </cell>
          <cell r="AV33" t="str">
            <v>NONE</v>
          </cell>
          <cell r="AW33" t="str">
            <v>Option-2</v>
          </cell>
          <cell r="AY33" t="str">
            <v>Model-3</v>
          </cell>
          <cell r="BA33" t="str">
            <v>Maker Name-3</v>
          </cell>
          <cell r="BC33" t="str">
            <v>Option-3</v>
          </cell>
          <cell r="BE33" t="str">
            <v>Option &amp; Others</v>
          </cell>
          <cell r="BG33" t="str">
            <v>Application</v>
          </cell>
          <cell r="BH33" t="str">
            <v>FOR 2PL GAS CUTTING MACHINE MC2000</v>
          </cell>
        </row>
        <row r="34">
          <cell r="A34" t="str">
            <v>Q2095909</v>
          </cell>
          <cell r="B34" t="str">
            <v>ACTIVE</v>
          </cell>
          <cell r="C34" t="str">
            <v>특정사양품(단수)</v>
          </cell>
          <cell r="D34" t="str">
            <v>Q2095909</v>
          </cell>
          <cell r="E34" t="str">
            <v>Pneumatic Cylinder</v>
          </cell>
          <cell r="F34" t="str">
            <v>포스코</v>
          </cell>
          <cell r="G34" t="str">
            <v>CTC,SD,32Dx16Dx70ST,7kgf/cm2,[MHL2-32D/SMC],DOUBLE PISTON(14,16),FOR 4RH SAMPLING DEVICE</v>
          </cell>
          <cell r="H34" t="str">
            <v>2</v>
          </cell>
          <cell r="I34" t="str">
            <v>SET</v>
          </cell>
          <cell r="K34" t="str">
            <v>박경득</v>
          </cell>
          <cell r="N34" t="str">
            <v>https://www.smckorea.co.kr/homepage/ver3.5/product/catalogue_sub_detail.asp?no=1051#</v>
          </cell>
          <cell r="Q34" t="str">
            <v>Used Goods</v>
          </cell>
          <cell r="S34" t="str">
            <v>Green Purchase</v>
          </cell>
          <cell r="T34" t="str">
            <v>NONE</v>
          </cell>
          <cell r="U34" t="str">
            <v>Safety Management</v>
          </cell>
          <cell r="W34" t="str">
            <v>Posco Patent</v>
          </cell>
          <cell r="Y34" t="str">
            <v>Or Equivalent</v>
          </cell>
          <cell r="AA34" t="str">
            <v>Cylinder Type</v>
          </cell>
          <cell r="AB34" t="str">
            <v>CTC</v>
          </cell>
          <cell r="AC34" t="str">
            <v>Mounting Type</v>
          </cell>
          <cell r="AD34" t="str">
            <v>SD</v>
          </cell>
          <cell r="AE34" t="str">
            <v>Bore Size</v>
          </cell>
          <cell r="AF34" t="str">
            <v>32</v>
          </cell>
          <cell r="AG34" t="str">
            <v>Rod Diameter</v>
          </cell>
          <cell r="AH34" t="str">
            <v>16</v>
          </cell>
          <cell r="AI34" t="str">
            <v>Stroke Length</v>
          </cell>
          <cell r="AJ34" t="str">
            <v>70</v>
          </cell>
          <cell r="AK34" t="str">
            <v>Pressure Rating</v>
          </cell>
          <cell r="AL34" t="str">
            <v>7</v>
          </cell>
          <cell r="AM34" t="str">
            <v>Model-1</v>
          </cell>
          <cell r="AN34" t="str">
            <v>MHL2-32D</v>
          </cell>
          <cell r="AO34" t="str">
            <v>Maker Name-1</v>
          </cell>
          <cell r="AP34" t="str">
            <v>SMC</v>
          </cell>
          <cell r="AQ34" t="str">
            <v>Option-1</v>
          </cell>
          <cell r="AS34" t="str">
            <v>Model-2</v>
          </cell>
          <cell r="AU34" t="str">
            <v>Maker Name-2</v>
          </cell>
          <cell r="AV34" t="str">
            <v>NONE</v>
          </cell>
          <cell r="AW34" t="str">
            <v>Option-2</v>
          </cell>
          <cell r="AY34" t="str">
            <v>Model-3</v>
          </cell>
          <cell r="BA34" t="str">
            <v>Maker Name-3</v>
          </cell>
          <cell r="BC34" t="str">
            <v>Option-3</v>
          </cell>
          <cell r="BE34" t="str">
            <v>Option &amp; Others</v>
          </cell>
          <cell r="BF34" t="str">
            <v>DOUBLE PISTON(14,16)</v>
          </cell>
          <cell r="BG34" t="str">
            <v>Application</v>
          </cell>
          <cell r="BH34" t="str">
            <v>FOR 4RH SAMPLING DEVICE</v>
          </cell>
        </row>
        <row r="35">
          <cell r="A35" t="str">
            <v>Q4607652</v>
          </cell>
          <cell r="B35" t="str">
            <v>ACTIVE</v>
          </cell>
          <cell r="C35" t="str">
            <v>특정사양품(단수)</v>
          </cell>
          <cell r="D35" t="str">
            <v>Q4607652</v>
          </cell>
          <cell r="E35" t="str">
            <v>Pneumatic Cylinder</v>
          </cell>
          <cell r="F35" t="str">
            <v>포스코</v>
          </cell>
          <cell r="G35" t="str">
            <v>CWC(DA),FA,200Dx50Dx2350ST,[ACL N H FA200 S2350 -Y D-J59K/KCC],1-1RCL BANDING MACHINE LIFTER</v>
          </cell>
          <cell r="H35" t="str">
            <v>1</v>
          </cell>
          <cell r="I35" t="str">
            <v>SET</v>
          </cell>
          <cell r="J35" t="str">
            <v>L</v>
          </cell>
          <cell r="K35" t="str">
            <v>곽진섭</v>
          </cell>
          <cell r="N35" t="str">
            <v>https://www.kccpr.com/bbs/search.php?url=https%3A%2F%2Fwww.kccpr.com%2Fbbs%2Fsearch.php&amp;stx=ACL+N+H+FA200+</v>
          </cell>
          <cell r="Q35" t="str">
            <v>Used Goods</v>
          </cell>
          <cell r="S35" t="str">
            <v>Green Purchase</v>
          </cell>
          <cell r="T35" t="str">
            <v>NONE</v>
          </cell>
          <cell r="U35" t="str">
            <v>Safety Management</v>
          </cell>
          <cell r="W35" t="str">
            <v>Posco Patent</v>
          </cell>
          <cell r="Y35" t="str">
            <v>Or Equivalent</v>
          </cell>
          <cell r="AA35" t="str">
            <v>Cylinder Type</v>
          </cell>
          <cell r="AB35" t="str">
            <v>CWC(DA)</v>
          </cell>
          <cell r="AC35" t="str">
            <v>Mounting Type</v>
          </cell>
          <cell r="AD35" t="str">
            <v>FA</v>
          </cell>
          <cell r="AE35" t="str">
            <v>Bore Size</v>
          </cell>
          <cell r="AF35" t="str">
            <v>200</v>
          </cell>
          <cell r="AG35" t="str">
            <v>Rod Diameter</v>
          </cell>
          <cell r="AH35" t="str">
            <v>50</v>
          </cell>
          <cell r="AI35" t="str">
            <v>Stroke Length</v>
          </cell>
          <cell r="AJ35" t="str">
            <v>2350</v>
          </cell>
          <cell r="AK35" t="str">
            <v>Pressure Rating</v>
          </cell>
          <cell r="AM35" t="str">
            <v>Model-1</v>
          </cell>
          <cell r="AN35" t="str">
            <v>ACL N H FA200 S2350 -Y D-J59K</v>
          </cell>
          <cell r="AO35" t="str">
            <v>Maker Name-1</v>
          </cell>
          <cell r="AP35" t="str">
            <v>KCC</v>
          </cell>
          <cell r="AQ35" t="str">
            <v>Option-1</v>
          </cell>
          <cell r="AS35" t="str">
            <v>Model-2</v>
          </cell>
          <cell r="AU35" t="str">
            <v>Maker Name-2</v>
          </cell>
          <cell r="AV35" t="str">
            <v>NONE</v>
          </cell>
          <cell r="AW35" t="str">
            <v>Option-2</v>
          </cell>
          <cell r="AY35" t="str">
            <v>Model-3</v>
          </cell>
          <cell r="BA35" t="str">
            <v>Maker Name-3</v>
          </cell>
          <cell r="BC35" t="str">
            <v>Option-3</v>
          </cell>
          <cell r="BE35" t="str">
            <v>Option &amp; Others</v>
          </cell>
          <cell r="BG35" t="str">
            <v>Application</v>
          </cell>
          <cell r="BH35" t="str">
            <v>1-1RCL BANDING MACHINE LIFTER</v>
          </cell>
        </row>
        <row r="36">
          <cell r="A36" t="str">
            <v>Q4609635</v>
          </cell>
          <cell r="B36" t="str">
            <v>ACTIVE</v>
          </cell>
          <cell r="C36" t="str">
            <v>특정사양품(단수)</v>
          </cell>
          <cell r="D36" t="str">
            <v>Q4609635</v>
          </cell>
          <cell r="E36" t="str">
            <v>Pneumatic Cylinder</v>
          </cell>
          <cell r="F36" t="str">
            <v>포스코</v>
          </cell>
          <cell r="G36" t="str">
            <v>CWC(DA),CF,40Dx14Dx40ST,10kgf/cm2,[CM2B40-40Z/SMC],FOR K1APL EXIT SEAL ROLL UPPER/LOWER SEAL PACKING OPEN/CLOSE,OR EQUIVALENT</v>
          </cell>
          <cell r="H36" t="str">
            <v>1</v>
          </cell>
          <cell r="I36" t="str">
            <v>SET</v>
          </cell>
          <cell r="J36" t="str">
            <v>L</v>
          </cell>
          <cell r="K36" t="str">
            <v>정정현</v>
          </cell>
          <cell r="N36" t="str">
            <v>https://www.smckorea.co.kr/ppis/data/catalog/CM2-Z.pdf</v>
          </cell>
          <cell r="Q36" t="str">
            <v>Used Goods</v>
          </cell>
          <cell r="S36" t="str">
            <v>Green Purchase</v>
          </cell>
          <cell r="T36" t="str">
            <v>NONE</v>
          </cell>
          <cell r="U36" t="str">
            <v>Safety Management</v>
          </cell>
          <cell r="W36" t="str">
            <v>Posco Patent</v>
          </cell>
          <cell r="Y36" t="str">
            <v>Or Equivalent</v>
          </cell>
          <cell r="Z36" t="str">
            <v>OR EQUIVALENT</v>
          </cell>
          <cell r="AA36" t="str">
            <v>Cylinder Type</v>
          </cell>
          <cell r="AB36" t="str">
            <v>CWC(DA)</v>
          </cell>
          <cell r="AC36" t="str">
            <v>Mounting Type</v>
          </cell>
          <cell r="AD36" t="str">
            <v>CF</v>
          </cell>
          <cell r="AE36" t="str">
            <v>Bore Size</v>
          </cell>
          <cell r="AF36" t="str">
            <v>40</v>
          </cell>
          <cell r="AG36" t="str">
            <v>Rod Diameter</v>
          </cell>
          <cell r="AH36" t="str">
            <v>14</v>
          </cell>
          <cell r="AI36" t="str">
            <v>Stroke Length</v>
          </cell>
          <cell r="AJ36" t="str">
            <v>40</v>
          </cell>
          <cell r="AK36" t="str">
            <v>Pressure Rating</v>
          </cell>
          <cell r="AL36" t="str">
            <v>10</v>
          </cell>
          <cell r="AM36" t="str">
            <v>Model-1</v>
          </cell>
          <cell r="AN36" t="str">
            <v>CM2B40-40Z</v>
          </cell>
          <cell r="AO36" t="str">
            <v>Maker Name-1</v>
          </cell>
          <cell r="AP36" t="str">
            <v>SMC</v>
          </cell>
          <cell r="AQ36" t="str">
            <v>Option-1</v>
          </cell>
          <cell r="AS36" t="str">
            <v>Model-2</v>
          </cell>
          <cell r="AU36" t="str">
            <v>Maker Name-2</v>
          </cell>
          <cell r="AV36" t="str">
            <v>NONE</v>
          </cell>
          <cell r="AW36" t="str">
            <v>Option-2</v>
          </cell>
          <cell r="AY36" t="str">
            <v>Model-3</v>
          </cell>
          <cell r="BA36" t="str">
            <v>Maker Name-3</v>
          </cell>
          <cell r="BC36" t="str">
            <v>Option-3</v>
          </cell>
          <cell r="BE36" t="str">
            <v>Option &amp; Others</v>
          </cell>
          <cell r="BG36" t="str">
            <v>Application</v>
          </cell>
          <cell r="BH36" t="str">
            <v>FOR K1APL EXIT SEAL ROLL UPPER/LOWER SEAL PACKING OPEN/CLOSE</v>
          </cell>
        </row>
        <row r="37">
          <cell r="A37" t="str">
            <v>Q4609636</v>
          </cell>
          <cell r="B37" t="str">
            <v>ACTIVE</v>
          </cell>
          <cell r="C37" t="str">
            <v>특정사양품(단수)</v>
          </cell>
          <cell r="D37" t="str">
            <v>Q4609636</v>
          </cell>
          <cell r="E37" t="str">
            <v>Pneumatic Cylinder</v>
          </cell>
          <cell r="F37" t="str">
            <v>포스코</v>
          </cell>
          <cell r="G37" t="str">
            <v>CWC(DA),FA,100Dx30Dx115ST,10kgf/cm2,[CA2F100-KRT10KO-115Z-W-XC5/SMC],FOR K1APL FURNACE ENTRY SEAL ROLL UP &amp; DOWN PNEUMATIC CYLINDER,OR EQUIVALENT</v>
          </cell>
          <cell r="H37" t="str">
            <v>1</v>
          </cell>
          <cell r="I37" t="str">
            <v>SET</v>
          </cell>
          <cell r="J37" t="str">
            <v>L</v>
          </cell>
          <cell r="K37" t="str">
            <v>정정현</v>
          </cell>
          <cell r="N37" t="str">
            <v>https://www.smckorea.co.kr/</v>
          </cell>
          <cell r="Q37" t="str">
            <v>Used Goods</v>
          </cell>
          <cell r="S37" t="str">
            <v>Green Purchase</v>
          </cell>
          <cell r="T37" t="str">
            <v>NONE</v>
          </cell>
          <cell r="U37" t="str">
            <v>Safety Management</v>
          </cell>
          <cell r="W37" t="str">
            <v>Posco Patent</v>
          </cell>
          <cell r="Y37" t="str">
            <v>Or Equivalent</v>
          </cell>
          <cell r="Z37" t="str">
            <v>OR EQUIVALENT</v>
          </cell>
          <cell r="AA37" t="str">
            <v>Cylinder Type</v>
          </cell>
          <cell r="AB37" t="str">
            <v>CWC(DA)</v>
          </cell>
          <cell r="AC37" t="str">
            <v>Mounting Type</v>
          </cell>
          <cell r="AD37" t="str">
            <v>FA</v>
          </cell>
          <cell r="AE37" t="str">
            <v>Bore Size</v>
          </cell>
          <cell r="AF37" t="str">
            <v>100</v>
          </cell>
          <cell r="AG37" t="str">
            <v>Rod Diameter</v>
          </cell>
          <cell r="AH37" t="str">
            <v>30</v>
          </cell>
          <cell r="AI37" t="str">
            <v>Stroke Length</v>
          </cell>
          <cell r="AJ37" t="str">
            <v>115</v>
          </cell>
          <cell r="AK37" t="str">
            <v>Pressure Rating</v>
          </cell>
          <cell r="AL37" t="str">
            <v>10</v>
          </cell>
          <cell r="AM37" t="str">
            <v>Model-1</v>
          </cell>
          <cell r="AN37" t="str">
            <v>CA2F100-KRT10KO-115Z-W-XC5</v>
          </cell>
          <cell r="AO37" t="str">
            <v>Maker Name-1</v>
          </cell>
          <cell r="AP37" t="str">
            <v>SMC</v>
          </cell>
          <cell r="AQ37" t="str">
            <v>Option-1</v>
          </cell>
          <cell r="AS37" t="str">
            <v>Model-2</v>
          </cell>
          <cell r="AU37" t="str">
            <v>Maker Name-2</v>
          </cell>
          <cell r="AV37" t="str">
            <v>NONE</v>
          </cell>
          <cell r="AW37" t="str">
            <v>Option-2</v>
          </cell>
          <cell r="AY37" t="str">
            <v>Model-3</v>
          </cell>
          <cell r="BA37" t="str">
            <v>Maker Name-3</v>
          </cell>
          <cell r="BC37" t="str">
            <v>Option-3</v>
          </cell>
          <cell r="BE37" t="str">
            <v>Option &amp; Others</v>
          </cell>
          <cell r="BG37" t="str">
            <v>Application</v>
          </cell>
          <cell r="BH37" t="str">
            <v>FOR K1APL FURNACE ENTRY SEAL ROLL UP &amp; DOWN PNEUMATIC CYLINDER</v>
          </cell>
        </row>
        <row r="38">
          <cell r="A38" t="str">
            <v>Q4610700</v>
          </cell>
          <cell r="B38" t="str">
            <v>ACTIVE</v>
          </cell>
          <cell r="C38" t="str">
            <v>특정사양품(단수)</v>
          </cell>
          <cell r="D38" t="str">
            <v>Q4610700</v>
          </cell>
          <cell r="E38" t="str">
            <v>Pneumatic Cylinder</v>
          </cell>
          <cell r="F38" t="str">
            <v>포스코</v>
          </cell>
          <cell r="G38" t="str">
            <v>CWC(DA),TC,63Dx20Dx50ST,10kgf/cm2,[C96ST63-50-CJBG0810/SMC],OR EQUIVALENT</v>
          </cell>
          <cell r="H38" t="str">
            <v>1</v>
          </cell>
          <cell r="I38" t="str">
            <v>SET</v>
          </cell>
          <cell r="J38" t="str">
            <v>L</v>
          </cell>
          <cell r="K38" t="str">
            <v>이규연</v>
          </cell>
          <cell r="Q38" t="str">
            <v>Used Goods</v>
          </cell>
          <cell r="S38" t="str">
            <v>Green Purchase</v>
          </cell>
          <cell r="T38" t="str">
            <v>NONE</v>
          </cell>
          <cell r="U38" t="str">
            <v>Safety Management</v>
          </cell>
          <cell r="W38" t="str">
            <v>Posco Patent</v>
          </cell>
          <cell r="Y38" t="str">
            <v>Or Equivalent</v>
          </cell>
          <cell r="Z38" t="str">
            <v>OR EQUIVALENT</v>
          </cell>
          <cell r="AA38" t="str">
            <v>Cylinder Type</v>
          </cell>
          <cell r="AB38" t="str">
            <v>CWC(DA)</v>
          </cell>
          <cell r="AC38" t="str">
            <v>Mounting Type</v>
          </cell>
          <cell r="AD38" t="str">
            <v>TC</v>
          </cell>
          <cell r="AE38" t="str">
            <v>Bore Size</v>
          </cell>
          <cell r="AF38" t="str">
            <v>63</v>
          </cell>
          <cell r="AG38" t="str">
            <v>Rod Diameter</v>
          </cell>
          <cell r="AH38" t="str">
            <v>20</v>
          </cell>
          <cell r="AI38" t="str">
            <v>Stroke Length</v>
          </cell>
          <cell r="AJ38" t="str">
            <v>50</v>
          </cell>
          <cell r="AK38" t="str">
            <v>Pressure Rating</v>
          </cell>
          <cell r="AL38" t="str">
            <v>10</v>
          </cell>
          <cell r="AM38" t="str">
            <v>Model-1</v>
          </cell>
          <cell r="AN38" t="str">
            <v>C96ST63-50-CJBG0810</v>
          </cell>
          <cell r="AO38" t="str">
            <v>Maker Name-1</v>
          </cell>
          <cell r="AP38" t="str">
            <v>SMC</v>
          </cell>
          <cell r="AQ38" t="str">
            <v>Option-1</v>
          </cell>
          <cell r="AS38" t="str">
            <v>Model-2</v>
          </cell>
          <cell r="AU38" t="str">
            <v>Maker Name-2</v>
          </cell>
          <cell r="AV38" t="str">
            <v>NONE</v>
          </cell>
          <cell r="AW38" t="str">
            <v>Option-2</v>
          </cell>
          <cell r="AY38" t="str">
            <v>Model-3</v>
          </cell>
          <cell r="BA38" t="str">
            <v>Maker Name-3</v>
          </cell>
          <cell r="BC38" t="str">
            <v>Option-3</v>
          </cell>
          <cell r="BE38" t="str">
            <v>Option &amp; Others</v>
          </cell>
          <cell r="BG38" t="str">
            <v>Application</v>
          </cell>
        </row>
        <row r="39">
          <cell r="A39" t="str">
            <v>Q4611126</v>
          </cell>
          <cell r="B39" t="str">
            <v>ACTIVE</v>
          </cell>
          <cell r="C39" t="str">
            <v>특정사양품(단수)</v>
          </cell>
          <cell r="D39" t="str">
            <v>Q4611126</v>
          </cell>
          <cell r="E39" t="str">
            <v>Pneumatic Cylinder</v>
          </cell>
          <cell r="F39" t="str">
            <v>포스코</v>
          </cell>
          <cell r="G39" t="str">
            <v>CWD,TC,100Dx30Dx420ST,[CDA2T100-420Z-A93L-XC14/SMC],OR EQUIVALENT</v>
          </cell>
          <cell r="H39" t="str">
            <v>1</v>
          </cell>
          <cell r="I39" t="str">
            <v>SET</v>
          </cell>
          <cell r="J39" t="str">
            <v>L</v>
          </cell>
          <cell r="K39" t="str">
            <v>김영민</v>
          </cell>
          <cell r="N39" t="str">
            <v>https://www.smckorea.co.kr/esales/data/sangpum/kisul_qa/2023KS008009/CDA2T100-420Z-A93L-XC14.pdf</v>
          </cell>
          <cell r="Q39" t="str">
            <v>Used Goods</v>
          </cell>
          <cell r="S39" t="str">
            <v>Green Purchase</v>
          </cell>
          <cell r="T39" t="str">
            <v>NONE</v>
          </cell>
          <cell r="U39" t="str">
            <v>Safety Management</v>
          </cell>
          <cell r="W39" t="str">
            <v>Posco Patent</v>
          </cell>
          <cell r="Y39" t="str">
            <v>Or Equivalent</v>
          </cell>
          <cell r="Z39" t="str">
            <v>OR EQUIVALENT</v>
          </cell>
          <cell r="AA39" t="str">
            <v>Cylinder Type</v>
          </cell>
          <cell r="AB39" t="str">
            <v>CWD</v>
          </cell>
          <cell r="AC39" t="str">
            <v>Mounting Type</v>
          </cell>
          <cell r="AD39" t="str">
            <v>TC</v>
          </cell>
          <cell r="AE39" t="str">
            <v>Bore Size</v>
          </cell>
          <cell r="AF39" t="str">
            <v>100</v>
          </cell>
          <cell r="AG39" t="str">
            <v>Rod Diameter</v>
          </cell>
          <cell r="AH39" t="str">
            <v>30</v>
          </cell>
          <cell r="AI39" t="str">
            <v>Stroke Length</v>
          </cell>
          <cell r="AJ39" t="str">
            <v>420</v>
          </cell>
          <cell r="AK39" t="str">
            <v>Pressure Rating</v>
          </cell>
          <cell r="AM39" t="str">
            <v>Model-1</v>
          </cell>
          <cell r="AN39" t="str">
            <v>CDA2T100-420Z-A93L-XC14</v>
          </cell>
          <cell r="AO39" t="str">
            <v>Maker Name-1</v>
          </cell>
          <cell r="AP39" t="str">
            <v>SMC</v>
          </cell>
          <cell r="AQ39" t="str">
            <v>Option-1</v>
          </cell>
          <cell r="AS39" t="str">
            <v>Model-2</v>
          </cell>
          <cell r="AU39" t="str">
            <v>Maker Name-2</v>
          </cell>
          <cell r="AV39" t="str">
            <v>NONE</v>
          </cell>
          <cell r="AW39" t="str">
            <v>Option-2</v>
          </cell>
          <cell r="AY39" t="str">
            <v>Model-3</v>
          </cell>
          <cell r="BA39" t="str">
            <v>Maker Name-3</v>
          </cell>
          <cell r="BC39" t="str">
            <v>Option-3</v>
          </cell>
          <cell r="BE39" t="str">
            <v>Option &amp; Others</v>
          </cell>
          <cell r="BG39" t="str">
            <v>Application</v>
          </cell>
        </row>
        <row r="40">
          <cell r="A40" t="str">
            <v>Q4618340</v>
          </cell>
          <cell r="B40" t="str">
            <v>ACTIVE</v>
          </cell>
          <cell r="C40" t="str">
            <v>특정사양품(단수)</v>
          </cell>
          <cell r="D40" t="str">
            <v>Q4618340</v>
          </cell>
          <cell r="E40" t="str">
            <v>Pneumatic Cylinder</v>
          </cell>
          <cell r="F40" t="str">
            <v>포스코</v>
          </cell>
          <cell r="G40" t="str">
            <v>32Dx0Dx500ST,10kgf/cm2,[CY1L32H-500/SMC],FOR 2APL BAND CUTTER,OR EQUIVALENT</v>
          </cell>
          <cell r="H40" t="str">
            <v>1</v>
          </cell>
          <cell r="I40" t="str">
            <v>SET</v>
          </cell>
          <cell r="J40" t="str">
            <v>L</v>
          </cell>
          <cell r="K40" t="str">
            <v>이규연</v>
          </cell>
          <cell r="N40" t="str">
            <v>https://www.smckorea.co.kr/ppis/data/catalog/CY1.pdf</v>
          </cell>
          <cell r="Q40" t="str">
            <v>Used Goods</v>
          </cell>
          <cell r="S40" t="str">
            <v>Green Purchase</v>
          </cell>
          <cell r="T40" t="str">
            <v>NONE</v>
          </cell>
          <cell r="U40" t="str">
            <v>Safety Management</v>
          </cell>
          <cell r="W40" t="str">
            <v>Posco Patent</v>
          </cell>
          <cell r="Y40" t="str">
            <v>Or Equivalent</v>
          </cell>
          <cell r="Z40" t="str">
            <v>OR EQUIVALENT</v>
          </cell>
          <cell r="AA40" t="str">
            <v>Cylinder Type</v>
          </cell>
          <cell r="AB40" t="str">
            <v>OTHERS</v>
          </cell>
          <cell r="AC40" t="str">
            <v>Mounting Type</v>
          </cell>
          <cell r="AD40" t="str">
            <v>OTHERS</v>
          </cell>
          <cell r="AE40" t="str">
            <v>Bore Size</v>
          </cell>
          <cell r="AF40" t="str">
            <v>32</v>
          </cell>
          <cell r="AG40" t="str">
            <v>Rod Diameter</v>
          </cell>
          <cell r="AH40" t="str">
            <v>0</v>
          </cell>
          <cell r="AI40" t="str">
            <v>Stroke Length</v>
          </cell>
          <cell r="AJ40" t="str">
            <v>500</v>
          </cell>
          <cell r="AK40" t="str">
            <v>Pressure Rating</v>
          </cell>
          <cell r="AL40" t="str">
            <v>10</v>
          </cell>
          <cell r="AM40" t="str">
            <v>Model-1</v>
          </cell>
          <cell r="AN40" t="str">
            <v>CY1L32H-500</v>
          </cell>
          <cell r="AO40" t="str">
            <v>Maker Name-1</v>
          </cell>
          <cell r="AP40" t="str">
            <v>SMC</v>
          </cell>
          <cell r="AQ40" t="str">
            <v>Option-1</v>
          </cell>
          <cell r="AS40" t="str">
            <v>Model-2</v>
          </cell>
          <cell r="AU40" t="str">
            <v>Maker Name-2</v>
          </cell>
          <cell r="AV40" t="str">
            <v>NONE</v>
          </cell>
          <cell r="AW40" t="str">
            <v>Option-2</v>
          </cell>
          <cell r="AY40" t="str">
            <v>Model-3</v>
          </cell>
          <cell r="BA40" t="str">
            <v>Maker Name-3</v>
          </cell>
          <cell r="BC40" t="str">
            <v>Option-3</v>
          </cell>
          <cell r="BE40" t="str">
            <v>Option &amp; Others</v>
          </cell>
          <cell r="BG40" t="str">
            <v>Application</v>
          </cell>
          <cell r="BH40" t="str">
            <v>FOR 2APL BAND CUTTER</v>
          </cell>
        </row>
        <row r="41">
          <cell r="A41" t="str">
            <v>Q4621318</v>
          </cell>
          <cell r="B41" t="str">
            <v>ACTIVE</v>
          </cell>
          <cell r="C41" t="str">
            <v>특정사양품(단수)</v>
          </cell>
          <cell r="D41" t="str">
            <v>Q4621318</v>
          </cell>
          <cell r="E41" t="str">
            <v>Pneumatic Cylinder</v>
          </cell>
          <cell r="F41" t="str">
            <v>포스코</v>
          </cell>
          <cell r="G41" t="str">
            <v>80Dx71Dx500ST,10kgf/cm2,[CNA2D80-500-D/SMC],OR EQUIVALENT</v>
          </cell>
          <cell r="H41" t="str">
            <v>1</v>
          </cell>
          <cell r="I41" t="str">
            <v>EA</v>
          </cell>
          <cell r="J41" t="str">
            <v>L</v>
          </cell>
          <cell r="K41" t="str">
            <v>김원길</v>
          </cell>
          <cell r="N41" t="str">
            <v>https://www.smckorea.co.kr/ppis/data/catalog/CNA2.pdf</v>
          </cell>
          <cell r="Q41" t="str">
            <v>Used Goods</v>
          </cell>
          <cell r="S41" t="str">
            <v>Green Purchase</v>
          </cell>
          <cell r="T41" t="str">
            <v>NONE</v>
          </cell>
          <cell r="U41" t="str">
            <v>Safety Management</v>
          </cell>
          <cell r="W41" t="str">
            <v>Posco Patent</v>
          </cell>
          <cell r="Y41" t="str">
            <v>Or Equivalent</v>
          </cell>
          <cell r="Z41" t="str">
            <v>OR EQUIVALENT</v>
          </cell>
          <cell r="AA41" t="str">
            <v>Cylinder Type</v>
          </cell>
          <cell r="AB41" t="str">
            <v>OTHERS</v>
          </cell>
          <cell r="AC41" t="str">
            <v>Mounting Type</v>
          </cell>
          <cell r="AD41" t="str">
            <v>OTHERS</v>
          </cell>
          <cell r="AE41" t="str">
            <v>Bore Size</v>
          </cell>
          <cell r="AF41" t="str">
            <v>80</v>
          </cell>
          <cell r="AG41" t="str">
            <v>Rod Diameter</v>
          </cell>
          <cell r="AH41" t="str">
            <v>71</v>
          </cell>
          <cell r="AI41" t="str">
            <v>Stroke Length</v>
          </cell>
          <cell r="AJ41" t="str">
            <v>500</v>
          </cell>
          <cell r="AK41" t="str">
            <v>Pressure Rating</v>
          </cell>
          <cell r="AL41" t="str">
            <v>10</v>
          </cell>
          <cell r="AM41" t="str">
            <v>Model-1</v>
          </cell>
          <cell r="AN41" t="str">
            <v>CNA2D80-500-D</v>
          </cell>
          <cell r="AO41" t="str">
            <v>Maker Name-1</v>
          </cell>
          <cell r="AP41" t="str">
            <v>SMC</v>
          </cell>
          <cell r="AQ41" t="str">
            <v>Option-1</v>
          </cell>
          <cell r="AS41" t="str">
            <v>Model-2</v>
          </cell>
          <cell r="AU41" t="str">
            <v>Maker Name-2</v>
          </cell>
          <cell r="AV41" t="str">
            <v>NONE</v>
          </cell>
          <cell r="AW41" t="str">
            <v>Option-2</v>
          </cell>
          <cell r="AY41" t="str">
            <v>Model-3</v>
          </cell>
          <cell r="BA41" t="str">
            <v>Maker Name-3</v>
          </cell>
          <cell r="BC41" t="str">
            <v>Option-3</v>
          </cell>
          <cell r="BE41" t="str">
            <v>Option &amp; Others</v>
          </cell>
          <cell r="BG41" t="str">
            <v>Application</v>
          </cell>
        </row>
        <row r="42">
          <cell r="A42" t="str">
            <v>Q4371330</v>
          </cell>
          <cell r="B42" t="str">
            <v>ACTIVE</v>
          </cell>
          <cell r="C42" t="str">
            <v>특정사양품(단수)</v>
          </cell>
          <cell r="D42" t="str">
            <v>Q4371330</v>
          </cell>
          <cell r="E42" t="str">
            <v>Pneumatic Cylinder</v>
          </cell>
          <cell r="F42" t="str">
            <v>포스코</v>
          </cell>
          <cell r="G42" t="str">
            <v>50D,10kgf/cm2,[CDQ2B50-55Z-DCN446GN/SMC],AIR CYLINDER FOR BANDING MACHINE</v>
          </cell>
          <cell r="H42" t="str">
            <v>2</v>
          </cell>
          <cell r="I42" t="str">
            <v>SET</v>
          </cell>
          <cell r="K42" t="str">
            <v>곽진섭</v>
          </cell>
          <cell r="N42" t="str">
            <v>http://www.smckorea.co.kr/esales/data/sangpum/catalog/CQ2-Z.pdf</v>
          </cell>
          <cell r="Q42" t="str">
            <v>Used Goods</v>
          </cell>
          <cell r="S42" t="str">
            <v>Green Purchase</v>
          </cell>
          <cell r="T42" t="str">
            <v>NONE</v>
          </cell>
          <cell r="U42" t="str">
            <v>Safety Management</v>
          </cell>
          <cell r="V42" t="str">
            <v>NONE</v>
          </cell>
          <cell r="W42" t="str">
            <v>Posco Patent</v>
          </cell>
          <cell r="Y42" t="str">
            <v>Or Equivalent</v>
          </cell>
          <cell r="AA42" t="str">
            <v>Cylinder Type</v>
          </cell>
          <cell r="AB42" t="str">
            <v>OTHERS</v>
          </cell>
          <cell r="AC42" t="str">
            <v>Mounting Type</v>
          </cell>
          <cell r="AD42" t="str">
            <v>OTHERS</v>
          </cell>
          <cell r="AE42" t="str">
            <v>Bore Size</v>
          </cell>
          <cell r="AF42" t="str">
            <v>50</v>
          </cell>
          <cell r="AG42" t="str">
            <v>Rod Diameter</v>
          </cell>
          <cell r="AH42" t="str">
            <v>9999</v>
          </cell>
          <cell r="AI42" t="str">
            <v>Stroke Length</v>
          </cell>
          <cell r="AJ42" t="str">
            <v>9999</v>
          </cell>
          <cell r="AK42" t="str">
            <v>Pressure Rating</v>
          </cell>
          <cell r="AL42" t="str">
            <v>10</v>
          </cell>
          <cell r="AM42" t="str">
            <v>Model-1</v>
          </cell>
          <cell r="AN42" t="str">
            <v>CDQ2B50-55Z-DCN446GN</v>
          </cell>
          <cell r="AO42" t="str">
            <v>Maker Name-1</v>
          </cell>
          <cell r="AP42" t="str">
            <v>SMC</v>
          </cell>
          <cell r="AQ42" t="str">
            <v>Option-1</v>
          </cell>
          <cell r="AS42" t="str">
            <v>Model-2</v>
          </cell>
          <cell r="AU42" t="str">
            <v>Maker Name-2</v>
          </cell>
          <cell r="AV42" t="str">
            <v>NONE</v>
          </cell>
          <cell r="AW42" t="str">
            <v>Option-2</v>
          </cell>
          <cell r="AY42" t="str">
            <v>Model-3</v>
          </cell>
          <cell r="BA42" t="str">
            <v>Maker Name-3</v>
          </cell>
          <cell r="BC42" t="str">
            <v>Option-3</v>
          </cell>
          <cell r="BE42" t="str">
            <v>Option &amp; Others</v>
          </cell>
          <cell r="BG42" t="str">
            <v>Application</v>
          </cell>
          <cell r="BH42" t="str">
            <v>AIR CYLINDER FOR BANDING MACHINE</v>
          </cell>
        </row>
        <row r="43">
          <cell r="A43" t="str">
            <v>Q4623087</v>
          </cell>
          <cell r="B43" t="str">
            <v>ACTIVE</v>
          </cell>
          <cell r="C43" t="str">
            <v>특정사양품(단수)</v>
          </cell>
          <cell r="D43" t="str">
            <v>Q4623087</v>
          </cell>
          <cell r="E43" t="str">
            <v>Pneumatic Cylinder</v>
          </cell>
          <cell r="F43" t="str">
            <v>포스코</v>
          </cell>
          <cell r="G43" t="str">
            <v>CWC(DA),FH,50Dx20Dx200ST,10.2kgf/cm2,[MLGPM50-200Z-F-A96L/SMC],OR EQUIVALENT</v>
          </cell>
          <cell r="H43" t="str">
            <v>1</v>
          </cell>
          <cell r="I43" t="str">
            <v>SET</v>
          </cell>
          <cell r="J43" t="str">
            <v>L</v>
          </cell>
          <cell r="K43" t="str">
            <v>황해</v>
          </cell>
          <cell r="N43" t="str">
            <v>https://www.smckorea.co.kr/homepage/ver3.5/srch/search.asp</v>
          </cell>
          <cell r="Q43" t="str">
            <v>Used Goods</v>
          </cell>
          <cell r="S43" t="str">
            <v>Green Purchase</v>
          </cell>
          <cell r="T43" t="str">
            <v>NONE</v>
          </cell>
          <cell r="U43" t="str">
            <v>Safety Management</v>
          </cell>
          <cell r="W43" t="str">
            <v>Posco Patent</v>
          </cell>
          <cell r="Y43" t="str">
            <v>Or Equivalent</v>
          </cell>
          <cell r="Z43" t="str">
            <v>OR EQUIVALENT</v>
          </cell>
          <cell r="AA43" t="str">
            <v>Cylinder Type</v>
          </cell>
          <cell r="AB43" t="str">
            <v>CWC(DA)</v>
          </cell>
          <cell r="AC43" t="str">
            <v>Mounting Type</v>
          </cell>
          <cell r="AD43" t="str">
            <v>FH</v>
          </cell>
          <cell r="AE43" t="str">
            <v>Bore Size</v>
          </cell>
          <cell r="AF43" t="str">
            <v>50</v>
          </cell>
          <cell r="AG43" t="str">
            <v>Rod Diameter</v>
          </cell>
          <cell r="AH43" t="str">
            <v>20</v>
          </cell>
          <cell r="AI43" t="str">
            <v>Stroke Length</v>
          </cell>
          <cell r="AJ43" t="str">
            <v>200</v>
          </cell>
          <cell r="AK43" t="str">
            <v>Pressure Rating</v>
          </cell>
          <cell r="AL43" t="str">
            <v>10.2</v>
          </cell>
          <cell r="AM43" t="str">
            <v>Model-1</v>
          </cell>
          <cell r="AN43" t="str">
            <v>MLGPM50-200Z-F-A96L</v>
          </cell>
          <cell r="AO43" t="str">
            <v>Maker Name-1</v>
          </cell>
          <cell r="AP43" t="str">
            <v>SMC</v>
          </cell>
          <cell r="AQ43" t="str">
            <v>Option-1</v>
          </cell>
          <cell r="AS43" t="str">
            <v>Model-2</v>
          </cell>
          <cell r="AU43" t="str">
            <v>Maker Name-2</v>
          </cell>
          <cell r="AV43" t="str">
            <v>NONE</v>
          </cell>
          <cell r="AW43" t="str">
            <v>Option-2</v>
          </cell>
          <cell r="AY43" t="str">
            <v>Model-3</v>
          </cell>
          <cell r="BA43" t="str">
            <v>Maker Name-3</v>
          </cell>
          <cell r="BC43" t="str">
            <v>Option-3</v>
          </cell>
          <cell r="BE43" t="str">
            <v>Option &amp; Others</v>
          </cell>
          <cell r="BG43" t="str">
            <v>Application</v>
          </cell>
        </row>
        <row r="44">
          <cell r="A44" t="str">
            <v>Q4627207</v>
          </cell>
          <cell r="B44" t="str">
            <v>ACTIVE</v>
          </cell>
          <cell r="C44" t="str">
            <v>특정사양품(단수)</v>
          </cell>
          <cell r="D44" t="str">
            <v>Q4627207</v>
          </cell>
          <cell r="E44" t="str">
            <v>Pneumatic Cylinder</v>
          </cell>
          <cell r="F44" t="str">
            <v>포스코</v>
          </cell>
          <cell r="G44" t="str">
            <v>CWC(DA),CA,200Dx200Dx220ST,16kgf/cm2,[CDS2T200-200-CJCD0039/SMC],OR EQUIVALENT</v>
          </cell>
          <cell r="H44" t="str">
            <v>1</v>
          </cell>
          <cell r="I44" t="str">
            <v>EA</v>
          </cell>
          <cell r="J44" t="str">
            <v>L</v>
          </cell>
          <cell r="K44" t="str">
            <v>홍성현</v>
          </cell>
          <cell r="Q44" t="str">
            <v>Used Goods</v>
          </cell>
          <cell r="S44" t="str">
            <v>Green Purchase</v>
          </cell>
          <cell r="T44" t="str">
            <v>NONE</v>
          </cell>
          <cell r="U44" t="str">
            <v>Safety Management</v>
          </cell>
          <cell r="W44" t="str">
            <v>Posco Patent</v>
          </cell>
          <cell r="Y44" t="str">
            <v>Or Equivalent</v>
          </cell>
          <cell r="Z44" t="str">
            <v>OR EQUIVALENT</v>
          </cell>
          <cell r="AA44" t="str">
            <v>Cylinder Type</v>
          </cell>
          <cell r="AB44" t="str">
            <v>CWC(DA)</v>
          </cell>
          <cell r="AC44" t="str">
            <v>Mounting Type</v>
          </cell>
          <cell r="AD44" t="str">
            <v>CA</v>
          </cell>
          <cell r="AE44" t="str">
            <v>Bore Size</v>
          </cell>
          <cell r="AF44" t="str">
            <v>200</v>
          </cell>
          <cell r="AG44" t="str">
            <v>Rod Diameter</v>
          </cell>
          <cell r="AH44" t="str">
            <v>200</v>
          </cell>
          <cell r="AI44" t="str">
            <v>Stroke Length</v>
          </cell>
          <cell r="AJ44" t="str">
            <v>220</v>
          </cell>
          <cell r="AK44" t="str">
            <v>Pressure Rating</v>
          </cell>
          <cell r="AL44" t="str">
            <v>16</v>
          </cell>
          <cell r="AM44" t="str">
            <v>Model-1</v>
          </cell>
          <cell r="AN44" t="str">
            <v>CDS2T200-200-CJCD0039</v>
          </cell>
          <cell r="AO44" t="str">
            <v>Maker Name-1</v>
          </cell>
          <cell r="AP44" t="str">
            <v>SMC</v>
          </cell>
          <cell r="AQ44" t="str">
            <v>Option-1</v>
          </cell>
          <cell r="AS44" t="str">
            <v>Model-2</v>
          </cell>
          <cell r="AU44" t="str">
            <v>Maker Name-2</v>
          </cell>
          <cell r="AV44" t="str">
            <v>NONE</v>
          </cell>
          <cell r="AW44" t="str">
            <v>Option-2</v>
          </cell>
          <cell r="AY44" t="str">
            <v>Model-3</v>
          </cell>
          <cell r="BA44" t="str">
            <v>Maker Name-3</v>
          </cell>
          <cell r="BC44" t="str">
            <v>Option-3</v>
          </cell>
          <cell r="BE44" t="str">
            <v>Option &amp; Others</v>
          </cell>
          <cell r="BG44" t="str">
            <v>Application</v>
          </cell>
        </row>
        <row r="45">
          <cell r="A45" t="str">
            <v>Q4627759</v>
          </cell>
          <cell r="B45" t="str">
            <v>ACTIVE</v>
          </cell>
          <cell r="C45" t="str">
            <v>특정사양품(단수)</v>
          </cell>
          <cell r="D45" t="str">
            <v>Q4627759</v>
          </cell>
          <cell r="E45" t="str">
            <v>Pneumatic Cylinder</v>
          </cell>
          <cell r="F45" t="str">
            <v>포스코</v>
          </cell>
          <cell r="G45" t="str">
            <v>CWC(DA),TC,80Dx80Dx150ST,[CA2YT80-150Z-W/SMC],FOR K4H DC0~2 PINCH ROLL POLISHER AIR CYLINDER,OR EQUIVALENT</v>
          </cell>
          <cell r="H45" t="str">
            <v>1</v>
          </cell>
          <cell r="I45" t="str">
            <v>EA</v>
          </cell>
          <cell r="J45" t="str">
            <v>L</v>
          </cell>
          <cell r="K45" t="str">
            <v>김성겸</v>
          </cell>
          <cell r="Q45" t="str">
            <v>Used Goods</v>
          </cell>
          <cell r="S45" t="str">
            <v>Green Purchase</v>
          </cell>
          <cell r="T45" t="str">
            <v>NONE</v>
          </cell>
          <cell r="U45" t="str">
            <v>Safety Management</v>
          </cell>
          <cell r="W45" t="str">
            <v>Posco Patent</v>
          </cell>
          <cell r="Y45" t="str">
            <v>Or Equivalent</v>
          </cell>
          <cell r="Z45" t="str">
            <v>OR EQUIVALENT</v>
          </cell>
          <cell r="AA45" t="str">
            <v>Cylinder Type</v>
          </cell>
          <cell r="AB45" t="str">
            <v>CWC(DA)</v>
          </cell>
          <cell r="AC45" t="str">
            <v>Mounting Type</v>
          </cell>
          <cell r="AD45" t="str">
            <v>TC</v>
          </cell>
          <cell r="AE45" t="str">
            <v>Bore Size</v>
          </cell>
          <cell r="AF45" t="str">
            <v>80</v>
          </cell>
          <cell r="AG45" t="str">
            <v>Rod Diameter</v>
          </cell>
          <cell r="AH45" t="str">
            <v>80</v>
          </cell>
          <cell r="AI45" t="str">
            <v>Stroke Length</v>
          </cell>
          <cell r="AJ45" t="str">
            <v>150</v>
          </cell>
          <cell r="AK45" t="str">
            <v>Pressure Rating</v>
          </cell>
          <cell r="AM45" t="str">
            <v>Model-1</v>
          </cell>
          <cell r="AN45" t="str">
            <v>CA2YT80-150Z-W</v>
          </cell>
          <cell r="AO45" t="str">
            <v>Maker Name-1</v>
          </cell>
          <cell r="AP45" t="str">
            <v>SMC</v>
          </cell>
          <cell r="AQ45" t="str">
            <v>Option-1</v>
          </cell>
          <cell r="AS45" t="str">
            <v>Model-2</v>
          </cell>
          <cell r="AU45" t="str">
            <v>Maker Name-2</v>
          </cell>
          <cell r="AV45" t="str">
            <v>NONE</v>
          </cell>
          <cell r="AW45" t="str">
            <v>Option-2</v>
          </cell>
          <cell r="AY45" t="str">
            <v>Model-3</v>
          </cell>
          <cell r="BA45" t="str">
            <v>Maker Name-3</v>
          </cell>
          <cell r="BC45" t="str">
            <v>Option-3</v>
          </cell>
          <cell r="BE45" t="str">
            <v>Option &amp; Others</v>
          </cell>
          <cell r="BG45" t="str">
            <v>Application</v>
          </cell>
          <cell r="BH45" t="str">
            <v>FOR K4H DC0~2 PINCH ROLL POLISHER AIR CYLINDER</v>
          </cell>
        </row>
        <row r="46">
          <cell r="A46" t="str">
            <v>Q4627795</v>
          </cell>
          <cell r="B46" t="str">
            <v>ACTIVE</v>
          </cell>
          <cell r="C46" t="str">
            <v>특정사양품(단수)</v>
          </cell>
          <cell r="D46" t="str">
            <v>Q4627795</v>
          </cell>
          <cell r="E46" t="str">
            <v>Pneumatic Cylinder</v>
          </cell>
          <cell r="F46" t="str">
            <v>포스코</v>
          </cell>
          <cell r="G46" t="str">
            <v>CSA,LB,40Dx16Dx750ST,10.1kgf/cm2,[MDBB40-750Z-M9N/SMC],WITH SENSOR,MATERIAL TEST SHOP DTTM,OR EQUIVALENT</v>
          </cell>
          <cell r="H46" t="str">
            <v>1</v>
          </cell>
          <cell r="I46" t="str">
            <v>SET</v>
          </cell>
          <cell r="J46" t="str">
            <v>L</v>
          </cell>
          <cell r="K46" t="str">
            <v>장요한</v>
          </cell>
          <cell r="N46" t="str">
            <v>https://www.smckorea.co.kr/homepage/ver3.5/product/catalogue_sub_detail.asp?cata_no=911#</v>
          </cell>
          <cell r="Q46" t="str">
            <v>Used Goods</v>
          </cell>
          <cell r="S46" t="str">
            <v>Green Purchase</v>
          </cell>
          <cell r="T46" t="str">
            <v>NONE</v>
          </cell>
          <cell r="U46" t="str">
            <v>Safety Management</v>
          </cell>
          <cell r="W46" t="str">
            <v>Posco Patent</v>
          </cell>
          <cell r="Y46" t="str">
            <v>Or Equivalent</v>
          </cell>
          <cell r="Z46" t="str">
            <v>OR EQUIVALENT</v>
          </cell>
          <cell r="AA46" t="str">
            <v>Cylinder Type</v>
          </cell>
          <cell r="AB46" t="str">
            <v>CSA</v>
          </cell>
          <cell r="AC46" t="str">
            <v>Mounting Type</v>
          </cell>
          <cell r="AD46" t="str">
            <v>LB</v>
          </cell>
          <cell r="AE46" t="str">
            <v>Bore Size</v>
          </cell>
          <cell r="AF46" t="str">
            <v>40</v>
          </cell>
          <cell r="AG46" t="str">
            <v>Rod Diameter</v>
          </cell>
          <cell r="AH46" t="str">
            <v>16</v>
          </cell>
          <cell r="AI46" t="str">
            <v>Stroke Length</v>
          </cell>
          <cell r="AJ46" t="str">
            <v>750</v>
          </cell>
          <cell r="AK46" t="str">
            <v>Pressure Rating</v>
          </cell>
          <cell r="AL46" t="str">
            <v>10.1</v>
          </cell>
          <cell r="AM46" t="str">
            <v>Model-1</v>
          </cell>
          <cell r="AN46" t="str">
            <v>MDBB40-750Z-M9N</v>
          </cell>
          <cell r="AO46" t="str">
            <v>Maker Name-1</v>
          </cell>
          <cell r="AP46" t="str">
            <v>SMC</v>
          </cell>
          <cell r="AQ46" t="str">
            <v>Option-1</v>
          </cell>
          <cell r="AS46" t="str">
            <v>Model-2</v>
          </cell>
          <cell r="AU46" t="str">
            <v>Maker Name-2</v>
          </cell>
          <cell r="AV46" t="str">
            <v>NONE</v>
          </cell>
          <cell r="AW46" t="str">
            <v>Option-2</v>
          </cell>
          <cell r="AY46" t="str">
            <v>Model-3</v>
          </cell>
          <cell r="BA46" t="str">
            <v>Maker Name-3</v>
          </cell>
          <cell r="BC46" t="str">
            <v>Option-3</v>
          </cell>
          <cell r="BE46" t="str">
            <v>Option &amp; Others</v>
          </cell>
          <cell r="BF46" t="str">
            <v>WITH SENSOR</v>
          </cell>
          <cell r="BG46" t="str">
            <v>Application</v>
          </cell>
          <cell r="BH46" t="str">
            <v>MATERIAL TEST SHOP DTTM</v>
          </cell>
        </row>
        <row r="47">
          <cell r="A47" t="str">
            <v>Q4627796</v>
          </cell>
          <cell r="B47" t="str">
            <v>ACTIVE</v>
          </cell>
          <cell r="C47" t="str">
            <v>특정사양품(단수)</v>
          </cell>
          <cell r="D47" t="str">
            <v>Q4627796</v>
          </cell>
          <cell r="E47" t="str">
            <v>Pneumatic Cylinder</v>
          </cell>
          <cell r="F47" t="str">
            <v>포스코</v>
          </cell>
          <cell r="G47" t="str">
            <v>CSA,LB,40Dx16Dx690ST,10kgf/cm2,[MDBL40-690Z-W-M9N/SMC],WITH SENSOR,MATERIAL TEST SHOP DTTM,OR EQUIVALENT</v>
          </cell>
          <cell r="H47" t="str">
            <v>1</v>
          </cell>
          <cell r="I47" t="str">
            <v>SET</v>
          </cell>
          <cell r="J47" t="str">
            <v>L</v>
          </cell>
          <cell r="K47" t="str">
            <v>장요한</v>
          </cell>
          <cell r="N47" t="str">
            <v>https://www.smckorea.co.kr/homepage/ver3.5/product/catalogue_sub_detail.asp?cata_no=911#</v>
          </cell>
          <cell r="Q47" t="str">
            <v>Used Goods</v>
          </cell>
          <cell r="S47" t="str">
            <v>Green Purchase</v>
          </cell>
          <cell r="T47" t="str">
            <v>NONE</v>
          </cell>
          <cell r="U47" t="str">
            <v>Safety Management</v>
          </cell>
          <cell r="W47" t="str">
            <v>Posco Patent</v>
          </cell>
          <cell r="Y47" t="str">
            <v>Or Equivalent</v>
          </cell>
          <cell r="Z47" t="str">
            <v>OR EQUIVALENT</v>
          </cell>
          <cell r="AA47" t="str">
            <v>Cylinder Type</v>
          </cell>
          <cell r="AB47" t="str">
            <v>CSA</v>
          </cell>
          <cell r="AC47" t="str">
            <v>Mounting Type</v>
          </cell>
          <cell r="AD47" t="str">
            <v>LB</v>
          </cell>
          <cell r="AE47" t="str">
            <v>Bore Size</v>
          </cell>
          <cell r="AF47" t="str">
            <v>40</v>
          </cell>
          <cell r="AG47" t="str">
            <v>Rod Diameter</v>
          </cell>
          <cell r="AH47" t="str">
            <v>16</v>
          </cell>
          <cell r="AI47" t="str">
            <v>Stroke Length</v>
          </cell>
          <cell r="AJ47" t="str">
            <v>690</v>
          </cell>
          <cell r="AK47" t="str">
            <v>Pressure Rating</v>
          </cell>
          <cell r="AL47" t="str">
            <v>10</v>
          </cell>
          <cell r="AM47" t="str">
            <v>Model-1</v>
          </cell>
          <cell r="AN47" t="str">
            <v>MDBL40-690Z-W-M9N</v>
          </cell>
          <cell r="AO47" t="str">
            <v>Maker Name-1</v>
          </cell>
          <cell r="AP47" t="str">
            <v>SMC</v>
          </cell>
          <cell r="AQ47" t="str">
            <v>Option-1</v>
          </cell>
          <cell r="AS47" t="str">
            <v>Model-2</v>
          </cell>
          <cell r="AU47" t="str">
            <v>Maker Name-2</v>
          </cell>
          <cell r="AV47" t="str">
            <v>NONE</v>
          </cell>
          <cell r="AW47" t="str">
            <v>Option-2</v>
          </cell>
          <cell r="AY47" t="str">
            <v>Model-3</v>
          </cell>
          <cell r="BA47" t="str">
            <v>Maker Name-3</v>
          </cell>
          <cell r="BC47" t="str">
            <v>Option-3</v>
          </cell>
          <cell r="BE47" t="str">
            <v>Option &amp; Others</v>
          </cell>
          <cell r="BF47" t="str">
            <v>WITH SENSOR</v>
          </cell>
          <cell r="BG47" t="str">
            <v>Application</v>
          </cell>
          <cell r="BH47" t="str">
            <v>MATERIAL TEST SHOP DTTM</v>
          </cell>
        </row>
        <row r="48">
          <cell r="A48" t="str">
            <v>Q4629827</v>
          </cell>
          <cell r="B48" t="str">
            <v>ACTIVE</v>
          </cell>
          <cell r="C48" t="str">
            <v>특정사양품(단수)</v>
          </cell>
          <cell r="D48" t="str">
            <v>Q4629827</v>
          </cell>
          <cell r="E48" t="str">
            <v>Pneumatic Cylinder</v>
          </cell>
          <cell r="F48" t="str">
            <v>포스코</v>
          </cell>
          <cell r="G48" t="str">
            <v>125Dx727Dx500ST,9.7kgf/cm2,[CDS1TN125-KRD0368-500-Z73L/SMC],MAKER DWG NO:CDS1TN125-KRD0368-500-Z73L,OR EQUIVALENT</v>
          </cell>
          <cell r="H48" t="str">
            <v>1</v>
          </cell>
          <cell r="I48" t="str">
            <v>SET</v>
          </cell>
          <cell r="J48" t="str">
            <v>L</v>
          </cell>
          <cell r="K48" t="str">
            <v>민병찬</v>
          </cell>
          <cell r="Q48" t="str">
            <v>Used Goods</v>
          </cell>
          <cell r="S48" t="str">
            <v>Green Purchase</v>
          </cell>
          <cell r="T48" t="str">
            <v>NONE</v>
          </cell>
          <cell r="U48" t="str">
            <v>Safety Management</v>
          </cell>
          <cell r="W48" t="str">
            <v>Posco Patent</v>
          </cell>
          <cell r="Y48" t="str">
            <v>Or Equivalent</v>
          </cell>
          <cell r="Z48" t="str">
            <v>OR EQUIVALENT</v>
          </cell>
          <cell r="AA48" t="str">
            <v>Cylinder Type</v>
          </cell>
          <cell r="AB48" t="str">
            <v>OTHERS</v>
          </cell>
          <cell r="AC48" t="str">
            <v>Mounting Type</v>
          </cell>
          <cell r="AD48" t="str">
            <v>OTHERS</v>
          </cell>
          <cell r="AE48" t="str">
            <v>Bore Size</v>
          </cell>
          <cell r="AF48" t="str">
            <v>125</v>
          </cell>
          <cell r="AG48" t="str">
            <v>Rod Diameter</v>
          </cell>
          <cell r="AH48" t="str">
            <v>727</v>
          </cell>
          <cell r="AI48" t="str">
            <v>Stroke Length</v>
          </cell>
          <cell r="AJ48" t="str">
            <v>500</v>
          </cell>
          <cell r="AK48" t="str">
            <v>Pressure Rating</v>
          </cell>
          <cell r="AL48" t="str">
            <v>9.7</v>
          </cell>
          <cell r="AM48" t="str">
            <v>Model-1</v>
          </cell>
          <cell r="AN48" t="str">
            <v>CDS1TN125-KRD0368-500-Z73L</v>
          </cell>
          <cell r="AO48" t="str">
            <v>Maker Name-1</v>
          </cell>
          <cell r="AP48" t="str">
            <v>SMC</v>
          </cell>
          <cell r="AQ48" t="str">
            <v>Option-1</v>
          </cell>
          <cell r="AS48" t="str">
            <v>Model-2</v>
          </cell>
          <cell r="AU48" t="str">
            <v>Maker Name-2</v>
          </cell>
          <cell r="AV48" t="str">
            <v>NONE</v>
          </cell>
          <cell r="AW48" t="str">
            <v>Option-2</v>
          </cell>
          <cell r="AY48" t="str">
            <v>Model-3</v>
          </cell>
          <cell r="BA48" t="str">
            <v>Maker Name-3</v>
          </cell>
          <cell r="BC48" t="str">
            <v>Option-3</v>
          </cell>
          <cell r="BE48" t="str">
            <v>Option &amp; Others</v>
          </cell>
          <cell r="BF48" t="str">
            <v>MAKER DWG NO:CDS1TN125-KRD0368-500-Z73L</v>
          </cell>
          <cell r="BG48" t="str">
            <v>Application</v>
          </cell>
        </row>
        <row r="49">
          <cell r="A49" t="str">
            <v>Q4520279</v>
          </cell>
          <cell r="B49" t="str">
            <v>ACTIVE</v>
          </cell>
          <cell r="C49" t="str">
            <v>특정사양품(단수)</v>
          </cell>
          <cell r="D49" t="str">
            <v>Q4520279</v>
          </cell>
          <cell r="E49" t="str">
            <v>Pneumatic Cylinder</v>
          </cell>
          <cell r="F49" t="str">
            <v>포스코</v>
          </cell>
          <cell r="G49" t="str">
            <v>CWC(DA),TA,50Dx20Dx170ST,10kgf/cm2,[CDG1UN50TF-170-CJZH0846/SMC],FOR 2PL UST PROBE HEADER CYLINDER,OR EQUIVALENT</v>
          </cell>
          <cell r="H49" t="str">
            <v>2</v>
          </cell>
          <cell r="I49" t="str">
            <v>EA</v>
          </cell>
          <cell r="K49" t="str">
            <v>장원령</v>
          </cell>
          <cell r="N49" t="str">
            <v>http://www.smckorea.co.kr/ppis/data/catalog/CG1-Z.pdf</v>
          </cell>
          <cell r="Q49" t="str">
            <v>Used Goods</v>
          </cell>
          <cell r="S49" t="str">
            <v>Green Purchase</v>
          </cell>
          <cell r="T49" t="str">
            <v>NONE</v>
          </cell>
          <cell r="U49" t="str">
            <v>Safety Management</v>
          </cell>
          <cell r="V49" t="str">
            <v>NONE</v>
          </cell>
          <cell r="W49" t="str">
            <v>Posco Patent</v>
          </cell>
          <cell r="Y49" t="str">
            <v>Or Equivalent</v>
          </cell>
          <cell r="Z49" t="str">
            <v>OR EQUIVALENT</v>
          </cell>
          <cell r="AA49" t="str">
            <v>Cylinder Type</v>
          </cell>
          <cell r="AB49" t="str">
            <v>CWC(DA)</v>
          </cell>
          <cell r="AC49" t="str">
            <v>Mounting Type</v>
          </cell>
          <cell r="AD49" t="str">
            <v>TA</v>
          </cell>
          <cell r="AE49" t="str">
            <v>Bore Size</v>
          </cell>
          <cell r="AF49" t="str">
            <v>50</v>
          </cell>
          <cell r="AG49" t="str">
            <v>Rod Diameter</v>
          </cell>
          <cell r="AH49" t="str">
            <v>20</v>
          </cell>
          <cell r="AI49" t="str">
            <v>Stroke Length</v>
          </cell>
          <cell r="AJ49" t="str">
            <v>170</v>
          </cell>
          <cell r="AK49" t="str">
            <v>Pressure Rating</v>
          </cell>
          <cell r="AL49" t="str">
            <v>10</v>
          </cell>
          <cell r="AM49" t="str">
            <v>Model-1</v>
          </cell>
          <cell r="AN49" t="str">
            <v>CDG1UN50TF-170-CJZH0846</v>
          </cell>
          <cell r="AO49" t="str">
            <v>Maker Name-1</v>
          </cell>
          <cell r="AP49" t="str">
            <v>SMC</v>
          </cell>
          <cell r="AQ49" t="str">
            <v>Option-1</v>
          </cell>
          <cell r="AS49" t="str">
            <v>Model-2</v>
          </cell>
          <cell r="AU49" t="str">
            <v>Maker Name-2</v>
          </cell>
          <cell r="AV49" t="str">
            <v>NONE</v>
          </cell>
          <cell r="AW49" t="str">
            <v>Option-2</v>
          </cell>
          <cell r="AY49" t="str">
            <v>Model-3</v>
          </cell>
          <cell r="BA49" t="str">
            <v>Maker Name-3</v>
          </cell>
          <cell r="BC49" t="str">
            <v>Option-3</v>
          </cell>
          <cell r="BE49" t="str">
            <v>Option &amp; Others</v>
          </cell>
          <cell r="BG49" t="str">
            <v>Application</v>
          </cell>
          <cell r="BH49" t="str">
            <v>FOR 2PL UST PROBE HEADER CYLINDER</v>
          </cell>
        </row>
        <row r="50">
          <cell r="A50" t="str">
            <v>Q4642442</v>
          </cell>
          <cell r="B50" t="str">
            <v>ACTIVE</v>
          </cell>
          <cell r="C50" t="str">
            <v>특정사양품(단수)</v>
          </cell>
          <cell r="D50" t="str">
            <v>Q4642442</v>
          </cell>
          <cell r="E50" t="str">
            <v>Pneumatic Cylinder</v>
          </cell>
          <cell r="F50" t="str">
            <v>포스코</v>
          </cell>
          <cell r="G50" t="str">
            <v>CWC(DA),TC,63Dx20Dx125ST,7kgf/cm2,[CA2WT63-125KKZ-NW-XC5/SMC],FOR 2SMP SUB LANCE LOCKING DEVICE,OR EQUIVALENT</v>
          </cell>
          <cell r="H50" t="str">
            <v>1</v>
          </cell>
          <cell r="I50" t="str">
            <v>EA</v>
          </cell>
          <cell r="J50" t="str">
            <v>L</v>
          </cell>
          <cell r="K50" t="str">
            <v>하성원</v>
          </cell>
          <cell r="N50" t="str">
            <v>https://www.smckorea.co.kr/ppis/data/catalog/CA2-Z.pdf?ver=9343.67818688394</v>
          </cell>
          <cell r="Q50" t="str">
            <v>Used Goods</v>
          </cell>
          <cell r="S50" t="str">
            <v>Green Purchase</v>
          </cell>
          <cell r="T50" t="str">
            <v>NONE</v>
          </cell>
          <cell r="U50" t="str">
            <v>Safety Management</v>
          </cell>
          <cell r="W50" t="str">
            <v>Posco Patent</v>
          </cell>
          <cell r="Y50" t="str">
            <v>Or Equivalent</v>
          </cell>
          <cell r="Z50" t="str">
            <v>OR EQUIVALENT</v>
          </cell>
          <cell r="AA50" t="str">
            <v>Cylinder Type</v>
          </cell>
          <cell r="AB50" t="str">
            <v>CWC(DA)</v>
          </cell>
          <cell r="AC50" t="str">
            <v>Mounting Type</v>
          </cell>
          <cell r="AD50" t="str">
            <v>TC</v>
          </cell>
          <cell r="AE50" t="str">
            <v>Bore Size</v>
          </cell>
          <cell r="AF50" t="str">
            <v>63</v>
          </cell>
          <cell r="AG50" t="str">
            <v>Rod Diameter</v>
          </cell>
          <cell r="AH50" t="str">
            <v>20</v>
          </cell>
          <cell r="AI50" t="str">
            <v>Stroke Length</v>
          </cell>
          <cell r="AJ50" t="str">
            <v>125</v>
          </cell>
          <cell r="AK50" t="str">
            <v>Pressure Rating</v>
          </cell>
          <cell r="AL50" t="str">
            <v>7</v>
          </cell>
          <cell r="AM50" t="str">
            <v>Model-1</v>
          </cell>
          <cell r="AN50" t="str">
            <v>CA2WT63-125KKZ-NW-XC5</v>
          </cell>
          <cell r="AO50" t="str">
            <v>Maker Name-1</v>
          </cell>
          <cell r="AP50" t="str">
            <v>SMC</v>
          </cell>
          <cell r="AQ50" t="str">
            <v>Option-1</v>
          </cell>
          <cell r="AS50" t="str">
            <v>Model-2</v>
          </cell>
          <cell r="AU50" t="str">
            <v>Maker Name-2</v>
          </cell>
          <cell r="AV50" t="str">
            <v>NONE</v>
          </cell>
          <cell r="AW50" t="str">
            <v>Option-2</v>
          </cell>
          <cell r="AY50" t="str">
            <v>Model-3</v>
          </cell>
          <cell r="BA50" t="str">
            <v>Maker Name-3</v>
          </cell>
          <cell r="BC50" t="str">
            <v>Option-3</v>
          </cell>
          <cell r="BE50" t="str">
            <v>Option &amp; Others</v>
          </cell>
          <cell r="BG50" t="str">
            <v>Application</v>
          </cell>
          <cell r="BH50" t="str">
            <v>FOR 2SMP SUB LANCE LOCKING DEVICE</v>
          </cell>
        </row>
        <row r="51">
          <cell r="A51" t="str">
            <v>Q4636670</v>
          </cell>
          <cell r="B51" t="str">
            <v>ACTIVE</v>
          </cell>
          <cell r="C51" t="str">
            <v>특정사양품(단수)</v>
          </cell>
          <cell r="D51" t="str">
            <v>Q4636670</v>
          </cell>
          <cell r="E51" t="str">
            <v>Pneumatic Cylinder</v>
          </cell>
          <cell r="F51" t="str">
            <v>포스코</v>
          </cell>
          <cell r="G51" t="str">
            <v>CWC(DA),CA,320Dx320Dx250ST,[CDS2T320-250-CJCD0239/SMC],MAKER DWG NO:CDS2T320-250-CJCD0239,OR EQUIVALENT</v>
          </cell>
          <cell r="H51" t="str">
            <v>1</v>
          </cell>
          <cell r="I51" t="str">
            <v>EA</v>
          </cell>
          <cell r="J51" t="str">
            <v>L</v>
          </cell>
          <cell r="K51" t="str">
            <v>홍성현</v>
          </cell>
          <cell r="Q51" t="str">
            <v>Used Goods</v>
          </cell>
          <cell r="S51" t="str">
            <v>Green Purchase</v>
          </cell>
          <cell r="T51" t="str">
            <v>NONE</v>
          </cell>
          <cell r="U51" t="str">
            <v>Safety Management</v>
          </cell>
          <cell r="W51" t="str">
            <v>Posco Patent</v>
          </cell>
          <cell r="Y51" t="str">
            <v>Or Equivalent</v>
          </cell>
          <cell r="Z51" t="str">
            <v>OR EQUIVALENT</v>
          </cell>
          <cell r="AA51" t="str">
            <v>Cylinder Type</v>
          </cell>
          <cell r="AB51" t="str">
            <v>CWC(DA)</v>
          </cell>
          <cell r="AC51" t="str">
            <v>Mounting Type</v>
          </cell>
          <cell r="AD51" t="str">
            <v>CA</v>
          </cell>
          <cell r="AE51" t="str">
            <v>Bore Size</v>
          </cell>
          <cell r="AF51" t="str">
            <v>320</v>
          </cell>
          <cell r="AG51" t="str">
            <v>Rod Diameter</v>
          </cell>
          <cell r="AH51" t="str">
            <v>320</v>
          </cell>
          <cell r="AI51" t="str">
            <v>Stroke Length</v>
          </cell>
          <cell r="AJ51" t="str">
            <v>250</v>
          </cell>
          <cell r="AK51" t="str">
            <v>Pressure Rating</v>
          </cell>
          <cell r="AM51" t="str">
            <v>Model-1</v>
          </cell>
          <cell r="AN51" t="str">
            <v>CDS2T320-250-CJCD0239</v>
          </cell>
          <cell r="AO51" t="str">
            <v>Maker Name-1</v>
          </cell>
          <cell r="AP51" t="str">
            <v>SMC</v>
          </cell>
          <cell r="AQ51" t="str">
            <v>Option-1</v>
          </cell>
          <cell r="AS51" t="str">
            <v>Model-2</v>
          </cell>
          <cell r="AU51" t="str">
            <v>Maker Name-2</v>
          </cell>
          <cell r="AV51" t="str">
            <v>NONE</v>
          </cell>
          <cell r="AW51" t="str">
            <v>Option-2</v>
          </cell>
          <cell r="AY51" t="str">
            <v>Model-3</v>
          </cell>
          <cell r="BA51" t="str">
            <v>Maker Name-3</v>
          </cell>
          <cell r="BC51" t="str">
            <v>Option-3</v>
          </cell>
          <cell r="BE51" t="str">
            <v>Option &amp; Others</v>
          </cell>
          <cell r="BF51" t="str">
            <v>MAKER DWG NO:CDS2T320-250-CJCD0239</v>
          </cell>
          <cell r="BG51" t="str">
            <v>Application</v>
          </cell>
        </row>
        <row r="52">
          <cell r="A52" t="str">
            <v>Q4648582</v>
          </cell>
          <cell r="B52" t="str">
            <v>ACTIVE</v>
          </cell>
          <cell r="C52" t="str">
            <v>특정사양품(단수)</v>
          </cell>
          <cell r="D52" t="str">
            <v>Q4648582</v>
          </cell>
          <cell r="E52" t="str">
            <v>Pneumatic Cylinder</v>
          </cell>
          <cell r="F52" t="str">
            <v>포스코</v>
          </cell>
          <cell r="G52" t="str">
            <v>CWC(DA),TC,80Dx25Dx800ST,10kgf/cm2,[CA2T80-800KZ-NW-XB6/SMC],FOR 2SMP DE-P SUB LANCE SLIDE GATE,OR EQUIVALENT</v>
          </cell>
          <cell r="H52" t="str">
            <v>1</v>
          </cell>
          <cell r="I52" t="str">
            <v>SET</v>
          </cell>
          <cell r="J52" t="str">
            <v>L</v>
          </cell>
          <cell r="K52" t="str">
            <v>하성원</v>
          </cell>
          <cell r="N52" t="str">
            <v>https://www.smckorea.co.kr/homepage/ver3.5/product/catalogue_sub_detail.asp?cata_no=913</v>
          </cell>
          <cell r="Q52" t="str">
            <v>Used Goods</v>
          </cell>
          <cell r="S52" t="str">
            <v>Green Purchase</v>
          </cell>
          <cell r="T52" t="str">
            <v>NONE</v>
          </cell>
          <cell r="U52" t="str">
            <v>Safety Management</v>
          </cell>
          <cell r="W52" t="str">
            <v>Posco Patent</v>
          </cell>
          <cell r="Y52" t="str">
            <v>Or Equivalent</v>
          </cell>
          <cell r="Z52" t="str">
            <v>OR EQUIVALENT</v>
          </cell>
          <cell r="AA52" t="str">
            <v>Cylinder Type</v>
          </cell>
          <cell r="AB52" t="str">
            <v>CWC(DA)</v>
          </cell>
          <cell r="AC52" t="str">
            <v>Mounting Type</v>
          </cell>
          <cell r="AD52" t="str">
            <v>TC</v>
          </cell>
          <cell r="AE52" t="str">
            <v>Bore Size</v>
          </cell>
          <cell r="AF52" t="str">
            <v>80</v>
          </cell>
          <cell r="AG52" t="str">
            <v>Rod Diameter</v>
          </cell>
          <cell r="AH52" t="str">
            <v>25</v>
          </cell>
          <cell r="AI52" t="str">
            <v>Stroke Length</v>
          </cell>
          <cell r="AJ52" t="str">
            <v>800</v>
          </cell>
          <cell r="AK52" t="str">
            <v>Pressure Rating</v>
          </cell>
          <cell r="AL52" t="str">
            <v>10</v>
          </cell>
          <cell r="AM52" t="str">
            <v>Model-1</v>
          </cell>
          <cell r="AN52" t="str">
            <v>CA2T80-800KZ-NW-XB6</v>
          </cell>
          <cell r="AO52" t="str">
            <v>Maker Name-1</v>
          </cell>
          <cell r="AP52" t="str">
            <v>SMC</v>
          </cell>
          <cell r="AQ52" t="str">
            <v>Option-1</v>
          </cell>
          <cell r="AS52" t="str">
            <v>Model-2</v>
          </cell>
          <cell r="AU52" t="str">
            <v>Maker Name-2</v>
          </cell>
          <cell r="AV52" t="str">
            <v>NONE</v>
          </cell>
          <cell r="AW52" t="str">
            <v>Option-2</v>
          </cell>
          <cell r="AY52" t="str">
            <v>Model-3</v>
          </cell>
          <cell r="BA52" t="str">
            <v>Maker Name-3</v>
          </cell>
          <cell r="BC52" t="str">
            <v>Option-3</v>
          </cell>
          <cell r="BE52" t="str">
            <v>Option &amp; Others</v>
          </cell>
          <cell r="BG52" t="str">
            <v>Application</v>
          </cell>
          <cell r="BH52" t="str">
            <v>FOR 2SMP DE-P SUB LANCE SLIDE GATE</v>
          </cell>
        </row>
        <row r="53">
          <cell r="A53" t="str">
            <v>Q4649046</v>
          </cell>
          <cell r="B53" t="str">
            <v>ACTIVE</v>
          </cell>
          <cell r="C53" t="str">
            <v>특정사양품(단수)</v>
          </cell>
          <cell r="D53" t="str">
            <v>Q4649046</v>
          </cell>
          <cell r="E53" t="str">
            <v>Pneumatic Cylinder</v>
          </cell>
          <cell r="F53" t="str">
            <v>포스코</v>
          </cell>
          <cell r="G53" t="str">
            <v>CWC(DA),CC,40Dx14Dx350ST,10kgf/cm2,[CDBM2B40-350-HN-A93/SMC],FOR 3CAL SAMPLE MACHINE "Y" HEAD,OR EQUIVALENT</v>
          </cell>
          <cell r="H53" t="str">
            <v>1</v>
          </cell>
          <cell r="I53" t="str">
            <v>EA</v>
          </cell>
          <cell r="J53" t="str">
            <v>L</v>
          </cell>
          <cell r="K53" t="str">
            <v>김응백</v>
          </cell>
          <cell r="N53" t="str">
            <v>https://www.smckorea.co.kr/ppis/data/catalog/CM2-Z.pdf</v>
          </cell>
          <cell r="Q53" t="str">
            <v>Used Goods</v>
          </cell>
          <cell r="S53" t="str">
            <v>Green Purchase</v>
          </cell>
          <cell r="T53" t="str">
            <v>NONE</v>
          </cell>
          <cell r="U53" t="str">
            <v>Safety Management</v>
          </cell>
          <cell r="W53" t="str">
            <v>Posco Patent</v>
          </cell>
          <cell r="Y53" t="str">
            <v>Or Equivalent</v>
          </cell>
          <cell r="Z53" t="str">
            <v>OR EQUIVALENT</v>
          </cell>
          <cell r="AA53" t="str">
            <v>Cylinder Type</v>
          </cell>
          <cell r="AB53" t="str">
            <v>CWC(DA)</v>
          </cell>
          <cell r="AC53" t="str">
            <v>Mounting Type</v>
          </cell>
          <cell r="AD53" t="str">
            <v>CC</v>
          </cell>
          <cell r="AE53" t="str">
            <v>Bore Size</v>
          </cell>
          <cell r="AF53" t="str">
            <v>40</v>
          </cell>
          <cell r="AG53" t="str">
            <v>Rod Diameter</v>
          </cell>
          <cell r="AH53" t="str">
            <v>14</v>
          </cell>
          <cell r="AI53" t="str">
            <v>Stroke Length</v>
          </cell>
          <cell r="AJ53" t="str">
            <v>350</v>
          </cell>
          <cell r="AK53" t="str">
            <v>Pressure Rating</v>
          </cell>
          <cell r="AL53" t="str">
            <v>10</v>
          </cell>
          <cell r="AM53" t="str">
            <v>Model-1</v>
          </cell>
          <cell r="AN53" t="str">
            <v>CDBM2B40-350-HN-A93</v>
          </cell>
          <cell r="AO53" t="str">
            <v>Maker Name-1</v>
          </cell>
          <cell r="AP53" t="str">
            <v>SMC</v>
          </cell>
          <cell r="AQ53" t="str">
            <v>Option-1</v>
          </cell>
          <cell r="AS53" t="str">
            <v>Model-2</v>
          </cell>
          <cell r="AU53" t="str">
            <v>Maker Name-2</v>
          </cell>
          <cell r="AV53" t="str">
            <v>NONE</v>
          </cell>
          <cell r="AW53" t="str">
            <v>Option-2</v>
          </cell>
          <cell r="AY53" t="str">
            <v>Model-3</v>
          </cell>
          <cell r="BA53" t="str">
            <v>Maker Name-3</v>
          </cell>
          <cell r="BC53" t="str">
            <v>Option-3</v>
          </cell>
          <cell r="BE53" t="str">
            <v>Option &amp; Others</v>
          </cell>
          <cell r="BG53" t="str">
            <v>Application</v>
          </cell>
          <cell r="BH53" t="str">
            <v>FOR 3CAL SAMPLE MACHINE "Y" HEAD</v>
          </cell>
        </row>
        <row r="54">
          <cell r="A54" t="str">
            <v>Q4504927</v>
          </cell>
          <cell r="B54" t="str">
            <v>ACTIVE</v>
          </cell>
          <cell r="C54" t="str">
            <v>특정사양품(단수)</v>
          </cell>
          <cell r="D54" t="str">
            <v>Q4504927</v>
          </cell>
          <cell r="E54" t="str">
            <v>Pneumatic Cylinder</v>
          </cell>
          <cell r="F54" t="str">
            <v>포스코</v>
          </cell>
          <cell r="G54" t="str">
            <v>CWC(DA),TC,40Dx16Dx125ST,10kgf/cm2,[CDA2T40-125Z-NW-M9BW/SMC]</v>
          </cell>
          <cell r="H54" t="str">
            <v>2</v>
          </cell>
          <cell r="I54" t="str">
            <v>SET</v>
          </cell>
          <cell r="K54" t="str">
            <v>김경수</v>
          </cell>
          <cell r="N54" t="str">
            <v>https://www.smckorea.co.kr/</v>
          </cell>
          <cell r="Q54" t="str">
            <v>Used Goods</v>
          </cell>
          <cell r="S54" t="str">
            <v>Green Purchase</v>
          </cell>
          <cell r="T54" t="str">
            <v>NONE</v>
          </cell>
          <cell r="U54" t="str">
            <v>Safety Management</v>
          </cell>
          <cell r="V54" t="str">
            <v>NONE</v>
          </cell>
          <cell r="W54" t="str">
            <v>Posco Patent</v>
          </cell>
          <cell r="Y54" t="str">
            <v>Or Equivalent</v>
          </cell>
          <cell r="AA54" t="str">
            <v>Cylinder Type</v>
          </cell>
          <cell r="AB54" t="str">
            <v>CWC(DA)</v>
          </cell>
          <cell r="AC54" t="str">
            <v>Mounting Type</v>
          </cell>
          <cell r="AD54" t="str">
            <v>TC</v>
          </cell>
          <cell r="AE54" t="str">
            <v>Bore Size</v>
          </cell>
          <cell r="AF54" t="str">
            <v>40</v>
          </cell>
          <cell r="AG54" t="str">
            <v>Rod Diameter</v>
          </cell>
          <cell r="AH54" t="str">
            <v>16</v>
          </cell>
          <cell r="AI54" t="str">
            <v>Stroke Length</v>
          </cell>
          <cell r="AJ54" t="str">
            <v>125</v>
          </cell>
          <cell r="AK54" t="str">
            <v>Pressure Rating</v>
          </cell>
          <cell r="AL54" t="str">
            <v xml:space="preserve"> 10</v>
          </cell>
          <cell r="AM54" t="str">
            <v>Model-1</v>
          </cell>
          <cell r="AN54" t="str">
            <v>CDA2T40-125Z-NW-M9BW</v>
          </cell>
          <cell r="AO54" t="str">
            <v>Maker Name-1</v>
          </cell>
          <cell r="AP54" t="str">
            <v>SMC</v>
          </cell>
          <cell r="AQ54" t="str">
            <v>Option-1</v>
          </cell>
          <cell r="AS54" t="str">
            <v>Model-2</v>
          </cell>
          <cell r="AU54" t="str">
            <v>Maker Name-2</v>
          </cell>
          <cell r="AV54" t="str">
            <v>NONE</v>
          </cell>
          <cell r="AW54" t="str">
            <v>Option-2</v>
          </cell>
          <cell r="AY54" t="str">
            <v>Model-3</v>
          </cell>
          <cell r="BA54" t="str">
            <v>Maker Name-3</v>
          </cell>
          <cell r="BC54" t="str">
            <v>Option-3</v>
          </cell>
          <cell r="BE54" t="str">
            <v>Option &amp; Others</v>
          </cell>
          <cell r="BG54" t="str">
            <v>Application</v>
          </cell>
        </row>
        <row r="55">
          <cell r="A55" t="str">
            <v>Q4655802</v>
          </cell>
          <cell r="B55" t="str">
            <v>ACTIVE</v>
          </cell>
          <cell r="C55" t="str">
            <v>특정사양품(단수)</v>
          </cell>
          <cell r="D55" t="str">
            <v>Q4655802</v>
          </cell>
          <cell r="E55" t="str">
            <v>Pneumatic Cylinder</v>
          </cell>
          <cell r="F55" t="str">
            <v>포스코</v>
          </cell>
          <cell r="G55" t="str">
            <v>CWC(DA),TA,80Dx50Dx200ST,10kgf/cm2,[CDA2T80-KRT09KO-200Z-A54L3/SMC],FOR K1SMP 1RH SAMPLING PROBE LOADING CLAMP ROTATE,OR EQUIVALENT</v>
          </cell>
          <cell r="H55" t="str">
            <v>1</v>
          </cell>
          <cell r="I55" t="str">
            <v>EA</v>
          </cell>
          <cell r="J55" t="str">
            <v>L</v>
          </cell>
          <cell r="K55" t="str">
            <v>남태현</v>
          </cell>
          <cell r="N55" t="str">
            <v>https://www.smckorea.co.kr/ppis/data/catalog/CA2-Z.pdf</v>
          </cell>
          <cell r="Q55" t="str">
            <v>Used Goods</v>
          </cell>
          <cell r="S55" t="str">
            <v>Green Purchase</v>
          </cell>
          <cell r="T55" t="str">
            <v>NONE</v>
          </cell>
          <cell r="U55" t="str">
            <v>Safety Management</v>
          </cell>
          <cell r="W55" t="str">
            <v>Posco Patent</v>
          </cell>
          <cell r="Y55" t="str">
            <v>Or Equivalent</v>
          </cell>
          <cell r="Z55" t="str">
            <v>OR EQUIVALENT</v>
          </cell>
          <cell r="AA55" t="str">
            <v>Cylinder Type</v>
          </cell>
          <cell r="AB55" t="str">
            <v>CWC(DA)</v>
          </cell>
          <cell r="AC55" t="str">
            <v>Mounting Type</v>
          </cell>
          <cell r="AD55" t="str">
            <v>TA</v>
          </cell>
          <cell r="AE55" t="str">
            <v>Bore Size</v>
          </cell>
          <cell r="AF55" t="str">
            <v>80</v>
          </cell>
          <cell r="AG55" t="str">
            <v>Rod Diameter</v>
          </cell>
          <cell r="AH55" t="str">
            <v>50</v>
          </cell>
          <cell r="AI55" t="str">
            <v>Stroke Length</v>
          </cell>
          <cell r="AJ55" t="str">
            <v>200</v>
          </cell>
          <cell r="AK55" t="str">
            <v>Pressure Rating</v>
          </cell>
          <cell r="AL55" t="str">
            <v>10</v>
          </cell>
          <cell r="AM55" t="str">
            <v>Model-1</v>
          </cell>
          <cell r="AN55" t="str">
            <v>CDA2T80-KRT09KO-200Z-A54L3</v>
          </cell>
          <cell r="AO55" t="str">
            <v>Maker Name-1</v>
          </cell>
          <cell r="AP55" t="str">
            <v>SMC</v>
          </cell>
          <cell r="AQ55" t="str">
            <v>Option-1</v>
          </cell>
          <cell r="AS55" t="str">
            <v>Model-2</v>
          </cell>
          <cell r="AU55" t="str">
            <v>Maker Name-2</v>
          </cell>
          <cell r="AV55" t="str">
            <v>NONE</v>
          </cell>
          <cell r="AW55" t="str">
            <v>Option-2</v>
          </cell>
          <cell r="AY55" t="str">
            <v>Model-3</v>
          </cell>
          <cell r="BA55" t="str">
            <v>Maker Name-3</v>
          </cell>
          <cell r="BC55" t="str">
            <v>Option-3</v>
          </cell>
          <cell r="BE55" t="str">
            <v>Option &amp; Others</v>
          </cell>
          <cell r="BG55" t="str">
            <v>Application</v>
          </cell>
          <cell r="BH55" t="str">
            <v>FOR K1SMP 1RH SAMPLING PROBE LOADING CLAMP ROTATE</v>
          </cell>
        </row>
        <row r="56">
          <cell r="A56" t="str">
            <v>Q4658997</v>
          </cell>
          <cell r="B56" t="str">
            <v>ACTIVE</v>
          </cell>
          <cell r="C56" t="str">
            <v>특정사양품(단수)</v>
          </cell>
          <cell r="D56" t="str">
            <v>Q4658997</v>
          </cell>
          <cell r="E56" t="str">
            <v>Pneumatic Cylinder</v>
          </cell>
          <cell r="F56" t="str">
            <v>포스코</v>
          </cell>
          <cell r="G56" t="str">
            <v>CWC(DA),CC,140Dx300ST,9.9kgf/cm2,[CS1DN140-KRT04K0-300-XC5/SMC],7GGL AL INGOT FEEDER,OR EQUIVALENT</v>
          </cell>
          <cell r="H56" t="str">
            <v>1</v>
          </cell>
          <cell r="I56" t="str">
            <v>SET</v>
          </cell>
          <cell r="J56" t="str">
            <v>L</v>
          </cell>
          <cell r="K56" t="str">
            <v>김형종</v>
          </cell>
          <cell r="N56" t="str">
            <v>https://www.smckorea.co.kr/ppis/data/catalog/CS1.pdf?ver=5456.764074372962</v>
          </cell>
          <cell r="Q56" t="str">
            <v>Used Goods</v>
          </cell>
          <cell r="S56" t="str">
            <v>Green Purchase</v>
          </cell>
          <cell r="T56" t="str">
            <v>NONE</v>
          </cell>
          <cell r="U56" t="str">
            <v>Safety Management</v>
          </cell>
          <cell r="W56" t="str">
            <v>Posco Patent</v>
          </cell>
          <cell r="Y56" t="str">
            <v>Or Equivalent</v>
          </cell>
          <cell r="Z56" t="str">
            <v>OR EQUIVALENT</v>
          </cell>
          <cell r="AA56" t="str">
            <v>Cylinder Type</v>
          </cell>
          <cell r="AB56" t="str">
            <v>CWC(DA)</v>
          </cell>
          <cell r="AC56" t="str">
            <v>Mounting Type</v>
          </cell>
          <cell r="AD56" t="str">
            <v>CC</v>
          </cell>
          <cell r="AE56" t="str">
            <v>Bore Size</v>
          </cell>
          <cell r="AF56" t="str">
            <v>140</v>
          </cell>
          <cell r="AG56" t="str">
            <v>Rod Diameter</v>
          </cell>
          <cell r="AH56" t="str">
            <v>9999</v>
          </cell>
          <cell r="AI56" t="str">
            <v>Stroke Length</v>
          </cell>
          <cell r="AJ56" t="str">
            <v>300</v>
          </cell>
          <cell r="AK56" t="str">
            <v>Pressure Rating</v>
          </cell>
          <cell r="AL56" t="str">
            <v>9.9</v>
          </cell>
          <cell r="AM56" t="str">
            <v>Model-1</v>
          </cell>
          <cell r="AN56" t="str">
            <v>CS1DN140-KRT04K0-300-XC5</v>
          </cell>
          <cell r="AO56" t="str">
            <v>Maker Name-1</v>
          </cell>
          <cell r="AP56" t="str">
            <v>SMC</v>
          </cell>
          <cell r="AQ56" t="str">
            <v>Option-1</v>
          </cell>
          <cell r="AS56" t="str">
            <v>Model-2</v>
          </cell>
          <cell r="AU56" t="str">
            <v>Maker Name-2</v>
          </cell>
          <cell r="AV56" t="str">
            <v>NONE</v>
          </cell>
          <cell r="AW56" t="str">
            <v>Option-2</v>
          </cell>
          <cell r="AY56" t="str">
            <v>Model-3</v>
          </cell>
          <cell r="BA56" t="str">
            <v>Maker Name-3</v>
          </cell>
          <cell r="BC56" t="str">
            <v>Option-3</v>
          </cell>
          <cell r="BE56" t="str">
            <v>Option &amp; Others</v>
          </cell>
          <cell r="BG56" t="str">
            <v>Application</v>
          </cell>
          <cell r="BH56" t="str">
            <v>7GGL AL INGOT FEEDER</v>
          </cell>
        </row>
        <row r="57">
          <cell r="A57" t="str">
            <v>Q4661659</v>
          </cell>
          <cell r="B57" t="str">
            <v>ACTIVE</v>
          </cell>
          <cell r="C57" t="str">
            <v>특정사양품(단수)</v>
          </cell>
          <cell r="D57" t="str">
            <v>Q4661659</v>
          </cell>
          <cell r="E57" t="str">
            <v>Pneumatic Cylinder</v>
          </cell>
          <cell r="F57" t="str">
            <v>포스코</v>
          </cell>
          <cell r="G57" t="str">
            <v>CWC(DA),FA,30Dx100Dx220ST,[ACM-N FA 100-S220/KCC],FOR K1APL EXIT SIDE GUIDE OPEN CLOSE,OR EQUIVALENT</v>
          </cell>
          <cell r="H57" t="str">
            <v>1</v>
          </cell>
          <cell r="I57" t="str">
            <v>SET</v>
          </cell>
          <cell r="J57" t="str">
            <v>L</v>
          </cell>
          <cell r="K57" t="str">
            <v>박원준</v>
          </cell>
          <cell r="N57" t="str">
            <v>https://www.kccpr.com/bbs/board.php?bo_table=Pneumatic_cylinder&amp;wr_id=2&amp;sca=%ED%91%9C%EC%A4%80+%EC%8B%A4%EB%A6%B0%EB%8D%94</v>
          </cell>
          <cell r="Q57" t="str">
            <v>Used Goods</v>
          </cell>
          <cell r="S57" t="str">
            <v>Green Purchase</v>
          </cell>
          <cell r="T57" t="str">
            <v>NONE</v>
          </cell>
          <cell r="U57" t="str">
            <v>Safety Management</v>
          </cell>
          <cell r="W57" t="str">
            <v>Posco Patent</v>
          </cell>
          <cell r="Y57" t="str">
            <v>Or Equivalent</v>
          </cell>
          <cell r="Z57" t="str">
            <v>OR EQUIVALENT</v>
          </cell>
          <cell r="AA57" t="str">
            <v>Cylinder Type</v>
          </cell>
          <cell r="AB57" t="str">
            <v>CWC(DA)</v>
          </cell>
          <cell r="AC57" t="str">
            <v>Mounting Type</v>
          </cell>
          <cell r="AD57" t="str">
            <v>FA</v>
          </cell>
          <cell r="AE57" t="str">
            <v>Bore Size</v>
          </cell>
          <cell r="AF57" t="str">
            <v>30</v>
          </cell>
          <cell r="AG57" t="str">
            <v>Rod Diameter</v>
          </cell>
          <cell r="AH57" t="str">
            <v>100</v>
          </cell>
          <cell r="AI57" t="str">
            <v>Stroke Length</v>
          </cell>
          <cell r="AJ57" t="str">
            <v>220</v>
          </cell>
          <cell r="AK57" t="str">
            <v>Pressure Rating</v>
          </cell>
          <cell r="AL57" t="str">
            <v>9999</v>
          </cell>
          <cell r="AM57" t="str">
            <v>Model-1</v>
          </cell>
          <cell r="AN57" t="str">
            <v>ACM-N FA 100-S220</v>
          </cell>
          <cell r="AO57" t="str">
            <v>Maker Name-1</v>
          </cell>
          <cell r="AP57" t="str">
            <v>KCC</v>
          </cell>
          <cell r="AQ57" t="str">
            <v>Option-1</v>
          </cell>
          <cell r="AS57" t="str">
            <v>Model-2</v>
          </cell>
          <cell r="AU57" t="str">
            <v>Maker Name-2</v>
          </cell>
          <cell r="AV57" t="str">
            <v>NONE</v>
          </cell>
          <cell r="AW57" t="str">
            <v>Option-2</v>
          </cell>
          <cell r="AY57" t="str">
            <v>Model-3</v>
          </cell>
          <cell r="BA57" t="str">
            <v>Maker Name-3</v>
          </cell>
          <cell r="BC57" t="str">
            <v>Option-3</v>
          </cell>
          <cell r="BE57" t="str">
            <v>Option &amp; Others</v>
          </cell>
          <cell r="BG57" t="str">
            <v>Application</v>
          </cell>
          <cell r="BH57" t="str">
            <v>FOR K1APL EXIT SIDE GUIDE OPEN CLOSE</v>
          </cell>
        </row>
        <row r="58">
          <cell r="A58" t="str">
            <v>Q4661796</v>
          </cell>
          <cell r="B58" t="str">
            <v>ACTIVE</v>
          </cell>
          <cell r="C58" t="str">
            <v>특정사양품(단수)</v>
          </cell>
          <cell r="D58" t="str">
            <v>Q4661796</v>
          </cell>
          <cell r="E58" t="str">
            <v>Pneumatic Cylinder</v>
          </cell>
          <cell r="F58" t="str">
            <v>포스코</v>
          </cell>
          <cell r="G58" t="str">
            <v>CWC(DA),CA,250Dx150ST,[CS1CN250-KRD0368-150/SMC],FOR K1APL NO.6 TBR SNUBBER ROLL UP/DOWN,OR EQUIVALENT</v>
          </cell>
          <cell r="H58" t="str">
            <v>1</v>
          </cell>
          <cell r="I58" t="str">
            <v>SET</v>
          </cell>
          <cell r="J58" t="str">
            <v>L</v>
          </cell>
          <cell r="K58" t="str">
            <v>박원준</v>
          </cell>
          <cell r="N58" t="str">
            <v>https://www.smckorea.co.kr/</v>
          </cell>
          <cell r="Q58" t="str">
            <v>Used Goods</v>
          </cell>
          <cell r="S58" t="str">
            <v>Green Purchase</v>
          </cell>
          <cell r="T58" t="str">
            <v>NONE</v>
          </cell>
          <cell r="U58" t="str">
            <v>Safety Management</v>
          </cell>
          <cell r="W58" t="str">
            <v>Posco Patent</v>
          </cell>
          <cell r="Y58" t="str">
            <v>Or Equivalent</v>
          </cell>
          <cell r="Z58" t="str">
            <v>OR EQUIVALENT</v>
          </cell>
          <cell r="AA58" t="str">
            <v>Cylinder Type</v>
          </cell>
          <cell r="AB58" t="str">
            <v>CWC(DA)</v>
          </cell>
          <cell r="AC58" t="str">
            <v>Mounting Type</v>
          </cell>
          <cell r="AD58" t="str">
            <v>CA</v>
          </cell>
          <cell r="AE58" t="str">
            <v>Bore Size</v>
          </cell>
          <cell r="AF58" t="str">
            <v>250</v>
          </cell>
          <cell r="AG58" t="str">
            <v>Rod Diameter</v>
          </cell>
          <cell r="AH58" t="str">
            <v>9999</v>
          </cell>
          <cell r="AI58" t="str">
            <v>Stroke Length</v>
          </cell>
          <cell r="AJ58" t="str">
            <v>150</v>
          </cell>
          <cell r="AK58" t="str">
            <v>Pressure Rating</v>
          </cell>
          <cell r="AL58" t="str">
            <v>9999</v>
          </cell>
          <cell r="AM58" t="str">
            <v>Model-1</v>
          </cell>
          <cell r="AN58" t="str">
            <v>CS1CN250-KRD0368-150</v>
          </cell>
          <cell r="AO58" t="str">
            <v>Maker Name-1</v>
          </cell>
          <cell r="AP58" t="str">
            <v>SMC</v>
          </cell>
          <cell r="AQ58" t="str">
            <v>Option-1</v>
          </cell>
          <cell r="AS58" t="str">
            <v>Model-2</v>
          </cell>
          <cell r="AU58" t="str">
            <v>Maker Name-2</v>
          </cell>
          <cell r="AV58" t="str">
            <v>NONE</v>
          </cell>
          <cell r="AW58" t="str">
            <v>Option-2</v>
          </cell>
          <cell r="AY58" t="str">
            <v>Model-3</v>
          </cell>
          <cell r="BA58" t="str">
            <v>Maker Name-3</v>
          </cell>
          <cell r="BC58" t="str">
            <v>Option-3</v>
          </cell>
          <cell r="BE58" t="str">
            <v>Option &amp; Others</v>
          </cell>
          <cell r="BG58" t="str">
            <v>Application</v>
          </cell>
          <cell r="BH58" t="str">
            <v>FOR K1APL NO.6 TBR SNUBBER ROLL UP/DOWN</v>
          </cell>
        </row>
        <row r="59">
          <cell r="A59" t="str">
            <v>Q4662525</v>
          </cell>
          <cell r="B59" t="str">
            <v>ACTIVE</v>
          </cell>
          <cell r="C59" t="str">
            <v>특정사양품(단수)</v>
          </cell>
          <cell r="D59" t="str">
            <v>Q4662525</v>
          </cell>
          <cell r="E59" t="str">
            <v>Pneumatic Cylinder</v>
          </cell>
          <cell r="F59" t="str">
            <v>포스코</v>
          </cell>
          <cell r="G59" t="str">
            <v>CWC(DA),FL,40Dx250ST,10kgf/cm2,[CDM2L40-250Z-M9BL/SMC],FOR 1RCL EXIT SLEEVE MACHINE,OR EQUIVALENT</v>
          </cell>
          <cell r="H59" t="str">
            <v>1</v>
          </cell>
          <cell r="I59" t="str">
            <v>SET</v>
          </cell>
          <cell r="J59" t="str">
            <v>L</v>
          </cell>
          <cell r="K59" t="str">
            <v>이규연</v>
          </cell>
          <cell r="N59" t="str">
            <v>https://www.smckorea.co.kr/ppis/data/catalog/CM2-Z.pdf</v>
          </cell>
          <cell r="Q59" t="str">
            <v>Used Goods</v>
          </cell>
          <cell r="S59" t="str">
            <v>Green Purchase</v>
          </cell>
          <cell r="T59" t="str">
            <v>NONE</v>
          </cell>
          <cell r="U59" t="str">
            <v>Safety Management</v>
          </cell>
          <cell r="W59" t="str">
            <v>Posco Patent</v>
          </cell>
          <cell r="Y59" t="str">
            <v>Or Equivalent</v>
          </cell>
          <cell r="Z59" t="str">
            <v>OR EQUIVALENT</v>
          </cell>
          <cell r="AA59" t="str">
            <v>Cylinder Type</v>
          </cell>
          <cell r="AB59" t="str">
            <v>CWC(DA)</v>
          </cell>
          <cell r="AC59" t="str">
            <v>Mounting Type</v>
          </cell>
          <cell r="AD59" t="str">
            <v>FL</v>
          </cell>
          <cell r="AE59" t="str">
            <v>Bore Size</v>
          </cell>
          <cell r="AF59" t="str">
            <v>40</v>
          </cell>
          <cell r="AG59" t="str">
            <v>Rod Diameter</v>
          </cell>
          <cell r="AH59" t="str">
            <v>9999</v>
          </cell>
          <cell r="AI59" t="str">
            <v>Stroke Length</v>
          </cell>
          <cell r="AJ59" t="str">
            <v>250</v>
          </cell>
          <cell r="AK59" t="str">
            <v>Pressure Rating</v>
          </cell>
          <cell r="AL59" t="str">
            <v>10</v>
          </cell>
          <cell r="AM59" t="str">
            <v>Model-1</v>
          </cell>
          <cell r="AN59" t="str">
            <v>CDM2L40-250Z-M9BL</v>
          </cell>
          <cell r="AO59" t="str">
            <v>Maker Name-1</v>
          </cell>
          <cell r="AP59" t="str">
            <v>SMC</v>
          </cell>
          <cell r="AQ59" t="str">
            <v>Option-1</v>
          </cell>
          <cell r="AS59" t="str">
            <v>Model-2</v>
          </cell>
          <cell r="AU59" t="str">
            <v>Maker Name-2</v>
          </cell>
          <cell r="AV59" t="str">
            <v>NONE</v>
          </cell>
          <cell r="AW59" t="str">
            <v>Option-2</v>
          </cell>
          <cell r="AY59" t="str">
            <v>Model-3</v>
          </cell>
          <cell r="BA59" t="str">
            <v>Maker Name-3</v>
          </cell>
          <cell r="BC59" t="str">
            <v>Option-3</v>
          </cell>
          <cell r="BE59" t="str">
            <v>Option &amp; Others</v>
          </cell>
          <cell r="BG59" t="str">
            <v>Application</v>
          </cell>
          <cell r="BH59" t="str">
            <v>FOR 1RCL EXIT SLEEVE MACHINE</v>
          </cell>
        </row>
        <row r="60">
          <cell r="A60" t="str">
            <v>Q4663082</v>
          </cell>
          <cell r="B60" t="str">
            <v>ACTIVE</v>
          </cell>
          <cell r="C60" t="str">
            <v>특정사양품(단수)</v>
          </cell>
          <cell r="D60" t="str">
            <v>Q4663082</v>
          </cell>
          <cell r="E60" t="str">
            <v>Pneumatic Cylinder</v>
          </cell>
          <cell r="F60" t="str">
            <v>포스코</v>
          </cell>
          <cell r="G60" t="str">
            <v>CWC(DA),80Dx22Dx75ST,10kgf/cm2,[CQ2A80-75DMZ/SMC],FOR STSTHENS 1CPL PAPER UNWINDER,OR EQUIVALENT</v>
          </cell>
          <cell r="H60" t="str">
            <v>1</v>
          </cell>
          <cell r="I60" t="str">
            <v>EA</v>
          </cell>
          <cell r="J60" t="str">
            <v>L</v>
          </cell>
          <cell r="K60" t="str">
            <v>김원길</v>
          </cell>
          <cell r="N60" t="str">
            <v>https://www.smckorea.co.kr/ppis/data/catalog/CQ2-Z.pdf</v>
          </cell>
          <cell r="Q60" t="str">
            <v>Used Goods</v>
          </cell>
          <cell r="S60" t="str">
            <v>Green Purchase</v>
          </cell>
          <cell r="T60" t="str">
            <v>NONE</v>
          </cell>
          <cell r="U60" t="str">
            <v>Safety Management</v>
          </cell>
          <cell r="W60" t="str">
            <v>Posco Patent</v>
          </cell>
          <cell r="Y60" t="str">
            <v>Or Equivalent</v>
          </cell>
          <cell r="Z60" t="str">
            <v>OR EQUIVALENT</v>
          </cell>
          <cell r="AA60" t="str">
            <v>Cylinder Type</v>
          </cell>
          <cell r="AB60" t="str">
            <v>CWC(DA)</v>
          </cell>
          <cell r="AC60" t="str">
            <v>Mounting Type</v>
          </cell>
          <cell r="AD60" t="str">
            <v>OTHERS</v>
          </cell>
          <cell r="AE60" t="str">
            <v>Bore Size</v>
          </cell>
          <cell r="AF60" t="str">
            <v>80</v>
          </cell>
          <cell r="AG60" t="str">
            <v>Rod Diameter</v>
          </cell>
          <cell r="AH60" t="str">
            <v>22</v>
          </cell>
          <cell r="AI60" t="str">
            <v>Stroke Length</v>
          </cell>
          <cell r="AJ60" t="str">
            <v>75</v>
          </cell>
          <cell r="AK60" t="str">
            <v>Pressure Rating</v>
          </cell>
          <cell r="AL60" t="str">
            <v>10</v>
          </cell>
          <cell r="AM60" t="str">
            <v>Model-1</v>
          </cell>
          <cell r="AN60" t="str">
            <v>CQ2A80-75DMZ</v>
          </cell>
          <cell r="AO60" t="str">
            <v>Maker Name-1</v>
          </cell>
          <cell r="AP60" t="str">
            <v>SMC</v>
          </cell>
          <cell r="AQ60" t="str">
            <v>Option-1</v>
          </cell>
          <cell r="AS60" t="str">
            <v>Model-2</v>
          </cell>
          <cell r="AU60" t="str">
            <v>Maker Name-2</v>
          </cell>
          <cell r="AV60" t="str">
            <v>NONE</v>
          </cell>
          <cell r="AW60" t="str">
            <v>Option-2</v>
          </cell>
          <cell r="AY60" t="str">
            <v>Model-3</v>
          </cell>
          <cell r="BA60" t="str">
            <v>Maker Name-3</v>
          </cell>
          <cell r="BC60" t="str">
            <v>Option-3</v>
          </cell>
          <cell r="BE60" t="str">
            <v>Option &amp; Others</v>
          </cell>
          <cell r="BG60" t="str">
            <v>Application</v>
          </cell>
          <cell r="BH60" t="str">
            <v>FOR STSTHENS 1CPL PAPER UNWINDER</v>
          </cell>
        </row>
        <row r="61">
          <cell r="A61" t="str">
            <v>Q4664034</v>
          </cell>
          <cell r="B61" t="str">
            <v>ACTIVE</v>
          </cell>
          <cell r="C61" t="str">
            <v>특정사양품(단수)</v>
          </cell>
          <cell r="D61" t="str">
            <v>Q4664034</v>
          </cell>
          <cell r="E61" t="str">
            <v>Pneumatic Cylinder</v>
          </cell>
          <cell r="F61" t="str">
            <v>포스코</v>
          </cell>
          <cell r="G61" t="str">
            <v>CSA,180Dx45Dx850ST,10kgf/cm2,[CS1TN180-KRD036-8-850-XC15/SMC],OR EQUIVALENT</v>
          </cell>
          <cell r="H61" t="str">
            <v>1</v>
          </cell>
          <cell r="I61" t="str">
            <v>EA</v>
          </cell>
          <cell r="J61" t="str">
            <v>L</v>
          </cell>
          <cell r="K61" t="str">
            <v>김원길</v>
          </cell>
          <cell r="N61" t="str">
            <v>https://www.smckorea.co.kr/ppis/data/catalog/CS1.pdf</v>
          </cell>
          <cell r="Q61" t="str">
            <v>Used Goods</v>
          </cell>
          <cell r="S61" t="str">
            <v>Green Purchase</v>
          </cell>
          <cell r="T61" t="str">
            <v>NONE</v>
          </cell>
          <cell r="U61" t="str">
            <v>Safety Management</v>
          </cell>
          <cell r="W61" t="str">
            <v>Posco Patent</v>
          </cell>
          <cell r="Y61" t="str">
            <v>Or Equivalent</v>
          </cell>
          <cell r="Z61" t="str">
            <v>OR EQUIVALENT</v>
          </cell>
          <cell r="AA61" t="str">
            <v>Cylinder Type</v>
          </cell>
          <cell r="AB61" t="str">
            <v>CSA</v>
          </cell>
          <cell r="AC61" t="str">
            <v>Mounting Type</v>
          </cell>
          <cell r="AD61" t="str">
            <v>OTHERS</v>
          </cell>
          <cell r="AE61" t="str">
            <v>Bore Size</v>
          </cell>
          <cell r="AF61" t="str">
            <v>180</v>
          </cell>
          <cell r="AG61" t="str">
            <v>Rod Diameter</v>
          </cell>
          <cell r="AH61" t="str">
            <v>45</v>
          </cell>
          <cell r="AI61" t="str">
            <v>Stroke Length</v>
          </cell>
          <cell r="AJ61" t="str">
            <v>850</v>
          </cell>
          <cell r="AK61" t="str">
            <v>Pressure Rating</v>
          </cell>
          <cell r="AL61" t="str">
            <v>10</v>
          </cell>
          <cell r="AM61" t="str">
            <v>Model-1</v>
          </cell>
          <cell r="AN61" t="str">
            <v>CS1TN180-KRD036-8-850-XC15</v>
          </cell>
          <cell r="AO61" t="str">
            <v>Maker Name-1</v>
          </cell>
          <cell r="AP61" t="str">
            <v>SMC</v>
          </cell>
          <cell r="AQ61" t="str">
            <v>Option-1</v>
          </cell>
          <cell r="AS61" t="str">
            <v>Model-2</v>
          </cell>
          <cell r="AU61" t="str">
            <v>Maker Name-2</v>
          </cell>
          <cell r="AV61" t="str">
            <v>NONE</v>
          </cell>
          <cell r="AW61" t="str">
            <v>Option-2</v>
          </cell>
          <cell r="AY61" t="str">
            <v>Model-3</v>
          </cell>
          <cell r="BA61" t="str">
            <v>Maker Name-3</v>
          </cell>
          <cell r="BC61" t="str">
            <v>Option-3</v>
          </cell>
          <cell r="BE61" t="str">
            <v>Option &amp; Others</v>
          </cell>
          <cell r="BG61" t="str">
            <v>Application</v>
          </cell>
        </row>
        <row r="62">
          <cell r="A62" t="str">
            <v>Q4664750</v>
          </cell>
          <cell r="B62" t="str">
            <v>ACTIVE</v>
          </cell>
          <cell r="C62" t="str">
            <v>특정사양품(단수)</v>
          </cell>
          <cell r="D62" t="str">
            <v>Q4664750</v>
          </cell>
          <cell r="E62" t="str">
            <v>Pneumatic Cylinder</v>
          </cell>
          <cell r="F62" t="str">
            <v>포스코</v>
          </cell>
          <cell r="G62" t="str">
            <v>CWC(DA),TC,80Dx25Dx150ST,10kgf/cm2,[CA2T80-KRT09KO-150Z-XC5/SMC],OR EQUIVALENT</v>
          </cell>
          <cell r="H62" t="str">
            <v>1</v>
          </cell>
          <cell r="I62" t="str">
            <v>EA</v>
          </cell>
          <cell r="J62" t="str">
            <v>L</v>
          </cell>
          <cell r="K62" t="str">
            <v>이태호</v>
          </cell>
          <cell r="N62" t="str">
            <v>https://www.smckorea.co.kr/ppis/data/catalog/CA2-Z.pdf</v>
          </cell>
          <cell r="Q62" t="str">
            <v>Used Goods</v>
          </cell>
          <cell r="S62" t="str">
            <v>Green Purchase</v>
          </cell>
          <cell r="T62" t="str">
            <v>NONE</v>
          </cell>
          <cell r="U62" t="str">
            <v>Safety Management</v>
          </cell>
          <cell r="W62" t="str">
            <v>Posco Patent</v>
          </cell>
          <cell r="Y62" t="str">
            <v>Or Equivalent</v>
          </cell>
          <cell r="Z62" t="str">
            <v>OR EQUIVALENT</v>
          </cell>
          <cell r="AA62" t="str">
            <v>Cylinder Type</v>
          </cell>
          <cell r="AB62" t="str">
            <v>CWC(DA)</v>
          </cell>
          <cell r="AC62" t="str">
            <v>Mounting Type</v>
          </cell>
          <cell r="AD62" t="str">
            <v>TC</v>
          </cell>
          <cell r="AE62" t="str">
            <v>Bore Size</v>
          </cell>
          <cell r="AF62" t="str">
            <v>80</v>
          </cell>
          <cell r="AG62" t="str">
            <v>Rod Diameter</v>
          </cell>
          <cell r="AH62" t="str">
            <v>25</v>
          </cell>
          <cell r="AI62" t="str">
            <v>Stroke Length</v>
          </cell>
          <cell r="AJ62" t="str">
            <v>150</v>
          </cell>
          <cell r="AK62" t="str">
            <v>Pressure Rating</v>
          </cell>
          <cell r="AL62" t="str">
            <v>10</v>
          </cell>
          <cell r="AM62" t="str">
            <v>Model-1</v>
          </cell>
          <cell r="AN62" t="str">
            <v>CA2T80-KRT09KO-150Z-XC5</v>
          </cell>
          <cell r="AO62" t="str">
            <v>Maker Name-1</v>
          </cell>
          <cell r="AP62" t="str">
            <v>SMC</v>
          </cell>
          <cell r="AQ62" t="str">
            <v>Option-1</v>
          </cell>
          <cell r="AS62" t="str">
            <v>Model-2</v>
          </cell>
          <cell r="AU62" t="str">
            <v>Maker Name-2</v>
          </cell>
          <cell r="AV62" t="str">
            <v>NONE</v>
          </cell>
          <cell r="AW62" t="str">
            <v>Option-2</v>
          </cell>
          <cell r="AY62" t="str">
            <v>Model-3</v>
          </cell>
          <cell r="BA62" t="str">
            <v>Maker Name-3</v>
          </cell>
          <cell r="BC62" t="str">
            <v>Option-3</v>
          </cell>
          <cell r="BE62" t="str">
            <v>Option &amp; Others</v>
          </cell>
          <cell r="BG62" t="str">
            <v>Application</v>
          </cell>
        </row>
        <row r="63">
          <cell r="A63" t="str">
            <v>Q4668346</v>
          </cell>
          <cell r="B63" t="str">
            <v>ACTIVE</v>
          </cell>
          <cell r="C63" t="str">
            <v>특정사양품(단수)</v>
          </cell>
          <cell r="D63" t="str">
            <v>Q4668346</v>
          </cell>
          <cell r="E63" t="str">
            <v>Pneumatic Cylinder</v>
          </cell>
          <cell r="F63" t="str">
            <v>포스코</v>
          </cell>
          <cell r="G63" t="str">
            <v>40Dx16Dx150ST,10.197162kgf/cm2,[MGPM40-150-HL-M9BZ/SMC],OR EQUIVALENT</v>
          </cell>
          <cell r="H63" t="str">
            <v>1</v>
          </cell>
          <cell r="I63" t="str">
            <v>SET</v>
          </cell>
          <cell r="J63" t="str">
            <v>L</v>
          </cell>
          <cell r="K63" t="str">
            <v>이규연</v>
          </cell>
          <cell r="N63" t="str">
            <v>https://www.smckorea.co.kr/homepage/ver3.5/product/catalogue_sub_detail.asp?no=954</v>
          </cell>
          <cell r="Q63" t="str">
            <v>Used Goods</v>
          </cell>
          <cell r="S63" t="str">
            <v>Green Purchase</v>
          </cell>
          <cell r="T63" t="str">
            <v>NONE</v>
          </cell>
          <cell r="U63" t="str">
            <v>Safety Management</v>
          </cell>
          <cell r="W63" t="str">
            <v>Posco Patent</v>
          </cell>
          <cell r="Y63" t="str">
            <v>Or Equivalent</v>
          </cell>
          <cell r="Z63" t="str">
            <v>OR EQUIVALENT</v>
          </cell>
          <cell r="AA63" t="str">
            <v>Cylinder Type</v>
          </cell>
          <cell r="AB63" t="str">
            <v>OTHERS</v>
          </cell>
          <cell r="AC63" t="str">
            <v>Mounting Type</v>
          </cell>
          <cell r="AD63" t="str">
            <v>OTHERS</v>
          </cell>
          <cell r="AE63" t="str">
            <v>Bore Size</v>
          </cell>
          <cell r="AF63" t="str">
            <v>40</v>
          </cell>
          <cell r="AG63" t="str">
            <v>Rod Diameter</v>
          </cell>
          <cell r="AH63" t="str">
            <v>16</v>
          </cell>
          <cell r="AI63" t="str">
            <v>Stroke Length</v>
          </cell>
          <cell r="AJ63" t="str">
            <v>150</v>
          </cell>
          <cell r="AK63" t="str">
            <v>Pressure Rating</v>
          </cell>
          <cell r="AL63" t="str">
            <v>10.197162</v>
          </cell>
          <cell r="AM63" t="str">
            <v>Model-1</v>
          </cell>
          <cell r="AN63" t="str">
            <v>MGPM40-150-HL-M9BZ</v>
          </cell>
          <cell r="AO63" t="str">
            <v>Maker Name-1</v>
          </cell>
          <cell r="AP63" t="str">
            <v>SMC</v>
          </cell>
          <cell r="AQ63" t="str">
            <v>Option-1</v>
          </cell>
          <cell r="AS63" t="str">
            <v>Model-2</v>
          </cell>
          <cell r="AU63" t="str">
            <v>Maker Name-2</v>
          </cell>
          <cell r="AV63" t="str">
            <v>NONE</v>
          </cell>
          <cell r="AW63" t="str">
            <v>Option-2</v>
          </cell>
          <cell r="AY63" t="str">
            <v>Model-3</v>
          </cell>
          <cell r="BA63" t="str">
            <v>Maker Name-3</v>
          </cell>
          <cell r="BC63" t="str">
            <v>Option-3</v>
          </cell>
          <cell r="BE63" t="str">
            <v>Option &amp; Others</v>
          </cell>
          <cell r="BG63" t="str">
            <v>Application</v>
          </cell>
        </row>
        <row r="64">
          <cell r="A64" t="str">
            <v>Q4667371</v>
          </cell>
          <cell r="B64" t="str">
            <v>ACTIVE</v>
          </cell>
          <cell r="C64" t="str">
            <v>특정사양품(단수)</v>
          </cell>
          <cell r="D64" t="str">
            <v>Q4667371</v>
          </cell>
          <cell r="E64" t="str">
            <v>Pneumatic Cylinder</v>
          </cell>
          <cell r="F64" t="str">
            <v>포스코</v>
          </cell>
          <cell r="G64" t="str">
            <v>25Dx25Dx370ST,8kgf/cm2,[MY1B25-370-A93/SMC],BANDING MACHINE PAD EJECT,OR EQUIVALENT</v>
          </cell>
          <cell r="H64" t="str">
            <v>2</v>
          </cell>
          <cell r="I64" t="str">
            <v>EA</v>
          </cell>
          <cell r="K64" t="str">
            <v>전봉걸</v>
          </cell>
          <cell r="N64" t="str">
            <v>https://www.smckorea.co.kr/ppis/data/catalog/MY1.pdf?ver=104.67060961103725</v>
          </cell>
          <cell r="Q64" t="str">
            <v>Used Goods</v>
          </cell>
          <cell r="S64" t="str">
            <v>Green Purchase</v>
          </cell>
          <cell r="T64" t="str">
            <v>NONE</v>
          </cell>
          <cell r="U64" t="str">
            <v>Safety Management</v>
          </cell>
          <cell r="W64" t="str">
            <v>Posco Patent</v>
          </cell>
          <cell r="Y64" t="str">
            <v>Or Equivalent</v>
          </cell>
          <cell r="Z64" t="str">
            <v>OR EQUIVALENT</v>
          </cell>
          <cell r="AA64" t="str">
            <v>Cylinder Type</v>
          </cell>
          <cell r="AB64" t="str">
            <v>OTHERS</v>
          </cell>
          <cell r="AC64" t="str">
            <v>Mounting Type</v>
          </cell>
          <cell r="AD64" t="str">
            <v>OTHERS</v>
          </cell>
          <cell r="AE64" t="str">
            <v>Bore Size</v>
          </cell>
          <cell r="AF64" t="str">
            <v>25</v>
          </cell>
          <cell r="AG64" t="str">
            <v>Rod Diameter</v>
          </cell>
          <cell r="AH64" t="str">
            <v>25</v>
          </cell>
          <cell r="AI64" t="str">
            <v>Stroke Length</v>
          </cell>
          <cell r="AJ64" t="str">
            <v>370</v>
          </cell>
          <cell r="AK64" t="str">
            <v>Pressure Rating</v>
          </cell>
          <cell r="AL64" t="str">
            <v>8</v>
          </cell>
          <cell r="AM64" t="str">
            <v>Model-1</v>
          </cell>
          <cell r="AN64" t="str">
            <v>MY1B25-370-A93</v>
          </cell>
          <cell r="AO64" t="str">
            <v>Maker Name-1</v>
          </cell>
          <cell r="AP64" t="str">
            <v>SMC</v>
          </cell>
          <cell r="AQ64" t="str">
            <v>Option-1</v>
          </cell>
          <cell r="AS64" t="str">
            <v>Model-2</v>
          </cell>
          <cell r="AU64" t="str">
            <v>Maker Name-2</v>
          </cell>
          <cell r="AV64" t="str">
            <v>NONE</v>
          </cell>
          <cell r="AW64" t="str">
            <v>Option-2</v>
          </cell>
          <cell r="AY64" t="str">
            <v>Model-3</v>
          </cell>
          <cell r="BA64" t="str">
            <v>Maker Name-3</v>
          </cell>
          <cell r="BC64" t="str">
            <v>Option-3</v>
          </cell>
          <cell r="BE64" t="str">
            <v>Option &amp; Others</v>
          </cell>
          <cell r="BF64" t="str">
            <v>BANDING MACHINE PAD EJECT</v>
          </cell>
          <cell r="BG64" t="str">
            <v>Application</v>
          </cell>
        </row>
        <row r="65">
          <cell r="A65" t="str">
            <v>Q4510146</v>
          </cell>
          <cell r="B65" t="str">
            <v>ACTIVE</v>
          </cell>
          <cell r="C65" t="str">
            <v>특정사양품(단수)</v>
          </cell>
          <cell r="D65" t="str">
            <v>Q4510146</v>
          </cell>
          <cell r="E65" t="str">
            <v>Pneumatic Cylinder</v>
          </cell>
          <cell r="F65" t="str">
            <v>포스코</v>
          </cell>
          <cell r="G65" t="str">
            <v>16Dx10Dx100ST,[MGPL16-100Z/SMC],MGP COMPACT GUIDE CYLINDER,FOR CTL-640 MACHINE STACKER UNIT</v>
          </cell>
          <cell r="H65" t="str">
            <v>2</v>
          </cell>
          <cell r="I65" t="str">
            <v>EA</v>
          </cell>
          <cell r="K65" t="str">
            <v>전봉걸</v>
          </cell>
          <cell r="N65" t="str">
            <v>https://www.smcpneumatics.com/MGPL16-100.html</v>
          </cell>
          <cell r="Q65" t="str">
            <v>Used Goods</v>
          </cell>
          <cell r="S65" t="str">
            <v>Green Purchase</v>
          </cell>
          <cell r="T65" t="str">
            <v>NONE</v>
          </cell>
          <cell r="U65" t="str">
            <v>Safety Management</v>
          </cell>
          <cell r="V65" t="str">
            <v>NONE</v>
          </cell>
          <cell r="W65" t="str">
            <v>Posco Patent</v>
          </cell>
          <cell r="Y65" t="str">
            <v>Or Equivalent</v>
          </cell>
          <cell r="AA65" t="str">
            <v>Cylinder Type</v>
          </cell>
          <cell r="AB65" t="str">
            <v>OTHERS</v>
          </cell>
          <cell r="AC65" t="str">
            <v>Mounting Type</v>
          </cell>
          <cell r="AD65" t="str">
            <v>OTHERS</v>
          </cell>
          <cell r="AE65" t="str">
            <v>Bore Size</v>
          </cell>
          <cell r="AF65" t="str">
            <v>16</v>
          </cell>
          <cell r="AG65" t="str">
            <v>Rod Diameter</v>
          </cell>
          <cell r="AH65" t="str">
            <v>10</v>
          </cell>
          <cell r="AI65" t="str">
            <v>Stroke Length</v>
          </cell>
          <cell r="AJ65" t="str">
            <v>100</v>
          </cell>
          <cell r="AK65" t="str">
            <v>Pressure Rating</v>
          </cell>
          <cell r="AL65" t="str">
            <v>9999</v>
          </cell>
          <cell r="AM65" t="str">
            <v>Model-1</v>
          </cell>
          <cell r="AN65" t="str">
            <v>MGPL16-100Z</v>
          </cell>
          <cell r="AO65" t="str">
            <v>Maker Name-1</v>
          </cell>
          <cell r="AP65" t="str">
            <v>SMC</v>
          </cell>
          <cell r="AQ65" t="str">
            <v>Option-1</v>
          </cell>
          <cell r="AS65" t="str">
            <v>Model-2</v>
          </cell>
          <cell r="AU65" t="str">
            <v>Maker Name-2</v>
          </cell>
          <cell r="AV65" t="str">
            <v>NONE</v>
          </cell>
          <cell r="AW65" t="str">
            <v>Option-2</v>
          </cell>
          <cell r="AY65" t="str">
            <v>Model-3</v>
          </cell>
          <cell r="BA65" t="str">
            <v>Maker Name-3</v>
          </cell>
          <cell r="BC65" t="str">
            <v>Option-3</v>
          </cell>
          <cell r="BE65" t="str">
            <v>Option &amp; Others</v>
          </cell>
          <cell r="BF65" t="str">
            <v xml:space="preserve">MGP COMPACT GUIDE CYLINDER </v>
          </cell>
          <cell r="BG65" t="str">
            <v>Application</v>
          </cell>
          <cell r="BH65" t="str">
            <v>FOR CTL-640 MACHINE STACKER UNIT</v>
          </cell>
        </row>
        <row r="66">
          <cell r="A66" t="str">
            <v>Q4669390</v>
          </cell>
          <cell r="B66" t="str">
            <v>ACTIVE</v>
          </cell>
          <cell r="C66" t="str">
            <v>특정사양품(단수)</v>
          </cell>
          <cell r="D66" t="str">
            <v>Q4669390</v>
          </cell>
          <cell r="E66" t="str">
            <v>Pneumatic Cylinder</v>
          </cell>
          <cell r="F66" t="str">
            <v>포스코</v>
          </cell>
          <cell r="G66" t="str">
            <v>CWC(DA),CA,125Dx90Dx350ST,15kgf/cm2,[CDS1CN125-KRD0368-350-A54L/SMC],MAKER DWG NO:CDS1CN125-KRD0368-350-A54L,OR EQUIVALENT</v>
          </cell>
          <cell r="H66" t="str">
            <v>1</v>
          </cell>
          <cell r="I66" t="str">
            <v>EA</v>
          </cell>
          <cell r="J66" t="str">
            <v>L</v>
          </cell>
          <cell r="K66" t="str">
            <v>김형종</v>
          </cell>
          <cell r="N66" t="str">
            <v>https://www.smckorea.co.kr/ppis/data/catalog/CS1.pdf</v>
          </cell>
          <cell r="Q66" t="str">
            <v>Used Goods</v>
          </cell>
          <cell r="S66" t="str">
            <v>Green Purchase</v>
          </cell>
          <cell r="T66" t="str">
            <v>NONE</v>
          </cell>
          <cell r="U66" t="str">
            <v>Safety Management</v>
          </cell>
          <cell r="W66" t="str">
            <v>Posco Patent</v>
          </cell>
          <cell r="Y66" t="str">
            <v>Or Equivalent</v>
          </cell>
          <cell r="Z66" t="str">
            <v>OR EQUIVALENT</v>
          </cell>
          <cell r="AA66" t="str">
            <v>Cylinder Type</v>
          </cell>
          <cell r="AB66" t="str">
            <v>CWC(DA)</v>
          </cell>
          <cell r="AC66" t="str">
            <v>Mounting Type</v>
          </cell>
          <cell r="AD66" t="str">
            <v>CA</v>
          </cell>
          <cell r="AE66" t="str">
            <v>Bore Size</v>
          </cell>
          <cell r="AF66" t="str">
            <v>125</v>
          </cell>
          <cell r="AG66" t="str">
            <v>Rod Diameter</v>
          </cell>
          <cell r="AH66" t="str">
            <v>90</v>
          </cell>
          <cell r="AI66" t="str">
            <v>Stroke Length</v>
          </cell>
          <cell r="AJ66" t="str">
            <v>350</v>
          </cell>
          <cell r="AK66" t="str">
            <v>Pressure Rating</v>
          </cell>
          <cell r="AL66" t="str">
            <v>15</v>
          </cell>
          <cell r="AM66" t="str">
            <v>Model-1</v>
          </cell>
          <cell r="AN66" t="str">
            <v>CDS1CN125-KRD0368-350-A54L</v>
          </cell>
          <cell r="AO66" t="str">
            <v>Maker Name-1</v>
          </cell>
          <cell r="AP66" t="str">
            <v>SMC</v>
          </cell>
          <cell r="AQ66" t="str">
            <v>Option-1</v>
          </cell>
          <cell r="AS66" t="str">
            <v>Model-2</v>
          </cell>
          <cell r="AU66" t="str">
            <v>Maker Name-2</v>
          </cell>
          <cell r="AV66" t="str">
            <v>NONE</v>
          </cell>
          <cell r="AW66" t="str">
            <v>Option-2</v>
          </cell>
          <cell r="AY66" t="str">
            <v>Model-3</v>
          </cell>
          <cell r="BA66" t="str">
            <v>Maker Name-3</v>
          </cell>
          <cell r="BC66" t="str">
            <v>Option-3</v>
          </cell>
          <cell r="BE66" t="str">
            <v>Option &amp; Others</v>
          </cell>
          <cell r="BF66" t="str">
            <v>MAKER DWG NO:CDS1CN125-KRD0368-350-A54L</v>
          </cell>
          <cell r="BG66" t="str">
            <v>Application</v>
          </cell>
        </row>
        <row r="67">
          <cell r="A67" t="str">
            <v>Q4037566</v>
          </cell>
          <cell r="B67" t="str">
            <v>ACTIVE</v>
          </cell>
          <cell r="C67" t="str">
            <v>특정사양품(단수)</v>
          </cell>
          <cell r="D67" t="str">
            <v>Q4037566</v>
          </cell>
          <cell r="E67" t="str">
            <v>Pneumatic Cylinder</v>
          </cell>
          <cell r="F67" t="str">
            <v>포스코</v>
          </cell>
          <cell r="G67" t="str">
            <v>CWC(DA),TD,140Dx35Dx710ST,10kgf/cm2,[CDS1TN140-KRT04KO-710-XC14 +D-A54Z(2EA)+BT-12(2EA)/SMC],FOR 3CC SAMPLING DEVICE TILTING AIR CYLINDER,OR EQUIVALENT</v>
          </cell>
          <cell r="H67" t="str">
            <v>3</v>
          </cell>
          <cell r="I67" t="str">
            <v>SET</v>
          </cell>
          <cell r="K67" t="str">
            <v>김영학</v>
          </cell>
          <cell r="N67" t="str">
            <v>http://www.smckorea.co.kr/homepage/ver3.5/product/catalogue_sub_detail.asp?no=914#</v>
          </cell>
          <cell r="Q67" t="str">
            <v>Used Goods</v>
          </cell>
          <cell r="S67" t="str">
            <v>Green Purchase</v>
          </cell>
          <cell r="T67" t="str">
            <v>NONE</v>
          </cell>
          <cell r="U67" t="str">
            <v>Safety Management</v>
          </cell>
          <cell r="V67" t="str">
            <v>NONE</v>
          </cell>
          <cell r="W67" t="str">
            <v>Posco Patent</v>
          </cell>
          <cell r="Y67" t="str">
            <v>Or Equivalent</v>
          </cell>
          <cell r="Z67" t="str">
            <v>OR EQUIVALENT</v>
          </cell>
          <cell r="AA67" t="str">
            <v>Cylinder Type</v>
          </cell>
          <cell r="AB67" t="str">
            <v>CWC(DA)</v>
          </cell>
          <cell r="AC67" t="str">
            <v>Mounting Type</v>
          </cell>
          <cell r="AD67" t="str">
            <v>TD</v>
          </cell>
          <cell r="AE67" t="str">
            <v>Bore Size</v>
          </cell>
          <cell r="AF67" t="str">
            <v>140</v>
          </cell>
          <cell r="AG67" t="str">
            <v>Rod Diameter</v>
          </cell>
          <cell r="AH67" t="str">
            <v>35</v>
          </cell>
          <cell r="AI67" t="str">
            <v>Stroke Length</v>
          </cell>
          <cell r="AJ67" t="str">
            <v>710</v>
          </cell>
          <cell r="AK67" t="str">
            <v>Pressure Rating</v>
          </cell>
          <cell r="AL67" t="str">
            <v>10</v>
          </cell>
          <cell r="AM67" t="str">
            <v>Model-1</v>
          </cell>
          <cell r="AN67" t="str">
            <v>CDS1TN140-KRT04KO-710-XC14 +D-A54Z(2EA)+BT-12(2EA)</v>
          </cell>
          <cell r="AO67" t="str">
            <v>Maker Name-1</v>
          </cell>
          <cell r="AP67" t="str">
            <v>SMC</v>
          </cell>
          <cell r="AQ67" t="str">
            <v>Option-1</v>
          </cell>
          <cell r="AS67" t="str">
            <v>Model-2</v>
          </cell>
          <cell r="AU67" t="str">
            <v>Maker Name-2</v>
          </cell>
          <cell r="AV67" t="str">
            <v>NONE</v>
          </cell>
          <cell r="AW67" t="str">
            <v>Option-2</v>
          </cell>
          <cell r="AY67" t="str">
            <v>Model-3</v>
          </cell>
          <cell r="BA67" t="str">
            <v>Maker Name-3</v>
          </cell>
          <cell r="BC67" t="str">
            <v>Option-3</v>
          </cell>
          <cell r="BE67" t="str">
            <v>Option &amp; Others</v>
          </cell>
          <cell r="BG67" t="str">
            <v>Application</v>
          </cell>
          <cell r="BH67" t="str">
            <v>FOR 3CC SAMPLING DEVICE TILTING AIR CYLINDER</v>
          </cell>
        </row>
        <row r="68">
          <cell r="A68" t="str">
            <v>Q4674415</v>
          </cell>
          <cell r="B68" t="str">
            <v>ACTIVE</v>
          </cell>
          <cell r="C68" t="str">
            <v>특정사양품(단수)</v>
          </cell>
          <cell r="D68" t="str">
            <v>Q4674415</v>
          </cell>
          <cell r="E68" t="str">
            <v>Pneumatic Cylinder</v>
          </cell>
          <cell r="F68" t="str">
            <v>포스코</v>
          </cell>
          <cell r="G68" t="str">
            <v>50Dx40Dx550ST,15kgf/cm2,[CDA2L50-550Z/SMC],FOR 2PL MOVING CAR,OR EQUIVALENT</v>
          </cell>
          <cell r="H68" t="str">
            <v>1</v>
          </cell>
          <cell r="I68" t="str">
            <v>EA</v>
          </cell>
          <cell r="J68" t="str">
            <v>L</v>
          </cell>
          <cell r="K68" t="str">
            <v>장원령</v>
          </cell>
          <cell r="N68" t="str">
            <v>https://www.smcpneumatics.com/CDA2L50-550Z-P3DWASC.html</v>
          </cell>
          <cell r="Q68" t="str">
            <v>Used Goods</v>
          </cell>
          <cell r="S68" t="str">
            <v>Green Purchase</v>
          </cell>
          <cell r="T68" t="str">
            <v>NONE</v>
          </cell>
          <cell r="U68" t="str">
            <v>Safety Management</v>
          </cell>
          <cell r="W68" t="str">
            <v>Posco Patent</v>
          </cell>
          <cell r="Y68" t="str">
            <v>Or Equivalent</v>
          </cell>
          <cell r="Z68" t="str">
            <v>OR EQUIVALENT</v>
          </cell>
          <cell r="AA68" t="str">
            <v>Cylinder Type</v>
          </cell>
          <cell r="AB68" t="str">
            <v>OTHERS</v>
          </cell>
          <cell r="AC68" t="str">
            <v>Mounting Type</v>
          </cell>
          <cell r="AD68" t="str">
            <v>OTHERS</v>
          </cell>
          <cell r="AE68" t="str">
            <v>Bore Size</v>
          </cell>
          <cell r="AF68" t="str">
            <v>50</v>
          </cell>
          <cell r="AG68" t="str">
            <v>Rod Diameter</v>
          </cell>
          <cell r="AH68" t="str">
            <v>40</v>
          </cell>
          <cell r="AI68" t="str">
            <v>Stroke Length</v>
          </cell>
          <cell r="AJ68" t="str">
            <v>550</v>
          </cell>
          <cell r="AK68" t="str">
            <v>Pressure Rating</v>
          </cell>
          <cell r="AL68" t="str">
            <v>15</v>
          </cell>
          <cell r="AM68" t="str">
            <v>Model-1</v>
          </cell>
          <cell r="AN68" t="str">
            <v>CDA2L50-550Z</v>
          </cell>
          <cell r="AO68" t="str">
            <v>Maker Name-1</v>
          </cell>
          <cell r="AP68" t="str">
            <v>SMC</v>
          </cell>
          <cell r="AQ68" t="str">
            <v>Option-1</v>
          </cell>
          <cell r="AS68" t="str">
            <v>Model-2</v>
          </cell>
          <cell r="AU68" t="str">
            <v>Maker Name-2</v>
          </cell>
          <cell r="AV68" t="str">
            <v>NONE</v>
          </cell>
          <cell r="AW68" t="str">
            <v>Option-2</v>
          </cell>
          <cell r="AY68" t="str">
            <v>Model-3</v>
          </cell>
          <cell r="BA68" t="str">
            <v>Maker Name-3</v>
          </cell>
          <cell r="BC68" t="str">
            <v>Option-3</v>
          </cell>
          <cell r="BE68" t="str">
            <v>Option &amp; Others</v>
          </cell>
          <cell r="BG68" t="str">
            <v>Application</v>
          </cell>
          <cell r="BH68" t="str">
            <v>FOR 2PL MOVING CAR</v>
          </cell>
        </row>
        <row r="69">
          <cell r="A69" t="str">
            <v>Q4675089</v>
          </cell>
          <cell r="B69" t="str">
            <v>ACTIVE</v>
          </cell>
          <cell r="C69" t="str">
            <v>특정사양품(단수)</v>
          </cell>
          <cell r="D69" t="str">
            <v>Q4675089</v>
          </cell>
          <cell r="E69" t="str">
            <v>Pneumatic Cylinder</v>
          </cell>
          <cell r="F69" t="str">
            <v>포스코</v>
          </cell>
          <cell r="G69" t="str">
            <v>CWC(DA),25Dx25Dx25ST,10kgf/cm2,[CDM2B25-25Z-A93L/SMC],FOR CHARPY IMPACT TESTER(STOPPER),OR EQUIVALENT</v>
          </cell>
          <cell r="H69" t="str">
            <v>1</v>
          </cell>
          <cell r="I69" t="str">
            <v>EA</v>
          </cell>
          <cell r="J69" t="str">
            <v>L</v>
          </cell>
          <cell r="K69" t="str">
            <v>권우석</v>
          </cell>
          <cell r="N69" t="str">
            <v>https://www.smckorea.co.kr/</v>
          </cell>
          <cell r="Q69" t="str">
            <v>Used Goods</v>
          </cell>
          <cell r="S69" t="str">
            <v>Green Purchase</v>
          </cell>
          <cell r="T69" t="str">
            <v>NONE</v>
          </cell>
          <cell r="U69" t="str">
            <v>Safety Management</v>
          </cell>
          <cell r="W69" t="str">
            <v>Posco Patent</v>
          </cell>
          <cell r="Y69" t="str">
            <v>Or Equivalent</v>
          </cell>
          <cell r="Z69" t="str">
            <v>OR EQUIVALENT</v>
          </cell>
          <cell r="AA69" t="str">
            <v>Cylinder Type</v>
          </cell>
          <cell r="AB69" t="str">
            <v>CWC(DA)</v>
          </cell>
          <cell r="AC69" t="str">
            <v>Mounting Type</v>
          </cell>
          <cell r="AD69" t="str">
            <v>OTHERS</v>
          </cell>
          <cell r="AE69" t="str">
            <v>Bore Size</v>
          </cell>
          <cell r="AF69" t="str">
            <v>25</v>
          </cell>
          <cell r="AG69" t="str">
            <v>Rod Diameter</v>
          </cell>
          <cell r="AH69" t="str">
            <v>25</v>
          </cell>
          <cell r="AI69" t="str">
            <v>Stroke Length</v>
          </cell>
          <cell r="AJ69" t="str">
            <v>25</v>
          </cell>
          <cell r="AK69" t="str">
            <v>Pressure Rating</v>
          </cell>
          <cell r="AL69" t="str">
            <v>10</v>
          </cell>
          <cell r="AM69" t="str">
            <v>Model-1</v>
          </cell>
          <cell r="AN69" t="str">
            <v>CDM2B25-25Z-A93L</v>
          </cell>
          <cell r="AO69" t="str">
            <v>Maker Name-1</v>
          </cell>
          <cell r="AP69" t="str">
            <v>SMC</v>
          </cell>
          <cell r="AQ69" t="str">
            <v>Option-1</v>
          </cell>
          <cell r="AS69" t="str">
            <v>Model-2</v>
          </cell>
          <cell r="AU69" t="str">
            <v>Maker Name-2</v>
          </cell>
          <cell r="AV69" t="str">
            <v>NONE</v>
          </cell>
          <cell r="AW69" t="str">
            <v>Option-2</v>
          </cell>
          <cell r="AY69" t="str">
            <v>Model-3</v>
          </cell>
          <cell r="BA69" t="str">
            <v>Maker Name-3</v>
          </cell>
          <cell r="BC69" t="str">
            <v>Option-3</v>
          </cell>
          <cell r="BE69" t="str">
            <v>Option &amp; Others</v>
          </cell>
          <cell r="BG69" t="str">
            <v>Application</v>
          </cell>
          <cell r="BH69" t="str">
            <v>FOR CHARPY IMPACT TESTER(STOPPER)</v>
          </cell>
        </row>
        <row r="70">
          <cell r="A70" t="str">
            <v>Q4675156</v>
          </cell>
          <cell r="B70" t="str">
            <v>ACTIVE</v>
          </cell>
          <cell r="C70" t="str">
            <v>특정사양품(단수)</v>
          </cell>
          <cell r="D70" t="str">
            <v>Q4675156</v>
          </cell>
          <cell r="E70" t="str">
            <v>Pneumatic Cylinder</v>
          </cell>
          <cell r="F70" t="str">
            <v>포스코</v>
          </cell>
          <cell r="G70" t="str">
            <v>CWC(DA),16Dx16Dx25ST,7kgf/cm2,[CDJ2F16-25Z-A93L-B/SMC],FOR CHARPY IMPACT TESTER(SETTER),OR EQUIVALENT</v>
          </cell>
          <cell r="H70" t="str">
            <v>1</v>
          </cell>
          <cell r="I70" t="str">
            <v>EA</v>
          </cell>
          <cell r="J70" t="str">
            <v>L</v>
          </cell>
          <cell r="K70" t="str">
            <v>권우석</v>
          </cell>
          <cell r="N70" t="str">
            <v>https://www.smckorea.co.kr/</v>
          </cell>
          <cell r="Q70" t="str">
            <v>Used Goods</v>
          </cell>
          <cell r="S70" t="str">
            <v>Green Purchase</v>
          </cell>
          <cell r="T70" t="str">
            <v>NONE</v>
          </cell>
          <cell r="U70" t="str">
            <v>Safety Management</v>
          </cell>
          <cell r="W70" t="str">
            <v>Posco Patent</v>
          </cell>
          <cell r="Y70" t="str">
            <v>Or Equivalent</v>
          </cell>
          <cell r="Z70" t="str">
            <v>OR EQUIVALENT</v>
          </cell>
          <cell r="AA70" t="str">
            <v>Cylinder Type</v>
          </cell>
          <cell r="AB70" t="str">
            <v>CWC(DA)</v>
          </cell>
          <cell r="AC70" t="str">
            <v>Mounting Type</v>
          </cell>
          <cell r="AD70" t="str">
            <v>OTHERS</v>
          </cell>
          <cell r="AE70" t="str">
            <v>Bore Size</v>
          </cell>
          <cell r="AF70" t="str">
            <v>16</v>
          </cell>
          <cell r="AG70" t="str">
            <v>Rod Diameter</v>
          </cell>
          <cell r="AH70" t="str">
            <v>16</v>
          </cell>
          <cell r="AI70" t="str">
            <v>Stroke Length</v>
          </cell>
          <cell r="AJ70" t="str">
            <v>25</v>
          </cell>
          <cell r="AK70" t="str">
            <v>Pressure Rating</v>
          </cell>
          <cell r="AL70" t="str">
            <v>7</v>
          </cell>
          <cell r="AM70" t="str">
            <v>Model-1</v>
          </cell>
          <cell r="AN70" t="str">
            <v>CDJ2F16-25Z-A93L-B</v>
          </cell>
          <cell r="AO70" t="str">
            <v>Maker Name-1</v>
          </cell>
          <cell r="AP70" t="str">
            <v>SMC</v>
          </cell>
          <cell r="AQ70" t="str">
            <v>Option-1</v>
          </cell>
          <cell r="AS70" t="str">
            <v>Model-2</v>
          </cell>
          <cell r="AU70" t="str">
            <v>Maker Name-2</v>
          </cell>
          <cell r="AV70" t="str">
            <v>NONE</v>
          </cell>
          <cell r="AW70" t="str">
            <v>Option-2</v>
          </cell>
          <cell r="AY70" t="str">
            <v>Model-3</v>
          </cell>
          <cell r="BA70" t="str">
            <v>Maker Name-3</v>
          </cell>
          <cell r="BC70" t="str">
            <v>Option-3</v>
          </cell>
          <cell r="BE70" t="str">
            <v>Option &amp; Others</v>
          </cell>
          <cell r="BG70" t="str">
            <v>Application</v>
          </cell>
          <cell r="BH70" t="str">
            <v>FOR CHARPY IMPACT TESTER(SETTER)</v>
          </cell>
        </row>
        <row r="71">
          <cell r="A71" t="str">
            <v>Q4675326</v>
          </cell>
          <cell r="B71" t="str">
            <v>ACTIVE</v>
          </cell>
          <cell r="C71" t="str">
            <v>특정사양품(단수)</v>
          </cell>
          <cell r="D71" t="str">
            <v>Q4675326</v>
          </cell>
          <cell r="E71" t="str">
            <v>Pneumatic Cylinder</v>
          </cell>
          <cell r="F71" t="str">
            <v>포스코</v>
          </cell>
          <cell r="G71" t="str">
            <v>CWC(DA),16Dx16Dx25ST,10kgf/cm2,[CDQSD16-25DM-A93L/SMC],FOR CHARPY IMPACT TESTER(HOLDER),OR EQUIVALENT</v>
          </cell>
          <cell r="H71" t="str">
            <v>1</v>
          </cell>
          <cell r="I71" t="str">
            <v>EA</v>
          </cell>
          <cell r="J71" t="str">
            <v>L</v>
          </cell>
          <cell r="K71" t="str">
            <v>권우석</v>
          </cell>
          <cell r="N71" t="str">
            <v>https://www.smckorea.co.kr/</v>
          </cell>
          <cell r="Q71" t="str">
            <v>Used Goods</v>
          </cell>
          <cell r="S71" t="str">
            <v>Green Purchase</v>
          </cell>
          <cell r="T71" t="str">
            <v>NONE</v>
          </cell>
          <cell r="U71" t="str">
            <v>Safety Management</v>
          </cell>
          <cell r="W71" t="str">
            <v>Posco Patent</v>
          </cell>
          <cell r="Y71" t="str">
            <v>Or Equivalent</v>
          </cell>
          <cell r="Z71" t="str">
            <v>OR EQUIVALENT</v>
          </cell>
          <cell r="AA71" t="str">
            <v>Cylinder Type</v>
          </cell>
          <cell r="AB71" t="str">
            <v>CWC(DA)</v>
          </cell>
          <cell r="AC71" t="str">
            <v>Mounting Type</v>
          </cell>
          <cell r="AD71" t="str">
            <v>OTHERS</v>
          </cell>
          <cell r="AE71" t="str">
            <v>Bore Size</v>
          </cell>
          <cell r="AF71" t="str">
            <v>16</v>
          </cell>
          <cell r="AG71" t="str">
            <v>Rod Diameter</v>
          </cell>
          <cell r="AH71" t="str">
            <v>16</v>
          </cell>
          <cell r="AI71" t="str">
            <v>Stroke Length</v>
          </cell>
          <cell r="AJ71" t="str">
            <v>25</v>
          </cell>
          <cell r="AK71" t="str">
            <v>Pressure Rating</v>
          </cell>
          <cell r="AL71" t="str">
            <v>10</v>
          </cell>
          <cell r="AM71" t="str">
            <v>Model-1</v>
          </cell>
          <cell r="AN71" t="str">
            <v>CDQSD16-25DM-A93L</v>
          </cell>
          <cell r="AO71" t="str">
            <v>Maker Name-1</v>
          </cell>
          <cell r="AP71" t="str">
            <v>SMC</v>
          </cell>
          <cell r="AQ71" t="str">
            <v>Option-1</v>
          </cell>
          <cell r="AS71" t="str">
            <v>Model-2</v>
          </cell>
          <cell r="AU71" t="str">
            <v>Maker Name-2</v>
          </cell>
          <cell r="AV71" t="str">
            <v>NONE</v>
          </cell>
          <cell r="AW71" t="str">
            <v>Option-2</v>
          </cell>
          <cell r="AY71" t="str">
            <v>Model-3</v>
          </cell>
          <cell r="BA71" t="str">
            <v>Maker Name-3</v>
          </cell>
          <cell r="BC71" t="str">
            <v>Option-3</v>
          </cell>
          <cell r="BE71" t="str">
            <v>Option &amp; Others</v>
          </cell>
          <cell r="BG71" t="str">
            <v>Application</v>
          </cell>
          <cell r="BH71" t="str">
            <v>FOR CHARPY IMPACT TESTER(HOLDER)</v>
          </cell>
        </row>
        <row r="72">
          <cell r="A72" t="str">
            <v>Q4675164</v>
          </cell>
          <cell r="B72" t="str">
            <v>ACTIVE</v>
          </cell>
          <cell r="C72" t="str">
            <v>특정사양품(단수)</v>
          </cell>
          <cell r="D72" t="str">
            <v>Q4675164</v>
          </cell>
          <cell r="E72" t="str">
            <v>Pneumatic Cylinder</v>
          </cell>
          <cell r="F72" t="str">
            <v>포스코</v>
          </cell>
          <cell r="G72" t="str">
            <v>CWC(DA),25Dx25Dx30ST,7kgf/cm2,[CDUK25-30D-A93L/SMC],FOR CHARPY IMPACT TESTER(BURR REMOVER),OR EQUIVALENT</v>
          </cell>
          <cell r="H72" t="str">
            <v>1</v>
          </cell>
          <cell r="I72" t="str">
            <v>EA</v>
          </cell>
          <cell r="J72" t="str">
            <v>L</v>
          </cell>
          <cell r="K72" t="str">
            <v>권우석</v>
          </cell>
          <cell r="N72" t="str">
            <v>https://www.smckorea.co.kr/</v>
          </cell>
          <cell r="Q72" t="str">
            <v>Used Goods</v>
          </cell>
          <cell r="S72" t="str">
            <v>Green Purchase</v>
          </cell>
          <cell r="T72" t="str">
            <v>NONE</v>
          </cell>
          <cell r="U72" t="str">
            <v>Safety Management</v>
          </cell>
          <cell r="W72" t="str">
            <v>Posco Patent</v>
          </cell>
          <cell r="Y72" t="str">
            <v>Or Equivalent</v>
          </cell>
          <cell r="Z72" t="str">
            <v>OR EQUIVALENT</v>
          </cell>
          <cell r="AA72" t="str">
            <v>Cylinder Type</v>
          </cell>
          <cell r="AB72" t="str">
            <v>CWC(DA)</v>
          </cell>
          <cell r="AC72" t="str">
            <v>Mounting Type</v>
          </cell>
          <cell r="AD72" t="str">
            <v>OTHERS</v>
          </cell>
          <cell r="AE72" t="str">
            <v>Bore Size</v>
          </cell>
          <cell r="AF72" t="str">
            <v>25</v>
          </cell>
          <cell r="AG72" t="str">
            <v>Rod Diameter</v>
          </cell>
          <cell r="AH72" t="str">
            <v>25</v>
          </cell>
          <cell r="AI72" t="str">
            <v>Stroke Length</v>
          </cell>
          <cell r="AJ72" t="str">
            <v>30</v>
          </cell>
          <cell r="AK72" t="str">
            <v>Pressure Rating</v>
          </cell>
          <cell r="AL72" t="str">
            <v>7</v>
          </cell>
          <cell r="AM72" t="str">
            <v>Model-1</v>
          </cell>
          <cell r="AN72" t="str">
            <v>CDUK25-30D-A93L</v>
          </cell>
          <cell r="AO72" t="str">
            <v>Maker Name-1</v>
          </cell>
          <cell r="AP72" t="str">
            <v>SMC</v>
          </cell>
          <cell r="AQ72" t="str">
            <v>Option-1</v>
          </cell>
          <cell r="AS72" t="str">
            <v>Model-2</v>
          </cell>
          <cell r="AU72" t="str">
            <v>Maker Name-2</v>
          </cell>
          <cell r="AV72" t="str">
            <v>NONE</v>
          </cell>
          <cell r="AW72" t="str">
            <v>Option-2</v>
          </cell>
          <cell r="AY72" t="str">
            <v>Model-3</v>
          </cell>
          <cell r="BA72" t="str">
            <v>Maker Name-3</v>
          </cell>
          <cell r="BC72" t="str">
            <v>Option-3</v>
          </cell>
          <cell r="BE72" t="str">
            <v>Option &amp; Others</v>
          </cell>
          <cell r="BG72" t="str">
            <v>Application</v>
          </cell>
          <cell r="BH72" t="str">
            <v>FOR CHARPY IMPACT TESTER(BURR REMOVER)</v>
          </cell>
        </row>
        <row r="73">
          <cell r="A73" t="str">
            <v>Q2054050</v>
          </cell>
          <cell r="B73" t="str">
            <v>ACTIVE</v>
          </cell>
          <cell r="C73" t="str">
            <v>특정사양품(단수)</v>
          </cell>
          <cell r="D73" t="str">
            <v>Q2054050</v>
          </cell>
          <cell r="E73" t="str">
            <v>Pneumatic Cylinder</v>
          </cell>
          <cell r="F73" t="str">
            <v>포스코</v>
          </cell>
          <cell r="G73" t="str">
            <v>CWC(DA),SD,63Dx20Dx40ST,9.9kgf/cm2,[MGQL63-40-Z73/SMC],FOR K4C 2CAL SIDE TRIMMER,OR EQUIVALENT</v>
          </cell>
          <cell r="H73" t="str">
            <v>2</v>
          </cell>
          <cell r="I73" t="str">
            <v>EA</v>
          </cell>
          <cell r="K73" t="str">
            <v>이현식</v>
          </cell>
          <cell r="N73" t="str">
            <v>https://www.smckorea.co.kr/ppis/data/catalog/MGQ.pdf?ver=7283.1060531038265</v>
          </cell>
          <cell r="Q73" t="str">
            <v>Used Goods</v>
          </cell>
          <cell r="S73" t="str">
            <v>Green Purchase</v>
          </cell>
          <cell r="T73" t="str">
            <v>NONE</v>
          </cell>
          <cell r="U73" t="str">
            <v>Safety Management</v>
          </cell>
          <cell r="W73" t="str">
            <v>Posco Patent</v>
          </cell>
          <cell r="Y73" t="str">
            <v>Or Equivalent</v>
          </cell>
          <cell r="Z73" t="str">
            <v>OR EQUIVALENT</v>
          </cell>
          <cell r="AA73" t="str">
            <v>Cylinder Type</v>
          </cell>
          <cell r="AB73" t="str">
            <v>CWC(DA)</v>
          </cell>
          <cell r="AC73" t="str">
            <v>Mounting Type</v>
          </cell>
          <cell r="AD73" t="str">
            <v>SD</v>
          </cell>
          <cell r="AE73" t="str">
            <v>Bore Size</v>
          </cell>
          <cell r="AF73" t="str">
            <v>63</v>
          </cell>
          <cell r="AG73" t="str">
            <v>Rod Diameter</v>
          </cell>
          <cell r="AH73" t="str">
            <v>20</v>
          </cell>
          <cell r="AI73" t="str">
            <v>Stroke Length</v>
          </cell>
          <cell r="AJ73" t="str">
            <v>40</v>
          </cell>
          <cell r="AK73" t="str">
            <v>Pressure Rating</v>
          </cell>
          <cell r="AL73" t="str">
            <v>9.9</v>
          </cell>
          <cell r="AM73" t="str">
            <v>Model-1</v>
          </cell>
          <cell r="AN73" t="str">
            <v>MGQL63-40-Z73</v>
          </cell>
          <cell r="AO73" t="str">
            <v>Maker Name-1</v>
          </cell>
          <cell r="AP73" t="str">
            <v>SMC</v>
          </cell>
          <cell r="AQ73" t="str">
            <v>Option-1</v>
          </cell>
          <cell r="AS73" t="str">
            <v>Model-2</v>
          </cell>
          <cell r="AU73" t="str">
            <v>Maker Name-2</v>
          </cell>
          <cell r="AV73" t="str">
            <v>NONE</v>
          </cell>
          <cell r="AW73" t="str">
            <v>Option-2</v>
          </cell>
          <cell r="AY73" t="str">
            <v>Model-3</v>
          </cell>
          <cell r="BA73" t="str">
            <v>Maker Name-3</v>
          </cell>
          <cell r="BC73" t="str">
            <v>Option-3</v>
          </cell>
          <cell r="BE73" t="str">
            <v>Option &amp; Others</v>
          </cell>
          <cell r="BG73" t="str">
            <v>Application</v>
          </cell>
          <cell r="BH73" t="str">
            <v>FOR K4C 2CAL SIDE TRIMMER</v>
          </cell>
        </row>
        <row r="74">
          <cell r="A74" t="str">
            <v>Q4680486</v>
          </cell>
          <cell r="B74" t="str">
            <v>ACTIVE</v>
          </cell>
          <cell r="C74" t="str">
            <v>특정사양품(단수)</v>
          </cell>
          <cell r="D74" t="str">
            <v>Q4680486</v>
          </cell>
          <cell r="E74" t="str">
            <v>Pneumatic Cylinder</v>
          </cell>
          <cell r="F74" t="str">
            <v>포스코</v>
          </cell>
          <cell r="G74" t="str">
            <v>CWC(DA),CA,63Dx20Dx64ST,10kgf/cm2,[CG1DN63-64-CJD00567/SMC],MAKER DWG NO:CG1DN63-64-CJD00567,FOR K1C 3RCL OILER DRIP PAN SWING CYLINDER,OR EQUIVALENT</v>
          </cell>
          <cell r="H74" t="str">
            <v>1</v>
          </cell>
          <cell r="I74" t="str">
            <v>EA</v>
          </cell>
          <cell r="J74" t="str">
            <v>L</v>
          </cell>
          <cell r="K74" t="str">
            <v>이현식</v>
          </cell>
          <cell r="N74" t="str">
            <v>https://www.smckorea.co.kr/ppis/data/domyun/CJD00567-AP..pdf</v>
          </cell>
          <cell r="Q74" t="str">
            <v>Used Goods</v>
          </cell>
          <cell r="S74" t="str">
            <v>Green Purchase</v>
          </cell>
          <cell r="T74" t="str">
            <v>NONE</v>
          </cell>
          <cell r="U74" t="str">
            <v>Safety Management</v>
          </cell>
          <cell r="W74" t="str">
            <v>Posco Patent</v>
          </cell>
          <cell r="Y74" t="str">
            <v>Or Equivalent</v>
          </cell>
          <cell r="Z74" t="str">
            <v>OR EQUIVALENT</v>
          </cell>
          <cell r="AA74" t="str">
            <v>Cylinder Type</v>
          </cell>
          <cell r="AB74" t="str">
            <v>CWC(DA)</v>
          </cell>
          <cell r="AC74" t="str">
            <v>Mounting Type</v>
          </cell>
          <cell r="AD74" t="str">
            <v>CA</v>
          </cell>
          <cell r="AE74" t="str">
            <v>Bore Size</v>
          </cell>
          <cell r="AF74" t="str">
            <v>63</v>
          </cell>
          <cell r="AG74" t="str">
            <v>Rod Diameter</v>
          </cell>
          <cell r="AH74" t="str">
            <v>20</v>
          </cell>
          <cell r="AI74" t="str">
            <v>Stroke Length</v>
          </cell>
          <cell r="AJ74" t="str">
            <v>64</v>
          </cell>
          <cell r="AK74" t="str">
            <v>Pressure Rating</v>
          </cell>
          <cell r="AL74" t="str">
            <v>10</v>
          </cell>
          <cell r="AM74" t="str">
            <v>Model-1</v>
          </cell>
          <cell r="AN74" t="str">
            <v>CG1DN63-64-CJD00567</v>
          </cell>
          <cell r="AO74" t="str">
            <v>Maker Name-1</v>
          </cell>
          <cell r="AP74" t="str">
            <v>SMC</v>
          </cell>
          <cell r="AQ74" t="str">
            <v>Option-1</v>
          </cell>
          <cell r="AS74" t="str">
            <v>Model-2</v>
          </cell>
          <cell r="AU74" t="str">
            <v>Maker Name-2</v>
          </cell>
          <cell r="AV74" t="str">
            <v>NONE</v>
          </cell>
          <cell r="AW74" t="str">
            <v>Option-2</v>
          </cell>
          <cell r="AY74" t="str">
            <v>Model-3</v>
          </cell>
          <cell r="BA74" t="str">
            <v>Maker Name-3</v>
          </cell>
          <cell r="BC74" t="str">
            <v>Option-3</v>
          </cell>
          <cell r="BE74" t="str">
            <v>Option &amp; Others</v>
          </cell>
          <cell r="BF74" t="str">
            <v>MAKER DWG NO:CG1DN63-64-CJD00567</v>
          </cell>
          <cell r="BG74" t="str">
            <v>Application</v>
          </cell>
          <cell r="BH74" t="str">
            <v>FOR K1C 3RCL OILER DRIP PAN SWING CYLINDER</v>
          </cell>
        </row>
        <row r="75">
          <cell r="A75" t="str">
            <v>Q4683457</v>
          </cell>
          <cell r="B75" t="str">
            <v>ACTIVE</v>
          </cell>
          <cell r="C75" t="str">
            <v>특정사양품(단수)</v>
          </cell>
          <cell r="D75" t="str">
            <v>Q4683457</v>
          </cell>
          <cell r="E75" t="str">
            <v>Pneumatic Cylinder</v>
          </cell>
          <cell r="F75" t="str">
            <v>포스코</v>
          </cell>
          <cell r="G75" t="str">
            <v>CA,100Dx30Dx300ST,10kgf/cm2,[CA2B100-300Z/SMC],2FINEX RTO,OR EQUIVALENT</v>
          </cell>
          <cell r="H75" t="str">
            <v>1</v>
          </cell>
          <cell r="I75" t="str">
            <v>SET</v>
          </cell>
          <cell r="J75" t="str">
            <v>L</v>
          </cell>
          <cell r="K75" t="str">
            <v>문승준</v>
          </cell>
          <cell r="N75" t="str">
            <v>https://www.smcpneumatics.com/CA2B100-300Z.html</v>
          </cell>
          <cell r="Q75" t="str">
            <v>Used Goods</v>
          </cell>
          <cell r="S75" t="str">
            <v>Green Purchase</v>
          </cell>
          <cell r="T75" t="str">
            <v>NONE</v>
          </cell>
          <cell r="U75" t="str">
            <v>Safety Management</v>
          </cell>
          <cell r="W75" t="str">
            <v>Posco Patent</v>
          </cell>
          <cell r="Y75" t="str">
            <v>Or Equivalent</v>
          </cell>
          <cell r="Z75" t="str">
            <v>OR EQUIVALENT</v>
          </cell>
          <cell r="AA75" t="str">
            <v>Cylinder Type</v>
          </cell>
          <cell r="AB75" t="str">
            <v>OTHERS</v>
          </cell>
          <cell r="AC75" t="str">
            <v>Mounting Type</v>
          </cell>
          <cell r="AD75" t="str">
            <v>CA</v>
          </cell>
          <cell r="AE75" t="str">
            <v>Bore Size</v>
          </cell>
          <cell r="AF75" t="str">
            <v>100</v>
          </cell>
          <cell r="AG75" t="str">
            <v>Rod Diameter</v>
          </cell>
          <cell r="AH75" t="str">
            <v>30</v>
          </cell>
          <cell r="AI75" t="str">
            <v>Stroke Length</v>
          </cell>
          <cell r="AJ75" t="str">
            <v>300</v>
          </cell>
          <cell r="AK75" t="str">
            <v>Pressure Rating</v>
          </cell>
          <cell r="AL75" t="str">
            <v>10</v>
          </cell>
          <cell r="AM75" t="str">
            <v>Model-1</v>
          </cell>
          <cell r="AN75" t="str">
            <v>CA2B100-300Z</v>
          </cell>
          <cell r="AO75" t="str">
            <v>Maker Name-1</v>
          </cell>
          <cell r="AP75" t="str">
            <v>SMC</v>
          </cell>
          <cell r="AQ75" t="str">
            <v>Option-1</v>
          </cell>
          <cell r="AS75" t="str">
            <v>Model-2</v>
          </cell>
          <cell r="AU75" t="str">
            <v>Maker Name-2</v>
          </cell>
          <cell r="AV75" t="str">
            <v>NONE</v>
          </cell>
          <cell r="AW75" t="str">
            <v>Option-2</v>
          </cell>
          <cell r="AY75" t="str">
            <v>Model-3</v>
          </cell>
          <cell r="BA75" t="str">
            <v>Maker Name-3</v>
          </cell>
          <cell r="BC75" t="str">
            <v>Option-3</v>
          </cell>
          <cell r="BE75" t="str">
            <v>Option &amp; Others</v>
          </cell>
          <cell r="BG75" t="str">
            <v>Application</v>
          </cell>
          <cell r="BH75" t="str">
            <v>2FINEX RTO</v>
          </cell>
        </row>
        <row r="76">
          <cell r="A76" t="str">
            <v>Q4683941</v>
          </cell>
          <cell r="B76" t="str">
            <v>ACTIVE</v>
          </cell>
          <cell r="C76" t="str">
            <v>특정사양품(단수)</v>
          </cell>
          <cell r="D76" t="str">
            <v>Q4683941</v>
          </cell>
          <cell r="E76" t="str">
            <v>Pneumatic Cylinder</v>
          </cell>
          <cell r="F76" t="str">
            <v>포스코</v>
          </cell>
          <cell r="G76" t="str">
            <v>CWC(DA),FA,63Dx20Dx600ST,10kgf/cm2,[MDBF63-600Z-W-M9BW/SMC],OR EQUIVALENT</v>
          </cell>
          <cell r="H76" t="str">
            <v>1</v>
          </cell>
          <cell r="I76" t="str">
            <v>EA</v>
          </cell>
          <cell r="J76" t="str">
            <v>L</v>
          </cell>
          <cell r="K76" t="str">
            <v>김대환</v>
          </cell>
          <cell r="N76" t="str">
            <v>https://www.smckorea.co.kr/ &gt; 제품 검색 &gt; MDBF63-600Z-W-M9BW</v>
          </cell>
          <cell r="Q76" t="str">
            <v>Used Goods</v>
          </cell>
          <cell r="S76" t="str">
            <v>Green Purchase</v>
          </cell>
          <cell r="T76" t="str">
            <v>NONE</v>
          </cell>
          <cell r="U76" t="str">
            <v>Safety Management</v>
          </cell>
          <cell r="W76" t="str">
            <v>Posco Patent</v>
          </cell>
          <cell r="Y76" t="str">
            <v>Or Equivalent</v>
          </cell>
          <cell r="Z76" t="str">
            <v>OR EQUIVALENT</v>
          </cell>
          <cell r="AA76" t="str">
            <v>Cylinder Type</v>
          </cell>
          <cell r="AB76" t="str">
            <v>CWC(DA)</v>
          </cell>
          <cell r="AC76" t="str">
            <v>Mounting Type</v>
          </cell>
          <cell r="AD76" t="str">
            <v>FA</v>
          </cell>
          <cell r="AE76" t="str">
            <v>Bore Size</v>
          </cell>
          <cell r="AF76" t="str">
            <v>63</v>
          </cell>
          <cell r="AG76" t="str">
            <v>Rod Diameter</v>
          </cell>
          <cell r="AH76" t="str">
            <v>20</v>
          </cell>
          <cell r="AI76" t="str">
            <v>Stroke Length</v>
          </cell>
          <cell r="AJ76" t="str">
            <v>600</v>
          </cell>
          <cell r="AK76" t="str">
            <v>Pressure Rating</v>
          </cell>
          <cell r="AL76" t="str">
            <v>10</v>
          </cell>
          <cell r="AM76" t="str">
            <v>Model-1</v>
          </cell>
          <cell r="AN76" t="str">
            <v>MDBF63-600Z-W-M9BW</v>
          </cell>
          <cell r="AO76" t="str">
            <v>Maker Name-1</v>
          </cell>
          <cell r="AP76" t="str">
            <v>SMC</v>
          </cell>
          <cell r="AQ76" t="str">
            <v>Option-1</v>
          </cell>
          <cell r="AS76" t="str">
            <v>Model-2</v>
          </cell>
          <cell r="AU76" t="str">
            <v>Maker Name-2</v>
          </cell>
          <cell r="AV76" t="str">
            <v>NONE</v>
          </cell>
          <cell r="AW76" t="str">
            <v>Option-2</v>
          </cell>
          <cell r="AY76" t="str">
            <v>Model-3</v>
          </cell>
          <cell r="BA76" t="str">
            <v>Maker Name-3</v>
          </cell>
          <cell r="BC76" t="str">
            <v>Option-3</v>
          </cell>
          <cell r="BE76" t="str">
            <v>Option &amp; Others</v>
          </cell>
          <cell r="BG76" t="str">
            <v>Application</v>
          </cell>
        </row>
        <row r="77">
          <cell r="A77" t="str">
            <v>Q4688206</v>
          </cell>
          <cell r="B77" t="str">
            <v>ACTIVE</v>
          </cell>
          <cell r="C77" t="str">
            <v>특정사양품(단수)</v>
          </cell>
          <cell r="D77" t="str">
            <v>Q4688206</v>
          </cell>
          <cell r="E77" t="str">
            <v>Pneumatic Cylinder</v>
          </cell>
          <cell r="F77" t="str">
            <v>포스코</v>
          </cell>
          <cell r="G77" t="str">
            <v>CWC(DA),SD,50Dx20Dx100ST,10.2kgf/cm2,[CDQ2A50-100DCZ-M9BWL/SMC],OR EQUIVALENT</v>
          </cell>
          <cell r="H77" t="str">
            <v>1</v>
          </cell>
          <cell r="I77" t="str">
            <v>EA</v>
          </cell>
          <cell r="J77" t="str">
            <v>L</v>
          </cell>
          <cell r="K77" t="str">
            <v>정석운</v>
          </cell>
          <cell r="N77" t="str">
            <v xml:space="preserve"> https://www.smckorea.co.kr/</v>
          </cell>
          <cell r="Q77" t="str">
            <v>Used Goods</v>
          </cell>
          <cell r="S77" t="str">
            <v>Green Purchase</v>
          </cell>
          <cell r="T77" t="str">
            <v>NONE</v>
          </cell>
          <cell r="U77" t="str">
            <v>Safety Management</v>
          </cell>
          <cell r="W77" t="str">
            <v>Posco Patent</v>
          </cell>
          <cell r="Y77" t="str">
            <v>Or Equivalent</v>
          </cell>
          <cell r="Z77" t="str">
            <v>OR EQUIVALENT</v>
          </cell>
          <cell r="AA77" t="str">
            <v>Cylinder Type</v>
          </cell>
          <cell r="AB77" t="str">
            <v>CWC(DA)</v>
          </cell>
          <cell r="AC77" t="str">
            <v>Mounting Type</v>
          </cell>
          <cell r="AD77" t="str">
            <v>SD</v>
          </cell>
          <cell r="AE77" t="str">
            <v>Bore Size</v>
          </cell>
          <cell r="AF77" t="str">
            <v>50</v>
          </cell>
          <cell r="AG77" t="str">
            <v>Rod Diameter</v>
          </cell>
          <cell r="AH77" t="str">
            <v>20</v>
          </cell>
          <cell r="AI77" t="str">
            <v>Stroke Length</v>
          </cell>
          <cell r="AJ77" t="str">
            <v>100</v>
          </cell>
          <cell r="AK77" t="str">
            <v>Pressure Rating</v>
          </cell>
          <cell r="AL77" t="str">
            <v>10.2</v>
          </cell>
          <cell r="AM77" t="str">
            <v>Model-1</v>
          </cell>
          <cell r="AN77" t="str">
            <v>CDQ2A50-100DCZ-M9BWL</v>
          </cell>
          <cell r="AO77" t="str">
            <v>Maker Name-1</v>
          </cell>
          <cell r="AP77" t="str">
            <v>SMC</v>
          </cell>
          <cell r="AQ77" t="str">
            <v>Option-1</v>
          </cell>
          <cell r="AS77" t="str">
            <v>Model-2</v>
          </cell>
          <cell r="AU77" t="str">
            <v>Maker Name-2</v>
          </cell>
          <cell r="AV77" t="str">
            <v>NONE</v>
          </cell>
          <cell r="AW77" t="str">
            <v>Option-2</v>
          </cell>
          <cell r="AY77" t="str">
            <v>Model-3</v>
          </cell>
          <cell r="BA77" t="str">
            <v>Maker Name-3</v>
          </cell>
          <cell r="BC77" t="str">
            <v>Option-3</v>
          </cell>
          <cell r="BE77" t="str">
            <v>Option &amp; Others</v>
          </cell>
          <cell r="BG77" t="str">
            <v>Application</v>
          </cell>
        </row>
        <row r="78">
          <cell r="A78" t="str">
            <v>Q4280848</v>
          </cell>
          <cell r="B78" t="str">
            <v>ACTIVE</v>
          </cell>
          <cell r="C78" t="str">
            <v>특정사양품(단수)</v>
          </cell>
          <cell r="D78" t="str">
            <v>Q4280848</v>
          </cell>
          <cell r="E78" t="str">
            <v>Pneumatic Cylinder</v>
          </cell>
          <cell r="F78" t="str">
            <v>포스코</v>
          </cell>
          <cell r="G78" t="str">
            <v>CWC(DA),FA,160Dx40Dx80ST,10kgf/cm2,[C95S F160-80/SMC],FOR 3APL RINSE WRRINGER ROLL,OR EQUIVALENT</v>
          </cell>
          <cell r="H78" t="str">
            <v>2</v>
          </cell>
          <cell r="I78" t="str">
            <v>SET</v>
          </cell>
          <cell r="K78" t="str">
            <v>이규연</v>
          </cell>
          <cell r="N78" t="str">
            <v>http://www.smckorea.co.kr/ppis/data/catalog/C95_large.pdf</v>
          </cell>
          <cell r="Q78" t="str">
            <v>Used Goods</v>
          </cell>
          <cell r="S78" t="str">
            <v>Green Purchase</v>
          </cell>
          <cell r="T78" t="str">
            <v>NONE</v>
          </cell>
          <cell r="U78" t="str">
            <v>Safety Management</v>
          </cell>
          <cell r="V78" t="str">
            <v>NONE</v>
          </cell>
          <cell r="W78" t="str">
            <v>Posco Patent</v>
          </cell>
          <cell r="Y78" t="str">
            <v>Or Equivalent</v>
          </cell>
          <cell r="Z78" t="str">
            <v>OR EQUIVALENT</v>
          </cell>
          <cell r="AA78" t="str">
            <v>Cylinder Type</v>
          </cell>
          <cell r="AB78" t="str">
            <v>CWC(DA)</v>
          </cell>
          <cell r="AC78" t="str">
            <v>Mounting Type</v>
          </cell>
          <cell r="AD78" t="str">
            <v>FA</v>
          </cell>
          <cell r="AE78" t="str">
            <v>Bore Size</v>
          </cell>
          <cell r="AF78" t="str">
            <v>160</v>
          </cell>
          <cell r="AG78" t="str">
            <v>Rod Diameter</v>
          </cell>
          <cell r="AH78" t="str">
            <v>40</v>
          </cell>
          <cell r="AI78" t="str">
            <v>Stroke Length</v>
          </cell>
          <cell r="AJ78" t="str">
            <v>80</v>
          </cell>
          <cell r="AK78" t="str">
            <v>Pressure Rating</v>
          </cell>
          <cell r="AL78" t="str">
            <v>10</v>
          </cell>
          <cell r="AM78" t="str">
            <v>Model-1</v>
          </cell>
          <cell r="AN78" t="str">
            <v>C95S F160-80</v>
          </cell>
          <cell r="AO78" t="str">
            <v>Maker Name-1</v>
          </cell>
          <cell r="AP78" t="str">
            <v>SMC</v>
          </cell>
          <cell r="AQ78" t="str">
            <v>Option-1</v>
          </cell>
          <cell r="AS78" t="str">
            <v>Model-2</v>
          </cell>
          <cell r="AU78" t="str">
            <v>Maker Name-2</v>
          </cell>
          <cell r="AV78" t="str">
            <v>NONE</v>
          </cell>
          <cell r="AW78" t="str">
            <v>Option-2</v>
          </cell>
          <cell r="AY78" t="str">
            <v>Model-3</v>
          </cell>
          <cell r="BA78" t="str">
            <v>Maker Name-3</v>
          </cell>
          <cell r="BC78" t="str">
            <v>Option-3</v>
          </cell>
          <cell r="BE78" t="str">
            <v>Option &amp; Others</v>
          </cell>
          <cell r="BG78" t="str">
            <v>Application</v>
          </cell>
          <cell r="BH78" t="str">
            <v>FOR 3APL RINSE WRRINGER ROLL</v>
          </cell>
        </row>
        <row r="79">
          <cell r="A79" t="str">
            <v>Q4687826</v>
          </cell>
          <cell r="B79" t="str">
            <v>ACTIVE</v>
          </cell>
          <cell r="C79" t="str">
            <v>특정사양품(단수)</v>
          </cell>
          <cell r="D79" t="str">
            <v>Q4687826</v>
          </cell>
          <cell r="E79" t="str">
            <v>Pneumatic Cylinder</v>
          </cell>
          <cell r="F79" t="str">
            <v>포스코</v>
          </cell>
          <cell r="G79" t="str">
            <v>CSB,32Dx12Dx50ST,10kgf/cm2,[CDG1BA32-50Z1/SMC],OR EQUIVALENT</v>
          </cell>
          <cell r="H79" t="str">
            <v>2</v>
          </cell>
          <cell r="I79" t="str">
            <v>EA</v>
          </cell>
          <cell r="J79" t="str">
            <v>L</v>
          </cell>
          <cell r="K79" t="str">
            <v>전봉걸</v>
          </cell>
          <cell r="N79" t="str">
            <v>https://www.smckorea.co.kr/homepage/ver3.5/srch/search.asp</v>
          </cell>
          <cell r="Q79" t="str">
            <v>Used Goods</v>
          </cell>
          <cell r="S79" t="str">
            <v>Green Purchase</v>
          </cell>
          <cell r="T79" t="str">
            <v>NONE</v>
          </cell>
          <cell r="U79" t="str">
            <v>Safety Management</v>
          </cell>
          <cell r="W79" t="str">
            <v>Posco Patent</v>
          </cell>
          <cell r="Y79" t="str">
            <v>Or Equivalent</v>
          </cell>
          <cell r="Z79" t="str">
            <v>OR EQUIVALENT</v>
          </cell>
          <cell r="AA79" t="str">
            <v>Cylinder Type</v>
          </cell>
          <cell r="AB79" t="str">
            <v>CSB</v>
          </cell>
          <cell r="AC79" t="str">
            <v>Mounting Type</v>
          </cell>
          <cell r="AD79" t="str">
            <v>OTHERS</v>
          </cell>
          <cell r="AE79" t="str">
            <v>Bore Size</v>
          </cell>
          <cell r="AF79" t="str">
            <v>32</v>
          </cell>
          <cell r="AG79" t="str">
            <v>Rod Diameter</v>
          </cell>
          <cell r="AH79" t="str">
            <v>12</v>
          </cell>
          <cell r="AI79" t="str">
            <v>Stroke Length</v>
          </cell>
          <cell r="AJ79" t="str">
            <v>50</v>
          </cell>
          <cell r="AK79" t="str">
            <v>Pressure Rating</v>
          </cell>
          <cell r="AL79" t="str">
            <v>10</v>
          </cell>
          <cell r="AM79" t="str">
            <v>Model-1</v>
          </cell>
          <cell r="AN79" t="str">
            <v>CDG1BA32-50Z1</v>
          </cell>
          <cell r="AO79" t="str">
            <v>Maker Name-1</v>
          </cell>
          <cell r="AP79" t="str">
            <v>SMC</v>
          </cell>
          <cell r="AQ79" t="str">
            <v>Option-1</v>
          </cell>
          <cell r="AS79" t="str">
            <v>Model-2</v>
          </cell>
          <cell r="AT79" t="str">
            <v>UNKNOWN</v>
          </cell>
          <cell r="AU79" t="str">
            <v>Maker Name-2</v>
          </cell>
          <cell r="AV79" t="str">
            <v>NONE</v>
          </cell>
          <cell r="AW79" t="str">
            <v>Option-2</v>
          </cell>
          <cell r="AY79" t="str">
            <v>Model-3</v>
          </cell>
          <cell r="AZ79" t="str">
            <v>UNKNOWN</v>
          </cell>
          <cell r="BA79" t="str">
            <v>Maker Name-3</v>
          </cell>
          <cell r="BB79" t="str">
            <v>NONE</v>
          </cell>
          <cell r="BC79" t="str">
            <v>Option-3</v>
          </cell>
          <cell r="BE79" t="str">
            <v>Option &amp; Others</v>
          </cell>
          <cell r="BG79" t="str">
            <v>Application</v>
          </cell>
        </row>
        <row r="80">
          <cell r="A80" t="str">
            <v>Q4696036</v>
          </cell>
          <cell r="B80" t="str">
            <v>ACTIVE</v>
          </cell>
          <cell r="C80" t="str">
            <v>특정사양품(단수)</v>
          </cell>
          <cell r="D80" t="str">
            <v>Q4696036</v>
          </cell>
          <cell r="E80" t="str">
            <v>Pneumatic Cylinder</v>
          </cell>
          <cell r="F80" t="str">
            <v>포스코</v>
          </cell>
          <cell r="G80" t="str">
            <v>CWC(DA),CB,200Dx50Dx1800ST,10kgf/cm2,[CDS1DN200-KRD0368-1800-X1034/SMC],FOR 1EGL BANDING MACHINE HEAD,OR EQUIVALENT</v>
          </cell>
          <cell r="H80" t="str">
            <v>1</v>
          </cell>
          <cell r="I80" t="str">
            <v>EA</v>
          </cell>
          <cell r="J80" t="str">
            <v>L</v>
          </cell>
          <cell r="K80" t="str">
            <v>박무균</v>
          </cell>
          <cell r="N80" t="str">
            <v>https://www.smckorea.co.kr/ppis/data/catalog/CS1.pdf</v>
          </cell>
          <cell r="Q80" t="str">
            <v>Used Goods</v>
          </cell>
          <cell r="S80" t="str">
            <v>Green Purchase</v>
          </cell>
          <cell r="T80" t="str">
            <v>NONE</v>
          </cell>
          <cell r="U80" t="str">
            <v>Safety Management</v>
          </cell>
          <cell r="W80" t="str">
            <v>Posco Patent</v>
          </cell>
          <cell r="Y80" t="str">
            <v>Or Equivalent</v>
          </cell>
          <cell r="Z80" t="str">
            <v>OR EQUIVALENT</v>
          </cell>
          <cell r="AA80" t="str">
            <v>Cylinder Type</v>
          </cell>
          <cell r="AB80" t="str">
            <v>CWC(DA)</v>
          </cell>
          <cell r="AC80" t="str">
            <v>Mounting Type</v>
          </cell>
          <cell r="AD80" t="str">
            <v>CB</v>
          </cell>
          <cell r="AE80" t="str">
            <v>Bore Size</v>
          </cell>
          <cell r="AF80" t="str">
            <v>200</v>
          </cell>
          <cell r="AG80" t="str">
            <v>Rod Diameter</v>
          </cell>
          <cell r="AH80" t="str">
            <v>50</v>
          </cell>
          <cell r="AI80" t="str">
            <v>Stroke Length</v>
          </cell>
          <cell r="AJ80" t="str">
            <v>1800</v>
          </cell>
          <cell r="AK80" t="str">
            <v>Pressure Rating</v>
          </cell>
          <cell r="AL80" t="str">
            <v>10</v>
          </cell>
          <cell r="AM80" t="str">
            <v>Model-1</v>
          </cell>
          <cell r="AN80" t="str">
            <v>CDS1DN200-KRD0368-1800-X1034</v>
          </cell>
          <cell r="AO80" t="str">
            <v>Maker Name-1</v>
          </cell>
          <cell r="AP80" t="str">
            <v>SMC</v>
          </cell>
          <cell r="AQ80" t="str">
            <v>Option-1</v>
          </cell>
          <cell r="AS80" t="str">
            <v>Model-2</v>
          </cell>
          <cell r="AT80" t="str">
            <v>UNKNOWN</v>
          </cell>
          <cell r="AU80" t="str">
            <v>Maker Name-2</v>
          </cell>
          <cell r="AV80" t="str">
            <v>NONE</v>
          </cell>
          <cell r="AW80" t="str">
            <v>Option-2</v>
          </cell>
          <cell r="AY80" t="str">
            <v>Model-3</v>
          </cell>
          <cell r="AZ80" t="str">
            <v>UNKNOWN</v>
          </cell>
          <cell r="BA80" t="str">
            <v>Maker Name-3</v>
          </cell>
          <cell r="BB80" t="str">
            <v>NONE</v>
          </cell>
          <cell r="BC80" t="str">
            <v>Option-3</v>
          </cell>
          <cell r="BE80" t="str">
            <v>Option &amp; Others</v>
          </cell>
          <cell r="BG80" t="str">
            <v>Application</v>
          </cell>
          <cell r="BH80" t="str">
            <v>FOR 1EGL BANDING MACHINE HEAD</v>
          </cell>
        </row>
        <row r="81">
          <cell r="A81" t="str">
            <v>Q4697437</v>
          </cell>
          <cell r="B81" t="str">
            <v>ACTIVE</v>
          </cell>
          <cell r="C81" t="str">
            <v>특정사양품(단수)</v>
          </cell>
          <cell r="D81" t="str">
            <v>Q4697437</v>
          </cell>
          <cell r="E81" t="str">
            <v>Pneumatic Cylinder</v>
          </cell>
          <cell r="F81" t="str">
            <v>포스코</v>
          </cell>
          <cell r="G81" t="str">
            <v>CWC(DA),TC,200Dx246ST,[CDS1TN200-246K-A54/SMC],OR EQUIVALENT</v>
          </cell>
          <cell r="H81" t="str">
            <v>1</v>
          </cell>
          <cell r="I81" t="str">
            <v>SET</v>
          </cell>
          <cell r="J81" t="str">
            <v>L</v>
          </cell>
          <cell r="K81" t="str">
            <v>구건웅</v>
          </cell>
          <cell r="Q81" t="str">
            <v>Used Goods</v>
          </cell>
          <cell r="S81" t="str">
            <v>Green Purchase</v>
          </cell>
          <cell r="T81" t="str">
            <v>NONE</v>
          </cell>
          <cell r="U81" t="str">
            <v>Safety Management</v>
          </cell>
          <cell r="W81" t="str">
            <v>Posco Patent</v>
          </cell>
          <cell r="Y81" t="str">
            <v>Or Equivalent</v>
          </cell>
          <cell r="Z81" t="str">
            <v>OR EQUIVALENT</v>
          </cell>
          <cell r="AA81" t="str">
            <v>Cylinder Type</v>
          </cell>
          <cell r="AB81" t="str">
            <v>CWC(DA)</v>
          </cell>
          <cell r="AC81" t="str">
            <v>Mounting Type</v>
          </cell>
          <cell r="AD81" t="str">
            <v>TC</v>
          </cell>
          <cell r="AE81" t="str">
            <v>Bore Size</v>
          </cell>
          <cell r="AF81" t="str">
            <v>200</v>
          </cell>
          <cell r="AG81" t="str">
            <v>Rod Diameter</v>
          </cell>
          <cell r="AH81" t="str">
            <v>9999</v>
          </cell>
          <cell r="AI81" t="str">
            <v>Stroke Length</v>
          </cell>
          <cell r="AJ81" t="str">
            <v>246</v>
          </cell>
          <cell r="AK81" t="str">
            <v>Pressure Rating</v>
          </cell>
          <cell r="AL81" t="str">
            <v>9999</v>
          </cell>
          <cell r="AM81" t="str">
            <v>Model-1</v>
          </cell>
          <cell r="AN81" t="str">
            <v>CDS1TN200-246K-A54</v>
          </cell>
          <cell r="AO81" t="str">
            <v>Maker Name-1</v>
          </cell>
          <cell r="AP81" t="str">
            <v>SMC</v>
          </cell>
          <cell r="AQ81" t="str">
            <v>Option-1</v>
          </cell>
          <cell r="AS81" t="str">
            <v>Model-2</v>
          </cell>
          <cell r="AT81" t="str">
            <v>UNKNOWN</v>
          </cell>
          <cell r="AU81" t="str">
            <v>Maker Name-2</v>
          </cell>
          <cell r="AV81" t="str">
            <v>NONE</v>
          </cell>
          <cell r="AW81" t="str">
            <v>Option-2</v>
          </cell>
          <cell r="AY81" t="str">
            <v>Model-3</v>
          </cell>
          <cell r="AZ81" t="str">
            <v>UNKNOWN</v>
          </cell>
          <cell r="BA81" t="str">
            <v>Maker Name-3</v>
          </cell>
          <cell r="BB81" t="str">
            <v>NONE</v>
          </cell>
          <cell r="BC81" t="str">
            <v>Option-3</v>
          </cell>
          <cell r="BE81" t="str">
            <v>Option &amp; Others</v>
          </cell>
          <cell r="BG81" t="str">
            <v>Application</v>
          </cell>
        </row>
      </sheetData>
      <sheetData sheetId="5" refreshError="1"/>
      <sheetData sheetId="6" refreshError="1">
        <row r="1">
          <cell r="A1" t="str">
            <v>ITEM코드</v>
          </cell>
          <cell r="B1" t="str">
            <v>처리상태</v>
          </cell>
          <cell r="C1" t="str">
            <v>자재특성구분</v>
          </cell>
          <cell r="D1" t="str">
            <v>물품(Leaf Class)명</v>
          </cell>
          <cell r="E1" t="str">
            <v>그룹사명</v>
          </cell>
          <cell r="F1" t="str">
            <v xml:space="preserve">해당 여부 </v>
          </cell>
          <cell r="G1" t="str">
            <v>사양/규격</v>
          </cell>
          <cell r="H1" t="str">
            <v>개정차수</v>
          </cell>
          <cell r="I1" t="str">
            <v>단위</v>
          </cell>
          <cell r="J1" t="str">
            <v>조달구분</v>
          </cell>
          <cell r="K1" t="str">
            <v>신청자</v>
          </cell>
          <cell r="L1" t="str">
            <v>도면번호</v>
          </cell>
          <cell r="M1" t="str">
            <v>행번호</v>
          </cell>
          <cell r="N1" t="str">
            <v>첨부URL1</v>
          </cell>
          <cell r="O1" t="str">
            <v>첨부URL2</v>
          </cell>
          <cell r="P1" t="str">
            <v>첨부URL3</v>
          </cell>
          <cell r="Q1" t="str">
            <v>SPEC_TITLE_1</v>
          </cell>
          <cell r="R1" t="str">
            <v>SPEC_VALUE_1</v>
          </cell>
          <cell r="S1" t="str">
            <v>SPEC_TITLE_2</v>
          </cell>
          <cell r="T1" t="str">
            <v>SPEC_VALUE_2</v>
          </cell>
          <cell r="U1" t="str">
            <v>SPEC_TITLE_3</v>
          </cell>
          <cell r="V1" t="str">
            <v>SPEC_VALUE_3</v>
          </cell>
          <cell r="W1" t="str">
            <v>SPEC_TITLE_4</v>
          </cell>
          <cell r="X1" t="str">
            <v>SPEC_VALUE_4</v>
          </cell>
          <cell r="Y1" t="str">
            <v>SPEC_TITLE_5</v>
          </cell>
          <cell r="Z1" t="str">
            <v>SPEC_VALUE_5</v>
          </cell>
          <cell r="AA1" t="str">
            <v>SPEC_TITLE_6</v>
          </cell>
          <cell r="AB1" t="str">
            <v>SPEC_VALUE_6</v>
          </cell>
          <cell r="AC1" t="str">
            <v>SPEC_TITLE_7</v>
          </cell>
          <cell r="AD1" t="str">
            <v>SPEC_VALUE_7</v>
          </cell>
          <cell r="AE1" t="str">
            <v>SPEC_TITLE_8</v>
          </cell>
          <cell r="AF1" t="str">
            <v>SPEC_VALUE_8</v>
          </cell>
          <cell r="AG1" t="str">
            <v>SPEC_TITLE_9</v>
          </cell>
          <cell r="AH1" t="str">
            <v>SPEC_VALUE_9</v>
          </cell>
          <cell r="AI1" t="str">
            <v>SPEC_TITLE_10</v>
          </cell>
          <cell r="AJ1" t="str">
            <v>SPEC_VALUE_10</v>
          </cell>
          <cell r="AK1" t="str">
            <v>SPEC_TITLE_11</v>
          </cell>
          <cell r="AL1" t="str">
            <v>SPEC_VALUE_11</v>
          </cell>
          <cell r="AM1" t="str">
            <v>SPEC_TITLE_12</v>
          </cell>
          <cell r="AN1" t="str">
            <v>SPEC_VALUE_12</v>
          </cell>
          <cell r="AO1" t="str">
            <v>SPEC_TITLE_13</v>
          </cell>
          <cell r="AP1" t="str">
            <v>SPEC_VALUE_13</v>
          </cell>
          <cell r="AQ1" t="str">
            <v>SPEC_TITLE_14</v>
          </cell>
          <cell r="AR1" t="str">
            <v>SPEC_VALUE_14</v>
          </cell>
          <cell r="AS1" t="str">
            <v>SPEC_TITLE_15</v>
          </cell>
          <cell r="AT1" t="str">
            <v>SPEC_VALUE_15</v>
          </cell>
          <cell r="AU1" t="str">
            <v>SPEC_TITLE_16</v>
          </cell>
          <cell r="AV1" t="str">
            <v>SPEC_VALUE_16</v>
          </cell>
          <cell r="AW1" t="str">
            <v>SPEC_TITLE_17</v>
          </cell>
          <cell r="AX1" t="str">
            <v>SPEC_VALUE_17</v>
          </cell>
          <cell r="AY1" t="str">
            <v>SPEC_TITLE_18</v>
          </cell>
          <cell r="AZ1" t="str">
            <v>SPEC_VALUE_18</v>
          </cell>
          <cell r="BA1" t="str">
            <v>SPEC_TITLE_19</v>
          </cell>
          <cell r="BB1" t="str">
            <v>SPEC_VALUE_19</v>
          </cell>
          <cell r="BC1" t="str">
            <v>SPEC_TITLE_20</v>
          </cell>
          <cell r="BD1" t="str">
            <v>SPEC_VALUE_20</v>
          </cell>
          <cell r="BE1" t="str">
            <v>SPEC_TITLE_21</v>
          </cell>
          <cell r="BF1" t="str">
            <v>SPEC_VALUE_21</v>
          </cell>
          <cell r="BG1" t="str">
            <v>SPEC_TITLE_22</v>
          </cell>
          <cell r="BH1" t="str">
            <v>SPEC_VALUE_22</v>
          </cell>
          <cell r="BI1" t="str">
            <v>SPEC_TITLE_23</v>
          </cell>
          <cell r="BJ1" t="str">
            <v>SPEC_VALUE_23</v>
          </cell>
          <cell r="BK1" t="str">
            <v>SPEC_TITLE_24</v>
          </cell>
          <cell r="BL1" t="str">
            <v>SPEC_VALUE_24</v>
          </cell>
          <cell r="BM1" t="str">
            <v>SPEC_TITLE_25</v>
          </cell>
          <cell r="BN1" t="str">
            <v>SPEC_VALUE_25</v>
          </cell>
          <cell r="BO1" t="str">
            <v>SPEC_TITLE_26</v>
          </cell>
          <cell r="BP1" t="str">
            <v>SPEC_VALUE_26</v>
          </cell>
          <cell r="BQ1" t="str">
            <v>SPEC_TITLE_27</v>
          </cell>
          <cell r="BR1" t="str">
            <v>SPEC_VALUE_27</v>
          </cell>
          <cell r="BS1" t="str">
            <v>SPEC_TITLE_28</v>
          </cell>
          <cell r="BT1" t="str">
            <v>SPEC_VALUE_28</v>
          </cell>
          <cell r="BU1" t="str">
            <v>SPEC_TITLE_29</v>
          </cell>
          <cell r="BV1" t="str">
            <v>SPEC_VALUE_29</v>
          </cell>
          <cell r="BW1" t="str">
            <v>SPEC_TITLE_30</v>
          </cell>
          <cell r="BX1" t="str">
            <v>SPEC_VALUE_30</v>
          </cell>
          <cell r="BY1" t="str">
            <v>SPEC_TITLE_31</v>
          </cell>
          <cell r="BZ1" t="str">
            <v>SPEC_VALUE_31</v>
          </cell>
          <cell r="CA1" t="str">
            <v>SPEC_TITLE_32</v>
          </cell>
          <cell r="CB1" t="str">
            <v>SPEC_VALUE_32</v>
          </cell>
          <cell r="CC1" t="str">
            <v>SPEC_TITLE_33</v>
          </cell>
          <cell r="CD1" t="str">
            <v>SPEC_VALUE_33</v>
          </cell>
          <cell r="CE1" t="str">
            <v>SPEC_TITLE_34</v>
          </cell>
          <cell r="CF1" t="str">
            <v>SPEC_VALUE_34</v>
          </cell>
          <cell r="CG1" t="str">
            <v>SPEC_VALUE_34</v>
          </cell>
        </row>
        <row r="2">
          <cell r="A2" t="str">
            <v>Q4621315</v>
          </cell>
          <cell r="B2" t="str">
            <v>ACTIVE</v>
          </cell>
          <cell r="C2" t="str">
            <v>특정사양품(단수)</v>
          </cell>
          <cell r="D2" t="str">
            <v>AC Geared Motor</v>
          </cell>
          <cell r="E2" t="str">
            <v>포스코</v>
          </cell>
          <cell r="F2" t="str">
            <v>Q4621315</v>
          </cell>
          <cell r="G2" t="str">
            <v>4P,3.7kW,440V,60Hz,1755rpm,I=1/90,F_class,270H,70D,350X360,IP55,[HMA01080000560/HYOSUNG]+WITH AC 220V MAGNETIC DISC BRAKE(SHB 155 A, SAMHWAN),IE3,OR EQUIVALENT</v>
          </cell>
          <cell r="H2" t="str">
            <v>2</v>
          </cell>
          <cell r="I2" t="str">
            <v>EA</v>
          </cell>
          <cell r="K2" t="str">
            <v>이용우</v>
          </cell>
          <cell r="Q2" t="str">
            <v>Used Goods</v>
          </cell>
          <cell r="S2" t="str">
            <v>Green Purchase</v>
          </cell>
          <cell r="T2" t="str">
            <v>NONE</v>
          </cell>
          <cell r="U2" t="str">
            <v>Safety Management</v>
          </cell>
          <cell r="W2" t="str">
            <v>Posco Patent</v>
          </cell>
          <cell r="Y2" t="str">
            <v>Or Equivalent</v>
          </cell>
          <cell r="Z2" t="str">
            <v>OR EQUIVALENT</v>
          </cell>
          <cell r="AA2" t="str">
            <v>Model-1</v>
          </cell>
          <cell r="AB2" t="str">
            <v>HMA01080000560</v>
          </cell>
          <cell r="AC2" t="str">
            <v>Maker Name-1</v>
          </cell>
          <cell r="AD2" t="str">
            <v>HYOSUNG</v>
          </cell>
          <cell r="AE2" t="str">
            <v>Option-1</v>
          </cell>
          <cell r="AF2" t="str">
            <v>WITH AC 220V MAGNETIC DISC BRAKE(SHB 155 A, SAMHWAN)</v>
          </cell>
          <cell r="AG2" t="str">
            <v>Model-2</v>
          </cell>
          <cell r="AI2" t="str">
            <v>Maker Name-2</v>
          </cell>
          <cell r="AJ2" t="str">
            <v>NONE</v>
          </cell>
          <cell r="AK2" t="str">
            <v>Option-2</v>
          </cell>
          <cell r="AM2" t="str">
            <v>Model-3</v>
          </cell>
          <cell r="AO2" t="str">
            <v>Maker Name-3</v>
          </cell>
          <cell r="AQ2" t="str">
            <v>Option-3</v>
          </cell>
          <cell r="AS2" t="str">
            <v>Model-4</v>
          </cell>
          <cell r="AU2" t="str">
            <v>Maker Name-4</v>
          </cell>
          <cell r="AW2" t="str">
            <v>Option-4</v>
          </cell>
          <cell r="AY2" t="str">
            <v>Insulation Class</v>
          </cell>
          <cell r="AZ2" t="str">
            <v>F</v>
          </cell>
          <cell r="BA2" t="str">
            <v>IP Class</v>
          </cell>
          <cell r="BB2" t="str">
            <v>IP55</v>
          </cell>
          <cell r="BC2" t="str">
            <v>Number of Poles</v>
          </cell>
          <cell r="BD2" t="str">
            <v>4</v>
          </cell>
          <cell r="BE2" t="str">
            <v>Capacity</v>
          </cell>
          <cell r="BF2" t="str">
            <v>3.7</v>
          </cell>
          <cell r="BG2" t="str">
            <v>Voltage</v>
          </cell>
          <cell r="BH2" t="str">
            <v>440</v>
          </cell>
          <cell r="BI2" t="str">
            <v>Frequency</v>
          </cell>
          <cell r="BJ2" t="str">
            <v>60</v>
          </cell>
          <cell r="BK2" t="str">
            <v>Speed Rating</v>
          </cell>
          <cell r="BL2" t="str">
            <v>1755</v>
          </cell>
          <cell r="BM2" t="str">
            <v>Speed Reduction Ratio</v>
          </cell>
          <cell r="BN2" t="str">
            <v>1/90</v>
          </cell>
          <cell r="BO2" t="str">
            <v>Gear Side Shaft Height</v>
          </cell>
          <cell r="BP2" t="str">
            <v>270</v>
          </cell>
          <cell r="BQ2" t="str">
            <v>Gear Side Shaft Diameter</v>
          </cell>
          <cell r="BR2" t="str">
            <v>70</v>
          </cell>
          <cell r="BS2" t="str">
            <v>Base Size</v>
          </cell>
          <cell r="BT2" t="str">
            <v>350X360</v>
          </cell>
          <cell r="BU2" t="str">
            <v>Explosion Proof</v>
          </cell>
          <cell r="BW2" t="str">
            <v>AC Motor Type</v>
          </cell>
          <cell r="BX2" t="str">
            <v>OTHERS</v>
          </cell>
          <cell r="BY2" t="str">
            <v>Efficiency</v>
          </cell>
          <cell r="BZ2" t="str">
            <v>IE3</v>
          </cell>
          <cell r="CA2" t="str">
            <v>Option &amp; Others</v>
          </cell>
          <cell r="CC2" t="str">
            <v>Compliance Item</v>
          </cell>
        </row>
        <row r="3">
          <cell r="A3" t="str">
            <v>Q4621046</v>
          </cell>
          <cell r="B3" t="str">
            <v>ACTIVE</v>
          </cell>
          <cell r="C3" t="str">
            <v>특정사양품(단수)</v>
          </cell>
          <cell r="D3" t="str">
            <v>AC Geared Motor</v>
          </cell>
          <cell r="E3" t="str">
            <v>포스코</v>
          </cell>
          <cell r="F3" t="str">
            <v>Q4621046</v>
          </cell>
          <cell r="G3" t="str">
            <v>4P,5.5kW,440V,60Hz,1775rpm,I=1/100,F_class,270H,70D,350X360,TE,[HLA020101057590/HYOSUNG]+WITH AC 220V MAGNETIC DISC BRAKE(SHB 175 A, SAMHWAN),IP55,OR EQUIVALENT</v>
          </cell>
          <cell r="H3" t="str">
            <v>2</v>
          </cell>
          <cell r="I3" t="str">
            <v>EA</v>
          </cell>
          <cell r="K3" t="str">
            <v>이용우</v>
          </cell>
          <cell r="Q3" t="str">
            <v>Used Goods</v>
          </cell>
          <cell r="S3" t="str">
            <v>Green Purchase</v>
          </cell>
          <cell r="T3" t="str">
            <v>NONE</v>
          </cell>
          <cell r="U3" t="str">
            <v>Safety Management</v>
          </cell>
          <cell r="W3" t="str">
            <v>Posco Patent</v>
          </cell>
          <cell r="Y3" t="str">
            <v>Or Equivalent</v>
          </cell>
          <cell r="Z3" t="str">
            <v>OR EQUIVALENT</v>
          </cell>
          <cell r="AA3" t="str">
            <v>Model-1</v>
          </cell>
          <cell r="AB3" t="str">
            <v>HLA020101057590</v>
          </cell>
          <cell r="AC3" t="str">
            <v>Maker Name-1</v>
          </cell>
          <cell r="AD3" t="str">
            <v>HYOSUNG</v>
          </cell>
          <cell r="AE3" t="str">
            <v>Option-1</v>
          </cell>
          <cell r="AF3" t="str">
            <v>WITH AC 220V MAGNETIC DISC BRAKE(SHB 175 A, SAMHWAN)</v>
          </cell>
          <cell r="AG3" t="str">
            <v>Model-2</v>
          </cell>
          <cell r="AI3" t="str">
            <v>Maker Name-2</v>
          </cell>
          <cell r="AJ3" t="str">
            <v>NONE</v>
          </cell>
          <cell r="AK3" t="str">
            <v>Option-2</v>
          </cell>
          <cell r="AM3" t="str">
            <v>Model-3</v>
          </cell>
          <cell r="AO3" t="str">
            <v>Maker Name-3</v>
          </cell>
          <cell r="AQ3" t="str">
            <v>Option-3</v>
          </cell>
          <cell r="AS3" t="str">
            <v>Model-4</v>
          </cell>
          <cell r="AU3" t="str">
            <v>Maker Name-4</v>
          </cell>
          <cell r="AW3" t="str">
            <v>Option-4</v>
          </cell>
          <cell r="AY3" t="str">
            <v>Insulation Class</v>
          </cell>
          <cell r="AZ3" t="str">
            <v>F</v>
          </cell>
          <cell r="BA3" t="str">
            <v>IP Class</v>
          </cell>
          <cell r="BB3" t="str">
            <v>TE</v>
          </cell>
          <cell r="BC3" t="str">
            <v>Number of Poles</v>
          </cell>
          <cell r="BD3" t="str">
            <v>4</v>
          </cell>
          <cell r="BE3" t="str">
            <v>Capacity</v>
          </cell>
          <cell r="BF3" t="str">
            <v>5.5</v>
          </cell>
          <cell r="BG3" t="str">
            <v>Voltage</v>
          </cell>
          <cell r="BH3" t="str">
            <v>440</v>
          </cell>
          <cell r="BI3" t="str">
            <v>Frequency</v>
          </cell>
          <cell r="BJ3" t="str">
            <v>60</v>
          </cell>
          <cell r="BK3" t="str">
            <v>Speed Rating</v>
          </cell>
          <cell r="BL3" t="str">
            <v>1775</v>
          </cell>
          <cell r="BM3" t="str">
            <v>Speed Reduction Ratio</v>
          </cell>
          <cell r="BN3" t="str">
            <v>1/100</v>
          </cell>
          <cell r="BO3" t="str">
            <v>Gear Side Shaft Height</v>
          </cell>
          <cell r="BP3" t="str">
            <v>270</v>
          </cell>
          <cell r="BQ3" t="str">
            <v>Gear Side Shaft Diameter</v>
          </cell>
          <cell r="BR3" t="str">
            <v>70</v>
          </cell>
          <cell r="BS3" t="str">
            <v>Base Size</v>
          </cell>
          <cell r="BT3" t="str">
            <v>350X360</v>
          </cell>
          <cell r="BU3" t="str">
            <v>Explosion Proof</v>
          </cell>
          <cell r="BW3" t="str">
            <v>AC Motor Type</v>
          </cell>
          <cell r="BX3" t="str">
            <v>OTHERS</v>
          </cell>
          <cell r="BY3" t="str">
            <v>Efficiency</v>
          </cell>
          <cell r="BZ3" t="str">
            <v>OTHERS</v>
          </cell>
          <cell r="CA3" t="str">
            <v>Option &amp; Others</v>
          </cell>
          <cell r="CB3" t="str">
            <v>IP55</v>
          </cell>
          <cell r="CC3" t="str">
            <v>Compliance Item</v>
          </cell>
        </row>
        <row r="4">
          <cell r="A4" t="str">
            <v>Q4620571</v>
          </cell>
          <cell r="B4" t="str">
            <v>ACTIVE</v>
          </cell>
          <cell r="C4" t="str">
            <v>특정사양품(단수)</v>
          </cell>
          <cell r="D4" t="str">
            <v>AC Geared Motor</v>
          </cell>
          <cell r="E4" t="str">
            <v>포스코</v>
          </cell>
          <cell r="F4" t="str">
            <v>Q4620571</v>
          </cell>
          <cell r="G4" t="str">
            <v>4P,2.2kW,440V,60Hz,1765rpm,I=1/30,F_class,172H,45D,172X232,TE,[HLA020101057588/HYOSUNG]+WITH AC 220V MAGNETIC DISC BRAKE(SHB 150 A, SAMHWAN),OR EQUIVALENT</v>
          </cell>
          <cell r="H4" t="str">
            <v>2</v>
          </cell>
          <cell r="I4" t="str">
            <v>EA</v>
          </cell>
          <cell r="K4" t="str">
            <v>이용우</v>
          </cell>
          <cell r="Q4" t="str">
            <v>Used Goods</v>
          </cell>
          <cell r="S4" t="str">
            <v>Green Purchase</v>
          </cell>
          <cell r="T4" t="str">
            <v>NONE</v>
          </cell>
          <cell r="U4" t="str">
            <v>Safety Management</v>
          </cell>
          <cell r="W4" t="str">
            <v>Posco Patent</v>
          </cell>
          <cell r="Y4" t="str">
            <v>Or Equivalent</v>
          </cell>
          <cell r="Z4" t="str">
            <v>OR EQUIVALENT</v>
          </cell>
          <cell r="AA4" t="str">
            <v>Model-1</v>
          </cell>
          <cell r="AB4" t="str">
            <v>HLA020101057588</v>
          </cell>
          <cell r="AC4" t="str">
            <v>Maker Name-1</v>
          </cell>
          <cell r="AD4" t="str">
            <v>HYOSUNG</v>
          </cell>
          <cell r="AE4" t="str">
            <v>Option-1</v>
          </cell>
          <cell r="AF4" t="str">
            <v>WITH AC 220V MAGNETIC DISC BRAKE(SHB 150 A, SAMHWAN)</v>
          </cell>
          <cell r="AG4" t="str">
            <v>Model-2</v>
          </cell>
          <cell r="AI4" t="str">
            <v>Maker Name-2</v>
          </cell>
          <cell r="AJ4" t="str">
            <v>NONE</v>
          </cell>
          <cell r="AK4" t="str">
            <v>Option-2</v>
          </cell>
          <cell r="AM4" t="str">
            <v>Model-3</v>
          </cell>
          <cell r="AO4" t="str">
            <v>Maker Name-3</v>
          </cell>
          <cell r="AQ4" t="str">
            <v>Option-3</v>
          </cell>
          <cell r="AS4" t="str">
            <v>Model-4</v>
          </cell>
          <cell r="AU4" t="str">
            <v>Maker Name-4</v>
          </cell>
          <cell r="AW4" t="str">
            <v>Option-4</v>
          </cell>
          <cell r="AY4" t="str">
            <v>Insulation Class</v>
          </cell>
          <cell r="AZ4" t="str">
            <v>F</v>
          </cell>
          <cell r="BA4" t="str">
            <v>IP Class</v>
          </cell>
          <cell r="BB4" t="str">
            <v>TE</v>
          </cell>
          <cell r="BC4" t="str">
            <v>Number of Poles</v>
          </cell>
          <cell r="BD4" t="str">
            <v>4</v>
          </cell>
          <cell r="BE4" t="str">
            <v>Capacity</v>
          </cell>
          <cell r="BF4" t="str">
            <v>2.2</v>
          </cell>
          <cell r="BG4" t="str">
            <v>Voltage</v>
          </cell>
          <cell r="BH4" t="str">
            <v>440</v>
          </cell>
          <cell r="BI4" t="str">
            <v>Frequency</v>
          </cell>
          <cell r="BJ4" t="str">
            <v>60</v>
          </cell>
          <cell r="BK4" t="str">
            <v>Speed Rating</v>
          </cell>
          <cell r="BL4" t="str">
            <v>1765</v>
          </cell>
          <cell r="BM4" t="str">
            <v>Speed Reduction Ratio</v>
          </cell>
          <cell r="BN4" t="str">
            <v>1/30</v>
          </cell>
          <cell r="BO4" t="str">
            <v>Gear Side Shaft Height</v>
          </cell>
          <cell r="BP4" t="str">
            <v>172</v>
          </cell>
          <cell r="BQ4" t="str">
            <v>Gear Side Shaft Diameter</v>
          </cell>
          <cell r="BR4" t="str">
            <v>45</v>
          </cell>
          <cell r="BS4" t="str">
            <v>Base Size</v>
          </cell>
          <cell r="BT4" t="str">
            <v>172X232</v>
          </cell>
          <cell r="BU4" t="str">
            <v>Explosion Proof</v>
          </cell>
          <cell r="BW4" t="str">
            <v>AC Motor Type</v>
          </cell>
          <cell r="BX4" t="str">
            <v>OTHERS</v>
          </cell>
          <cell r="BY4" t="str">
            <v>Efficiency</v>
          </cell>
          <cell r="CA4" t="str">
            <v>Option &amp; Others</v>
          </cell>
          <cell r="CC4" t="str">
            <v>Compliance Item</v>
          </cell>
        </row>
        <row r="5">
          <cell r="A5" t="str">
            <v>Q4620473</v>
          </cell>
          <cell r="B5" t="str">
            <v>ACTIVE</v>
          </cell>
          <cell r="C5" t="str">
            <v>특정사양품(단수)</v>
          </cell>
          <cell r="D5" t="str">
            <v>AC Geared Motor</v>
          </cell>
          <cell r="E5" t="str">
            <v>포스코</v>
          </cell>
          <cell r="F5" t="str">
            <v>Q4620473</v>
          </cell>
          <cell r="G5" t="str">
            <v>4P,7.5kW,440V,60Hz,1770rpm,I=1/60,F_class,270H,70D,350X360,TE,[HLA020101057591/HYOSUNG]+WITH AC 220V MAGNETIC DISC BRAKE(SHB 185 A, SAMHWAN),OR EQUIVALENT</v>
          </cell>
          <cell r="H5" t="str">
            <v>2</v>
          </cell>
          <cell r="I5" t="str">
            <v>EA</v>
          </cell>
          <cell r="K5" t="str">
            <v>이용우</v>
          </cell>
          <cell r="Q5" t="str">
            <v>Used Goods</v>
          </cell>
          <cell r="S5" t="str">
            <v>Green Purchase</v>
          </cell>
          <cell r="T5" t="str">
            <v>NONE</v>
          </cell>
          <cell r="U5" t="str">
            <v>Safety Management</v>
          </cell>
          <cell r="W5" t="str">
            <v>Posco Patent</v>
          </cell>
          <cell r="Y5" t="str">
            <v>Or Equivalent</v>
          </cell>
          <cell r="Z5" t="str">
            <v>OR EQUIVALENT</v>
          </cell>
          <cell r="AA5" t="str">
            <v>Model-1</v>
          </cell>
          <cell r="AB5" t="str">
            <v>HLA020101057591</v>
          </cell>
          <cell r="AC5" t="str">
            <v>Maker Name-1</v>
          </cell>
          <cell r="AD5" t="str">
            <v>HYOSUNG</v>
          </cell>
          <cell r="AE5" t="str">
            <v>Option-1</v>
          </cell>
          <cell r="AF5" t="str">
            <v>WITH AC 220V MAGNETIC DISC BRAKE(SHB 185 A, SAMHWAN)</v>
          </cell>
          <cell r="AG5" t="str">
            <v>Model-2</v>
          </cell>
          <cell r="AI5" t="str">
            <v>Maker Name-2</v>
          </cell>
          <cell r="AJ5" t="str">
            <v>NONE</v>
          </cell>
          <cell r="AK5" t="str">
            <v>Option-2</v>
          </cell>
          <cell r="AM5" t="str">
            <v>Model-3</v>
          </cell>
          <cell r="AO5" t="str">
            <v>Maker Name-3</v>
          </cell>
          <cell r="AQ5" t="str">
            <v>Option-3</v>
          </cell>
          <cell r="AS5" t="str">
            <v>Model-4</v>
          </cell>
          <cell r="AU5" t="str">
            <v>Maker Name-4</v>
          </cell>
          <cell r="AW5" t="str">
            <v>Option-4</v>
          </cell>
          <cell r="AY5" t="str">
            <v>Insulation Class</v>
          </cell>
          <cell r="AZ5" t="str">
            <v>F</v>
          </cell>
          <cell r="BA5" t="str">
            <v>IP Class</v>
          </cell>
          <cell r="BB5" t="str">
            <v>TE</v>
          </cell>
          <cell r="BC5" t="str">
            <v>Number of Poles</v>
          </cell>
          <cell r="BD5" t="str">
            <v>4</v>
          </cell>
          <cell r="BE5" t="str">
            <v>Capacity</v>
          </cell>
          <cell r="BF5" t="str">
            <v>7.5</v>
          </cell>
          <cell r="BG5" t="str">
            <v>Voltage</v>
          </cell>
          <cell r="BH5" t="str">
            <v>440</v>
          </cell>
          <cell r="BI5" t="str">
            <v>Frequency</v>
          </cell>
          <cell r="BJ5" t="str">
            <v>60</v>
          </cell>
          <cell r="BK5" t="str">
            <v>Speed Rating</v>
          </cell>
          <cell r="BL5" t="str">
            <v>1770</v>
          </cell>
          <cell r="BM5" t="str">
            <v>Speed Reduction Ratio</v>
          </cell>
          <cell r="BN5" t="str">
            <v>1/60</v>
          </cell>
          <cell r="BO5" t="str">
            <v>Gear Side Shaft Height</v>
          </cell>
          <cell r="BP5" t="str">
            <v>270</v>
          </cell>
          <cell r="BQ5" t="str">
            <v>Gear Side Shaft Diameter</v>
          </cell>
          <cell r="BR5" t="str">
            <v>70</v>
          </cell>
          <cell r="BS5" t="str">
            <v>Base Size</v>
          </cell>
          <cell r="BT5" t="str">
            <v>350X360</v>
          </cell>
          <cell r="BU5" t="str">
            <v>Explosion Proof</v>
          </cell>
          <cell r="BW5" t="str">
            <v>AC Motor Type</v>
          </cell>
          <cell r="BX5" t="str">
            <v>OTHERS</v>
          </cell>
          <cell r="BY5" t="str">
            <v>Efficiency</v>
          </cell>
          <cell r="CA5" t="str">
            <v>Option &amp; Others</v>
          </cell>
          <cell r="CC5" t="str">
            <v>Compliance Item</v>
          </cell>
        </row>
        <row r="6">
          <cell r="A6" t="str">
            <v>Q4622968</v>
          </cell>
          <cell r="B6" t="str">
            <v>ACTIVE</v>
          </cell>
          <cell r="C6" t="str">
            <v>특정사양품(단수)</v>
          </cell>
          <cell r="D6" t="str">
            <v>AC Geared Motor</v>
          </cell>
          <cell r="E6" t="str">
            <v>포스코</v>
          </cell>
          <cell r="F6" t="str">
            <v>Q4622968</v>
          </cell>
          <cell r="G6" t="str">
            <v>4P,1.5kW,440V,60Hz,1750rpm,I=1/15,F_class,153H,38D,150X215,TE,[HLA020101057587/HYOSUNG]+WITH AC 220V MAGNETIC DISC BRAKE(SHB 142 A, SAMHWAN),OR EQUIVALENT</v>
          </cell>
          <cell r="H6" t="str">
            <v>2</v>
          </cell>
          <cell r="I6" t="str">
            <v>EA</v>
          </cell>
          <cell r="K6" t="str">
            <v>이용우</v>
          </cell>
          <cell r="Q6" t="str">
            <v>Used Goods</v>
          </cell>
          <cell r="S6" t="str">
            <v>Green Purchase</v>
          </cell>
          <cell r="T6" t="str">
            <v>NONE</v>
          </cell>
          <cell r="U6" t="str">
            <v>Safety Management</v>
          </cell>
          <cell r="W6" t="str">
            <v>Posco Patent</v>
          </cell>
          <cell r="Y6" t="str">
            <v>Or Equivalent</v>
          </cell>
          <cell r="Z6" t="str">
            <v>OR EQUIVALENT</v>
          </cell>
          <cell r="AA6" t="str">
            <v>Model-1</v>
          </cell>
          <cell r="AB6" t="str">
            <v>HLA020101057587</v>
          </cell>
          <cell r="AC6" t="str">
            <v>Maker Name-1</v>
          </cell>
          <cell r="AD6" t="str">
            <v>HYOSUNG</v>
          </cell>
          <cell r="AE6" t="str">
            <v>Option-1</v>
          </cell>
          <cell r="AF6" t="str">
            <v>WITH AC 220V MAGNETIC DISC BRAKE(SHB 142 A, SAMHWAN)</v>
          </cell>
          <cell r="AG6" t="str">
            <v>Model-2</v>
          </cell>
          <cell r="AI6" t="str">
            <v>Maker Name-2</v>
          </cell>
          <cell r="AJ6" t="str">
            <v>NONE</v>
          </cell>
          <cell r="AK6" t="str">
            <v>Option-2</v>
          </cell>
          <cell r="AM6" t="str">
            <v>Model-3</v>
          </cell>
          <cell r="AO6" t="str">
            <v>Maker Name-3</v>
          </cell>
          <cell r="AQ6" t="str">
            <v>Option-3</v>
          </cell>
          <cell r="AS6" t="str">
            <v>Model-4</v>
          </cell>
          <cell r="AU6" t="str">
            <v>Maker Name-4</v>
          </cell>
          <cell r="AW6" t="str">
            <v>Option-4</v>
          </cell>
          <cell r="AY6" t="str">
            <v>Insulation Class</v>
          </cell>
          <cell r="AZ6" t="str">
            <v>F</v>
          </cell>
          <cell r="BA6" t="str">
            <v>IP Class</v>
          </cell>
          <cell r="BB6" t="str">
            <v>TE</v>
          </cell>
          <cell r="BC6" t="str">
            <v>Number of Poles</v>
          </cell>
          <cell r="BD6" t="str">
            <v>4</v>
          </cell>
          <cell r="BE6" t="str">
            <v>Capacity</v>
          </cell>
          <cell r="BF6" t="str">
            <v>1.5</v>
          </cell>
          <cell r="BG6" t="str">
            <v>Voltage</v>
          </cell>
          <cell r="BH6" t="str">
            <v>440</v>
          </cell>
          <cell r="BI6" t="str">
            <v>Frequency</v>
          </cell>
          <cell r="BJ6" t="str">
            <v>60</v>
          </cell>
          <cell r="BK6" t="str">
            <v>Speed Rating</v>
          </cell>
          <cell r="BL6" t="str">
            <v>1750</v>
          </cell>
          <cell r="BM6" t="str">
            <v>Speed Reduction Ratio</v>
          </cell>
          <cell r="BN6" t="str">
            <v>1/15</v>
          </cell>
          <cell r="BO6" t="str">
            <v>Gear Side Shaft Height</v>
          </cell>
          <cell r="BP6" t="str">
            <v>153</v>
          </cell>
          <cell r="BQ6" t="str">
            <v>Gear Side Shaft Diameter</v>
          </cell>
          <cell r="BR6" t="str">
            <v>38</v>
          </cell>
          <cell r="BS6" t="str">
            <v>Base Size</v>
          </cell>
          <cell r="BT6" t="str">
            <v>150X215</v>
          </cell>
          <cell r="BU6" t="str">
            <v>Explosion Proof</v>
          </cell>
          <cell r="BW6" t="str">
            <v>AC Motor Type</v>
          </cell>
          <cell r="BX6" t="str">
            <v>OTHERS</v>
          </cell>
          <cell r="BY6" t="str">
            <v>Efficiency</v>
          </cell>
          <cell r="CA6" t="str">
            <v>Option &amp; Others</v>
          </cell>
          <cell r="CC6" t="str">
            <v>Compliance Item</v>
          </cell>
        </row>
        <row r="7">
          <cell r="A7" t="str">
            <v>Q4621316</v>
          </cell>
          <cell r="B7" t="str">
            <v>ACTIVE</v>
          </cell>
          <cell r="C7" t="str">
            <v>특정사양품(단수)</v>
          </cell>
          <cell r="D7" t="str">
            <v>AC Geared Motor</v>
          </cell>
          <cell r="E7" t="str">
            <v>포스코</v>
          </cell>
          <cell r="F7" t="str">
            <v>Q4621316</v>
          </cell>
          <cell r="G7" t="str">
            <v>4P,3.7kW,440V,60Hz,1755rpm,I=1/120,F_class,270H,70D,350X360,TE,[HMA01080000560/HYOSUNG]+WITH AC 220V MAGNETIC DISC BRAKE(SHB 155 A, SAMHWAN),OR EQUIVALENT</v>
          </cell>
          <cell r="H7" t="str">
            <v>2</v>
          </cell>
          <cell r="I7" t="str">
            <v>EA</v>
          </cell>
          <cell r="K7" t="str">
            <v>이용우</v>
          </cell>
          <cell r="Q7" t="str">
            <v>Used Goods</v>
          </cell>
          <cell r="S7" t="str">
            <v>Green Purchase</v>
          </cell>
          <cell r="T7" t="str">
            <v>NONE</v>
          </cell>
          <cell r="U7" t="str">
            <v>Safety Management</v>
          </cell>
          <cell r="W7" t="str">
            <v>Posco Patent</v>
          </cell>
          <cell r="Y7" t="str">
            <v>Or Equivalent</v>
          </cell>
          <cell r="Z7" t="str">
            <v>OR EQUIVALENT</v>
          </cell>
          <cell r="AA7" t="str">
            <v>Model-1</v>
          </cell>
          <cell r="AB7" t="str">
            <v>HMA01080000560</v>
          </cell>
          <cell r="AC7" t="str">
            <v>Maker Name-1</v>
          </cell>
          <cell r="AD7" t="str">
            <v>HYOSUNG</v>
          </cell>
          <cell r="AE7" t="str">
            <v>Option-1</v>
          </cell>
          <cell r="AF7" t="str">
            <v>WITH AC 220V MAGNETIC DISC BRAKE(SHB 155 A, SAMHWAN)</v>
          </cell>
          <cell r="AG7" t="str">
            <v>Model-2</v>
          </cell>
          <cell r="AI7" t="str">
            <v>Maker Name-2</v>
          </cell>
          <cell r="AJ7" t="str">
            <v>NONE</v>
          </cell>
          <cell r="AK7" t="str">
            <v>Option-2</v>
          </cell>
          <cell r="AM7" t="str">
            <v>Model-3</v>
          </cell>
          <cell r="AO7" t="str">
            <v>Maker Name-3</v>
          </cell>
          <cell r="AQ7" t="str">
            <v>Option-3</v>
          </cell>
          <cell r="AS7" t="str">
            <v>Model-4</v>
          </cell>
          <cell r="AU7" t="str">
            <v>Maker Name-4</v>
          </cell>
          <cell r="AW7" t="str">
            <v>Option-4</v>
          </cell>
          <cell r="AY7" t="str">
            <v>Insulation Class</v>
          </cell>
          <cell r="AZ7" t="str">
            <v>F</v>
          </cell>
          <cell r="BA7" t="str">
            <v>IP Class</v>
          </cell>
          <cell r="BB7" t="str">
            <v>TE</v>
          </cell>
          <cell r="BC7" t="str">
            <v>Number of Poles</v>
          </cell>
          <cell r="BD7" t="str">
            <v>4</v>
          </cell>
          <cell r="BE7" t="str">
            <v>Capacity</v>
          </cell>
          <cell r="BF7" t="str">
            <v>3.7</v>
          </cell>
          <cell r="BG7" t="str">
            <v>Voltage</v>
          </cell>
          <cell r="BH7" t="str">
            <v>440</v>
          </cell>
          <cell r="BI7" t="str">
            <v>Frequency</v>
          </cell>
          <cell r="BJ7" t="str">
            <v>60</v>
          </cell>
          <cell r="BK7" t="str">
            <v>Speed Rating</v>
          </cell>
          <cell r="BL7" t="str">
            <v>1755</v>
          </cell>
          <cell r="BM7" t="str">
            <v>Speed Reduction Ratio</v>
          </cell>
          <cell r="BN7" t="str">
            <v>1/120</v>
          </cell>
          <cell r="BO7" t="str">
            <v>Gear Side Shaft Height</v>
          </cell>
          <cell r="BP7" t="str">
            <v>270</v>
          </cell>
          <cell r="BQ7" t="str">
            <v>Gear Side Shaft Diameter</v>
          </cell>
          <cell r="BR7" t="str">
            <v>70</v>
          </cell>
          <cell r="BS7" t="str">
            <v>Base Size</v>
          </cell>
          <cell r="BT7" t="str">
            <v>350X360</v>
          </cell>
          <cell r="BU7" t="str">
            <v>Explosion Proof</v>
          </cell>
          <cell r="BW7" t="str">
            <v>AC Motor Type</v>
          </cell>
          <cell r="BX7" t="str">
            <v>OTHERS</v>
          </cell>
          <cell r="BY7" t="str">
            <v>Efficiency</v>
          </cell>
          <cell r="BZ7" t="str">
            <v>OTHERS</v>
          </cell>
          <cell r="CA7" t="str">
            <v>Option &amp; Others</v>
          </cell>
          <cell r="CC7" t="str">
            <v>Compliance Item</v>
          </cell>
        </row>
        <row r="8">
          <cell r="A8" t="str">
            <v>Q4209824</v>
          </cell>
          <cell r="B8" t="str">
            <v>ACTIVE</v>
          </cell>
          <cell r="C8" t="str">
            <v>특정사양품(단수)</v>
          </cell>
          <cell r="D8" t="str">
            <v>AC Geared Motor</v>
          </cell>
          <cell r="E8" t="str">
            <v>포스코</v>
          </cell>
          <cell r="F8" t="str">
            <v>Q4209824</v>
          </cell>
          <cell r="G8" t="str">
            <v>4P,7.5kW,220V,60Hz,1776rpm,I=1/15.52,H_class,300H,80D,390X400MM,VVVF,IP55,[TW-VGM-300/TAE WEON INDUSTRIAL],SERVICE FACTOR:2, WITHOUT PLG(FDP-06BE),IE3,OR EQUIVALENT</v>
          </cell>
          <cell r="H8" t="str">
            <v>4</v>
          </cell>
          <cell r="I8" t="str">
            <v>SET</v>
          </cell>
          <cell r="K8" t="str">
            <v>김응백</v>
          </cell>
          <cell r="N8" t="str">
            <v>http://www.taeweon.co.kr/</v>
          </cell>
          <cell r="Q8" t="str">
            <v>Used Goods</v>
          </cell>
          <cell r="S8" t="str">
            <v>Green Purchase</v>
          </cell>
          <cell r="T8" t="str">
            <v>NONE</v>
          </cell>
          <cell r="U8" t="str">
            <v>Safety Management</v>
          </cell>
          <cell r="W8" t="str">
            <v>Posco Patent</v>
          </cell>
          <cell r="Y8" t="str">
            <v>Or Equivalent</v>
          </cell>
          <cell r="Z8" t="str">
            <v>OR EQUIVALENT</v>
          </cell>
          <cell r="AA8" t="str">
            <v>Model-1</v>
          </cell>
          <cell r="AB8" t="str">
            <v>TW-VGM-300</v>
          </cell>
          <cell r="AC8" t="str">
            <v>Maker Name-1</v>
          </cell>
          <cell r="AD8" t="str">
            <v>TAE WEON INDUSTRIAL</v>
          </cell>
          <cell r="AE8" t="str">
            <v>Option-1</v>
          </cell>
          <cell r="AG8" t="str">
            <v>Model-2</v>
          </cell>
          <cell r="AI8" t="str">
            <v>Maker Name-2</v>
          </cell>
          <cell r="AJ8" t="str">
            <v>NONE</v>
          </cell>
          <cell r="AK8" t="str">
            <v>Option-2</v>
          </cell>
          <cell r="AM8" t="str">
            <v>Model-3</v>
          </cell>
          <cell r="AO8" t="str">
            <v>Maker Name-3</v>
          </cell>
          <cell r="AQ8" t="str">
            <v>Option-3</v>
          </cell>
          <cell r="AS8" t="str">
            <v>Model-4</v>
          </cell>
          <cell r="AU8" t="str">
            <v>Maker Name-4</v>
          </cell>
          <cell r="AW8" t="str">
            <v>Option-4</v>
          </cell>
          <cell r="AY8" t="str">
            <v>Insulation Class</v>
          </cell>
          <cell r="AZ8" t="str">
            <v>H</v>
          </cell>
          <cell r="BA8" t="str">
            <v>IP Class</v>
          </cell>
          <cell r="BB8" t="str">
            <v>IP55</v>
          </cell>
          <cell r="BC8" t="str">
            <v>Number of Poles</v>
          </cell>
          <cell r="BD8" t="str">
            <v>4</v>
          </cell>
          <cell r="BE8" t="str">
            <v>Capacity</v>
          </cell>
          <cell r="BF8" t="str">
            <v>7.5</v>
          </cell>
          <cell r="BG8" t="str">
            <v>Voltage</v>
          </cell>
          <cell r="BH8" t="str">
            <v>220</v>
          </cell>
          <cell r="BI8" t="str">
            <v>Frequency</v>
          </cell>
          <cell r="BJ8" t="str">
            <v>60</v>
          </cell>
          <cell r="BK8" t="str">
            <v>Speed Rating</v>
          </cell>
          <cell r="BL8" t="str">
            <v>1776</v>
          </cell>
          <cell r="BM8" t="str">
            <v>Speed Reduction Ratio</v>
          </cell>
          <cell r="BN8" t="str">
            <v>1/15.52</v>
          </cell>
          <cell r="BO8" t="str">
            <v>Gear Side Shaft Height</v>
          </cell>
          <cell r="BP8" t="str">
            <v>300</v>
          </cell>
          <cell r="BQ8" t="str">
            <v>Gear Side Shaft Diameter</v>
          </cell>
          <cell r="BR8" t="str">
            <v>80</v>
          </cell>
          <cell r="BS8" t="str">
            <v>Base Size</v>
          </cell>
          <cell r="BT8" t="str">
            <v>390X400MM</v>
          </cell>
          <cell r="BU8" t="str">
            <v>Explosion Proof</v>
          </cell>
          <cell r="BW8" t="str">
            <v>AC Motor Type</v>
          </cell>
          <cell r="BX8" t="str">
            <v>VVVF</v>
          </cell>
          <cell r="BY8" t="str">
            <v>Efficiency</v>
          </cell>
          <cell r="BZ8" t="str">
            <v>IE3</v>
          </cell>
          <cell r="CA8" t="str">
            <v>Option &amp; Others</v>
          </cell>
          <cell r="CB8" t="str">
            <v>SERVICE FACTOR:2, WITHOUT PLG(FDP-06BE)</v>
          </cell>
          <cell r="CC8" t="str">
            <v>Compliance Item</v>
          </cell>
        </row>
        <row r="9">
          <cell r="A9" t="str">
            <v>Q4062154</v>
          </cell>
          <cell r="B9" t="str">
            <v>ACTIVE</v>
          </cell>
          <cell r="C9" t="str">
            <v>특정사양품(단수)</v>
          </cell>
          <cell r="D9" t="str">
            <v>AC Geared Motor</v>
          </cell>
          <cell r="E9" t="str">
            <v>포스코</v>
          </cell>
          <cell r="F9" t="str">
            <v>Q4062154</v>
          </cell>
          <cell r="G9" t="str">
            <v>4P,3.7kW,220V,60Hz,1776rpm,I=1/2.83,H_class,125H,45D,334X234,VVVF,IP55,[TW-VGM-125/TAE WEON INDUSTRIAL],SERVICE FACTOR:2, WITHOUT PLG(FDP-06BE),IE3,OR EQUIVALENT</v>
          </cell>
          <cell r="H9" t="str">
            <v>4</v>
          </cell>
          <cell r="I9" t="str">
            <v>SET</v>
          </cell>
          <cell r="K9" t="str">
            <v>김응백</v>
          </cell>
          <cell r="N9" t="str">
            <v>http://www.taeweon.co.kr/ko/product/geared_motor.php</v>
          </cell>
          <cell r="Q9" t="str">
            <v>Used Goods</v>
          </cell>
          <cell r="S9" t="str">
            <v>Green Purchase</v>
          </cell>
          <cell r="T9" t="str">
            <v>NONE</v>
          </cell>
          <cell r="U9" t="str">
            <v>Safety Management</v>
          </cell>
          <cell r="V9" t="str">
            <v>NONE</v>
          </cell>
          <cell r="W9" t="str">
            <v>Posco Patent</v>
          </cell>
          <cell r="Y9" t="str">
            <v>Or Equivalent</v>
          </cell>
          <cell r="Z9" t="str">
            <v>OR EQUIVALENT</v>
          </cell>
          <cell r="AA9" t="str">
            <v>Model-1</v>
          </cell>
          <cell r="AB9" t="str">
            <v>TW-VGM-125</v>
          </cell>
          <cell r="AC9" t="str">
            <v>Maker Name-1</v>
          </cell>
          <cell r="AD9" t="str">
            <v>TAE WEON INDUSTRIAL</v>
          </cell>
          <cell r="AE9" t="str">
            <v>Option-1</v>
          </cell>
          <cell r="AG9" t="str">
            <v>Model-2</v>
          </cell>
          <cell r="AI9" t="str">
            <v>Maker Name-2</v>
          </cell>
          <cell r="AJ9" t="str">
            <v>NONE</v>
          </cell>
          <cell r="AK9" t="str">
            <v>Option-2</v>
          </cell>
          <cell r="AM9" t="str">
            <v>Model-3</v>
          </cell>
          <cell r="AO9" t="str">
            <v>Maker Name-3</v>
          </cell>
          <cell r="AQ9" t="str">
            <v>Option-3</v>
          </cell>
          <cell r="AS9" t="str">
            <v>Model-4</v>
          </cell>
          <cell r="AU9" t="str">
            <v>Maker Name-4</v>
          </cell>
          <cell r="AW9" t="str">
            <v>Option-4</v>
          </cell>
          <cell r="AY9" t="str">
            <v>Insulation Class</v>
          </cell>
          <cell r="AZ9" t="str">
            <v>H</v>
          </cell>
          <cell r="BA9" t="str">
            <v>IP Class</v>
          </cell>
          <cell r="BB9" t="str">
            <v xml:space="preserve"> IP55</v>
          </cell>
          <cell r="BC9" t="str">
            <v>Number of Poles</v>
          </cell>
          <cell r="BD9" t="str">
            <v>4</v>
          </cell>
          <cell r="BE9" t="str">
            <v>Capacity</v>
          </cell>
          <cell r="BF9" t="str">
            <v>3.7</v>
          </cell>
          <cell r="BG9" t="str">
            <v>Voltage</v>
          </cell>
          <cell r="BH9" t="str">
            <v>220</v>
          </cell>
          <cell r="BI9" t="str">
            <v>Frequency</v>
          </cell>
          <cell r="BJ9" t="str">
            <v>60</v>
          </cell>
          <cell r="BK9" t="str">
            <v>Speed Rating</v>
          </cell>
          <cell r="BL9" t="str">
            <v>1776</v>
          </cell>
          <cell r="BM9" t="str">
            <v>Speed Reduction Ratio</v>
          </cell>
          <cell r="BN9" t="str">
            <v>1/2.83</v>
          </cell>
          <cell r="BO9" t="str">
            <v>Gear Side Shaft Height</v>
          </cell>
          <cell r="BP9" t="str">
            <v>125</v>
          </cell>
          <cell r="BQ9" t="str">
            <v>Gear Side Shaft Diameter</v>
          </cell>
          <cell r="BR9" t="str">
            <v>45</v>
          </cell>
          <cell r="BS9" t="str">
            <v>Base Size</v>
          </cell>
          <cell r="BT9" t="str">
            <v>334X234</v>
          </cell>
          <cell r="BU9" t="str">
            <v>Explosion Proof</v>
          </cell>
          <cell r="BW9" t="str">
            <v>AC Motor Type</v>
          </cell>
          <cell r="BX9" t="str">
            <v>VVVF</v>
          </cell>
          <cell r="BY9" t="str">
            <v>Efficiency</v>
          </cell>
          <cell r="BZ9" t="str">
            <v>IE3</v>
          </cell>
          <cell r="CA9" t="str">
            <v>Option &amp; Others</v>
          </cell>
          <cell r="CB9" t="str">
            <v>SERVICE FACTOR:2, WITHOUT PLG(FDP-06BE)</v>
          </cell>
          <cell r="CC9" t="str">
            <v>Compliance Item</v>
          </cell>
        </row>
        <row r="10">
          <cell r="A10" t="str">
            <v>Q4632857</v>
          </cell>
          <cell r="B10" t="str">
            <v>ACTIVE</v>
          </cell>
          <cell r="C10" t="str">
            <v>특정사양품(단수)</v>
          </cell>
          <cell r="D10" t="str">
            <v>AC Geared Motor</v>
          </cell>
          <cell r="E10" t="str">
            <v>포스코</v>
          </cell>
          <cell r="F10" t="str">
            <v>Q4632857</v>
          </cell>
          <cell r="G10" t="str">
            <v>4P,5.5kW,440V,60Hz,1780rpm,I=1/43,F_class,200H,70D,380X275,CAGE,[DHHM8-9175-43/HANA MECHANICAL&amp;ELECTRICAL],MAKER DWG NO:DHHM8-9175-43,OR EQUIVALENT</v>
          </cell>
          <cell r="H10" t="str">
            <v>1</v>
          </cell>
          <cell r="I10" t="str">
            <v>SET</v>
          </cell>
          <cell r="J10" t="str">
            <v>L</v>
          </cell>
          <cell r="K10" t="str">
            <v>장요한</v>
          </cell>
          <cell r="Q10" t="str">
            <v>Used Goods</v>
          </cell>
          <cell r="S10" t="str">
            <v>Green Purchase</v>
          </cell>
          <cell r="T10" t="str">
            <v>NONE</v>
          </cell>
          <cell r="U10" t="str">
            <v>Safety Management</v>
          </cell>
          <cell r="W10" t="str">
            <v>Posco Patent</v>
          </cell>
          <cell r="Y10" t="str">
            <v>Or Equivalent</v>
          </cell>
          <cell r="Z10" t="str">
            <v>OR EQUIVALENT</v>
          </cell>
          <cell r="AA10" t="str">
            <v>Model-1</v>
          </cell>
          <cell r="AB10" t="str">
            <v>DHHM8-9175-43</v>
          </cell>
          <cell r="AC10" t="str">
            <v>Maker Name-1</v>
          </cell>
          <cell r="AD10" t="str">
            <v>HANA MECHANICAL&amp;ELECTRICAL</v>
          </cell>
          <cell r="AE10" t="str">
            <v>Option-1</v>
          </cell>
          <cell r="AG10" t="str">
            <v>Model-2</v>
          </cell>
          <cell r="AI10" t="str">
            <v>Maker Name-2</v>
          </cell>
          <cell r="AJ10" t="str">
            <v>NONE</v>
          </cell>
          <cell r="AK10" t="str">
            <v>Option-2</v>
          </cell>
          <cell r="AM10" t="str">
            <v>Model-3</v>
          </cell>
          <cell r="AO10" t="str">
            <v>Maker Name-3</v>
          </cell>
          <cell r="AQ10" t="str">
            <v>Option-3</v>
          </cell>
          <cell r="AS10" t="str">
            <v>Model-4</v>
          </cell>
          <cell r="AU10" t="str">
            <v>Maker Name-4</v>
          </cell>
          <cell r="AW10" t="str">
            <v>Option-4</v>
          </cell>
          <cell r="AY10" t="str">
            <v>Insulation Class</v>
          </cell>
          <cell r="AZ10" t="str">
            <v>F</v>
          </cell>
          <cell r="BA10" t="str">
            <v>IP Class</v>
          </cell>
          <cell r="BC10" t="str">
            <v>Number of Poles</v>
          </cell>
          <cell r="BD10" t="str">
            <v>4</v>
          </cell>
          <cell r="BE10" t="str">
            <v>Capacity</v>
          </cell>
          <cell r="BF10" t="str">
            <v>5.5</v>
          </cell>
          <cell r="BG10" t="str">
            <v>Voltage</v>
          </cell>
          <cell r="BH10" t="str">
            <v>440</v>
          </cell>
          <cell r="BI10" t="str">
            <v>Frequency</v>
          </cell>
          <cell r="BJ10" t="str">
            <v>60</v>
          </cell>
          <cell r="BK10" t="str">
            <v>Speed Rating</v>
          </cell>
          <cell r="BL10" t="str">
            <v>1780</v>
          </cell>
          <cell r="BM10" t="str">
            <v>Speed Reduction Ratio</v>
          </cell>
          <cell r="BN10" t="str">
            <v>1/43</v>
          </cell>
          <cell r="BO10" t="str">
            <v>Gear Side Shaft Height</v>
          </cell>
          <cell r="BP10" t="str">
            <v>200</v>
          </cell>
          <cell r="BQ10" t="str">
            <v>Gear Side Shaft Diameter</v>
          </cell>
          <cell r="BR10" t="str">
            <v>70</v>
          </cell>
          <cell r="BS10" t="str">
            <v>Base Size</v>
          </cell>
          <cell r="BT10" t="str">
            <v>380X275</v>
          </cell>
          <cell r="BU10" t="str">
            <v>Explosion Proof</v>
          </cell>
          <cell r="BW10" t="str">
            <v>AC Motor Type</v>
          </cell>
          <cell r="BX10" t="str">
            <v>CAGE</v>
          </cell>
          <cell r="BY10" t="str">
            <v>Efficiency</v>
          </cell>
          <cell r="BZ10" t="str">
            <v>OTHERS</v>
          </cell>
          <cell r="CA10" t="str">
            <v>Option &amp; Others</v>
          </cell>
          <cell r="CB10" t="str">
            <v>MAKER DWG NO:DHHM8-9175-43</v>
          </cell>
          <cell r="CC10" t="str">
            <v>Compliance Item</v>
          </cell>
        </row>
        <row r="11">
          <cell r="A11" t="str">
            <v>Q4635763</v>
          </cell>
          <cell r="B11" t="str">
            <v>ACTIVE</v>
          </cell>
          <cell r="C11" t="str">
            <v>특정사양품(단수)</v>
          </cell>
          <cell r="D11" t="str">
            <v>AC Geared Motor</v>
          </cell>
          <cell r="E11" t="str">
            <v>포스코</v>
          </cell>
          <cell r="F11" t="str">
            <v>Q4635763</v>
          </cell>
          <cell r="G11" t="str">
            <v>4P,2.2kW,440V,60Hz,1765rpm,I=1/150.78,225H,60D,250X310,VVVF,IP54,[R97 DRN100L4/BE5HF/SEW],IE3,OR EQUIVALENT</v>
          </cell>
          <cell r="H11" t="str">
            <v>1</v>
          </cell>
          <cell r="I11" t="str">
            <v>SET</v>
          </cell>
          <cell r="J11" t="str">
            <v>L</v>
          </cell>
          <cell r="K11" t="str">
            <v>권용성</v>
          </cell>
          <cell r="Q11" t="str">
            <v>Used Goods</v>
          </cell>
          <cell r="S11" t="str">
            <v>Green Purchase</v>
          </cell>
          <cell r="T11" t="str">
            <v>NONE</v>
          </cell>
          <cell r="U11" t="str">
            <v>Safety Management</v>
          </cell>
          <cell r="W11" t="str">
            <v>Posco Patent</v>
          </cell>
          <cell r="Y11" t="str">
            <v>Or Equivalent</v>
          </cell>
          <cell r="Z11" t="str">
            <v>OR EQUIVALENT</v>
          </cell>
          <cell r="AA11" t="str">
            <v>Model-1</v>
          </cell>
          <cell r="AB11" t="str">
            <v>R97 DRN100L4/BE5HF</v>
          </cell>
          <cell r="AC11" t="str">
            <v>Maker Name-1</v>
          </cell>
          <cell r="AD11" t="str">
            <v>SEW</v>
          </cell>
          <cell r="AE11" t="str">
            <v>Option-1</v>
          </cell>
          <cell r="AG11" t="str">
            <v>Model-2</v>
          </cell>
          <cell r="AI11" t="str">
            <v>Maker Name-2</v>
          </cell>
          <cell r="AJ11" t="str">
            <v>NONE</v>
          </cell>
          <cell r="AK11" t="str">
            <v>Option-2</v>
          </cell>
          <cell r="AM11" t="str">
            <v>Model-3</v>
          </cell>
          <cell r="AO11" t="str">
            <v>Maker Name-3</v>
          </cell>
          <cell r="AQ11" t="str">
            <v>Option-3</v>
          </cell>
          <cell r="AS11" t="str">
            <v>Model-4</v>
          </cell>
          <cell r="AU11" t="str">
            <v>Maker Name-4</v>
          </cell>
          <cell r="AW11" t="str">
            <v>Option-4</v>
          </cell>
          <cell r="AY11" t="str">
            <v>Insulation Class</v>
          </cell>
          <cell r="BA11" t="str">
            <v>IP Class</v>
          </cell>
          <cell r="BB11" t="str">
            <v>IP54</v>
          </cell>
          <cell r="BC11" t="str">
            <v>Number of Poles</v>
          </cell>
          <cell r="BD11" t="str">
            <v>4</v>
          </cell>
          <cell r="BE11" t="str">
            <v>Capacity</v>
          </cell>
          <cell r="BF11" t="str">
            <v>2.2</v>
          </cell>
          <cell r="BG11" t="str">
            <v>Voltage</v>
          </cell>
          <cell r="BH11" t="str">
            <v>440</v>
          </cell>
          <cell r="BI11" t="str">
            <v>Frequency</v>
          </cell>
          <cell r="BJ11" t="str">
            <v>60</v>
          </cell>
          <cell r="BK11" t="str">
            <v>Speed Rating</v>
          </cell>
          <cell r="BL11" t="str">
            <v>1765</v>
          </cell>
          <cell r="BM11" t="str">
            <v>Speed Reduction Ratio</v>
          </cell>
          <cell r="BN11" t="str">
            <v>1/150.78</v>
          </cell>
          <cell r="BO11" t="str">
            <v>Gear Side Shaft Height</v>
          </cell>
          <cell r="BP11" t="str">
            <v>225</v>
          </cell>
          <cell r="BQ11" t="str">
            <v>Gear Side Shaft Diameter</v>
          </cell>
          <cell r="BR11" t="str">
            <v>60</v>
          </cell>
          <cell r="BS11" t="str">
            <v>Base Size</v>
          </cell>
          <cell r="BT11" t="str">
            <v>250X310</v>
          </cell>
          <cell r="BU11" t="str">
            <v>Explosion Proof</v>
          </cell>
          <cell r="BW11" t="str">
            <v>AC Motor Type</v>
          </cell>
          <cell r="BX11" t="str">
            <v>VVVF</v>
          </cell>
          <cell r="BY11" t="str">
            <v>Efficiency</v>
          </cell>
          <cell r="BZ11" t="str">
            <v>IE3</v>
          </cell>
          <cell r="CA11" t="str">
            <v>Option &amp; Others</v>
          </cell>
          <cell r="CC11" t="str">
            <v>Compliance Item</v>
          </cell>
        </row>
        <row r="12">
          <cell r="A12" t="str">
            <v>Q4636710</v>
          </cell>
          <cell r="B12" t="str">
            <v>ACTIVE</v>
          </cell>
          <cell r="C12" t="str">
            <v>특정사양품(단수)</v>
          </cell>
          <cell r="D12" t="str">
            <v>AC Geared Motor</v>
          </cell>
          <cell r="E12" t="str">
            <v>포스코</v>
          </cell>
          <cell r="F12" t="str">
            <v>Q4636710</v>
          </cell>
          <cell r="G12" t="str">
            <v>4P,2.2kW,254/440V,60Hz,1765/174rpm,I=1/10.15,155F_class,115H,30D,165X135,CAGE,IP54,[R47 DRN100L4/SEW],IE3,OR EQUIVALENT</v>
          </cell>
          <cell r="H12" t="str">
            <v>1</v>
          </cell>
          <cell r="I12" t="str">
            <v>SET</v>
          </cell>
          <cell r="J12" t="str">
            <v>L</v>
          </cell>
          <cell r="K12" t="str">
            <v>김기봉</v>
          </cell>
          <cell r="N12" t="str">
            <v>https://download.sew-eurodrive.com/download/pdf_u/22742654.pdf</v>
          </cell>
          <cell r="Q12" t="str">
            <v>Used Goods</v>
          </cell>
          <cell r="S12" t="str">
            <v>Green Purchase</v>
          </cell>
          <cell r="T12" t="str">
            <v>NONE</v>
          </cell>
          <cell r="U12" t="str">
            <v>Safety Management</v>
          </cell>
          <cell r="W12" t="str">
            <v>Posco Patent</v>
          </cell>
          <cell r="Y12" t="str">
            <v>Or Equivalent</v>
          </cell>
          <cell r="Z12" t="str">
            <v>OR EQUIVALENT</v>
          </cell>
          <cell r="AA12" t="str">
            <v>Model-1</v>
          </cell>
          <cell r="AB12" t="str">
            <v>R47 DRN100L4</v>
          </cell>
          <cell r="AC12" t="str">
            <v>Maker Name-1</v>
          </cell>
          <cell r="AD12" t="str">
            <v>SEW</v>
          </cell>
          <cell r="AE12" t="str">
            <v>Option-1</v>
          </cell>
          <cell r="AG12" t="str">
            <v>Model-2</v>
          </cell>
          <cell r="AI12" t="str">
            <v>Maker Name-2</v>
          </cell>
          <cell r="AJ12" t="str">
            <v>NONE</v>
          </cell>
          <cell r="AK12" t="str">
            <v>Option-2</v>
          </cell>
          <cell r="AM12" t="str">
            <v>Model-3</v>
          </cell>
          <cell r="AO12" t="str">
            <v>Maker Name-3</v>
          </cell>
          <cell r="AQ12" t="str">
            <v>Option-3</v>
          </cell>
          <cell r="AS12" t="str">
            <v>Model-4</v>
          </cell>
          <cell r="AU12" t="str">
            <v>Maker Name-4</v>
          </cell>
          <cell r="AW12" t="str">
            <v>Option-4</v>
          </cell>
          <cell r="AY12" t="str">
            <v>Insulation Class</v>
          </cell>
          <cell r="AZ12" t="str">
            <v>155F</v>
          </cell>
          <cell r="BA12" t="str">
            <v>IP Class</v>
          </cell>
          <cell r="BB12" t="str">
            <v>IP54</v>
          </cell>
          <cell r="BC12" t="str">
            <v>Number of Poles</v>
          </cell>
          <cell r="BD12" t="str">
            <v>4</v>
          </cell>
          <cell r="BE12" t="str">
            <v>Capacity</v>
          </cell>
          <cell r="BF12" t="str">
            <v>2.2</v>
          </cell>
          <cell r="BG12" t="str">
            <v>Voltage</v>
          </cell>
          <cell r="BH12" t="str">
            <v>254/440</v>
          </cell>
          <cell r="BI12" t="str">
            <v>Frequency</v>
          </cell>
          <cell r="BJ12" t="str">
            <v>60</v>
          </cell>
          <cell r="BK12" t="str">
            <v>Speed Rating</v>
          </cell>
          <cell r="BL12" t="str">
            <v>1765/174</v>
          </cell>
          <cell r="BM12" t="str">
            <v>Speed Reduction Ratio</v>
          </cell>
          <cell r="BN12" t="str">
            <v>1/10.15</v>
          </cell>
          <cell r="BO12" t="str">
            <v>Gear Side Shaft Height</v>
          </cell>
          <cell r="BP12" t="str">
            <v>115</v>
          </cell>
          <cell r="BQ12" t="str">
            <v>Gear Side Shaft Diameter</v>
          </cell>
          <cell r="BR12" t="str">
            <v>30</v>
          </cell>
          <cell r="BS12" t="str">
            <v>Base Size</v>
          </cell>
          <cell r="BT12" t="str">
            <v>165X135</v>
          </cell>
          <cell r="BU12" t="str">
            <v>Explosion Proof</v>
          </cell>
          <cell r="BW12" t="str">
            <v>AC Motor Type</v>
          </cell>
          <cell r="BX12" t="str">
            <v>CAGE</v>
          </cell>
          <cell r="BY12" t="str">
            <v>Efficiency</v>
          </cell>
          <cell r="BZ12" t="str">
            <v>IE3</v>
          </cell>
          <cell r="CA12" t="str">
            <v>Option &amp; Others</v>
          </cell>
          <cell r="CC12" t="str">
            <v>Compliance Item</v>
          </cell>
        </row>
        <row r="13">
          <cell r="A13" t="str">
            <v>Q4639750</v>
          </cell>
          <cell r="B13" t="str">
            <v>ACTIVE</v>
          </cell>
          <cell r="C13" t="str">
            <v>특정사양품(단수)</v>
          </cell>
          <cell r="D13" t="str">
            <v>AC Geared Motor</v>
          </cell>
          <cell r="E13" t="str">
            <v>포스코</v>
          </cell>
          <cell r="F13" t="str">
            <v>Q4639750</v>
          </cell>
          <cell r="G13" t="str">
            <v>4P,30kW,380V,60Hz,1780rpm,I=1/6.56,F_class,265H,90D,370X340,VVVF,IP55,[TW-PVGM-275/TAE WEON INDUSTRIAL],WITHOUT PLG(EZA-SAPLC-04-S14-C-C), MAKER DWG NO:PVGM-240328-000,PVGM-240328-001,IE3,OR EQUIVALENT</v>
          </cell>
          <cell r="H13" t="str">
            <v>1</v>
          </cell>
          <cell r="I13" t="str">
            <v>SET</v>
          </cell>
          <cell r="J13" t="str">
            <v>L</v>
          </cell>
          <cell r="K13" t="str">
            <v>김응백</v>
          </cell>
          <cell r="N13" t="str">
            <v>www.taeweon.co.kr</v>
          </cell>
          <cell r="Q13" t="str">
            <v>Used Goods</v>
          </cell>
          <cell r="S13" t="str">
            <v>Green Purchase</v>
          </cell>
          <cell r="T13" t="str">
            <v>NONE</v>
          </cell>
          <cell r="U13" t="str">
            <v>Safety Management</v>
          </cell>
          <cell r="W13" t="str">
            <v>Posco Patent</v>
          </cell>
          <cell r="Y13" t="str">
            <v>Or Equivalent</v>
          </cell>
          <cell r="Z13" t="str">
            <v>OR EQUIVALENT</v>
          </cell>
          <cell r="AA13" t="str">
            <v>Model-1</v>
          </cell>
          <cell r="AB13" t="str">
            <v>TW-PVGM-275</v>
          </cell>
          <cell r="AC13" t="str">
            <v>Maker Name-1</v>
          </cell>
          <cell r="AD13" t="str">
            <v>TAE WEON INDUSTRIAL</v>
          </cell>
          <cell r="AE13" t="str">
            <v>Option-1</v>
          </cell>
          <cell r="AG13" t="str">
            <v>Model-2</v>
          </cell>
          <cell r="AI13" t="str">
            <v>Maker Name-2</v>
          </cell>
          <cell r="AJ13" t="str">
            <v>NONE</v>
          </cell>
          <cell r="AK13" t="str">
            <v>Option-2</v>
          </cell>
          <cell r="AM13" t="str">
            <v>Model-3</v>
          </cell>
          <cell r="AO13" t="str">
            <v>Maker Name-3</v>
          </cell>
          <cell r="AQ13" t="str">
            <v>Option-3</v>
          </cell>
          <cell r="AS13" t="str">
            <v>Model-4</v>
          </cell>
          <cell r="AU13" t="str">
            <v>Maker Name-4</v>
          </cell>
          <cell r="AW13" t="str">
            <v>Option-4</v>
          </cell>
          <cell r="AY13" t="str">
            <v>Insulation Class</v>
          </cell>
          <cell r="AZ13" t="str">
            <v>F</v>
          </cell>
          <cell r="BA13" t="str">
            <v>IP Class</v>
          </cell>
          <cell r="BB13" t="str">
            <v>IP55</v>
          </cell>
          <cell r="BC13" t="str">
            <v>Number of Poles</v>
          </cell>
          <cell r="BD13" t="str">
            <v>4</v>
          </cell>
          <cell r="BE13" t="str">
            <v>Capacity</v>
          </cell>
          <cell r="BF13" t="str">
            <v>30</v>
          </cell>
          <cell r="BG13" t="str">
            <v>Voltage</v>
          </cell>
          <cell r="BH13" t="str">
            <v>380</v>
          </cell>
          <cell r="BI13" t="str">
            <v>Frequency</v>
          </cell>
          <cell r="BJ13" t="str">
            <v>60</v>
          </cell>
          <cell r="BK13" t="str">
            <v>Speed Rating</v>
          </cell>
          <cell r="BL13" t="str">
            <v>1780</v>
          </cell>
          <cell r="BM13" t="str">
            <v>Speed Reduction Ratio</v>
          </cell>
          <cell r="BN13" t="str">
            <v>1/6.56</v>
          </cell>
          <cell r="BO13" t="str">
            <v>Gear Side Shaft Height</v>
          </cell>
          <cell r="BP13" t="str">
            <v>265</v>
          </cell>
          <cell r="BQ13" t="str">
            <v>Gear Side Shaft Diameter</v>
          </cell>
          <cell r="BR13" t="str">
            <v>90</v>
          </cell>
          <cell r="BS13" t="str">
            <v>Base Size</v>
          </cell>
          <cell r="BT13" t="str">
            <v>370X340</v>
          </cell>
          <cell r="BU13" t="str">
            <v>Explosion Proof</v>
          </cell>
          <cell r="BW13" t="str">
            <v>AC Motor Type</v>
          </cell>
          <cell r="BX13" t="str">
            <v>VVVF</v>
          </cell>
          <cell r="BY13" t="str">
            <v>Efficiency</v>
          </cell>
          <cell r="BZ13" t="str">
            <v>IE3</v>
          </cell>
          <cell r="CA13" t="str">
            <v>Option &amp; Others</v>
          </cell>
          <cell r="CB13" t="str">
            <v>WITHOUT PLG(EZA-SAPLC-04-S14-C-C), MAKER DWG NO:PVGM-240328-000,PVGM-240328-001</v>
          </cell>
          <cell r="CC13" t="str">
            <v>Compliance Item</v>
          </cell>
        </row>
        <row r="14">
          <cell r="A14" t="str">
            <v>Q4640817</v>
          </cell>
          <cell r="B14" t="str">
            <v>ACTIVE</v>
          </cell>
          <cell r="C14" t="str">
            <v>특정사양품(단수)</v>
          </cell>
          <cell r="D14" t="str">
            <v>AC Geared Motor</v>
          </cell>
          <cell r="E14" t="str">
            <v>포스코</v>
          </cell>
          <cell r="F14" t="str">
            <v>Q4640817</v>
          </cell>
          <cell r="G14" t="str">
            <v>4P,1.5kW,440V,60Hz,1800rpm,I=1/87,50D,330X195,CAGE,[CHHM2-6145-EP-B-87/SUMITOMO],FOR #3WRM RSM,IE3,OR EQUIVALENT</v>
          </cell>
          <cell r="H14" t="str">
            <v>2</v>
          </cell>
          <cell r="I14" t="str">
            <v>EA</v>
          </cell>
          <cell r="K14" t="str">
            <v>김영민</v>
          </cell>
          <cell r="N14" t="str">
            <v>https://korea.sumitomodrive.com/sites/default/files/2024-03/c2001-9.4.pdf</v>
          </cell>
          <cell r="Q14" t="str">
            <v>Used Goods</v>
          </cell>
          <cell r="S14" t="str">
            <v>Green Purchase</v>
          </cell>
          <cell r="T14" t="str">
            <v>NONE</v>
          </cell>
          <cell r="U14" t="str">
            <v>Safety Management</v>
          </cell>
          <cell r="W14" t="str">
            <v>Posco Patent</v>
          </cell>
          <cell r="Y14" t="str">
            <v>Or Equivalent</v>
          </cell>
          <cell r="Z14" t="str">
            <v>OR EQUIVALENT</v>
          </cell>
          <cell r="AA14" t="str">
            <v>Model-1</v>
          </cell>
          <cell r="AB14" t="str">
            <v>CHHM2-6145-EP-B-87</v>
          </cell>
          <cell r="AC14" t="str">
            <v>Maker Name-1</v>
          </cell>
          <cell r="AD14" t="str">
            <v>SUMITOMO</v>
          </cell>
          <cell r="AE14" t="str">
            <v>Option-1</v>
          </cell>
          <cell r="AG14" t="str">
            <v>Model-2</v>
          </cell>
          <cell r="AI14" t="str">
            <v>Maker Name-2</v>
          </cell>
          <cell r="AJ14" t="str">
            <v>NONE</v>
          </cell>
          <cell r="AK14" t="str">
            <v>Option-2</v>
          </cell>
          <cell r="AM14" t="str">
            <v>Model-3</v>
          </cell>
          <cell r="AO14" t="str">
            <v>Maker Name-3</v>
          </cell>
          <cell r="AQ14" t="str">
            <v>Option-3</v>
          </cell>
          <cell r="AS14" t="str">
            <v>Model-4</v>
          </cell>
          <cell r="AU14" t="str">
            <v>Maker Name-4</v>
          </cell>
          <cell r="AW14" t="str">
            <v>Option-4</v>
          </cell>
          <cell r="AY14" t="str">
            <v>Insulation Class</v>
          </cell>
          <cell r="BA14" t="str">
            <v>IP Class</v>
          </cell>
          <cell r="BC14" t="str">
            <v>Number of Poles</v>
          </cell>
          <cell r="BD14" t="str">
            <v>4</v>
          </cell>
          <cell r="BE14" t="str">
            <v>Capacity</v>
          </cell>
          <cell r="BF14" t="str">
            <v>1.5</v>
          </cell>
          <cell r="BG14" t="str">
            <v>Voltage</v>
          </cell>
          <cell r="BH14" t="str">
            <v>440</v>
          </cell>
          <cell r="BI14" t="str">
            <v>Frequency</v>
          </cell>
          <cell r="BJ14" t="str">
            <v>60</v>
          </cell>
          <cell r="BK14" t="str">
            <v>Speed Rating</v>
          </cell>
          <cell r="BL14" t="str">
            <v>1800</v>
          </cell>
          <cell r="BM14" t="str">
            <v>Speed Reduction Ratio</v>
          </cell>
          <cell r="BN14" t="str">
            <v>1/87</v>
          </cell>
          <cell r="BO14" t="str">
            <v>Gear Side Shaft Height</v>
          </cell>
          <cell r="BP14" t="str">
            <v>9999</v>
          </cell>
          <cell r="BQ14" t="str">
            <v>Gear Side Shaft Diameter</v>
          </cell>
          <cell r="BR14" t="str">
            <v>50</v>
          </cell>
          <cell r="BS14" t="str">
            <v>Base Size</v>
          </cell>
          <cell r="BT14" t="str">
            <v>330X195</v>
          </cell>
          <cell r="BU14" t="str">
            <v>Explosion Proof</v>
          </cell>
          <cell r="BW14" t="str">
            <v>AC Motor Type</v>
          </cell>
          <cell r="BX14" t="str">
            <v>CAGE</v>
          </cell>
          <cell r="BY14" t="str">
            <v>Efficiency</v>
          </cell>
          <cell r="BZ14" t="str">
            <v>IE3</v>
          </cell>
          <cell r="CA14" t="str">
            <v>Option &amp; Others</v>
          </cell>
          <cell r="CB14" t="str">
            <v xml:space="preserve">FOR #3WRM RSM </v>
          </cell>
          <cell r="CC14" t="str">
            <v>Compliance Item</v>
          </cell>
        </row>
        <row r="15">
          <cell r="A15" t="str">
            <v>Q4647368</v>
          </cell>
          <cell r="B15" t="str">
            <v>ACTIVE</v>
          </cell>
          <cell r="C15" t="str">
            <v>특정사양품(단수)</v>
          </cell>
          <cell r="D15" t="str">
            <v>AC Geared Motor</v>
          </cell>
          <cell r="E15" t="str">
            <v>포스코</v>
          </cell>
          <cell r="F15" t="str">
            <v>Q4647368</v>
          </cell>
          <cell r="G15" t="str">
            <v>4P,0.1kW,440V,60Hz,1730rpm,I=1/120,E_class,36H,22D,95X95,CAGE,IP44,[RNFM01-20L-120/SUMITOMO],IE1,OR EQUIVALENT</v>
          </cell>
          <cell r="H15" t="str">
            <v>1</v>
          </cell>
          <cell r="I15" t="str">
            <v>SET</v>
          </cell>
          <cell r="J15" t="str">
            <v>K</v>
          </cell>
          <cell r="K15" t="str">
            <v>최보인</v>
          </cell>
          <cell r="N15" t="str">
            <v>https://wsearch.shi.co.jp/?go=bcXDA4oNJnZzDkEPxJFawF%252FK9LvdxZtoJaI9cvfhu%252FWFppZQz6mPR52QBu6hNwmvk7U3EBH1sOTxrS%252BwvbbQ4HBpIveLXLxeMwY5t4zP95E%253D%26f%3Dr&amp;rid=1479355138911855&amp;ref=https%3A%2F%2Fwsearch.shi.co.jp%2F%3Fkw%3DRNFM01%26ie%3Du%26la%3Den</v>
          </cell>
          <cell r="Q15" t="str">
            <v>Used Goods</v>
          </cell>
          <cell r="S15" t="str">
            <v>Green Purchase</v>
          </cell>
          <cell r="T15" t="str">
            <v>NONE</v>
          </cell>
          <cell r="U15" t="str">
            <v>Safety Management</v>
          </cell>
          <cell r="W15" t="str">
            <v>Posco Patent</v>
          </cell>
          <cell r="Y15" t="str">
            <v>Or Equivalent</v>
          </cell>
          <cell r="Z15" t="str">
            <v>OR EQUIVALENT</v>
          </cell>
          <cell r="AA15" t="str">
            <v>Model-1</v>
          </cell>
          <cell r="AB15" t="str">
            <v>RNFM01-20L-120</v>
          </cell>
          <cell r="AC15" t="str">
            <v>Maker Name-1</v>
          </cell>
          <cell r="AD15" t="str">
            <v>SUMITOMO</v>
          </cell>
          <cell r="AE15" t="str">
            <v>Option-1</v>
          </cell>
          <cell r="AG15" t="str">
            <v>Model-2</v>
          </cell>
          <cell r="AI15" t="str">
            <v>Maker Name-2</v>
          </cell>
          <cell r="AJ15" t="str">
            <v>NONE</v>
          </cell>
          <cell r="AK15" t="str">
            <v>Option-2</v>
          </cell>
          <cell r="AM15" t="str">
            <v>Model-3</v>
          </cell>
          <cell r="AO15" t="str">
            <v>Maker Name-3</v>
          </cell>
          <cell r="AQ15" t="str">
            <v>Option-3</v>
          </cell>
          <cell r="AS15" t="str">
            <v>Model-4</v>
          </cell>
          <cell r="AU15" t="str">
            <v>Maker Name-4</v>
          </cell>
          <cell r="AW15" t="str">
            <v>Option-4</v>
          </cell>
          <cell r="AY15" t="str">
            <v>Insulation Class</v>
          </cell>
          <cell r="AZ15" t="str">
            <v>E</v>
          </cell>
          <cell r="BA15" t="str">
            <v>IP Class</v>
          </cell>
          <cell r="BB15" t="str">
            <v>IP44</v>
          </cell>
          <cell r="BC15" t="str">
            <v>Number of Poles</v>
          </cell>
          <cell r="BD15" t="str">
            <v>4</v>
          </cell>
          <cell r="BE15" t="str">
            <v>Capacity</v>
          </cell>
          <cell r="BF15" t="str">
            <v>0.1</v>
          </cell>
          <cell r="BG15" t="str">
            <v>Voltage</v>
          </cell>
          <cell r="BH15" t="str">
            <v>440</v>
          </cell>
          <cell r="BI15" t="str">
            <v>Frequency</v>
          </cell>
          <cell r="BJ15" t="str">
            <v>60</v>
          </cell>
          <cell r="BK15" t="str">
            <v>Speed Rating</v>
          </cell>
          <cell r="BL15" t="str">
            <v>1730</v>
          </cell>
          <cell r="BM15" t="str">
            <v>Speed Reduction Ratio</v>
          </cell>
          <cell r="BN15" t="str">
            <v>1/120</v>
          </cell>
          <cell r="BO15" t="str">
            <v>Gear Side Shaft Height</v>
          </cell>
          <cell r="BP15" t="str">
            <v>36</v>
          </cell>
          <cell r="BQ15" t="str">
            <v>Gear Side Shaft Diameter</v>
          </cell>
          <cell r="BR15" t="str">
            <v>22</v>
          </cell>
          <cell r="BS15" t="str">
            <v>Base Size</v>
          </cell>
          <cell r="BT15" t="str">
            <v>95X95</v>
          </cell>
          <cell r="BU15" t="str">
            <v>Explosion Proof</v>
          </cell>
          <cell r="BW15" t="str">
            <v>AC Motor Type</v>
          </cell>
          <cell r="BX15" t="str">
            <v>CAGE</v>
          </cell>
          <cell r="BY15" t="str">
            <v>Efficiency</v>
          </cell>
          <cell r="BZ15" t="str">
            <v>IE1</v>
          </cell>
          <cell r="CA15" t="str">
            <v>Option &amp; Others</v>
          </cell>
          <cell r="CC15" t="str">
            <v>Compliance Item</v>
          </cell>
        </row>
        <row r="16">
          <cell r="A16" t="str">
            <v>Q4648623</v>
          </cell>
          <cell r="B16" t="str">
            <v>ACTIVE</v>
          </cell>
          <cell r="C16" t="str">
            <v>특정사양품(단수)</v>
          </cell>
          <cell r="D16" t="str">
            <v>AC Geared Motor</v>
          </cell>
          <cell r="E16" t="str">
            <v>포스코</v>
          </cell>
          <cell r="F16" t="str">
            <v>Q4648623</v>
          </cell>
          <cell r="G16" t="str">
            <v>4P,7.5kW,440V,60Hz,1750rpm,I=1/30,F_class,202H,55D,PCD340(6-D19),IP55,[10HP_NV205_1/30/NAMKANG],WITH KEY 1EA,OR EQUIVALENT</v>
          </cell>
          <cell r="H16" t="str">
            <v>1</v>
          </cell>
          <cell r="I16" t="str">
            <v>SET</v>
          </cell>
          <cell r="J16" t="str">
            <v>L</v>
          </cell>
          <cell r="K16" t="str">
            <v>홍민기</v>
          </cell>
          <cell r="N16" t="str">
            <v>http://m.nkeng.net/shop_contents/myboard_read.htm?load_type=&amp;page_idx=0&amp;tag_on=&amp;h_search_c=0&amp;h_search_v=&amp;me_popup=&amp;myboard_code=st_myboard&amp;page_limit=10&amp;idx=318102&amp;page=4&amp;category_idx=</v>
          </cell>
          <cell r="Q16" t="str">
            <v>Used Goods</v>
          </cell>
          <cell r="S16" t="str">
            <v>Green Purchase</v>
          </cell>
          <cell r="T16" t="str">
            <v>NONE</v>
          </cell>
          <cell r="U16" t="str">
            <v>Safety Management</v>
          </cell>
          <cell r="W16" t="str">
            <v>Posco Patent</v>
          </cell>
          <cell r="Y16" t="str">
            <v>Or Equivalent</v>
          </cell>
          <cell r="Z16" t="str">
            <v>OR EQUIVALENT</v>
          </cell>
          <cell r="AA16" t="str">
            <v>Model-1</v>
          </cell>
          <cell r="AB16" t="str">
            <v>10HP_NV205_1/30</v>
          </cell>
          <cell r="AC16" t="str">
            <v>Maker Name-1</v>
          </cell>
          <cell r="AD16" t="str">
            <v>NAMKANG</v>
          </cell>
          <cell r="AE16" t="str">
            <v>Option-1</v>
          </cell>
          <cell r="AG16" t="str">
            <v>Model-2</v>
          </cell>
          <cell r="AI16" t="str">
            <v>Maker Name-2</v>
          </cell>
          <cell r="AJ16" t="str">
            <v>NONE</v>
          </cell>
          <cell r="AK16" t="str">
            <v>Option-2</v>
          </cell>
          <cell r="AM16" t="str">
            <v>Model-3</v>
          </cell>
          <cell r="AO16" t="str">
            <v>Maker Name-3</v>
          </cell>
          <cell r="AQ16" t="str">
            <v>Option-3</v>
          </cell>
          <cell r="AS16" t="str">
            <v>Model-4</v>
          </cell>
          <cell r="AU16" t="str">
            <v>Maker Name-4</v>
          </cell>
          <cell r="AW16" t="str">
            <v>Option-4</v>
          </cell>
          <cell r="AY16" t="str">
            <v>Insulation Class</v>
          </cell>
          <cell r="AZ16" t="str">
            <v xml:space="preserve"> F</v>
          </cell>
          <cell r="BA16" t="str">
            <v>IP Class</v>
          </cell>
          <cell r="BB16" t="str">
            <v xml:space="preserve"> IP55</v>
          </cell>
          <cell r="BC16" t="str">
            <v>Number of Poles</v>
          </cell>
          <cell r="BD16" t="str">
            <v>4</v>
          </cell>
          <cell r="BE16" t="str">
            <v>Capacity</v>
          </cell>
          <cell r="BF16" t="str">
            <v>7.5</v>
          </cell>
          <cell r="BG16" t="str">
            <v>Voltage</v>
          </cell>
          <cell r="BH16" t="str">
            <v>440</v>
          </cell>
          <cell r="BI16" t="str">
            <v>Frequency</v>
          </cell>
          <cell r="BJ16" t="str">
            <v>60</v>
          </cell>
          <cell r="BK16" t="str">
            <v>Speed Rating</v>
          </cell>
          <cell r="BL16" t="str">
            <v>1750</v>
          </cell>
          <cell r="BM16" t="str">
            <v>Speed Reduction Ratio</v>
          </cell>
          <cell r="BN16" t="str">
            <v>1/30</v>
          </cell>
          <cell r="BO16" t="str">
            <v>Gear Side Shaft Height</v>
          </cell>
          <cell r="BP16" t="str">
            <v>202</v>
          </cell>
          <cell r="BQ16" t="str">
            <v>Gear Side Shaft Diameter</v>
          </cell>
          <cell r="BR16" t="str">
            <v>55</v>
          </cell>
          <cell r="BS16" t="str">
            <v>Base Size</v>
          </cell>
          <cell r="BT16" t="str">
            <v>PCD340(6-D19)</v>
          </cell>
          <cell r="BU16" t="str">
            <v>Explosion Proof</v>
          </cell>
          <cell r="BW16" t="str">
            <v>AC Motor Type</v>
          </cell>
          <cell r="BX16" t="str">
            <v>OTHERS</v>
          </cell>
          <cell r="BY16" t="str">
            <v>Efficiency</v>
          </cell>
          <cell r="BZ16" t="str">
            <v>OTHERS</v>
          </cell>
          <cell r="CA16" t="str">
            <v>Option &amp; Others</v>
          </cell>
          <cell r="CB16" t="str">
            <v>WITH KEY 1EA</v>
          </cell>
          <cell r="CC16" t="str">
            <v>Compliance Item</v>
          </cell>
        </row>
        <row r="17">
          <cell r="A17" t="str">
            <v>Q4659727</v>
          </cell>
          <cell r="B17" t="str">
            <v>ACTIVE</v>
          </cell>
          <cell r="C17" t="str">
            <v>특정사양품(단수)</v>
          </cell>
          <cell r="D17" t="str">
            <v>AC Geared Motor</v>
          </cell>
          <cell r="E17" t="str">
            <v>포스코</v>
          </cell>
          <cell r="F17" t="str">
            <v>Q4659727</v>
          </cell>
          <cell r="G17" t="str">
            <v>4P,0.75kW,440V,60Hz,1751rpm,I=1/191,F_class,140H,40D,120X140,VVVF,IP54,[K67 R37 DRN80M4/SEW],M1A-180(L)/NORMAL,IE3,OR EQUIVALENT</v>
          </cell>
          <cell r="H17" t="str">
            <v>1</v>
          </cell>
          <cell r="I17" t="str">
            <v>SET</v>
          </cell>
          <cell r="J17" t="str">
            <v>L</v>
          </cell>
          <cell r="K17" t="str">
            <v>이상섭</v>
          </cell>
          <cell r="N17" t="str">
            <v>download.sew-eurodrive.com/download/pdf_u/26883198.pdf#search=%22drn%22</v>
          </cell>
          <cell r="Q17" t="str">
            <v>Used Goods</v>
          </cell>
          <cell r="S17" t="str">
            <v>Green Purchase</v>
          </cell>
          <cell r="T17" t="str">
            <v>NONE</v>
          </cell>
          <cell r="U17" t="str">
            <v>Safety Management</v>
          </cell>
          <cell r="W17" t="str">
            <v>Posco Patent</v>
          </cell>
          <cell r="Y17" t="str">
            <v>Or Equivalent</v>
          </cell>
          <cell r="Z17" t="str">
            <v>OR EQUIVALENT</v>
          </cell>
          <cell r="AA17" t="str">
            <v>Model-1</v>
          </cell>
          <cell r="AB17" t="str">
            <v>K67 R37 DRN80M4</v>
          </cell>
          <cell r="AC17" t="str">
            <v>Maker Name-1</v>
          </cell>
          <cell r="AD17" t="str">
            <v>SEW</v>
          </cell>
          <cell r="AE17" t="str">
            <v>Option-1</v>
          </cell>
          <cell r="AG17" t="str">
            <v>Model-2</v>
          </cell>
          <cell r="AI17" t="str">
            <v>Maker Name-2</v>
          </cell>
          <cell r="AJ17" t="str">
            <v>NONE</v>
          </cell>
          <cell r="AK17" t="str">
            <v>Option-2</v>
          </cell>
          <cell r="AM17" t="str">
            <v>Model-3</v>
          </cell>
          <cell r="AO17" t="str">
            <v>Maker Name-3</v>
          </cell>
          <cell r="AQ17" t="str">
            <v>Option-3</v>
          </cell>
          <cell r="AS17" t="str">
            <v>Model-4</v>
          </cell>
          <cell r="AU17" t="str">
            <v>Maker Name-4</v>
          </cell>
          <cell r="AW17" t="str">
            <v>Option-4</v>
          </cell>
          <cell r="AY17" t="str">
            <v>Insulation Class</v>
          </cell>
          <cell r="AZ17" t="str">
            <v>F</v>
          </cell>
          <cell r="BA17" t="str">
            <v>IP Class</v>
          </cell>
          <cell r="BB17" t="str">
            <v>IP54</v>
          </cell>
          <cell r="BC17" t="str">
            <v>Number of Poles</v>
          </cell>
          <cell r="BD17" t="str">
            <v>4</v>
          </cell>
          <cell r="BE17" t="str">
            <v>Capacity</v>
          </cell>
          <cell r="BF17" t="str">
            <v>0.75</v>
          </cell>
          <cell r="BG17" t="str">
            <v>Voltage</v>
          </cell>
          <cell r="BH17" t="str">
            <v>440</v>
          </cell>
          <cell r="BI17" t="str">
            <v>Frequency</v>
          </cell>
          <cell r="BJ17" t="str">
            <v>60</v>
          </cell>
          <cell r="BK17" t="str">
            <v>Speed Rating</v>
          </cell>
          <cell r="BL17" t="str">
            <v>1751</v>
          </cell>
          <cell r="BM17" t="str">
            <v>Speed Reduction Ratio</v>
          </cell>
          <cell r="BN17" t="str">
            <v>1/191</v>
          </cell>
          <cell r="BO17" t="str">
            <v>Gear Side Shaft Height</v>
          </cell>
          <cell r="BP17" t="str">
            <v>140</v>
          </cell>
          <cell r="BQ17" t="str">
            <v>Gear Side Shaft Diameter</v>
          </cell>
          <cell r="BR17" t="str">
            <v>40</v>
          </cell>
          <cell r="BS17" t="str">
            <v>Base Size</v>
          </cell>
          <cell r="BT17" t="str">
            <v>120X140</v>
          </cell>
          <cell r="BU17" t="str">
            <v>Explosion Proof</v>
          </cell>
          <cell r="BW17" t="str">
            <v>AC Motor Type</v>
          </cell>
          <cell r="BX17" t="str">
            <v>VVVF</v>
          </cell>
          <cell r="BY17" t="str">
            <v>Efficiency</v>
          </cell>
          <cell r="BZ17" t="str">
            <v>IE3</v>
          </cell>
          <cell r="CA17" t="str">
            <v>Option &amp; Others</v>
          </cell>
          <cell r="CB17" t="str">
            <v>M1A-180(L)/NORMAL</v>
          </cell>
          <cell r="CC17" t="str">
            <v>Compliance Item</v>
          </cell>
        </row>
        <row r="18">
          <cell r="A18" t="str">
            <v>Q4660900</v>
          </cell>
          <cell r="B18" t="str">
            <v>ACTIVE</v>
          </cell>
          <cell r="C18" t="str">
            <v>특정사양품(단수)</v>
          </cell>
          <cell r="D18" t="str">
            <v>AC Geared Motor</v>
          </cell>
          <cell r="E18" t="str">
            <v>포스코</v>
          </cell>
          <cell r="F18" t="str">
            <v>Q4660900</v>
          </cell>
          <cell r="G18" t="str">
            <v>6P,30kW,440V,60Hz,1200rpm,I=1/15,F_class,300H,90D,470X480,CAGE,IP55,[JK-BT2200/JEIL REDUCER],IE3,OR EQUIVALENT</v>
          </cell>
          <cell r="H18" t="str">
            <v>1</v>
          </cell>
          <cell r="I18" t="str">
            <v>SET</v>
          </cell>
          <cell r="J18" t="str">
            <v>L</v>
          </cell>
          <cell r="K18" t="str">
            <v>민동우</v>
          </cell>
          <cell r="N18" t="str">
            <v>http://jireducer.co.kr/03.html</v>
          </cell>
          <cell r="Q18" t="str">
            <v>Used Goods</v>
          </cell>
          <cell r="S18" t="str">
            <v>Green Purchase</v>
          </cell>
          <cell r="T18" t="str">
            <v>NONE</v>
          </cell>
          <cell r="U18" t="str">
            <v>Safety Management</v>
          </cell>
          <cell r="W18" t="str">
            <v>Posco Patent</v>
          </cell>
          <cell r="Y18" t="str">
            <v>Or Equivalent</v>
          </cell>
          <cell r="Z18" t="str">
            <v>OR EQUIVALENT</v>
          </cell>
          <cell r="AA18" t="str">
            <v>Model-1</v>
          </cell>
          <cell r="AB18" t="str">
            <v>JK-BT2200</v>
          </cell>
          <cell r="AC18" t="str">
            <v>Maker Name-1</v>
          </cell>
          <cell r="AD18" t="str">
            <v>JEIL REDUCER</v>
          </cell>
          <cell r="AE18" t="str">
            <v>Option-1</v>
          </cell>
          <cell r="AG18" t="str">
            <v>Model-2</v>
          </cell>
          <cell r="AI18" t="str">
            <v>Maker Name-2</v>
          </cell>
          <cell r="AJ18" t="str">
            <v>NONE</v>
          </cell>
          <cell r="AK18" t="str">
            <v>Option-2</v>
          </cell>
          <cell r="AM18" t="str">
            <v>Model-3</v>
          </cell>
          <cell r="AO18" t="str">
            <v>Maker Name-3</v>
          </cell>
          <cell r="AQ18" t="str">
            <v>Option-3</v>
          </cell>
          <cell r="AS18" t="str">
            <v>Model-4</v>
          </cell>
          <cell r="AU18" t="str">
            <v>Maker Name-4</v>
          </cell>
          <cell r="AW18" t="str">
            <v>Option-4</v>
          </cell>
          <cell r="AY18" t="str">
            <v>Insulation Class</v>
          </cell>
          <cell r="AZ18" t="str">
            <v>F</v>
          </cell>
          <cell r="BA18" t="str">
            <v>IP Class</v>
          </cell>
          <cell r="BB18" t="str">
            <v>IP55</v>
          </cell>
          <cell r="BC18" t="str">
            <v>Number of Poles</v>
          </cell>
          <cell r="BD18" t="str">
            <v>6</v>
          </cell>
          <cell r="BE18" t="str">
            <v>Capacity</v>
          </cell>
          <cell r="BF18" t="str">
            <v>30</v>
          </cell>
          <cell r="BG18" t="str">
            <v>Voltage</v>
          </cell>
          <cell r="BH18" t="str">
            <v>440</v>
          </cell>
          <cell r="BI18" t="str">
            <v>Frequency</v>
          </cell>
          <cell r="BJ18" t="str">
            <v>60</v>
          </cell>
          <cell r="BK18" t="str">
            <v>Speed Rating</v>
          </cell>
          <cell r="BL18" t="str">
            <v>1200</v>
          </cell>
          <cell r="BM18" t="str">
            <v>Speed Reduction Ratio</v>
          </cell>
          <cell r="BN18" t="str">
            <v>1/15</v>
          </cell>
          <cell r="BO18" t="str">
            <v>Gear Side Shaft Height</v>
          </cell>
          <cell r="BP18" t="str">
            <v>300</v>
          </cell>
          <cell r="BQ18" t="str">
            <v>Gear Side Shaft Diameter</v>
          </cell>
          <cell r="BR18" t="str">
            <v>90</v>
          </cell>
          <cell r="BS18" t="str">
            <v>Base Size</v>
          </cell>
          <cell r="BT18" t="str">
            <v>470X480</v>
          </cell>
          <cell r="BU18" t="str">
            <v>Explosion Proof</v>
          </cell>
          <cell r="BW18" t="str">
            <v>AC Motor Type</v>
          </cell>
          <cell r="BX18" t="str">
            <v>CAGE</v>
          </cell>
          <cell r="BY18" t="str">
            <v>Efficiency</v>
          </cell>
          <cell r="BZ18" t="str">
            <v>IE3</v>
          </cell>
          <cell r="CA18" t="str">
            <v>Option &amp; Others</v>
          </cell>
          <cell r="CC18" t="str">
            <v>Compliance Item</v>
          </cell>
        </row>
        <row r="19">
          <cell r="A19" t="str">
            <v>Q4116230</v>
          </cell>
          <cell r="B19" t="str">
            <v>ACTIVE</v>
          </cell>
          <cell r="C19" t="str">
            <v>특정사양품(단수)</v>
          </cell>
          <cell r="D19" t="str">
            <v>AC Geared Motor</v>
          </cell>
          <cell r="E19" t="str">
            <v>포스코</v>
          </cell>
          <cell r="F19" t="str">
            <v>Q4116230</v>
          </cell>
          <cell r="G19" t="str">
            <v>4P,3.7kW,440V,60Hz,1750rpm,I=1/22,CAGE,[MODEL-NC TYPE(3.7KW X 4P)/SUNGDO],OR EQUIVALENT</v>
          </cell>
          <cell r="H19" t="str">
            <v>2</v>
          </cell>
          <cell r="I19" t="str">
            <v>SET</v>
          </cell>
          <cell r="K19" t="str">
            <v>장지훈</v>
          </cell>
          <cell r="N19" t="str">
            <v>https://www.sdhoist.co.kr/?page_id=1081</v>
          </cell>
          <cell r="Q19" t="str">
            <v>Used Goods</v>
          </cell>
          <cell r="S19" t="str">
            <v>Green Purchase</v>
          </cell>
          <cell r="T19" t="str">
            <v>NONE</v>
          </cell>
          <cell r="U19" t="str">
            <v>Safety Management</v>
          </cell>
          <cell r="W19" t="str">
            <v>Posco Patent</v>
          </cell>
          <cell r="Y19" t="str">
            <v>Or Equivalent</v>
          </cell>
          <cell r="Z19" t="str">
            <v>OR EQUIVALENT</v>
          </cell>
          <cell r="AA19" t="str">
            <v>Model-1</v>
          </cell>
          <cell r="AB19" t="str">
            <v>MODEL-NC TYPE(3.7KW X 4P)</v>
          </cell>
          <cell r="AC19" t="str">
            <v>Maker Name-1</v>
          </cell>
          <cell r="AD19" t="str">
            <v>SUNGDO</v>
          </cell>
          <cell r="AE19" t="str">
            <v>Option-1</v>
          </cell>
          <cell r="AG19" t="str">
            <v>Model-2</v>
          </cell>
          <cell r="AI19" t="str">
            <v>Maker Name-2</v>
          </cell>
          <cell r="AJ19" t="str">
            <v>NONE</v>
          </cell>
          <cell r="AK19" t="str">
            <v>Option-2</v>
          </cell>
          <cell r="AM19" t="str">
            <v>Model-3</v>
          </cell>
          <cell r="AO19" t="str">
            <v>Maker Name-3</v>
          </cell>
          <cell r="AQ19" t="str">
            <v>Option-3</v>
          </cell>
          <cell r="AS19" t="str">
            <v>Model-4</v>
          </cell>
          <cell r="AU19" t="str">
            <v>Maker Name-4</v>
          </cell>
          <cell r="AW19" t="str">
            <v>Option-4</v>
          </cell>
          <cell r="AY19" t="str">
            <v>Insulation Class</v>
          </cell>
          <cell r="AZ19" t="str">
            <v>NONE</v>
          </cell>
          <cell r="BA19" t="str">
            <v>IP Class</v>
          </cell>
          <cell r="BB19" t="str">
            <v>NONE</v>
          </cell>
          <cell r="BC19" t="str">
            <v>Number of Poles</v>
          </cell>
          <cell r="BD19" t="str">
            <v>4</v>
          </cell>
          <cell r="BE19" t="str">
            <v>Capacity</v>
          </cell>
          <cell r="BF19" t="str">
            <v>3.7</v>
          </cell>
          <cell r="BG19" t="str">
            <v>Voltage</v>
          </cell>
          <cell r="BH19" t="str">
            <v>440</v>
          </cell>
          <cell r="BI19" t="str">
            <v>Frequency</v>
          </cell>
          <cell r="BJ19" t="str">
            <v>60</v>
          </cell>
          <cell r="BK19" t="str">
            <v>Speed Rating</v>
          </cell>
          <cell r="BL19" t="str">
            <v>1750</v>
          </cell>
          <cell r="BM19" t="str">
            <v>Speed Reduction Ratio</v>
          </cell>
          <cell r="BN19" t="str">
            <v xml:space="preserve"> 1/22</v>
          </cell>
          <cell r="BO19" t="str">
            <v>Gear Side Shaft Height</v>
          </cell>
          <cell r="BP19" t="str">
            <v>9999</v>
          </cell>
          <cell r="BQ19" t="str">
            <v>Gear Side Shaft Diameter</v>
          </cell>
          <cell r="BR19" t="str">
            <v>9999</v>
          </cell>
          <cell r="BS19" t="str">
            <v>Base Size</v>
          </cell>
          <cell r="BT19" t="str">
            <v>UNKNOWN</v>
          </cell>
          <cell r="BU19" t="str">
            <v>Explosion Proof</v>
          </cell>
          <cell r="BW19" t="str">
            <v>AC Motor Type</v>
          </cell>
          <cell r="BX19" t="str">
            <v>CAGE</v>
          </cell>
          <cell r="BY19" t="str">
            <v>Efficiency</v>
          </cell>
          <cell r="BZ19" t="str">
            <v>NONE</v>
          </cell>
          <cell r="CA19" t="str">
            <v>Option &amp; Others</v>
          </cell>
          <cell r="CC19" t="str">
            <v>Compliance Item</v>
          </cell>
        </row>
        <row r="20">
          <cell r="A20" t="str">
            <v>Q4145015</v>
          </cell>
          <cell r="B20" t="str">
            <v>ACTIVE</v>
          </cell>
          <cell r="C20" t="str">
            <v>특정사양품(단수)</v>
          </cell>
          <cell r="D20" t="str">
            <v>AC Geared Motor</v>
          </cell>
          <cell r="E20" t="str">
            <v>포스코</v>
          </cell>
          <cell r="F20" t="str">
            <v>Q4145015</v>
          </cell>
          <cell r="G20" t="str">
            <v>4kW,440V,60Hz,1769rpm,F_class,IP54,[R67 DRN112M4/BE5HR/TF/SEW],FOR 4WRM STACKER CRANE FORK MOTOR,OR EQUIVALENT</v>
          </cell>
          <cell r="H20" t="str">
            <v>2</v>
          </cell>
          <cell r="I20" t="str">
            <v>SET</v>
          </cell>
          <cell r="K20" t="str">
            <v>장요한</v>
          </cell>
          <cell r="N20" t="str">
            <v>https://www.sew-eurodrive.kr/products/gearmotors/standard_gearmotors/helical_gearmotors_rdr/helical_gearmotors_rdr.html</v>
          </cell>
          <cell r="Q20" t="str">
            <v>Used Goods</v>
          </cell>
          <cell r="S20" t="str">
            <v>Green Purchase</v>
          </cell>
          <cell r="T20" t="str">
            <v>NONE</v>
          </cell>
          <cell r="U20" t="str">
            <v>Safety Management</v>
          </cell>
          <cell r="W20" t="str">
            <v>Posco Patent</v>
          </cell>
          <cell r="Y20" t="str">
            <v>Or Equivalent</v>
          </cell>
          <cell r="Z20" t="str">
            <v>OR EQUIVALENT</v>
          </cell>
          <cell r="AA20" t="str">
            <v>Model-1</v>
          </cell>
          <cell r="AB20" t="str">
            <v>R67 DRN112M4/BE5HR/TF</v>
          </cell>
          <cell r="AC20" t="str">
            <v>Maker Name-1</v>
          </cell>
          <cell r="AD20" t="str">
            <v>SEW</v>
          </cell>
          <cell r="AE20" t="str">
            <v>Option-1</v>
          </cell>
          <cell r="AG20" t="str">
            <v>Model-2</v>
          </cell>
          <cell r="AI20" t="str">
            <v>Maker Name-2</v>
          </cell>
          <cell r="AJ20" t="str">
            <v>NONE</v>
          </cell>
          <cell r="AK20" t="str">
            <v>Option-2</v>
          </cell>
          <cell r="AM20" t="str">
            <v>Model-3</v>
          </cell>
          <cell r="AO20" t="str">
            <v>Maker Name-3</v>
          </cell>
          <cell r="AQ20" t="str">
            <v>Option-3</v>
          </cell>
          <cell r="AS20" t="str">
            <v>Model-4</v>
          </cell>
          <cell r="AU20" t="str">
            <v>Maker Name-4</v>
          </cell>
          <cell r="AW20" t="str">
            <v>Option-4</v>
          </cell>
          <cell r="AY20" t="str">
            <v>Insulation Class</v>
          </cell>
          <cell r="AZ20" t="str">
            <v>F</v>
          </cell>
          <cell r="BA20" t="str">
            <v>IP Class</v>
          </cell>
          <cell r="BB20" t="str">
            <v>IP54</v>
          </cell>
          <cell r="BC20" t="str">
            <v>Number of Poles</v>
          </cell>
          <cell r="BD20" t="str">
            <v>9999</v>
          </cell>
          <cell r="BE20" t="str">
            <v>Capacity</v>
          </cell>
          <cell r="BF20" t="str">
            <v>4</v>
          </cell>
          <cell r="BG20" t="str">
            <v>Voltage</v>
          </cell>
          <cell r="BH20" t="str">
            <v>440</v>
          </cell>
          <cell r="BI20" t="str">
            <v>Frequency</v>
          </cell>
          <cell r="BJ20" t="str">
            <v>60</v>
          </cell>
          <cell r="BK20" t="str">
            <v>Speed Rating</v>
          </cell>
          <cell r="BL20" t="str">
            <v>1769</v>
          </cell>
          <cell r="BM20" t="str">
            <v>Speed Reduction Ratio</v>
          </cell>
          <cell r="BN20" t="str">
            <v>UNKNOWN</v>
          </cell>
          <cell r="BO20" t="str">
            <v>Gear Side Shaft Height</v>
          </cell>
          <cell r="BP20" t="str">
            <v>9999</v>
          </cell>
          <cell r="BQ20" t="str">
            <v>Gear Side Shaft Diameter</v>
          </cell>
          <cell r="BR20" t="str">
            <v>9999</v>
          </cell>
          <cell r="BS20" t="str">
            <v>Base Size</v>
          </cell>
          <cell r="BT20" t="str">
            <v>UNKNOWN</v>
          </cell>
          <cell r="BU20" t="str">
            <v>Explosion Proof</v>
          </cell>
          <cell r="BW20" t="str">
            <v>AC Motor Type</v>
          </cell>
          <cell r="BX20" t="str">
            <v>OTHERS</v>
          </cell>
          <cell r="BY20" t="str">
            <v>Efficiency</v>
          </cell>
          <cell r="BZ20" t="str">
            <v>NONE</v>
          </cell>
          <cell r="CA20" t="str">
            <v>Option &amp; Others</v>
          </cell>
          <cell r="CB20" t="str">
            <v>FOR 4WRM STACKER CRANE FORK MOTOR</v>
          </cell>
          <cell r="CC20" t="str">
            <v>Compliance Item</v>
          </cell>
        </row>
        <row r="21">
          <cell r="A21" t="str">
            <v>Q4321303</v>
          </cell>
          <cell r="B21" t="str">
            <v>ACTIVE</v>
          </cell>
          <cell r="C21" t="str">
            <v>특정사양품(단수)</v>
          </cell>
          <cell r="D21" t="str">
            <v>AC Geared Motor</v>
          </cell>
          <cell r="E21" t="str">
            <v>포스코</v>
          </cell>
          <cell r="F21" t="str">
            <v>Q4321303</v>
          </cell>
          <cell r="G21" t="str">
            <v>4P,2.2kW,440V,60Hz,1765rpm,I=1/4.32,F_class,90H,25D,110 X 130,VVVF,IP54,[R37(GEAR) DRN100L(MOTOR) 4(POLE)/AL(METAL FAN)//SEW],2,3ACL F'CE HEARTH ROLL MOTOR,IE3,OR EQUIVALENT</v>
          </cell>
          <cell r="H21" t="str">
            <v>3</v>
          </cell>
          <cell r="I21" t="str">
            <v>EA</v>
          </cell>
          <cell r="K21" t="str">
            <v>권용성</v>
          </cell>
          <cell r="N21" t="str">
            <v>http://download.sew-eurodrive.com/download/pdf/21284997.pdf</v>
          </cell>
          <cell r="Q21" t="str">
            <v>Used Goods</v>
          </cell>
          <cell r="S21" t="str">
            <v>Green Purchase</v>
          </cell>
          <cell r="T21" t="str">
            <v>NONE</v>
          </cell>
          <cell r="U21" t="str">
            <v>Safety Management</v>
          </cell>
          <cell r="V21" t="str">
            <v>NONE</v>
          </cell>
          <cell r="W21" t="str">
            <v>Posco Patent</v>
          </cell>
          <cell r="Y21" t="str">
            <v>Or Equivalent</v>
          </cell>
          <cell r="Z21" t="str">
            <v>OR EQUIVALENT</v>
          </cell>
          <cell r="AA21" t="str">
            <v>Model-1</v>
          </cell>
          <cell r="AB21" t="str">
            <v>R37(GEAR) DRN100L(MOTOR) 4(POLE)/AL(METAL FAN)/</v>
          </cell>
          <cell r="AC21" t="str">
            <v>Maker Name-1</v>
          </cell>
          <cell r="AD21" t="str">
            <v>SEW</v>
          </cell>
          <cell r="AE21" t="str">
            <v>Option-1</v>
          </cell>
          <cell r="AG21" t="str">
            <v>Model-2</v>
          </cell>
          <cell r="AI21" t="str">
            <v>Maker Name-2</v>
          </cell>
          <cell r="AJ21" t="str">
            <v>NONE</v>
          </cell>
          <cell r="AK21" t="str">
            <v>Option-2</v>
          </cell>
          <cell r="AM21" t="str">
            <v>Model-3</v>
          </cell>
          <cell r="AO21" t="str">
            <v>Maker Name-3</v>
          </cell>
          <cell r="AQ21" t="str">
            <v>Option-3</v>
          </cell>
          <cell r="AS21" t="str">
            <v>Model-4</v>
          </cell>
          <cell r="AU21" t="str">
            <v>Maker Name-4</v>
          </cell>
          <cell r="AW21" t="str">
            <v>Option-4</v>
          </cell>
          <cell r="AY21" t="str">
            <v>Insulation Class</v>
          </cell>
          <cell r="AZ21" t="str">
            <v>F</v>
          </cell>
          <cell r="BA21" t="str">
            <v>IP Class</v>
          </cell>
          <cell r="BB21" t="str">
            <v>IP54</v>
          </cell>
          <cell r="BC21" t="str">
            <v>Number of Poles</v>
          </cell>
          <cell r="BD21" t="str">
            <v>4</v>
          </cell>
          <cell r="BE21" t="str">
            <v>Capacity</v>
          </cell>
          <cell r="BF21" t="str">
            <v>2.2</v>
          </cell>
          <cell r="BG21" t="str">
            <v>Voltage</v>
          </cell>
          <cell r="BH21" t="str">
            <v>440</v>
          </cell>
          <cell r="BI21" t="str">
            <v>Frequency</v>
          </cell>
          <cell r="BJ21" t="str">
            <v>60</v>
          </cell>
          <cell r="BK21" t="str">
            <v>Speed Rating</v>
          </cell>
          <cell r="BL21" t="str">
            <v>1765</v>
          </cell>
          <cell r="BM21" t="str">
            <v>Speed Reduction Ratio</v>
          </cell>
          <cell r="BN21" t="str">
            <v>1/4.32</v>
          </cell>
          <cell r="BO21" t="str">
            <v>Gear Side Shaft Height</v>
          </cell>
          <cell r="BP21" t="str">
            <v>90</v>
          </cell>
          <cell r="BQ21" t="str">
            <v>Gear Side Shaft Diameter</v>
          </cell>
          <cell r="BR21" t="str">
            <v>25</v>
          </cell>
          <cell r="BS21" t="str">
            <v>Base Size</v>
          </cell>
          <cell r="BT21" t="str">
            <v>110 X 130</v>
          </cell>
          <cell r="BU21" t="str">
            <v>Explosion Proof</v>
          </cell>
          <cell r="BW21" t="str">
            <v>AC Motor Type</v>
          </cell>
          <cell r="BX21" t="str">
            <v>VVVF</v>
          </cell>
          <cell r="BY21" t="str">
            <v>Efficiency</v>
          </cell>
          <cell r="BZ21" t="str">
            <v>IE3</v>
          </cell>
          <cell r="CA21" t="str">
            <v>Option &amp; Others</v>
          </cell>
          <cell r="CB21" t="str">
            <v xml:space="preserve"> 2,3ACL F'CE HEARTH ROLL MOTOR</v>
          </cell>
          <cell r="CC21" t="str">
            <v>Compliance Item</v>
          </cell>
        </row>
        <row r="22">
          <cell r="A22" t="str">
            <v>Q4685650</v>
          </cell>
          <cell r="B22" t="str">
            <v>ACTIVE</v>
          </cell>
          <cell r="C22" t="str">
            <v>특정사양품(단수)</v>
          </cell>
          <cell r="D22" t="str">
            <v>AC Geared Motor</v>
          </cell>
          <cell r="E22" t="str">
            <v>포스코</v>
          </cell>
          <cell r="F22" t="str">
            <v>Q4685650</v>
          </cell>
          <cell r="G22" t="str">
            <v>4P,0.09kW,220V,60Hz,1600rpm,I=1/60,63H,18D,VVVF,[S9I90GTH-E/SPG]+WITH HEAD  S9KD60B,OR EQUIVALENT</v>
          </cell>
          <cell r="H22" t="str">
            <v>1</v>
          </cell>
          <cell r="I22" t="str">
            <v>SET</v>
          </cell>
          <cell r="J22" t="str">
            <v>L</v>
          </cell>
          <cell r="K22" t="str">
            <v>김원길</v>
          </cell>
          <cell r="N22" t="str">
            <v>http://www.spg.co.kr/sub/product.php?cate1=AC&amp;gc_id=10</v>
          </cell>
          <cell r="Q22" t="str">
            <v>Used Goods</v>
          </cell>
          <cell r="S22" t="str">
            <v>Green Purchase</v>
          </cell>
          <cell r="T22" t="str">
            <v>NONE</v>
          </cell>
          <cell r="U22" t="str">
            <v>Safety Management</v>
          </cell>
          <cell r="W22" t="str">
            <v>Posco Patent</v>
          </cell>
          <cell r="Y22" t="str">
            <v>Or Equivalent</v>
          </cell>
          <cell r="Z22" t="str">
            <v>OR EQUIVALENT</v>
          </cell>
          <cell r="AA22" t="str">
            <v>Model-1</v>
          </cell>
          <cell r="AB22" t="str">
            <v>S9I90GTH-E</v>
          </cell>
          <cell r="AC22" t="str">
            <v>Maker Name-1</v>
          </cell>
          <cell r="AD22" t="str">
            <v>SPG</v>
          </cell>
          <cell r="AE22" t="str">
            <v>Option-1</v>
          </cell>
          <cell r="AF22" t="str">
            <v>WITH HEAD  S9KD60B</v>
          </cell>
          <cell r="AG22" t="str">
            <v>Model-2</v>
          </cell>
          <cell r="AI22" t="str">
            <v>Maker Name-2</v>
          </cell>
          <cell r="AJ22" t="str">
            <v>NONE</v>
          </cell>
          <cell r="AK22" t="str">
            <v>Option-2</v>
          </cell>
          <cell r="AM22" t="str">
            <v>Model-3</v>
          </cell>
          <cell r="AO22" t="str">
            <v>Maker Name-3</v>
          </cell>
          <cell r="AQ22" t="str">
            <v>Option-3</v>
          </cell>
          <cell r="AS22" t="str">
            <v>Model-4</v>
          </cell>
          <cell r="AU22" t="str">
            <v>Maker Name-4</v>
          </cell>
          <cell r="AW22" t="str">
            <v>Option-4</v>
          </cell>
          <cell r="AY22" t="str">
            <v>Insulation Class</v>
          </cell>
          <cell r="AZ22" t="str">
            <v>NONE</v>
          </cell>
          <cell r="BA22" t="str">
            <v>IP Class</v>
          </cell>
          <cell r="BB22" t="str">
            <v>NONE</v>
          </cell>
          <cell r="BC22" t="str">
            <v>Number of Poles</v>
          </cell>
          <cell r="BD22" t="str">
            <v>4</v>
          </cell>
          <cell r="BE22" t="str">
            <v>Capacity</v>
          </cell>
          <cell r="BF22" t="str">
            <v>0.09</v>
          </cell>
          <cell r="BG22" t="str">
            <v>Voltage</v>
          </cell>
          <cell r="BH22" t="str">
            <v>220</v>
          </cell>
          <cell r="BI22" t="str">
            <v>Frequency</v>
          </cell>
          <cell r="BJ22" t="str">
            <v>60</v>
          </cell>
          <cell r="BK22" t="str">
            <v>Speed Rating</v>
          </cell>
          <cell r="BL22" t="str">
            <v>1600</v>
          </cell>
          <cell r="BM22" t="str">
            <v>Speed Reduction Ratio</v>
          </cell>
          <cell r="BN22" t="str">
            <v xml:space="preserve"> 1/60</v>
          </cell>
          <cell r="BO22" t="str">
            <v>Gear Side Shaft Height</v>
          </cell>
          <cell r="BP22" t="str">
            <v>63</v>
          </cell>
          <cell r="BQ22" t="str">
            <v>Gear Side Shaft Diameter</v>
          </cell>
          <cell r="BR22" t="str">
            <v>18</v>
          </cell>
          <cell r="BS22" t="str">
            <v>Base Size</v>
          </cell>
          <cell r="BT22" t="str">
            <v>UNKNOWN</v>
          </cell>
          <cell r="BU22" t="str">
            <v>Explosion Proof</v>
          </cell>
          <cell r="BW22" t="str">
            <v>AC Motor Type</v>
          </cell>
          <cell r="BX22" t="str">
            <v>VVVF</v>
          </cell>
          <cell r="BY22" t="str">
            <v>Efficiency</v>
          </cell>
          <cell r="BZ22" t="str">
            <v>NONE</v>
          </cell>
          <cell r="CA22" t="str">
            <v>Option &amp; Others</v>
          </cell>
          <cell r="CC22" t="str">
            <v>Compliance Item</v>
          </cell>
        </row>
        <row r="23">
          <cell r="A23" t="str">
            <v>Q4686579</v>
          </cell>
          <cell r="B23" t="str">
            <v>ACTIVE</v>
          </cell>
          <cell r="C23" t="str">
            <v>특정사양품(단수)</v>
          </cell>
          <cell r="D23" t="str">
            <v>AC Geared Motor</v>
          </cell>
          <cell r="E23" t="str">
            <v>포스코</v>
          </cell>
          <cell r="F23" t="str">
            <v>Q4686579</v>
          </cell>
          <cell r="G23" t="str">
            <v>4P,2.2kW,440V,60Hz,1765rpm,I=1/3.41,F CLASS_class,50H,25D,110X130,IP54,[R37 DRN 100LM4/SEW],4.8[A]  R37(GEAR) DRN100L(FRAME) 4(POLE) / AL(METAL FAN) / 2,3ACL FCE PHS,NOF H/R MOTOR,IE3,OR EQUIVALENT</v>
          </cell>
          <cell r="H23" t="str">
            <v>1</v>
          </cell>
          <cell r="I23" t="str">
            <v>SET</v>
          </cell>
          <cell r="J23" t="str">
            <v>L</v>
          </cell>
          <cell r="K23" t="str">
            <v>권용성</v>
          </cell>
          <cell r="N23" t="str">
            <v>https://download.sew-eurodrive.com/download/pdf_u/27804879.pdf#search=%2260hz%22</v>
          </cell>
          <cell r="Q23" t="str">
            <v>Used Goods</v>
          </cell>
          <cell r="S23" t="str">
            <v>Green Purchase</v>
          </cell>
          <cell r="T23" t="str">
            <v>NONE</v>
          </cell>
          <cell r="U23" t="str">
            <v>Safety Management</v>
          </cell>
          <cell r="W23" t="str">
            <v>Posco Patent</v>
          </cell>
          <cell r="Y23" t="str">
            <v>Or Equivalent</v>
          </cell>
          <cell r="Z23" t="str">
            <v>OR EQUIVALENT</v>
          </cell>
          <cell r="AA23" t="str">
            <v>Model-1</v>
          </cell>
          <cell r="AB23" t="str">
            <v xml:space="preserve">R37 DRN 100LM4 </v>
          </cell>
          <cell r="AC23" t="str">
            <v>Maker Name-1</v>
          </cell>
          <cell r="AD23" t="str">
            <v>SEW</v>
          </cell>
          <cell r="AE23" t="str">
            <v>Option-1</v>
          </cell>
          <cell r="AG23" t="str">
            <v>Model-2</v>
          </cell>
          <cell r="AI23" t="str">
            <v>Maker Name-2</v>
          </cell>
          <cell r="AJ23" t="str">
            <v>NONE</v>
          </cell>
          <cell r="AK23" t="str">
            <v>Option-2</v>
          </cell>
          <cell r="AM23" t="str">
            <v>Model-3</v>
          </cell>
          <cell r="AO23" t="str">
            <v>Maker Name-3</v>
          </cell>
          <cell r="AQ23" t="str">
            <v>Option-3</v>
          </cell>
          <cell r="AS23" t="str">
            <v>Model-4</v>
          </cell>
          <cell r="AU23" t="str">
            <v>Maker Name-4</v>
          </cell>
          <cell r="AW23" t="str">
            <v>Option-4</v>
          </cell>
          <cell r="AY23" t="str">
            <v>Insulation Class</v>
          </cell>
          <cell r="AZ23" t="str">
            <v>F Class</v>
          </cell>
          <cell r="BA23" t="str">
            <v>IP Class</v>
          </cell>
          <cell r="BB23" t="str">
            <v xml:space="preserve">IP54 </v>
          </cell>
          <cell r="BC23" t="str">
            <v>Number of Poles</v>
          </cell>
          <cell r="BD23" t="str">
            <v>4</v>
          </cell>
          <cell r="BE23" t="str">
            <v>Capacity</v>
          </cell>
          <cell r="BF23" t="str">
            <v>2.2</v>
          </cell>
          <cell r="BG23" t="str">
            <v>Voltage</v>
          </cell>
          <cell r="BH23" t="str">
            <v>440</v>
          </cell>
          <cell r="BI23" t="str">
            <v>Frequency</v>
          </cell>
          <cell r="BJ23" t="str">
            <v>60</v>
          </cell>
          <cell r="BK23" t="str">
            <v>Speed Rating</v>
          </cell>
          <cell r="BL23" t="str">
            <v>1765</v>
          </cell>
          <cell r="BM23" t="str">
            <v>Speed Reduction Ratio</v>
          </cell>
          <cell r="BN23" t="str">
            <v>1/3.41</v>
          </cell>
          <cell r="BO23" t="str">
            <v>Gear Side Shaft Height</v>
          </cell>
          <cell r="BP23" t="str">
            <v>50</v>
          </cell>
          <cell r="BQ23" t="str">
            <v>Gear Side Shaft Diameter</v>
          </cell>
          <cell r="BR23" t="str">
            <v>25</v>
          </cell>
          <cell r="BS23" t="str">
            <v>Base Size</v>
          </cell>
          <cell r="BT23" t="str">
            <v>110X130</v>
          </cell>
          <cell r="BU23" t="str">
            <v>Explosion Proof</v>
          </cell>
          <cell r="BW23" t="str">
            <v>AC Motor Type</v>
          </cell>
          <cell r="BX23" t="str">
            <v>OTHERS</v>
          </cell>
          <cell r="BY23" t="str">
            <v>Efficiency</v>
          </cell>
          <cell r="BZ23" t="str">
            <v>IE3</v>
          </cell>
          <cell r="CA23" t="str">
            <v>Option &amp; Others</v>
          </cell>
          <cell r="CB23" t="str">
            <v>4.8[A]  R37(GEAR) DRN100L(FRAME) 4(POLE) / AL(METAL FAN) / 2,3ACL FCE PHS,NOF H/R MOTOR</v>
          </cell>
          <cell r="CC23" t="str">
            <v>Compliance Item</v>
          </cell>
        </row>
        <row r="24">
          <cell r="A24" t="str">
            <v>Q4688770</v>
          </cell>
          <cell r="B24" t="str">
            <v>ACTIVE</v>
          </cell>
          <cell r="C24" t="str">
            <v>특정사양품(단수)</v>
          </cell>
          <cell r="D24" t="str">
            <v>AC Geared Motor</v>
          </cell>
          <cell r="E24" t="str">
            <v>포스코</v>
          </cell>
          <cell r="F24" t="str">
            <v>Q4688770</v>
          </cell>
          <cell r="G24" t="str">
            <v>4P,5.5kW,254-266/440-460V,60Hz,1768/412rpm,I=1/4.29,F_class,130H,35D,IP55,[R67 DRN132S4/EK8C/SEW],IE3,OR EQUIVALENT</v>
          </cell>
          <cell r="H24" t="str">
            <v>1</v>
          </cell>
          <cell r="I24" t="str">
            <v>EA</v>
          </cell>
          <cell r="J24" t="str">
            <v>L</v>
          </cell>
          <cell r="K24" t="str">
            <v>권용성</v>
          </cell>
          <cell r="N24" t="str">
            <v>download.sew-eurodrive.com/download/pdf_u/26883198.pdf#search=%22drn%22</v>
          </cell>
          <cell r="Q24" t="str">
            <v>Used Goods</v>
          </cell>
          <cell r="S24" t="str">
            <v>Green Purchase</v>
          </cell>
          <cell r="T24" t="str">
            <v>NONE</v>
          </cell>
          <cell r="U24" t="str">
            <v>Safety Management</v>
          </cell>
          <cell r="W24" t="str">
            <v>Posco Patent</v>
          </cell>
          <cell r="Y24" t="str">
            <v>Or Equivalent</v>
          </cell>
          <cell r="Z24" t="str">
            <v>OR EQUIVALENT</v>
          </cell>
          <cell r="AA24" t="str">
            <v>Model-1</v>
          </cell>
          <cell r="AB24" t="str">
            <v>R67 DRN132S4/EK8C</v>
          </cell>
          <cell r="AC24" t="str">
            <v>Maker Name-1</v>
          </cell>
          <cell r="AD24" t="str">
            <v>SEW</v>
          </cell>
          <cell r="AE24" t="str">
            <v>Option-1</v>
          </cell>
          <cell r="AG24" t="str">
            <v>Model-2</v>
          </cell>
          <cell r="AI24" t="str">
            <v>Maker Name-2</v>
          </cell>
          <cell r="AJ24" t="str">
            <v>NONE</v>
          </cell>
          <cell r="AK24" t="str">
            <v>Option-2</v>
          </cell>
          <cell r="AM24" t="str">
            <v>Model-3</v>
          </cell>
          <cell r="AO24" t="str">
            <v>Maker Name-3</v>
          </cell>
          <cell r="AQ24" t="str">
            <v>Option-3</v>
          </cell>
          <cell r="AS24" t="str">
            <v>Model-4</v>
          </cell>
          <cell r="AU24" t="str">
            <v>Maker Name-4</v>
          </cell>
          <cell r="AW24" t="str">
            <v>Option-4</v>
          </cell>
          <cell r="AY24" t="str">
            <v>Insulation Class</v>
          </cell>
          <cell r="AZ24" t="str">
            <v xml:space="preserve"> F</v>
          </cell>
          <cell r="BA24" t="str">
            <v>IP Class</v>
          </cell>
          <cell r="BB24" t="str">
            <v>IP55</v>
          </cell>
          <cell r="BC24" t="str">
            <v>Number of Poles</v>
          </cell>
          <cell r="BD24" t="str">
            <v>4</v>
          </cell>
          <cell r="BE24" t="str">
            <v>Capacity</v>
          </cell>
          <cell r="BF24" t="str">
            <v>5.5</v>
          </cell>
          <cell r="BG24" t="str">
            <v>Voltage</v>
          </cell>
          <cell r="BH24" t="str">
            <v>254-266/440-460</v>
          </cell>
          <cell r="BI24" t="str">
            <v>Frequency</v>
          </cell>
          <cell r="BJ24" t="str">
            <v>60</v>
          </cell>
          <cell r="BK24" t="str">
            <v>Speed Rating</v>
          </cell>
          <cell r="BL24" t="str">
            <v>1768/412</v>
          </cell>
          <cell r="BM24" t="str">
            <v>Speed Reduction Ratio</v>
          </cell>
          <cell r="BN24" t="str">
            <v>1/4.29</v>
          </cell>
          <cell r="BO24" t="str">
            <v>Gear Side Shaft Height</v>
          </cell>
          <cell r="BP24" t="str">
            <v>130</v>
          </cell>
          <cell r="BQ24" t="str">
            <v>Gear Side Shaft Diameter</v>
          </cell>
          <cell r="BR24" t="str">
            <v>35</v>
          </cell>
          <cell r="BS24" t="str">
            <v>Base Size</v>
          </cell>
          <cell r="BT24" t="str">
            <v>UNKNOWN</v>
          </cell>
          <cell r="BU24" t="str">
            <v>Explosion Proof</v>
          </cell>
          <cell r="BW24" t="str">
            <v>AC Motor Type</v>
          </cell>
          <cell r="BX24" t="str">
            <v>OTHERS</v>
          </cell>
          <cell r="BY24" t="str">
            <v>Efficiency</v>
          </cell>
          <cell r="BZ24" t="str">
            <v>IE3</v>
          </cell>
          <cell r="CA24" t="str">
            <v>Option &amp; Others</v>
          </cell>
          <cell r="CC24" t="str">
            <v>Compliance Item</v>
          </cell>
        </row>
        <row r="25">
          <cell r="A25" t="str">
            <v>Q4688576</v>
          </cell>
          <cell r="B25" t="str">
            <v>ACTIVE</v>
          </cell>
          <cell r="C25" t="str">
            <v>특정사양품(단수)</v>
          </cell>
          <cell r="D25" t="str">
            <v>AC Geared Motor</v>
          </cell>
          <cell r="E25" t="str">
            <v>포스코</v>
          </cell>
          <cell r="F25" t="str">
            <v>Q4688576</v>
          </cell>
          <cell r="G25" t="str">
            <v>4P,0.75kW,440V,60Hz,1735/35rpm,I=1/50,F_class,120H,8D,145X190,CAGE,IP55,[RPH/HYOSUNG],IE3,OR EQUIVALENT</v>
          </cell>
          <cell r="H25" t="str">
            <v>1</v>
          </cell>
          <cell r="I25" t="str">
            <v>EA</v>
          </cell>
          <cell r="J25" t="str">
            <v>L</v>
          </cell>
          <cell r="K25" t="str">
            <v>정석운</v>
          </cell>
          <cell r="N25" t="str">
            <v>https://www.hyosungheavyindustries.com/kr/data/geared-motors</v>
          </cell>
          <cell r="Q25" t="str">
            <v>Used Goods</v>
          </cell>
          <cell r="S25" t="str">
            <v>Green Purchase</v>
          </cell>
          <cell r="T25" t="str">
            <v>NONE</v>
          </cell>
          <cell r="U25" t="str">
            <v>Safety Management</v>
          </cell>
          <cell r="W25" t="str">
            <v>Posco Patent</v>
          </cell>
          <cell r="Y25" t="str">
            <v>Or Equivalent</v>
          </cell>
          <cell r="Z25" t="str">
            <v>OR EQUIVALENT</v>
          </cell>
          <cell r="AA25" t="str">
            <v>Model-1</v>
          </cell>
          <cell r="AB25" t="str">
            <v>RPH</v>
          </cell>
          <cell r="AC25" t="str">
            <v>Maker Name-1</v>
          </cell>
          <cell r="AD25" t="str">
            <v>HYOSUNG</v>
          </cell>
          <cell r="AE25" t="str">
            <v>Option-1</v>
          </cell>
          <cell r="AG25" t="str">
            <v>Model-2</v>
          </cell>
          <cell r="AI25" t="str">
            <v>Maker Name-2</v>
          </cell>
          <cell r="AJ25" t="str">
            <v>NONE</v>
          </cell>
          <cell r="AK25" t="str">
            <v>Option-2</v>
          </cell>
          <cell r="AM25" t="str">
            <v>Model-3</v>
          </cell>
          <cell r="AO25" t="str">
            <v>Maker Name-3</v>
          </cell>
          <cell r="AQ25" t="str">
            <v>Option-3</v>
          </cell>
          <cell r="AS25" t="str">
            <v>Model-4</v>
          </cell>
          <cell r="AU25" t="str">
            <v>Maker Name-4</v>
          </cell>
          <cell r="AW25" t="str">
            <v>Option-4</v>
          </cell>
          <cell r="AY25" t="str">
            <v>Insulation Class</v>
          </cell>
          <cell r="AZ25" t="str">
            <v xml:space="preserve"> F</v>
          </cell>
          <cell r="BA25" t="str">
            <v>IP Class</v>
          </cell>
          <cell r="BB25" t="str">
            <v xml:space="preserve"> IP55</v>
          </cell>
          <cell r="BC25" t="str">
            <v>Number of Poles</v>
          </cell>
          <cell r="BD25" t="str">
            <v>4</v>
          </cell>
          <cell r="BE25" t="str">
            <v>Capacity</v>
          </cell>
          <cell r="BF25" t="str">
            <v>0.75</v>
          </cell>
          <cell r="BG25" t="str">
            <v>Voltage</v>
          </cell>
          <cell r="BH25" t="str">
            <v>440</v>
          </cell>
          <cell r="BI25" t="str">
            <v>Frequency</v>
          </cell>
          <cell r="BJ25" t="str">
            <v>60</v>
          </cell>
          <cell r="BK25" t="str">
            <v>Speed Rating</v>
          </cell>
          <cell r="BL25" t="str">
            <v>1735/35</v>
          </cell>
          <cell r="BM25" t="str">
            <v>Speed Reduction Ratio</v>
          </cell>
          <cell r="BN25" t="str">
            <v>1/50</v>
          </cell>
          <cell r="BO25" t="str">
            <v>Gear Side Shaft Height</v>
          </cell>
          <cell r="BP25" t="str">
            <v>120</v>
          </cell>
          <cell r="BQ25" t="str">
            <v>Gear Side Shaft Diameter</v>
          </cell>
          <cell r="BR25" t="str">
            <v>8</v>
          </cell>
          <cell r="BS25" t="str">
            <v>Base Size</v>
          </cell>
          <cell r="BT25" t="str">
            <v>145X190</v>
          </cell>
          <cell r="BU25" t="str">
            <v>Explosion Proof</v>
          </cell>
          <cell r="BW25" t="str">
            <v>AC Motor Type</v>
          </cell>
          <cell r="BX25" t="str">
            <v>CAGE</v>
          </cell>
          <cell r="BY25" t="str">
            <v>Efficiency</v>
          </cell>
          <cell r="BZ25" t="str">
            <v>IE3</v>
          </cell>
          <cell r="CA25" t="str">
            <v>Option &amp; Others</v>
          </cell>
          <cell r="CC25" t="str">
            <v>Compliance Item</v>
          </cell>
        </row>
        <row r="26">
          <cell r="A26" t="str">
            <v>Q4688577</v>
          </cell>
          <cell r="B26" t="str">
            <v>ACTIVE</v>
          </cell>
          <cell r="C26" t="str">
            <v>특정사양품(단수)</v>
          </cell>
          <cell r="D26" t="str">
            <v>AC Geared Motor</v>
          </cell>
          <cell r="E26" t="str">
            <v>포스코</v>
          </cell>
          <cell r="F26" t="str">
            <v>Q4688577</v>
          </cell>
          <cell r="G26" t="str">
            <v>4P,0.75kW,440V,60Hz,1735/35rpm,I=50,F_class,120H,8D,145X190,CAGE,IP55,[RPH/HYOSUNG]+BRAKE,IE3,OR EQUIVALENT</v>
          </cell>
          <cell r="H26" t="str">
            <v>1</v>
          </cell>
          <cell r="I26" t="str">
            <v>EA</v>
          </cell>
          <cell r="J26" t="str">
            <v>L</v>
          </cell>
          <cell r="K26" t="str">
            <v>정석운</v>
          </cell>
          <cell r="N26" t="str">
            <v xml:space="preserve"> https://www.hyosungheavyindustries.com/kr/data/geared-motors</v>
          </cell>
          <cell r="Q26" t="str">
            <v>Used Goods</v>
          </cell>
          <cell r="S26" t="str">
            <v>Green Purchase</v>
          </cell>
          <cell r="T26" t="str">
            <v>NONE</v>
          </cell>
          <cell r="U26" t="str">
            <v>Safety Management</v>
          </cell>
          <cell r="W26" t="str">
            <v>Posco Patent</v>
          </cell>
          <cell r="Y26" t="str">
            <v>Or Equivalent</v>
          </cell>
          <cell r="Z26" t="str">
            <v>OR EQUIVALENT</v>
          </cell>
          <cell r="AA26" t="str">
            <v>Model-1</v>
          </cell>
          <cell r="AB26" t="str">
            <v>RPH</v>
          </cell>
          <cell r="AC26" t="str">
            <v>Maker Name-1</v>
          </cell>
          <cell r="AD26" t="str">
            <v>HYOSUNG</v>
          </cell>
          <cell r="AE26" t="str">
            <v>Option-1</v>
          </cell>
          <cell r="AF26" t="str">
            <v>BRAKE</v>
          </cell>
          <cell r="AG26" t="str">
            <v>Model-2</v>
          </cell>
          <cell r="AI26" t="str">
            <v>Maker Name-2</v>
          </cell>
          <cell r="AJ26" t="str">
            <v>NONE</v>
          </cell>
          <cell r="AK26" t="str">
            <v>Option-2</v>
          </cell>
          <cell r="AM26" t="str">
            <v>Model-3</v>
          </cell>
          <cell r="AO26" t="str">
            <v>Maker Name-3</v>
          </cell>
          <cell r="AQ26" t="str">
            <v>Option-3</v>
          </cell>
          <cell r="AS26" t="str">
            <v>Model-4</v>
          </cell>
          <cell r="AU26" t="str">
            <v>Maker Name-4</v>
          </cell>
          <cell r="AW26" t="str">
            <v>Option-4</v>
          </cell>
          <cell r="AY26" t="str">
            <v>Insulation Class</v>
          </cell>
          <cell r="AZ26" t="str">
            <v xml:space="preserve"> F</v>
          </cell>
          <cell r="BA26" t="str">
            <v>IP Class</v>
          </cell>
          <cell r="BB26" t="str">
            <v xml:space="preserve"> IP55</v>
          </cell>
          <cell r="BC26" t="str">
            <v>Number of Poles</v>
          </cell>
          <cell r="BD26" t="str">
            <v>4</v>
          </cell>
          <cell r="BE26" t="str">
            <v>Capacity</v>
          </cell>
          <cell r="BF26" t="str">
            <v>0.75</v>
          </cell>
          <cell r="BG26" t="str">
            <v>Voltage</v>
          </cell>
          <cell r="BH26" t="str">
            <v>440</v>
          </cell>
          <cell r="BI26" t="str">
            <v>Frequency</v>
          </cell>
          <cell r="BJ26" t="str">
            <v>60</v>
          </cell>
          <cell r="BK26" t="str">
            <v>Speed Rating</v>
          </cell>
          <cell r="BL26" t="str">
            <v>1735/35</v>
          </cell>
          <cell r="BM26" t="str">
            <v>Speed Reduction Ratio</v>
          </cell>
          <cell r="BN26" t="str">
            <v>50</v>
          </cell>
          <cell r="BO26" t="str">
            <v>Gear Side Shaft Height</v>
          </cell>
          <cell r="BP26" t="str">
            <v>120</v>
          </cell>
          <cell r="BQ26" t="str">
            <v>Gear Side Shaft Diameter</v>
          </cell>
          <cell r="BR26" t="str">
            <v>8</v>
          </cell>
          <cell r="BS26" t="str">
            <v>Base Size</v>
          </cell>
          <cell r="BT26" t="str">
            <v>145X190</v>
          </cell>
          <cell r="BU26" t="str">
            <v>Explosion Proof</v>
          </cell>
          <cell r="BW26" t="str">
            <v>AC Motor Type</v>
          </cell>
          <cell r="BX26" t="str">
            <v>CAGE</v>
          </cell>
          <cell r="BY26" t="str">
            <v>Efficiency</v>
          </cell>
          <cell r="BZ26" t="str">
            <v>IE3</v>
          </cell>
          <cell r="CA26" t="str">
            <v>Option &amp; Others</v>
          </cell>
          <cell r="CC26" t="str">
            <v>Compliance Item</v>
          </cell>
        </row>
        <row r="27">
          <cell r="A27" t="str">
            <v>Q4688760</v>
          </cell>
          <cell r="B27" t="str">
            <v>ACTIVE</v>
          </cell>
          <cell r="C27" t="str">
            <v>특정사양품(단수)</v>
          </cell>
          <cell r="D27" t="str">
            <v>AC Geared Motor</v>
          </cell>
          <cell r="E27" t="str">
            <v>포스코</v>
          </cell>
          <cell r="F27" t="str">
            <v>Q4688760</v>
          </cell>
          <cell r="G27" t="str">
            <v>4P,1.5kW,440V,60Hz,1750/29.2rpm,I=60,F_class,135H,10D,190X235,CAGE,IP55,[RPH/HYOSUNG]+BRAKE,OR EQUIVALENT</v>
          </cell>
          <cell r="H27" t="str">
            <v>1</v>
          </cell>
          <cell r="I27" t="str">
            <v>EA</v>
          </cell>
          <cell r="J27" t="str">
            <v>L</v>
          </cell>
          <cell r="K27" t="str">
            <v>정석운</v>
          </cell>
          <cell r="N27" t="str">
            <v>https://www.hyosungheavyindustries.com/kr/data/geared-motors</v>
          </cell>
          <cell r="Q27" t="str">
            <v>Used Goods</v>
          </cell>
          <cell r="S27" t="str">
            <v>Green Purchase</v>
          </cell>
          <cell r="T27" t="str">
            <v>NONE</v>
          </cell>
          <cell r="U27" t="str">
            <v>Safety Management</v>
          </cell>
          <cell r="W27" t="str">
            <v>Posco Patent</v>
          </cell>
          <cell r="Y27" t="str">
            <v>Or Equivalent</v>
          </cell>
          <cell r="Z27" t="str">
            <v>OR EQUIVALENT</v>
          </cell>
          <cell r="AA27" t="str">
            <v>Model-1</v>
          </cell>
          <cell r="AB27" t="str">
            <v>RPH</v>
          </cell>
          <cell r="AC27" t="str">
            <v>Maker Name-1</v>
          </cell>
          <cell r="AD27" t="str">
            <v>HYOSUNG</v>
          </cell>
          <cell r="AE27" t="str">
            <v>Option-1</v>
          </cell>
          <cell r="AF27" t="str">
            <v>BRAKE</v>
          </cell>
          <cell r="AG27" t="str">
            <v>Model-2</v>
          </cell>
          <cell r="AI27" t="str">
            <v>Maker Name-2</v>
          </cell>
          <cell r="AJ27" t="str">
            <v>NONE</v>
          </cell>
          <cell r="AK27" t="str">
            <v>Option-2</v>
          </cell>
          <cell r="AM27" t="str">
            <v>Model-3</v>
          </cell>
          <cell r="AO27" t="str">
            <v>Maker Name-3</v>
          </cell>
          <cell r="AQ27" t="str">
            <v>Option-3</v>
          </cell>
          <cell r="AS27" t="str">
            <v>Model-4</v>
          </cell>
          <cell r="AU27" t="str">
            <v>Maker Name-4</v>
          </cell>
          <cell r="AW27" t="str">
            <v>Option-4</v>
          </cell>
          <cell r="AY27" t="str">
            <v>Insulation Class</v>
          </cell>
          <cell r="AZ27" t="str">
            <v xml:space="preserve"> F</v>
          </cell>
          <cell r="BA27" t="str">
            <v>IP Class</v>
          </cell>
          <cell r="BB27" t="str">
            <v xml:space="preserve"> IP55</v>
          </cell>
          <cell r="BC27" t="str">
            <v>Number of Poles</v>
          </cell>
          <cell r="BD27" t="str">
            <v>4</v>
          </cell>
          <cell r="BE27" t="str">
            <v>Capacity</v>
          </cell>
          <cell r="BF27" t="str">
            <v>1.5</v>
          </cell>
          <cell r="BG27" t="str">
            <v>Voltage</v>
          </cell>
          <cell r="BH27" t="str">
            <v>440</v>
          </cell>
          <cell r="BI27" t="str">
            <v>Frequency</v>
          </cell>
          <cell r="BJ27" t="str">
            <v>60</v>
          </cell>
          <cell r="BK27" t="str">
            <v>Speed Rating</v>
          </cell>
          <cell r="BL27" t="str">
            <v>1750/29.2</v>
          </cell>
          <cell r="BM27" t="str">
            <v>Speed Reduction Ratio</v>
          </cell>
          <cell r="BN27" t="str">
            <v>60</v>
          </cell>
          <cell r="BO27" t="str">
            <v>Gear Side Shaft Height</v>
          </cell>
          <cell r="BP27" t="str">
            <v>135</v>
          </cell>
          <cell r="BQ27" t="str">
            <v>Gear Side Shaft Diameter</v>
          </cell>
          <cell r="BR27" t="str">
            <v>10</v>
          </cell>
          <cell r="BS27" t="str">
            <v>Base Size</v>
          </cell>
          <cell r="BT27" t="str">
            <v>190X235</v>
          </cell>
          <cell r="BU27" t="str">
            <v>Explosion Proof</v>
          </cell>
          <cell r="BW27" t="str">
            <v>AC Motor Type</v>
          </cell>
          <cell r="BX27" t="str">
            <v>CAGE</v>
          </cell>
          <cell r="BY27" t="str">
            <v>Efficiency</v>
          </cell>
          <cell r="BZ27" t="str">
            <v>NONE</v>
          </cell>
          <cell r="CA27" t="str">
            <v>Option &amp; Others</v>
          </cell>
          <cell r="CC27" t="str">
            <v>Compliance Item</v>
          </cell>
        </row>
      </sheetData>
      <sheetData sheetId="7" refreshError="1"/>
      <sheetData sheetId="8" refreshError="1"/>
      <sheetData sheetId="9" refreshError="1"/>
      <sheetData sheetId="10" refreshError="1">
        <row r="1">
          <cell r="A1" t="str">
            <v>ITEM코드</v>
          </cell>
          <cell r="B1" t="str">
            <v>처리상태</v>
          </cell>
          <cell r="C1" t="str">
            <v>자재특성구분</v>
          </cell>
          <cell r="D1" t="str">
            <v>물품(Leaf Class)명</v>
          </cell>
          <cell r="E1" t="str">
            <v>그룹사명</v>
          </cell>
          <cell r="F1" t="str">
            <v>해당여부</v>
          </cell>
          <cell r="G1" t="str">
            <v>사양/규격</v>
          </cell>
          <cell r="H1" t="str">
            <v>개정차수</v>
          </cell>
          <cell r="I1" t="str">
            <v>단위</v>
          </cell>
          <cell r="J1" t="str">
            <v>조달구분</v>
          </cell>
          <cell r="K1" t="str">
            <v>신청자</v>
          </cell>
          <cell r="L1" t="str">
            <v>도면번호</v>
          </cell>
          <cell r="M1" t="str">
            <v>행번호</v>
          </cell>
          <cell r="N1" t="str">
            <v>첨부URL1</v>
          </cell>
          <cell r="O1" t="str">
            <v>첨부URL2</v>
          </cell>
          <cell r="P1" t="str">
            <v>첨부URL3</v>
          </cell>
          <cell r="Q1" t="str">
            <v>SPEC_TITLE_1</v>
          </cell>
          <cell r="R1" t="str">
            <v>SPEC_VALUE_1</v>
          </cell>
          <cell r="S1" t="str">
            <v>SPEC_TITLE_2</v>
          </cell>
          <cell r="T1" t="str">
            <v>SPEC_VALUE_2</v>
          </cell>
          <cell r="U1" t="str">
            <v>SPEC_TITLE_3</v>
          </cell>
          <cell r="V1" t="str">
            <v>SPEC_VALUE_3</v>
          </cell>
          <cell r="W1" t="str">
            <v>SPEC_TITLE_4</v>
          </cell>
          <cell r="X1" t="str">
            <v>SPEC_VALUE_4</v>
          </cell>
          <cell r="Y1" t="str">
            <v>SPEC_TITLE_5</v>
          </cell>
          <cell r="Z1" t="str">
            <v>SPEC_VALUE_5</v>
          </cell>
          <cell r="AA1" t="str">
            <v>SPEC_TITLE_6</v>
          </cell>
          <cell r="AB1" t="str">
            <v>SPEC_VALUE_6</v>
          </cell>
          <cell r="AC1" t="str">
            <v>SPEC_TITLE_7</v>
          </cell>
          <cell r="AD1" t="str">
            <v>SPEC_VALUE_7</v>
          </cell>
          <cell r="AE1" t="str">
            <v>SPEC_TITLE_8</v>
          </cell>
          <cell r="AF1" t="str">
            <v>SPEC_VALUE_8</v>
          </cell>
          <cell r="AG1" t="str">
            <v>SPEC_TITLE_9</v>
          </cell>
          <cell r="AH1" t="str">
            <v>SPEC_VALUE_9</v>
          </cell>
          <cell r="AI1" t="str">
            <v>SPEC_TITLE_10</v>
          </cell>
          <cell r="AJ1" t="str">
            <v>SPEC_VALUE_10</v>
          </cell>
          <cell r="AK1" t="str">
            <v>SPEC_TITLE_11</v>
          </cell>
          <cell r="AL1" t="str">
            <v>SPEC_VALUE_11</v>
          </cell>
          <cell r="AM1" t="str">
            <v>SPEC_TITLE_12</v>
          </cell>
          <cell r="AN1" t="str">
            <v>SPEC_VALUE_12</v>
          </cell>
          <cell r="AO1" t="str">
            <v>SPEC_TITLE_13</v>
          </cell>
          <cell r="AP1" t="str">
            <v>SPEC_VALUE_13</v>
          </cell>
          <cell r="AQ1" t="str">
            <v>SPEC_TITLE_14</v>
          </cell>
          <cell r="AR1" t="str">
            <v>SPEC_VALUE_14</v>
          </cell>
          <cell r="AS1" t="str">
            <v>SPEC_TITLE_15</v>
          </cell>
          <cell r="AT1" t="str">
            <v>SPEC_VALUE_15</v>
          </cell>
          <cell r="AU1" t="str">
            <v>SPEC_TITLE_16</v>
          </cell>
          <cell r="AV1" t="str">
            <v>SPEC_VALUE_16</v>
          </cell>
          <cell r="AW1" t="str">
            <v>SPEC_TITLE_17</v>
          </cell>
          <cell r="AX1" t="str">
            <v>SPEC_VALUE_17</v>
          </cell>
          <cell r="AY1" t="str">
            <v>SPEC_TITLE_18</v>
          </cell>
          <cell r="AZ1" t="str">
            <v>SPEC_VALUE_18</v>
          </cell>
          <cell r="BA1" t="str">
            <v>SPEC_TITLE_19</v>
          </cell>
          <cell r="BB1" t="str">
            <v>SPEC_VALUE_19</v>
          </cell>
          <cell r="BC1" t="str">
            <v>SPEC_TITLE_20</v>
          </cell>
          <cell r="BD1" t="str">
            <v>SPEC_VALUE_20</v>
          </cell>
          <cell r="BE1" t="str">
            <v>SPEC_TITLE_21</v>
          </cell>
          <cell r="BF1" t="str">
            <v>SPEC_VALUE_21</v>
          </cell>
          <cell r="BG1" t="str">
            <v>SPEC_TITLE_22</v>
          </cell>
          <cell r="BH1" t="str">
            <v>SPEC_VALUE_22</v>
          </cell>
          <cell r="BI1" t="str">
            <v>SPEC_TITLE_23</v>
          </cell>
          <cell r="BJ1" t="str">
            <v>SPEC_VALUE_23</v>
          </cell>
          <cell r="BK1" t="str">
            <v>SPEC_TITLE_24</v>
          </cell>
          <cell r="BL1" t="str">
            <v>SPEC_VALUE_24</v>
          </cell>
          <cell r="BM1" t="str">
            <v>SPEC_TITLE_25</v>
          </cell>
          <cell r="BN1" t="str">
            <v>SPEC_VALUE_25</v>
          </cell>
          <cell r="BO1" t="str">
            <v>SPEC_TITLE_26</v>
          </cell>
          <cell r="BP1" t="str">
            <v>SPEC_VALUE_26</v>
          </cell>
          <cell r="BQ1" t="str">
            <v>SPEC_TITLE_27</v>
          </cell>
          <cell r="BR1" t="str">
            <v>SPEC_VALUE_27</v>
          </cell>
          <cell r="BS1" t="str">
            <v>SPEC_TITLE_28</v>
          </cell>
          <cell r="BT1" t="str">
            <v>SPEC_VALUE_28</v>
          </cell>
          <cell r="BU1" t="str">
            <v>SPEC_TITLE_29</v>
          </cell>
          <cell r="BV1" t="str">
            <v>SPEC_VALUE_29</v>
          </cell>
          <cell r="BW1" t="str">
            <v>SPEC_TITLE_30</v>
          </cell>
          <cell r="BX1" t="str">
            <v>SPEC_VALUE_30</v>
          </cell>
          <cell r="BY1" t="str">
            <v>SPEC_TITLE_31</v>
          </cell>
          <cell r="BZ1" t="str">
            <v>SPEC_VALUE_31</v>
          </cell>
          <cell r="CA1" t="str">
            <v>SPEC_TITLE_32</v>
          </cell>
          <cell r="CB1" t="str">
            <v>SPEC_VALUE_32</v>
          </cell>
          <cell r="CC1" t="str">
            <v>SPEC_TITLE_33</v>
          </cell>
          <cell r="CD1" t="str">
            <v>SPEC_VALUE_33</v>
          </cell>
          <cell r="CE1" t="str">
            <v>SPEC_TITLE_34</v>
          </cell>
          <cell r="CF1" t="str">
            <v>SPEC_VALUE_34</v>
          </cell>
          <cell r="CG1" t="str">
            <v>SPEC_VALUE_34</v>
          </cell>
        </row>
        <row r="2">
          <cell r="A2" t="str">
            <v>Q4022905</v>
          </cell>
          <cell r="B2" t="str">
            <v>ACTIVE</v>
          </cell>
          <cell r="C2" t="str">
            <v>특정사양품(단수)</v>
          </cell>
          <cell r="D2" t="str">
            <v>Protection Relay</v>
          </cell>
          <cell r="E2" t="str">
            <v>포스코</v>
          </cell>
          <cell r="F2" t="str">
            <v>Q4022905</v>
          </cell>
          <cell r="G2" t="str">
            <v>MULTI,[GIPAM-2200FN/LS],DC 110V,HIGH VOLTAGE,MODBUS,RS485,50HZ,PT:110V,GPT:190V,190/1.73, CT:5A</v>
          </cell>
          <cell r="H2" t="str">
            <v>3</v>
          </cell>
          <cell r="I2" t="str">
            <v>EA</v>
          </cell>
          <cell r="K2" t="str">
            <v>박경득</v>
          </cell>
          <cell r="N2" t="str">
            <v>https://www.lsis.co.kr/ls/product/product_detail.asp?product_code=P00432</v>
          </cell>
          <cell r="Q2" t="str">
            <v>Used Goods</v>
          </cell>
          <cell r="S2" t="str">
            <v>Green Purchase</v>
          </cell>
          <cell r="T2" t="str">
            <v>NONE</v>
          </cell>
          <cell r="U2" t="str">
            <v>Safety Management</v>
          </cell>
          <cell r="V2" t="str">
            <v>NONE</v>
          </cell>
          <cell r="W2" t="str">
            <v>Posco Patent</v>
          </cell>
          <cell r="Y2" t="str">
            <v>Or Equivalent</v>
          </cell>
          <cell r="AA2" t="str">
            <v>Operation Voltage Type</v>
          </cell>
          <cell r="AB2" t="str">
            <v>HIGH VOLTAGE</v>
          </cell>
          <cell r="AC2" t="str">
            <v>Application</v>
          </cell>
          <cell r="AD2" t="str">
            <v>MULTI</v>
          </cell>
          <cell r="AE2" t="str">
            <v>Model-1</v>
          </cell>
          <cell r="AF2" t="str">
            <v>GIPAM-2200FN</v>
          </cell>
          <cell r="AG2" t="str">
            <v>Maker Name-1</v>
          </cell>
          <cell r="AH2" t="str">
            <v>LS</v>
          </cell>
          <cell r="AI2" t="str">
            <v>Option-1</v>
          </cell>
          <cell r="AK2" t="str">
            <v>Model-2</v>
          </cell>
          <cell r="AM2" t="str">
            <v>Maker Name-2</v>
          </cell>
          <cell r="AN2" t="str">
            <v>NONE</v>
          </cell>
          <cell r="AO2" t="str">
            <v>Option-2</v>
          </cell>
          <cell r="AQ2" t="str">
            <v>Model-3</v>
          </cell>
          <cell r="AS2" t="str">
            <v>Maker Name-3</v>
          </cell>
          <cell r="AU2" t="str">
            <v>Option-3</v>
          </cell>
          <cell r="AW2" t="str">
            <v>Coil Voltage</v>
          </cell>
          <cell r="AX2" t="str">
            <v>DC 110V</v>
          </cell>
          <cell r="AY2" t="str">
            <v>Setting Tap Range</v>
          </cell>
          <cell r="BA2" t="str">
            <v>Setting Time Range</v>
          </cell>
          <cell r="BC2" t="str">
            <v>Setting Lever</v>
          </cell>
          <cell r="BE2" t="str">
            <v>Option &amp; Others</v>
          </cell>
          <cell r="BF2" t="str">
            <v>MODBUS,RS485,50HZ,PT:110V,GPT:190V,190/1.73, CT:5A</v>
          </cell>
          <cell r="BG2" t="str">
            <v>Compliance Item</v>
          </cell>
        </row>
        <row r="3">
          <cell r="A3" t="str">
            <v>Q4560832</v>
          </cell>
          <cell r="B3" t="str">
            <v>ACTIVE</v>
          </cell>
          <cell r="C3" t="str">
            <v>특정사양품(단수)</v>
          </cell>
          <cell r="D3" t="str">
            <v>Protection Relay</v>
          </cell>
          <cell r="E3" t="str">
            <v>포스코</v>
          </cell>
          <cell r="F3" t="str">
            <v>Q4560832</v>
          </cell>
          <cell r="G3" t="str">
            <v>THERMAL,[MT-12/2H1.3/LS],AC 220V,1.0-1.6A,LOW VOLTAGE,THERMAL OVERLOAD RELAY</v>
          </cell>
          <cell r="H3" t="str">
            <v>1</v>
          </cell>
          <cell r="I3" t="str">
            <v>EA</v>
          </cell>
          <cell r="J3" t="str">
            <v>L</v>
          </cell>
          <cell r="K3" t="str">
            <v>이상봉</v>
          </cell>
          <cell r="N3" t="str">
            <v>https://www.ls-electric.com/ko/product/view/P01260</v>
          </cell>
          <cell r="Q3" t="str">
            <v>Used Goods</v>
          </cell>
          <cell r="S3" t="str">
            <v>Green Purchase</v>
          </cell>
          <cell r="T3" t="str">
            <v>NONE</v>
          </cell>
          <cell r="U3" t="str">
            <v>Safety Management</v>
          </cell>
          <cell r="W3" t="str">
            <v>Posco Patent</v>
          </cell>
          <cell r="Y3" t="str">
            <v>Or Equivalent</v>
          </cell>
          <cell r="AA3" t="str">
            <v>Operation Voltage Type</v>
          </cell>
          <cell r="AB3" t="str">
            <v>LOW VOLTAGE</v>
          </cell>
          <cell r="AC3" t="str">
            <v>Application</v>
          </cell>
          <cell r="AD3" t="str">
            <v>THERMAL</v>
          </cell>
          <cell r="AE3" t="str">
            <v>Model-1</v>
          </cell>
          <cell r="AF3" t="str">
            <v>MT-12/2H1.3</v>
          </cell>
          <cell r="AG3" t="str">
            <v>Maker Name-1</v>
          </cell>
          <cell r="AH3" t="str">
            <v>LS</v>
          </cell>
          <cell r="AI3" t="str">
            <v>Option-1</v>
          </cell>
          <cell r="AK3" t="str">
            <v>Model-2</v>
          </cell>
          <cell r="AM3" t="str">
            <v>Maker Name-2</v>
          </cell>
          <cell r="AN3" t="str">
            <v>NONE</v>
          </cell>
          <cell r="AO3" t="str">
            <v>Option-2</v>
          </cell>
          <cell r="AQ3" t="str">
            <v>Model-3</v>
          </cell>
          <cell r="AS3" t="str">
            <v>Maker Name-3</v>
          </cell>
          <cell r="AU3" t="str">
            <v>Option-3</v>
          </cell>
          <cell r="AW3" t="str">
            <v>Coil Voltage</v>
          </cell>
          <cell r="AX3" t="str">
            <v>AC 220V</v>
          </cell>
          <cell r="AY3" t="str">
            <v>Setting Tap Range</v>
          </cell>
          <cell r="BA3" t="str">
            <v>Setting Time Range</v>
          </cell>
          <cell r="BC3" t="str">
            <v>Setting Lever</v>
          </cell>
          <cell r="BD3" t="str">
            <v>1.0-1.6A</v>
          </cell>
          <cell r="BE3" t="str">
            <v>Option &amp; Others</v>
          </cell>
          <cell r="BF3" t="str">
            <v>THERMAL OVERLOAD RELAY</v>
          </cell>
          <cell r="BG3" t="str">
            <v>Compliance Item</v>
          </cell>
        </row>
        <row r="4">
          <cell r="A4" t="str">
            <v>Q4063726</v>
          </cell>
          <cell r="B4" t="str">
            <v>ACTIVE</v>
          </cell>
          <cell r="C4" t="str">
            <v>특정사양품(단수)</v>
          </cell>
          <cell r="D4" t="str">
            <v>Protection Relay</v>
          </cell>
          <cell r="E4" t="str">
            <v>포스코</v>
          </cell>
          <cell r="F4" t="str">
            <v>Q4063726</v>
          </cell>
          <cell r="G4" t="str">
            <v>[RXM4AB2BD/SCHNEIDER],DC 24V,LOW VOLTAGE</v>
          </cell>
          <cell r="H4" t="str">
            <v>2</v>
          </cell>
          <cell r="I4" t="str">
            <v>EA</v>
          </cell>
          <cell r="K4" t="str">
            <v>황해</v>
          </cell>
          <cell r="N4" t="str">
            <v>https://www.mysekr.schneider-electric.com/mySchneider/pdp.uiaas.viewer.jsp?/kr/ko/product/RXM4AB2BD</v>
          </cell>
          <cell r="Q4" t="str">
            <v>Used Goods</v>
          </cell>
          <cell r="S4" t="str">
            <v>Green Purchase</v>
          </cell>
          <cell r="T4" t="str">
            <v>NONE</v>
          </cell>
          <cell r="U4" t="str">
            <v>Safety Management</v>
          </cell>
          <cell r="W4" t="str">
            <v>Posco Patent</v>
          </cell>
          <cell r="Y4" t="str">
            <v>Or Equivalent</v>
          </cell>
          <cell r="AA4" t="str">
            <v>Operation Voltage Type</v>
          </cell>
          <cell r="AB4" t="str">
            <v>LOW VOLTAGE</v>
          </cell>
          <cell r="AC4" t="str">
            <v>Application</v>
          </cell>
          <cell r="AD4" t="str">
            <v>OTHERS</v>
          </cell>
          <cell r="AE4" t="str">
            <v>Model-1</v>
          </cell>
          <cell r="AF4" t="str">
            <v>RXM4AB2BD</v>
          </cell>
          <cell r="AG4" t="str">
            <v>Maker Name-1</v>
          </cell>
          <cell r="AH4" t="str">
            <v>SCHNEIDER</v>
          </cell>
          <cell r="AI4" t="str">
            <v>Option-1</v>
          </cell>
          <cell r="AK4" t="str">
            <v>Model-2</v>
          </cell>
          <cell r="AM4" t="str">
            <v>Maker Name-2</v>
          </cell>
          <cell r="AN4" t="str">
            <v>NONE</v>
          </cell>
          <cell r="AO4" t="str">
            <v>Option-2</v>
          </cell>
          <cell r="AQ4" t="str">
            <v>Model-3</v>
          </cell>
          <cell r="AS4" t="str">
            <v>Maker Name-3</v>
          </cell>
          <cell r="AU4" t="str">
            <v>Option-3</v>
          </cell>
          <cell r="AW4" t="str">
            <v>Coil Voltage</v>
          </cell>
          <cell r="AX4" t="str">
            <v>DC 24V</v>
          </cell>
          <cell r="AY4" t="str">
            <v>Setting Tap Range</v>
          </cell>
          <cell r="BA4" t="str">
            <v>Setting Time Range</v>
          </cell>
          <cell r="BC4" t="str">
            <v>Setting Lever</v>
          </cell>
          <cell r="BE4" t="str">
            <v>Option &amp; Others</v>
          </cell>
          <cell r="BG4" t="str">
            <v>Compliance Item</v>
          </cell>
        </row>
        <row r="5">
          <cell r="A5" t="str">
            <v>Q4571139</v>
          </cell>
          <cell r="B5" t="str">
            <v>ACTIVE</v>
          </cell>
          <cell r="C5" t="str">
            <v>특정사양품(단수)</v>
          </cell>
          <cell r="D5" t="str">
            <v>Protection Relay</v>
          </cell>
          <cell r="E5" t="str">
            <v>POSCO MEXICO</v>
          </cell>
          <cell r="F5" t="str">
            <v>Q4571139</v>
          </cell>
          <cell r="G5" t="str">
            <v>THERMAL,[3RU5146-4KB0/SIEMENS],AC 440V,57~75A,LOW VOLTAGE</v>
          </cell>
          <cell r="H5" t="str">
            <v>1</v>
          </cell>
          <cell r="I5" t="str">
            <v>EA</v>
          </cell>
          <cell r="J5" t="str">
            <v>L</v>
          </cell>
          <cell r="K5" t="str">
            <v>Ramirez Bazaldua Fernando</v>
          </cell>
          <cell r="Q5" t="str">
            <v>Used Goods</v>
          </cell>
          <cell r="S5" t="str">
            <v>Green Purchase</v>
          </cell>
          <cell r="T5" t="str">
            <v>NONE</v>
          </cell>
          <cell r="U5" t="str">
            <v>Safety Management</v>
          </cell>
          <cell r="W5" t="str">
            <v>Posco Patent</v>
          </cell>
          <cell r="Y5" t="str">
            <v>Or Equivalent</v>
          </cell>
          <cell r="AA5" t="str">
            <v>Operation Voltage Type</v>
          </cell>
          <cell r="AB5" t="str">
            <v>LOW VOLTAGE</v>
          </cell>
          <cell r="AC5" t="str">
            <v>Application</v>
          </cell>
          <cell r="AD5" t="str">
            <v>THERMAL</v>
          </cell>
          <cell r="AE5" t="str">
            <v>Model-1</v>
          </cell>
          <cell r="AF5" t="str">
            <v>3RU5146-4KB0</v>
          </cell>
          <cell r="AG5" t="str">
            <v>Maker Name-1</v>
          </cell>
          <cell r="AH5" t="str">
            <v>SIEMENS</v>
          </cell>
          <cell r="AI5" t="str">
            <v>Option-1</v>
          </cell>
          <cell r="AK5" t="str">
            <v>Model-2</v>
          </cell>
          <cell r="AM5" t="str">
            <v>Maker Name-2</v>
          </cell>
          <cell r="AN5" t="str">
            <v>NONE</v>
          </cell>
          <cell r="AO5" t="str">
            <v>Option-2</v>
          </cell>
          <cell r="AQ5" t="str">
            <v>Model-3</v>
          </cell>
          <cell r="AS5" t="str">
            <v>Maker Name-3</v>
          </cell>
          <cell r="AU5" t="str">
            <v>Option-3</v>
          </cell>
          <cell r="AW5" t="str">
            <v>Coil Voltage</v>
          </cell>
          <cell r="AX5" t="str">
            <v>AC 440V</v>
          </cell>
          <cell r="AY5" t="str">
            <v>Setting Tap Range</v>
          </cell>
          <cell r="AZ5" t="str">
            <v>57~75A</v>
          </cell>
          <cell r="BA5" t="str">
            <v>Setting Time Range</v>
          </cell>
          <cell r="BC5" t="str">
            <v>Setting Lever</v>
          </cell>
          <cell r="BE5" t="str">
            <v>Option &amp; Others</v>
          </cell>
          <cell r="BG5" t="str">
            <v>Compliance Item</v>
          </cell>
        </row>
        <row r="6">
          <cell r="A6" t="str">
            <v>Q4573379</v>
          </cell>
          <cell r="B6" t="str">
            <v>ACTIVE</v>
          </cell>
          <cell r="C6" t="str">
            <v>특정사양품(단수)</v>
          </cell>
          <cell r="D6" t="str">
            <v>Protection Relay</v>
          </cell>
          <cell r="E6" t="str">
            <v>POSCO MEXICO</v>
          </cell>
          <cell r="F6" t="str">
            <v>Q4573379</v>
          </cell>
          <cell r="G6" t="str">
            <v>THERMAL,[3RU2146-4KB0/SIEMENS],AC 440V,57~75A,LOW VOLTAGE</v>
          </cell>
          <cell r="H6" t="str">
            <v>1</v>
          </cell>
          <cell r="I6" t="str">
            <v>EA</v>
          </cell>
          <cell r="J6" t="str">
            <v>L</v>
          </cell>
          <cell r="K6" t="str">
            <v>Ramirez Bazaldua Fernando</v>
          </cell>
          <cell r="Q6" t="str">
            <v>Used Goods</v>
          </cell>
          <cell r="S6" t="str">
            <v>Green Purchase</v>
          </cell>
          <cell r="T6" t="str">
            <v>NONE</v>
          </cell>
          <cell r="U6" t="str">
            <v>Safety Management</v>
          </cell>
          <cell r="W6" t="str">
            <v>Posco Patent</v>
          </cell>
          <cell r="Y6" t="str">
            <v>Or Equivalent</v>
          </cell>
          <cell r="AA6" t="str">
            <v>Operation Voltage Type</v>
          </cell>
          <cell r="AB6" t="str">
            <v>LOW VOLTAGE</v>
          </cell>
          <cell r="AC6" t="str">
            <v>Application</v>
          </cell>
          <cell r="AD6" t="str">
            <v>THERMAL</v>
          </cell>
          <cell r="AE6" t="str">
            <v>Model-1</v>
          </cell>
          <cell r="AF6" t="str">
            <v>3RU2146-4KB0</v>
          </cell>
          <cell r="AG6" t="str">
            <v>Maker Name-1</v>
          </cell>
          <cell r="AH6" t="str">
            <v>SIEMENS</v>
          </cell>
          <cell r="AI6" t="str">
            <v>Option-1</v>
          </cell>
          <cell r="AK6" t="str">
            <v>Model-2</v>
          </cell>
          <cell r="AM6" t="str">
            <v>Maker Name-2</v>
          </cell>
          <cell r="AN6" t="str">
            <v>NONE</v>
          </cell>
          <cell r="AO6" t="str">
            <v>Option-2</v>
          </cell>
          <cell r="AQ6" t="str">
            <v>Model-3</v>
          </cell>
          <cell r="AS6" t="str">
            <v>Maker Name-3</v>
          </cell>
          <cell r="AU6" t="str">
            <v>Option-3</v>
          </cell>
          <cell r="AW6" t="str">
            <v>Coil Voltage</v>
          </cell>
          <cell r="AX6" t="str">
            <v>AC 440V</v>
          </cell>
          <cell r="AY6" t="str">
            <v>Setting Tap Range</v>
          </cell>
          <cell r="AZ6" t="str">
            <v>57~75A</v>
          </cell>
          <cell r="BA6" t="str">
            <v>Setting Time Range</v>
          </cell>
          <cell r="BC6" t="str">
            <v>Setting Lever</v>
          </cell>
          <cell r="BE6" t="str">
            <v>Option &amp; Others</v>
          </cell>
          <cell r="BG6" t="str">
            <v>Compliance Item</v>
          </cell>
        </row>
        <row r="7">
          <cell r="A7" t="str">
            <v>Q2113452</v>
          </cell>
          <cell r="B7" t="str">
            <v>ACTIVE</v>
          </cell>
          <cell r="C7" t="str">
            <v>특정사양품(단수)</v>
          </cell>
          <cell r="D7" t="str">
            <v>Protection Relay</v>
          </cell>
          <cell r="E7" t="str">
            <v>포스코</v>
          </cell>
          <cell r="F7" t="str">
            <v>Q2113452</v>
          </cell>
          <cell r="G7" t="str">
            <v>MULTI,[VAMP230/VAMP],DC 110V,HIGH VOLTAGE</v>
          </cell>
          <cell r="H7" t="str">
            <v>2</v>
          </cell>
          <cell r="I7" t="str">
            <v>EA</v>
          </cell>
          <cell r="K7" t="str">
            <v>이명우</v>
          </cell>
          <cell r="N7" t="str">
            <v>https://www.se.com/kr/ko/product-range/62048-vamp-200-%EC%8B%9C%EB%A6%AC%EC%A6%88/?subNodeId=12146923337ko_KR</v>
          </cell>
          <cell r="Q7" t="str">
            <v>Used Goods</v>
          </cell>
          <cell r="S7" t="str">
            <v>Green Purchase</v>
          </cell>
          <cell r="T7" t="str">
            <v>NONE</v>
          </cell>
          <cell r="U7" t="str">
            <v>Safety Management</v>
          </cell>
          <cell r="W7" t="str">
            <v>Posco Patent</v>
          </cell>
          <cell r="Y7" t="str">
            <v>Or Equivalent</v>
          </cell>
          <cell r="AA7" t="str">
            <v>Operation Voltage Type</v>
          </cell>
          <cell r="AB7" t="str">
            <v>HIGH VOLTAGE</v>
          </cell>
          <cell r="AC7" t="str">
            <v>Application</v>
          </cell>
          <cell r="AD7" t="str">
            <v>MULTI</v>
          </cell>
          <cell r="AE7" t="str">
            <v>Model-1</v>
          </cell>
          <cell r="AF7" t="str">
            <v>VAMP230</v>
          </cell>
          <cell r="AG7" t="str">
            <v>Maker Name-1</v>
          </cell>
          <cell r="AH7" t="str">
            <v>VAMP</v>
          </cell>
          <cell r="AI7" t="str">
            <v>Option-1</v>
          </cell>
          <cell r="AK7" t="str">
            <v>Model-2</v>
          </cell>
          <cell r="AM7" t="str">
            <v>Maker Name-2</v>
          </cell>
          <cell r="AN7" t="str">
            <v>NONE</v>
          </cell>
          <cell r="AO7" t="str">
            <v>Option-2</v>
          </cell>
          <cell r="AQ7" t="str">
            <v>Model-3</v>
          </cell>
          <cell r="AS7" t="str">
            <v>Maker Name-3</v>
          </cell>
          <cell r="AU7" t="str">
            <v>Option-3</v>
          </cell>
          <cell r="AW7" t="str">
            <v>Coil Voltage</v>
          </cell>
          <cell r="AX7" t="str">
            <v>DC 110V</v>
          </cell>
          <cell r="AY7" t="str">
            <v>Setting Tap Range</v>
          </cell>
          <cell r="BA7" t="str">
            <v>Setting Time Range</v>
          </cell>
          <cell r="BC7" t="str">
            <v>Setting Lever</v>
          </cell>
          <cell r="BE7" t="str">
            <v>Option &amp; Others</v>
          </cell>
          <cell r="BG7" t="str">
            <v>Compliance Item</v>
          </cell>
        </row>
        <row r="8">
          <cell r="A8" t="str">
            <v>Q1068352</v>
          </cell>
          <cell r="B8" t="str">
            <v>ACTIVE</v>
          </cell>
          <cell r="C8" t="str">
            <v>특정사양품(단수)</v>
          </cell>
          <cell r="D8" t="str">
            <v>Protection Relay</v>
          </cell>
          <cell r="E8" t="str">
            <v>포스코</v>
          </cell>
          <cell r="F8" t="str">
            <v>Q1068352</v>
          </cell>
          <cell r="G8" t="str">
            <v>OCGR,[GCO-CI III D5/KYOUNG BO],DC 110V,0.5~2.0A,HIGH VOLTAGE</v>
          </cell>
          <cell r="H8" t="str">
            <v>3</v>
          </cell>
          <cell r="I8" t="str">
            <v>EA</v>
          </cell>
          <cell r="K8" t="str">
            <v>김영민</v>
          </cell>
          <cell r="N8" t="str">
            <v>https://www.kyongbo.co.kr/product/product_list.jsp?flg1=A03&amp;flg2=A0301</v>
          </cell>
          <cell r="Q8" t="str">
            <v>Used Goods</v>
          </cell>
          <cell r="S8" t="str">
            <v>Green Purchase</v>
          </cell>
          <cell r="T8" t="str">
            <v>NONE</v>
          </cell>
          <cell r="U8" t="str">
            <v>Safety Management</v>
          </cell>
          <cell r="W8" t="str">
            <v>Posco Patent</v>
          </cell>
          <cell r="Y8" t="str">
            <v>Or Equivalent</v>
          </cell>
          <cell r="AA8" t="str">
            <v>Operation Voltage Type</v>
          </cell>
          <cell r="AB8" t="str">
            <v>HIGH VOLTAGE</v>
          </cell>
          <cell r="AC8" t="str">
            <v>Application</v>
          </cell>
          <cell r="AD8" t="str">
            <v>OCGR</v>
          </cell>
          <cell r="AE8" t="str">
            <v>Model-1</v>
          </cell>
          <cell r="AF8" t="str">
            <v>GCO-CI III D5</v>
          </cell>
          <cell r="AG8" t="str">
            <v>Maker Name-1</v>
          </cell>
          <cell r="AH8" t="str">
            <v>KYOUNG BO</v>
          </cell>
          <cell r="AI8" t="str">
            <v>Option-1</v>
          </cell>
          <cell r="AK8" t="str">
            <v>Model-2</v>
          </cell>
          <cell r="AM8" t="str">
            <v>Maker Name-2</v>
          </cell>
          <cell r="AN8" t="str">
            <v>NONE</v>
          </cell>
          <cell r="AO8" t="str">
            <v>Option-2</v>
          </cell>
          <cell r="AQ8" t="str">
            <v>Model-3</v>
          </cell>
          <cell r="AS8" t="str">
            <v>Maker Name-3</v>
          </cell>
          <cell r="AU8" t="str">
            <v>Option-3</v>
          </cell>
          <cell r="AW8" t="str">
            <v>Coil Voltage</v>
          </cell>
          <cell r="AX8" t="str">
            <v>DC 110V</v>
          </cell>
          <cell r="AY8" t="str">
            <v>Setting Tap Range</v>
          </cell>
          <cell r="AZ8" t="str">
            <v>0.5~2.0A</v>
          </cell>
          <cell r="BA8" t="str">
            <v>Setting Time Range</v>
          </cell>
          <cell r="BC8" t="str">
            <v>Setting Lever</v>
          </cell>
          <cell r="BE8" t="str">
            <v>Option &amp; Others</v>
          </cell>
          <cell r="BG8" t="str">
            <v>Compliance Item</v>
          </cell>
        </row>
        <row r="9">
          <cell r="A9" t="str">
            <v>Q4576857</v>
          </cell>
          <cell r="B9" t="str">
            <v>ACTIVE</v>
          </cell>
          <cell r="C9" t="str">
            <v>특정사양품(단수)</v>
          </cell>
          <cell r="D9" t="str">
            <v>Protection Relay</v>
          </cell>
          <cell r="E9" t="str">
            <v>포스코</v>
          </cell>
          <cell r="F9" t="str">
            <v>Q4576857</v>
          </cell>
          <cell r="G9" t="str">
            <v>THERMAL,[MT-32/3H1.3/LS],AC 220V,1.0~1.6A,LOW VOLTAGE</v>
          </cell>
          <cell r="H9" t="str">
            <v>1</v>
          </cell>
          <cell r="I9" t="str">
            <v>EA</v>
          </cell>
          <cell r="J9" t="str">
            <v>L</v>
          </cell>
          <cell r="K9" t="str">
            <v>윤창기</v>
          </cell>
          <cell r="N9" t="str">
            <v>https://www.ls-electric.com/ko/product/view/P01260</v>
          </cell>
          <cell r="Q9" t="str">
            <v>Used Goods</v>
          </cell>
          <cell r="S9" t="str">
            <v>Green Purchase</v>
          </cell>
          <cell r="T9" t="str">
            <v>NONE</v>
          </cell>
          <cell r="U9" t="str">
            <v>Safety Management</v>
          </cell>
          <cell r="W9" t="str">
            <v>Posco Patent</v>
          </cell>
          <cell r="Y9" t="str">
            <v>Or Equivalent</v>
          </cell>
          <cell r="AA9" t="str">
            <v>Operation Voltage Type</v>
          </cell>
          <cell r="AB9" t="str">
            <v>LOW VOLTAGE</v>
          </cell>
          <cell r="AC9" t="str">
            <v>Application</v>
          </cell>
          <cell r="AD9" t="str">
            <v>THERMAL</v>
          </cell>
          <cell r="AE9" t="str">
            <v>Model-1</v>
          </cell>
          <cell r="AF9" t="str">
            <v>MT-32/3H1.3</v>
          </cell>
          <cell r="AG9" t="str">
            <v>Maker Name-1</v>
          </cell>
          <cell r="AH9" t="str">
            <v>LS</v>
          </cell>
          <cell r="AI9" t="str">
            <v>Option-1</v>
          </cell>
          <cell r="AK9" t="str">
            <v>Model-2</v>
          </cell>
          <cell r="AM9" t="str">
            <v>Maker Name-2</v>
          </cell>
          <cell r="AN9" t="str">
            <v>NONE</v>
          </cell>
          <cell r="AO9" t="str">
            <v>Option-2</v>
          </cell>
          <cell r="AQ9" t="str">
            <v>Model-3</v>
          </cell>
          <cell r="AS9" t="str">
            <v>Maker Name-3</v>
          </cell>
          <cell r="AU9" t="str">
            <v>Option-3</v>
          </cell>
          <cell r="AW9" t="str">
            <v>Coil Voltage</v>
          </cell>
          <cell r="AX9" t="str">
            <v>AC 220V</v>
          </cell>
          <cell r="AY9" t="str">
            <v>Setting Tap Range</v>
          </cell>
          <cell r="AZ9" t="str">
            <v>1.0~1.6A</v>
          </cell>
          <cell r="BA9" t="str">
            <v>Setting Time Range</v>
          </cell>
          <cell r="BC9" t="str">
            <v>Setting Lever</v>
          </cell>
          <cell r="BE9" t="str">
            <v>Option &amp; Others</v>
          </cell>
          <cell r="BG9" t="str">
            <v>Compliance Item</v>
          </cell>
        </row>
        <row r="10">
          <cell r="A10" t="str">
            <v>Q4579418</v>
          </cell>
          <cell r="B10" t="str">
            <v>ACTIVE</v>
          </cell>
          <cell r="C10" t="str">
            <v>특정사양품(단수)</v>
          </cell>
          <cell r="D10" t="str">
            <v>Protection Relay</v>
          </cell>
          <cell r="E10" t="str">
            <v>포스코</v>
          </cell>
          <cell r="F10" t="str">
            <v>Q4579418</v>
          </cell>
          <cell r="G10" t="str">
            <v>[EVR400A-24S/YM TECH],DC 24V,HIGH VOLTAGE,OR EQUIVALENT</v>
          </cell>
          <cell r="H10" t="str">
            <v>1</v>
          </cell>
          <cell r="I10" t="str">
            <v>EA</v>
          </cell>
          <cell r="J10" t="str">
            <v>L</v>
          </cell>
          <cell r="K10" t="str">
            <v>이일환</v>
          </cell>
          <cell r="N10" t="str">
            <v>http://www.goodymt.com/theme/basic/pdf/EVR400.pdf</v>
          </cell>
          <cell r="Q10" t="str">
            <v>Used Goods</v>
          </cell>
          <cell r="S10" t="str">
            <v>Green Purchase</v>
          </cell>
          <cell r="T10" t="str">
            <v>NONE</v>
          </cell>
          <cell r="U10" t="str">
            <v>Safety Management</v>
          </cell>
          <cell r="W10" t="str">
            <v>Posco Patent</v>
          </cell>
          <cell r="Y10" t="str">
            <v>Or Equivalent</v>
          </cell>
          <cell r="Z10" t="str">
            <v>OR EQUIVALENT</v>
          </cell>
          <cell r="AA10" t="str">
            <v>Operation Voltage Type</v>
          </cell>
          <cell r="AB10" t="str">
            <v>HIGH VOLTAGE</v>
          </cell>
          <cell r="AC10" t="str">
            <v>Application</v>
          </cell>
          <cell r="AD10" t="str">
            <v>OTHERS</v>
          </cell>
          <cell r="AE10" t="str">
            <v>Model-1</v>
          </cell>
          <cell r="AF10" t="str">
            <v>EVR400A-24S</v>
          </cell>
          <cell r="AG10" t="str">
            <v>Maker Name-1</v>
          </cell>
          <cell r="AH10" t="str">
            <v>YM TECH</v>
          </cell>
          <cell r="AI10" t="str">
            <v>Option-1</v>
          </cell>
          <cell r="AK10" t="str">
            <v>Model-2</v>
          </cell>
          <cell r="AM10" t="str">
            <v>Maker Name-2</v>
          </cell>
          <cell r="AN10" t="str">
            <v>NONE</v>
          </cell>
          <cell r="AO10" t="str">
            <v>Option-2</v>
          </cell>
          <cell r="AQ10" t="str">
            <v>Model-3</v>
          </cell>
          <cell r="AS10" t="str">
            <v>Maker Name-3</v>
          </cell>
          <cell r="AU10" t="str">
            <v>Option-3</v>
          </cell>
          <cell r="AW10" t="str">
            <v>Coil Voltage</v>
          </cell>
          <cell r="AX10" t="str">
            <v>DC 24V</v>
          </cell>
          <cell r="AY10" t="str">
            <v>Setting Tap Range</v>
          </cell>
          <cell r="BA10" t="str">
            <v>Setting Time Range</v>
          </cell>
          <cell r="BC10" t="str">
            <v>Setting Lever</v>
          </cell>
          <cell r="BE10" t="str">
            <v>Option &amp; Others</v>
          </cell>
          <cell r="BG10" t="str">
            <v>Compliance Item</v>
          </cell>
        </row>
        <row r="11">
          <cell r="A11" t="str">
            <v>Q4583220</v>
          </cell>
          <cell r="B11" t="str">
            <v>ACTIVE</v>
          </cell>
          <cell r="C11" t="str">
            <v>특정사양품(단수)</v>
          </cell>
          <cell r="D11" t="str">
            <v>Protection Relay</v>
          </cell>
          <cell r="E11" t="str">
            <v>포스코</v>
          </cell>
          <cell r="F11" t="str">
            <v>Q4583220</v>
          </cell>
          <cell r="G11" t="str">
            <v>EOCR,[WYGF-D16NC/WOON YOUNG],ICS:AC220V,NORMAL 0.1-10.0A , HIGH 0.03-1.0A,0.05SEC, 0.1~10.0SEC,MODBUS,OR EQUIVALENT</v>
          </cell>
          <cell r="H11" t="str">
            <v>1</v>
          </cell>
          <cell r="I11" t="str">
            <v>EA</v>
          </cell>
          <cell r="J11" t="str">
            <v>L</v>
          </cell>
          <cell r="K11" t="str">
            <v>이명우</v>
          </cell>
          <cell r="N11" t="str">
            <v>https://woonyoung.com/page/s0201_mid.php?gcatecode=1337921322&amp;gcname=%EC%A7%80%EB%9D%BD%EA%B2%80%EC%B6%9C%EA%B3%84%EC%A0%84%EA%B8%B0&amp;gn_sub=GFR</v>
          </cell>
          <cell r="Q11" t="str">
            <v>Used Goods</v>
          </cell>
          <cell r="S11" t="str">
            <v>Green Purchase</v>
          </cell>
          <cell r="T11" t="str">
            <v>NONE</v>
          </cell>
          <cell r="U11" t="str">
            <v>Safety Management</v>
          </cell>
          <cell r="W11" t="str">
            <v>Posco Patent</v>
          </cell>
          <cell r="Y11" t="str">
            <v>Or Equivalent</v>
          </cell>
          <cell r="Z11" t="str">
            <v>OR EQUIVALENT</v>
          </cell>
          <cell r="AA11" t="str">
            <v>Operation Voltage Type</v>
          </cell>
          <cell r="AB11" t="str">
            <v>OTHERS</v>
          </cell>
          <cell r="AC11" t="str">
            <v>Application</v>
          </cell>
          <cell r="AD11" t="str">
            <v>EOCR</v>
          </cell>
          <cell r="AE11" t="str">
            <v>Model-1</v>
          </cell>
          <cell r="AF11" t="str">
            <v>WYGF-D16NC</v>
          </cell>
          <cell r="AG11" t="str">
            <v>Maker Name-1</v>
          </cell>
          <cell r="AH11" t="str">
            <v>WOON YOUNG</v>
          </cell>
          <cell r="AI11" t="str">
            <v>Option-1</v>
          </cell>
          <cell r="AK11" t="str">
            <v>Model-2</v>
          </cell>
          <cell r="AM11" t="str">
            <v>Maker Name-2</v>
          </cell>
          <cell r="AN11" t="str">
            <v>NONE</v>
          </cell>
          <cell r="AO11" t="str">
            <v>Option-2</v>
          </cell>
          <cell r="AQ11" t="str">
            <v>Model-3</v>
          </cell>
          <cell r="AS11" t="str">
            <v>Maker Name-3</v>
          </cell>
          <cell r="AU11" t="str">
            <v>Option-3</v>
          </cell>
          <cell r="AW11" t="str">
            <v>Coil Voltage</v>
          </cell>
          <cell r="AX11" t="str">
            <v>ICS:AC220V</v>
          </cell>
          <cell r="AY11" t="str">
            <v>Setting Tap Range</v>
          </cell>
          <cell r="AZ11" t="str">
            <v>NORMAL 0.1-10.0A , HIGH 0.03-1.0A</v>
          </cell>
          <cell r="BA11" t="str">
            <v>Setting Time Range</v>
          </cell>
          <cell r="BB11" t="str">
            <v>0.05SEC, 0.1~10.0SEC</v>
          </cell>
          <cell r="BC11" t="str">
            <v>Setting Lever</v>
          </cell>
          <cell r="BE11" t="str">
            <v>Option &amp; Others</v>
          </cell>
          <cell r="BF11" t="str">
            <v>MODBUS</v>
          </cell>
          <cell r="BG11" t="str">
            <v>Compliance Item</v>
          </cell>
        </row>
        <row r="12">
          <cell r="A12" t="str">
            <v>Q3207265</v>
          </cell>
          <cell r="B12" t="str">
            <v>ACTIVE</v>
          </cell>
          <cell r="C12" t="str">
            <v>특정사양품(단수)</v>
          </cell>
          <cell r="D12" t="str">
            <v>Protection Relay</v>
          </cell>
          <cell r="E12" t="str">
            <v>포스코</v>
          </cell>
          <cell r="F12" t="str">
            <v>Q3207265</v>
          </cell>
          <cell r="G12" t="str">
            <v>[SZR-LY2-N1/HONEYWELL],AC 220V,2A2B,10A</v>
          </cell>
          <cell r="H12" t="str">
            <v>3</v>
          </cell>
          <cell r="I12" t="str">
            <v>EA</v>
          </cell>
          <cell r="K12" t="str">
            <v>권용성</v>
          </cell>
          <cell r="N12" t="str">
            <v>https://blog.naver.com/sps2538/222681629478</v>
          </cell>
          <cell r="Q12" t="str">
            <v>Used Goods</v>
          </cell>
          <cell r="S12" t="str">
            <v>Green Purchase</v>
          </cell>
          <cell r="T12" t="str">
            <v>NONE</v>
          </cell>
          <cell r="U12" t="str">
            <v>Safety Management</v>
          </cell>
          <cell r="W12" t="str">
            <v>Posco Patent</v>
          </cell>
          <cell r="Y12" t="str">
            <v>Or Equivalent</v>
          </cell>
          <cell r="AA12" t="str">
            <v>Operation Voltage Type</v>
          </cell>
          <cell r="AB12" t="str">
            <v>OTHERS</v>
          </cell>
          <cell r="AC12" t="str">
            <v>Application</v>
          </cell>
          <cell r="AD12" t="str">
            <v>OTHERS</v>
          </cell>
          <cell r="AE12" t="str">
            <v>Model-1</v>
          </cell>
          <cell r="AF12" t="str">
            <v>SZR-LY2-N1</v>
          </cell>
          <cell r="AG12" t="str">
            <v>Maker Name-1</v>
          </cell>
          <cell r="AH12" t="str">
            <v>HONEYWELL</v>
          </cell>
          <cell r="AI12" t="str">
            <v>Option-1</v>
          </cell>
          <cell r="AK12" t="str">
            <v>Model-2</v>
          </cell>
          <cell r="AM12" t="str">
            <v>Maker Name-2</v>
          </cell>
          <cell r="AN12" t="str">
            <v>NONE</v>
          </cell>
          <cell r="AO12" t="str">
            <v>Option-2</v>
          </cell>
          <cell r="AQ12" t="str">
            <v>Model-3</v>
          </cell>
          <cell r="AS12" t="str">
            <v>Maker Name-3</v>
          </cell>
          <cell r="AU12" t="str">
            <v>Option-3</v>
          </cell>
          <cell r="AW12" t="str">
            <v>Coil Voltage</v>
          </cell>
          <cell r="AX12" t="str">
            <v>AC 220V</v>
          </cell>
          <cell r="AY12" t="str">
            <v>Setting Tap Range</v>
          </cell>
          <cell r="BA12" t="str">
            <v>Setting Time Range</v>
          </cell>
          <cell r="BC12" t="str">
            <v>Setting Lever</v>
          </cell>
          <cell r="BE12" t="str">
            <v>Option &amp; Others</v>
          </cell>
          <cell r="BF12" t="str">
            <v>2A2B,10A</v>
          </cell>
          <cell r="BG12" t="str">
            <v>Compliance Item</v>
          </cell>
        </row>
        <row r="13">
          <cell r="A13" t="str">
            <v>Q4594710</v>
          </cell>
          <cell r="B13" t="str">
            <v>ACTIVE</v>
          </cell>
          <cell r="C13" t="str">
            <v>특정사양품(단수)</v>
          </cell>
          <cell r="D13" t="str">
            <v>Protection Relay</v>
          </cell>
          <cell r="E13" t="str">
            <v>포스코퓨처엠</v>
          </cell>
          <cell r="F13" t="str">
            <v>Q4594710</v>
          </cell>
          <cell r="G13" t="str">
            <v>[WYER-D16NC/WOONYOUNG],DC 24V,LOW VOLTAGE,ELD,EARTH LEAKAGE DETECTOR</v>
          </cell>
          <cell r="H13" t="str">
            <v>1</v>
          </cell>
          <cell r="I13" t="str">
            <v>EA</v>
          </cell>
          <cell r="J13" t="str">
            <v>L</v>
          </cell>
          <cell r="K13" t="str">
            <v>이도협</v>
          </cell>
          <cell r="N13" t="str">
            <v>https://www.woonyoung.com/page/search_list.php?sercatecode1=&amp;sercatecode2=&amp;itemsearchStr=WYER-D16NC&amp;searchitem=itemname&amp;note5=&amp;catetopcode=&amp;ocatecode=&amp;gnsub=&amp;ogcname=&amp;gcate2code=&amp;stype=&amp;note2=&amp;note3=&amp;note4=</v>
          </cell>
          <cell r="Q13" t="str">
            <v>Used Goods</v>
          </cell>
          <cell r="S13" t="str">
            <v>Green Purchase</v>
          </cell>
          <cell r="T13" t="str">
            <v>NONE</v>
          </cell>
          <cell r="U13" t="str">
            <v>Safety Management</v>
          </cell>
          <cell r="W13" t="str">
            <v>Posco Patent</v>
          </cell>
          <cell r="Y13" t="str">
            <v>Or Equivalent</v>
          </cell>
          <cell r="AA13" t="str">
            <v>Operation Voltage Type</v>
          </cell>
          <cell r="AB13" t="str">
            <v>LOW VOLTAGE</v>
          </cell>
          <cell r="AC13" t="str">
            <v>Application</v>
          </cell>
          <cell r="AD13" t="str">
            <v>OTHERS</v>
          </cell>
          <cell r="AE13" t="str">
            <v>Model-1</v>
          </cell>
          <cell r="AF13" t="str">
            <v>WYER-D16NC</v>
          </cell>
          <cell r="AG13" t="str">
            <v>Maker Name-1</v>
          </cell>
          <cell r="AH13" t="str">
            <v>WOONYOUNG</v>
          </cell>
          <cell r="AI13" t="str">
            <v>Option-1</v>
          </cell>
          <cell r="AK13" t="str">
            <v>Model-2</v>
          </cell>
          <cell r="AM13" t="str">
            <v>Maker Name-2</v>
          </cell>
          <cell r="AN13" t="str">
            <v>NONE</v>
          </cell>
          <cell r="AO13" t="str">
            <v>Option-2</v>
          </cell>
          <cell r="AQ13" t="str">
            <v>Model-3</v>
          </cell>
          <cell r="AS13" t="str">
            <v>Maker Name-3</v>
          </cell>
          <cell r="AU13" t="str">
            <v>Option-3</v>
          </cell>
          <cell r="AW13" t="str">
            <v>Coil Voltage</v>
          </cell>
          <cell r="AX13" t="str">
            <v>DC 24V</v>
          </cell>
          <cell r="AY13" t="str">
            <v>Setting Tap Range</v>
          </cell>
          <cell r="BA13" t="str">
            <v>Setting Time Range</v>
          </cell>
          <cell r="BC13" t="str">
            <v>Setting Lever</v>
          </cell>
          <cell r="BE13" t="str">
            <v>Option &amp; Others</v>
          </cell>
          <cell r="BF13" t="str">
            <v>ELD,EARTH LEAKAGE DETECTOR</v>
          </cell>
          <cell r="BG13" t="str">
            <v>Compliance Item</v>
          </cell>
        </row>
        <row r="14">
          <cell r="A14" t="str">
            <v>Q4593963</v>
          </cell>
          <cell r="B14" t="str">
            <v>ACTIVE</v>
          </cell>
          <cell r="C14" t="str">
            <v>특정사양품(단수)</v>
          </cell>
          <cell r="D14" t="str">
            <v>Protection Relay</v>
          </cell>
          <cell r="E14" t="str">
            <v>포스코</v>
          </cell>
          <cell r="F14" t="str">
            <v>Q4593963</v>
          </cell>
          <cell r="G14" t="str">
            <v>DFR,[DSP-VPR44/SAMWHA DSP],AC 440V,LOW VOLTAGE</v>
          </cell>
          <cell r="H14" t="str">
            <v>1</v>
          </cell>
          <cell r="I14" t="str">
            <v>EA</v>
          </cell>
          <cell r="J14" t="str">
            <v>L</v>
          </cell>
          <cell r="K14" t="str">
            <v>권용성</v>
          </cell>
          <cell r="N14" t="str">
            <v>https://www.samwhadsp.com/_uploadFiles/board/202012/VLLWOPKDhi.pdf</v>
          </cell>
          <cell r="Q14" t="str">
            <v>Used Goods</v>
          </cell>
          <cell r="S14" t="str">
            <v>Green Purchase</v>
          </cell>
          <cell r="T14" t="str">
            <v>NONE</v>
          </cell>
          <cell r="U14" t="str">
            <v>Safety Management</v>
          </cell>
          <cell r="W14" t="str">
            <v>Posco Patent</v>
          </cell>
          <cell r="Y14" t="str">
            <v>Or Equivalent</v>
          </cell>
          <cell r="AA14" t="str">
            <v>Operation Voltage Type</v>
          </cell>
          <cell r="AB14" t="str">
            <v>LOW VOLTAGE</v>
          </cell>
          <cell r="AC14" t="str">
            <v>Application</v>
          </cell>
          <cell r="AD14" t="str">
            <v>DFR</v>
          </cell>
          <cell r="AE14" t="str">
            <v>Model-1</v>
          </cell>
          <cell r="AF14" t="str">
            <v>DSP-VPR44</v>
          </cell>
          <cell r="AG14" t="str">
            <v>Maker Name-1</v>
          </cell>
          <cell r="AH14" t="str">
            <v>SAMWHA DSP</v>
          </cell>
          <cell r="AI14" t="str">
            <v>Option-1</v>
          </cell>
          <cell r="AK14" t="str">
            <v>Model-2</v>
          </cell>
          <cell r="AM14" t="str">
            <v>Maker Name-2</v>
          </cell>
          <cell r="AN14" t="str">
            <v>NONE</v>
          </cell>
          <cell r="AO14" t="str">
            <v>Option-2</v>
          </cell>
          <cell r="AQ14" t="str">
            <v>Model-3</v>
          </cell>
          <cell r="AS14" t="str">
            <v>Maker Name-3</v>
          </cell>
          <cell r="AU14" t="str">
            <v>Option-3</v>
          </cell>
          <cell r="AW14" t="str">
            <v>Coil Voltage</v>
          </cell>
          <cell r="AX14" t="str">
            <v>AC 440V</v>
          </cell>
          <cell r="AY14" t="str">
            <v>Setting Tap Range</v>
          </cell>
          <cell r="BA14" t="str">
            <v>Setting Time Range</v>
          </cell>
          <cell r="BC14" t="str">
            <v>Setting Lever</v>
          </cell>
          <cell r="BE14" t="str">
            <v>Option &amp; Others</v>
          </cell>
          <cell r="BG14" t="str">
            <v>Compliance Item</v>
          </cell>
        </row>
        <row r="15">
          <cell r="A15" t="str">
            <v>Q4601286</v>
          </cell>
          <cell r="B15" t="str">
            <v>ACTIVE</v>
          </cell>
          <cell r="C15" t="str">
            <v>특정사양품(단수)</v>
          </cell>
          <cell r="D15" t="str">
            <v>Protection Relay</v>
          </cell>
          <cell r="E15" t="str">
            <v>포스코</v>
          </cell>
          <cell r="F15" t="str">
            <v>Q4601286</v>
          </cell>
          <cell r="G15" t="str">
            <v>MULTI,[SUR-K110-FI/SANION],DC 110V,HIGH VOLTAGE,DC125/250V</v>
          </cell>
          <cell r="H15" t="str">
            <v>1</v>
          </cell>
          <cell r="I15" t="str">
            <v>EA</v>
          </cell>
          <cell r="J15" t="str">
            <v>L</v>
          </cell>
          <cell r="K15" t="str">
            <v>정현효</v>
          </cell>
          <cell r="N15" t="str">
            <v>http://sanion.com/default/information/sub1.php?com_board_basic=read_form&amp;com_board_idx=20&amp;&amp;com_board_search_code=&amp;com_board_search_value1=&amp;com_board_search_value2=&amp;com_board_page=&amp;&amp;com_board_id=11&amp;&amp;com_board_id=11</v>
          </cell>
          <cell r="Q15" t="str">
            <v>Used Goods</v>
          </cell>
          <cell r="S15" t="str">
            <v>Green Purchase</v>
          </cell>
          <cell r="T15" t="str">
            <v>NONE</v>
          </cell>
          <cell r="U15" t="str">
            <v>Safety Management</v>
          </cell>
          <cell r="W15" t="str">
            <v>Posco Patent</v>
          </cell>
          <cell r="Y15" t="str">
            <v>Or Equivalent</v>
          </cell>
          <cell r="AA15" t="str">
            <v>Operation Voltage Type</v>
          </cell>
          <cell r="AB15" t="str">
            <v>HIGH VOLTAGE</v>
          </cell>
          <cell r="AC15" t="str">
            <v>Application</v>
          </cell>
          <cell r="AD15" t="str">
            <v>MULTI</v>
          </cell>
          <cell r="AE15" t="str">
            <v>Model-1</v>
          </cell>
          <cell r="AF15" t="str">
            <v>SUR-K110-FI</v>
          </cell>
          <cell r="AG15" t="str">
            <v>Maker Name-1</v>
          </cell>
          <cell r="AH15" t="str">
            <v>SANION</v>
          </cell>
          <cell r="AI15" t="str">
            <v>Option-1</v>
          </cell>
          <cell r="AK15" t="str">
            <v>Model-2</v>
          </cell>
          <cell r="AM15" t="str">
            <v>Maker Name-2</v>
          </cell>
          <cell r="AN15" t="str">
            <v>NONE</v>
          </cell>
          <cell r="AO15" t="str">
            <v>Option-2</v>
          </cell>
          <cell r="AQ15" t="str">
            <v>Model-3</v>
          </cell>
          <cell r="AS15" t="str">
            <v>Maker Name-3</v>
          </cell>
          <cell r="AU15" t="str">
            <v>Option-3</v>
          </cell>
          <cell r="AW15" t="str">
            <v>Coil Voltage</v>
          </cell>
          <cell r="AX15" t="str">
            <v>DC 110V</v>
          </cell>
          <cell r="AY15" t="str">
            <v>Setting Tap Range</v>
          </cell>
          <cell r="BA15" t="str">
            <v>Setting Time Range</v>
          </cell>
          <cell r="BC15" t="str">
            <v>Setting Lever</v>
          </cell>
          <cell r="BE15" t="str">
            <v>Option &amp; Others</v>
          </cell>
          <cell r="BF15" t="str">
            <v>DC125/250V</v>
          </cell>
          <cell r="BG15" t="str">
            <v>Compliance Item</v>
          </cell>
        </row>
        <row r="16">
          <cell r="A16" t="str">
            <v>Q4601288</v>
          </cell>
          <cell r="B16" t="str">
            <v>ACTIVE</v>
          </cell>
          <cell r="C16" t="str">
            <v>특정사양품(단수)</v>
          </cell>
          <cell r="D16" t="str">
            <v>Protection Relay</v>
          </cell>
          <cell r="E16" t="str">
            <v>포스코</v>
          </cell>
          <cell r="F16" t="str">
            <v>Q4601288</v>
          </cell>
          <cell r="G16" t="str">
            <v>MULTI,[SBP-K110-CU/SANION],DC 110V,HIGH VOLTAGE,DC125/250V,OR EQUIVALENT</v>
          </cell>
          <cell r="H16" t="str">
            <v>1</v>
          </cell>
          <cell r="I16" t="str">
            <v>EA</v>
          </cell>
          <cell r="J16" t="str">
            <v>L</v>
          </cell>
          <cell r="K16" t="str">
            <v>정현효</v>
          </cell>
          <cell r="N16" t="str">
            <v>http://sanion.com/default/product1/sub2_32.php</v>
          </cell>
          <cell r="Q16" t="str">
            <v>Used Goods</v>
          </cell>
          <cell r="S16" t="str">
            <v>Green Purchase</v>
          </cell>
          <cell r="T16" t="str">
            <v>NONE</v>
          </cell>
          <cell r="U16" t="str">
            <v>Safety Management</v>
          </cell>
          <cell r="W16" t="str">
            <v>Posco Patent</v>
          </cell>
          <cell r="Y16" t="str">
            <v>Or Equivalent</v>
          </cell>
          <cell r="Z16" t="str">
            <v>OR EQUIVALENT</v>
          </cell>
          <cell r="AA16" t="str">
            <v>Operation Voltage Type</v>
          </cell>
          <cell r="AB16" t="str">
            <v>HIGH VOLTAGE</v>
          </cell>
          <cell r="AC16" t="str">
            <v>Application</v>
          </cell>
          <cell r="AD16" t="str">
            <v>MULTI</v>
          </cell>
          <cell r="AE16" t="str">
            <v>Model-1</v>
          </cell>
          <cell r="AF16" t="str">
            <v>SBP-K110-CU</v>
          </cell>
          <cell r="AG16" t="str">
            <v>Maker Name-1</v>
          </cell>
          <cell r="AH16" t="str">
            <v>SANION</v>
          </cell>
          <cell r="AI16" t="str">
            <v>Option-1</v>
          </cell>
          <cell r="AK16" t="str">
            <v>Model-2</v>
          </cell>
          <cell r="AM16" t="str">
            <v>Maker Name-2</v>
          </cell>
          <cell r="AN16" t="str">
            <v>NONE</v>
          </cell>
          <cell r="AO16" t="str">
            <v>Option-2</v>
          </cell>
          <cell r="AQ16" t="str">
            <v>Model-3</v>
          </cell>
          <cell r="AS16" t="str">
            <v>Maker Name-3</v>
          </cell>
          <cell r="AU16" t="str">
            <v>Option-3</v>
          </cell>
          <cell r="AW16" t="str">
            <v>Coil Voltage</v>
          </cell>
          <cell r="AX16" t="str">
            <v>DC 110V</v>
          </cell>
          <cell r="AY16" t="str">
            <v>Setting Tap Range</v>
          </cell>
          <cell r="BA16" t="str">
            <v>Setting Time Range</v>
          </cell>
          <cell r="BC16" t="str">
            <v>Setting Lever</v>
          </cell>
          <cell r="BE16" t="str">
            <v>Option &amp; Others</v>
          </cell>
          <cell r="BF16" t="str">
            <v>DC125/250V</v>
          </cell>
          <cell r="BG16" t="str">
            <v>Compliance Item</v>
          </cell>
        </row>
        <row r="17">
          <cell r="A17" t="str">
            <v>Q4593965</v>
          </cell>
          <cell r="B17" t="str">
            <v>ACTIVE</v>
          </cell>
          <cell r="C17" t="str">
            <v>특정사양품(단수)</v>
          </cell>
          <cell r="D17" t="str">
            <v>Protection Relay</v>
          </cell>
          <cell r="E17" t="str">
            <v>포스코</v>
          </cell>
          <cell r="F17" t="str">
            <v>Q4593965</v>
          </cell>
          <cell r="G17" t="str">
            <v>THERMAL,[3RN2023-2DW30/SIEMENS],80~250VAC/DC,0.85~1.05,0.1~50SEC,LOW VOLTAGE,OR EQUIVALENT,KC CERTIFICATE</v>
          </cell>
          <cell r="H17" t="str">
            <v>2</v>
          </cell>
          <cell r="I17" t="str">
            <v>EA</v>
          </cell>
          <cell r="J17" t="str">
            <v>L</v>
          </cell>
          <cell r="K17" t="str">
            <v>권용성</v>
          </cell>
          <cell r="N17" t="str">
            <v>https://mall.industry.siemens.com/mall/en/en/Catalog/product?mlfb=3RN2023-2DW30</v>
          </cell>
          <cell r="Q17" t="str">
            <v>Used Goods</v>
          </cell>
          <cell r="S17" t="str">
            <v>Green Purchase</v>
          </cell>
          <cell r="T17" t="str">
            <v>NONE</v>
          </cell>
          <cell r="U17" t="str">
            <v>Safety Management</v>
          </cell>
          <cell r="W17" t="str">
            <v>Posco Patent</v>
          </cell>
          <cell r="Y17" t="str">
            <v>Or Equivalent</v>
          </cell>
          <cell r="Z17" t="str">
            <v>OR EQUIVALENT</v>
          </cell>
          <cell r="AA17" t="str">
            <v>Operation Voltage Type</v>
          </cell>
          <cell r="AB17" t="str">
            <v>LOW VOLTAGE</v>
          </cell>
          <cell r="AC17" t="str">
            <v>Application</v>
          </cell>
          <cell r="AD17" t="str">
            <v>THERMAL</v>
          </cell>
          <cell r="AE17" t="str">
            <v>Model-1</v>
          </cell>
          <cell r="AF17" t="str">
            <v>3RN2023-2DW30</v>
          </cell>
          <cell r="AG17" t="str">
            <v>Maker Name-1</v>
          </cell>
          <cell r="AH17" t="str">
            <v>SIEMENS</v>
          </cell>
          <cell r="AI17" t="str">
            <v>Option-1</v>
          </cell>
          <cell r="AK17" t="str">
            <v>Model-2</v>
          </cell>
          <cell r="AM17" t="str">
            <v>Maker Name-2</v>
          </cell>
          <cell r="AN17" t="str">
            <v>NONE</v>
          </cell>
          <cell r="AO17" t="str">
            <v>Option-2</v>
          </cell>
          <cell r="AQ17" t="str">
            <v>Model-3</v>
          </cell>
          <cell r="AS17" t="str">
            <v>Maker Name-3</v>
          </cell>
          <cell r="AU17" t="str">
            <v>Option-3</v>
          </cell>
          <cell r="AW17" t="str">
            <v>Coil Voltage</v>
          </cell>
          <cell r="AX17" t="str">
            <v>80~250VAC/DC</v>
          </cell>
          <cell r="AY17" t="str">
            <v>Setting Tap Range</v>
          </cell>
          <cell r="AZ17" t="str">
            <v>0.85~1.05</v>
          </cell>
          <cell r="BA17" t="str">
            <v>Setting Time Range</v>
          </cell>
          <cell r="BB17" t="str">
            <v>0.1~50SEC</v>
          </cell>
          <cell r="BC17" t="str">
            <v>Setting Lever</v>
          </cell>
          <cell r="BE17" t="str">
            <v>Option &amp; Others</v>
          </cell>
          <cell r="BG17" t="str">
            <v>Compliance Item</v>
          </cell>
          <cell r="BH17" t="str">
            <v>KC CERTIFICATE</v>
          </cell>
        </row>
        <row r="18">
          <cell r="A18" t="str">
            <v>Q4605189</v>
          </cell>
          <cell r="B18" t="str">
            <v>ACTIVE</v>
          </cell>
          <cell r="C18" t="str">
            <v>특정사양품(단수)</v>
          </cell>
          <cell r="D18" t="str">
            <v>Protection Relay</v>
          </cell>
          <cell r="E18" t="str">
            <v>포스코</v>
          </cell>
          <cell r="F18" t="str">
            <v>Q4605189</v>
          </cell>
          <cell r="G18" t="str">
            <v>EOCR,[3EZ-05AUH/SCHNEIDER],AC 220V,LOW VOLTAGE</v>
          </cell>
          <cell r="H18" t="str">
            <v>1</v>
          </cell>
          <cell r="I18" t="str">
            <v>EA</v>
          </cell>
          <cell r="J18" t="str">
            <v>L</v>
          </cell>
          <cell r="K18" t="str">
            <v>김영민</v>
          </cell>
          <cell r="N18" t="str">
            <v>https://www.se.com/kr/ko/faqs/FAQ000240556/</v>
          </cell>
          <cell r="Q18" t="str">
            <v>Used Goods</v>
          </cell>
          <cell r="S18" t="str">
            <v>Green Purchase</v>
          </cell>
          <cell r="T18" t="str">
            <v>NONE</v>
          </cell>
          <cell r="U18" t="str">
            <v>Safety Management</v>
          </cell>
          <cell r="W18" t="str">
            <v>Posco Patent</v>
          </cell>
          <cell r="Y18" t="str">
            <v>Or Equivalent</v>
          </cell>
          <cell r="AA18" t="str">
            <v>Operation Voltage Type</v>
          </cell>
          <cell r="AB18" t="str">
            <v>LOW VOLTAGE</v>
          </cell>
          <cell r="AC18" t="str">
            <v>Application</v>
          </cell>
          <cell r="AD18" t="str">
            <v>EOCR</v>
          </cell>
          <cell r="AE18" t="str">
            <v>Model-1</v>
          </cell>
          <cell r="AF18" t="str">
            <v>3EZ-05AUH</v>
          </cell>
          <cell r="AG18" t="str">
            <v>Maker Name-1</v>
          </cell>
          <cell r="AH18" t="str">
            <v>SCHNEIDER</v>
          </cell>
          <cell r="AI18" t="str">
            <v>Option-1</v>
          </cell>
          <cell r="AK18" t="str">
            <v>Model-2</v>
          </cell>
          <cell r="AM18" t="str">
            <v>Maker Name-2</v>
          </cell>
          <cell r="AN18" t="str">
            <v>NONE</v>
          </cell>
          <cell r="AO18" t="str">
            <v>Option-2</v>
          </cell>
          <cell r="AQ18" t="str">
            <v>Model-3</v>
          </cell>
          <cell r="AS18" t="str">
            <v>Maker Name-3</v>
          </cell>
          <cell r="AU18" t="str">
            <v>Option-3</v>
          </cell>
          <cell r="AW18" t="str">
            <v>Coil Voltage</v>
          </cell>
          <cell r="AX18" t="str">
            <v>AC 220V</v>
          </cell>
          <cell r="AY18" t="str">
            <v>Setting Tap Range</v>
          </cell>
          <cell r="BA18" t="str">
            <v>Setting Time Range</v>
          </cell>
          <cell r="BC18" t="str">
            <v>Setting Lever</v>
          </cell>
          <cell r="BE18" t="str">
            <v>Option &amp; Others</v>
          </cell>
          <cell r="BG18" t="str">
            <v>Compliance Item</v>
          </cell>
        </row>
        <row r="19">
          <cell r="A19" t="str">
            <v>Q4605188</v>
          </cell>
          <cell r="B19" t="str">
            <v>ACTIVE</v>
          </cell>
          <cell r="C19" t="str">
            <v>특정사양품(단수)</v>
          </cell>
          <cell r="D19" t="str">
            <v>Protection Relay</v>
          </cell>
          <cell r="E19" t="str">
            <v>포스코</v>
          </cell>
          <cell r="F19" t="str">
            <v>Q4605188</v>
          </cell>
          <cell r="G19" t="str">
            <v>EOCR,[3EBZ-80AUH/SCHNEIDER],AC 220V,LOW VOLTAGE,OR EQUIVALENT</v>
          </cell>
          <cell r="H19" t="str">
            <v>1</v>
          </cell>
          <cell r="I19" t="str">
            <v>EA</v>
          </cell>
          <cell r="J19" t="str">
            <v>L</v>
          </cell>
          <cell r="K19" t="str">
            <v>김영민</v>
          </cell>
          <cell r="N19" t="str">
            <v>https://www.se.com/kr/ko/faqs/FAQ000240556/</v>
          </cell>
          <cell r="Q19" t="str">
            <v>Used Goods</v>
          </cell>
          <cell r="S19" t="str">
            <v>Green Purchase</v>
          </cell>
          <cell r="T19" t="str">
            <v>NONE</v>
          </cell>
          <cell r="U19" t="str">
            <v>Safety Management</v>
          </cell>
          <cell r="W19" t="str">
            <v>Posco Patent</v>
          </cell>
          <cell r="Y19" t="str">
            <v>Or Equivalent</v>
          </cell>
          <cell r="Z19" t="str">
            <v>OR EQUIVALENT</v>
          </cell>
          <cell r="AA19" t="str">
            <v>Operation Voltage Type</v>
          </cell>
          <cell r="AB19" t="str">
            <v>LOW VOLTAGE</v>
          </cell>
          <cell r="AC19" t="str">
            <v>Application</v>
          </cell>
          <cell r="AD19" t="str">
            <v>EOCR</v>
          </cell>
          <cell r="AE19" t="str">
            <v>Model-1</v>
          </cell>
          <cell r="AF19" t="str">
            <v>3EBZ-80AUH</v>
          </cell>
          <cell r="AG19" t="str">
            <v>Maker Name-1</v>
          </cell>
          <cell r="AH19" t="str">
            <v>SCHNEIDER</v>
          </cell>
          <cell r="AI19" t="str">
            <v>Option-1</v>
          </cell>
          <cell r="AK19" t="str">
            <v>Model-2</v>
          </cell>
          <cell r="AM19" t="str">
            <v>Maker Name-2</v>
          </cell>
          <cell r="AN19" t="str">
            <v>NONE</v>
          </cell>
          <cell r="AO19" t="str">
            <v>Option-2</v>
          </cell>
          <cell r="AQ19" t="str">
            <v>Model-3</v>
          </cell>
          <cell r="AS19" t="str">
            <v>Maker Name-3</v>
          </cell>
          <cell r="AU19" t="str">
            <v>Option-3</v>
          </cell>
          <cell r="AW19" t="str">
            <v>Coil Voltage</v>
          </cell>
          <cell r="AX19" t="str">
            <v>AC 220V</v>
          </cell>
          <cell r="AY19" t="str">
            <v>Setting Tap Range</v>
          </cell>
          <cell r="BA19" t="str">
            <v>Setting Time Range</v>
          </cell>
          <cell r="BC19" t="str">
            <v>Setting Lever</v>
          </cell>
          <cell r="BE19" t="str">
            <v>Option &amp; Others</v>
          </cell>
          <cell r="BG19" t="str">
            <v>Compliance Item</v>
          </cell>
        </row>
        <row r="20">
          <cell r="A20" t="str">
            <v>Q4608169</v>
          </cell>
          <cell r="B20" t="str">
            <v>ACTIVE</v>
          </cell>
          <cell r="C20" t="str">
            <v>특정사양품(단수)</v>
          </cell>
          <cell r="D20" t="str">
            <v>Protection Relay</v>
          </cell>
          <cell r="E20" t="str">
            <v>포스코</v>
          </cell>
          <cell r="F20" t="str">
            <v>Q4608169</v>
          </cell>
          <cell r="G20" t="str">
            <v>[EOCRFDE-80DUH/SCHNIDER ELECTRIC],AC110-220V,5-80A,1-30,80A/100-240-OL(1B1A)+AL(1A)-HOLE-PDM,KC CERTIFICATE</v>
          </cell>
          <cell r="H20" t="str">
            <v>2</v>
          </cell>
          <cell r="I20" t="str">
            <v>EA</v>
          </cell>
          <cell r="J20" t="str">
            <v>L</v>
          </cell>
          <cell r="K20" t="str">
            <v>김영민</v>
          </cell>
          <cell r="N20" t="str">
            <v>https://www.se.com/kr/ko/product/EOCRFDE-80DUH/electronic-overcurrent-relay-80a-100240-v-overloaded-with-alarm-and-panel-display-meter-hole-type/</v>
          </cell>
          <cell r="Q20" t="str">
            <v>Used Goods</v>
          </cell>
          <cell r="S20" t="str">
            <v>Green Purchase</v>
          </cell>
          <cell r="T20" t="str">
            <v>NONE</v>
          </cell>
          <cell r="U20" t="str">
            <v>Safety Management</v>
          </cell>
          <cell r="W20" t="str">
            <v>Posco Patent</v>
          </cell>
          <cell r="Y20" t="str">
            <v>Or Equivalent</v>
          </cell>
          <cell r="AA20" t="str">
            <v>Operation Voltage Type</v>
          </cell>
          <cell r="AB20" t="str">
            <v>OTHERS</v>
          </cell>
          <cell r="AC20" t="str">
            <v>Application</v>
          </cell>
          <cell r="AD20" t="str">
            <v>OTHERS</v>
          </cell>
          <cell r="AE20" t="str">
            <v>Model-1</v>
          </cell>
          <cell r="AF20" t="str">
            <v>EOCRFDE-80DUH</v>
          </cell>
          <cell r="AG20" t="str">
            <v>Maker Name-1</v>
          </cell>
          <cell r="AH20" t="str">
            <v>SCHNIDER ELECTRIC</v>
          </cell>
          <cell r="AI20" t="str">
            <v>Option-1</v>
          </cell>
          <cell r="AK20" t="str">
            <v>Model-2</v>
          </cell>
          <cell r="AM20" t="str">
            <v>Maker Name-2</v>
          </cell>
          <cell r="AN20" t="str">
            <v>NONE</v>
          </cell>
          <cell r="AO20" t="str">
            <v>Option-2</v>
          </cell>
          <cell r="AQ20" t="str">
            <v>Model-3</v>
          </cell>
          <cell r="AS20" t="str">
            <v>Maker Name-3</v>
          </cell>
          <cell r="AU20" t="str">
            <v>Option-3</v>
          </cell>
          <cell r="AW20" t="str">
            <v>Coil Voltage</v>
          </cell>
          <cell r="AX20" t="str">
            <v>AC110-220V</v>
          </cell>
          <cell r="AY20" t="str">
            <v>Setting Tap Range</v>
          </cell>
          <cell r="AZ20" t="str">
            <v>5-80A</v>
          </cell>
          <cell r="BA20" t="str">
            <v>Setting Time Range</v>
          </cell>
          <cell r="BB20" t="str">
            <v>1-30</v>
          </cell>
          <cell r="BC20" t="str">
            <v>Setting Lever</v>
          </cell>
          <cell r="BE20" t="str">
            <v>Option &amp; Others</v>
          </cell>
          <cell r="BF20" t="str">
            <v>80A/100-240-OL(1B1A)+AL(1A)-HOLE-PDM</v>
          </cell>
          <cell r="BG20" t="str">
            <v>Compliance Item</v>
          </cell>
          <cell r="BH20" t="str">
            <v>KC CERTIFICATE</v>
          </cell>
        </row>
        <row r="21">
          <cell r="A21" t="str">
            <v>Q4602364</v>
          </cell>
          <cell r="B21" t="str">
            <v>ACTIVE</v>
          </cell>
          <cell r="C21" t="str">
            <v>특정사양품(단수)</v>
          </cell>
          <cell r="D21" t="str">
            <v>Protection Relay</v>
          </cell>
          <cell r="E21" t="str">
            <v>포스코</v>
          </cell>
          <cell r="F21" t="str">
            <v>Q4602364</v>
          </cell>
          <cell r="G21" t="str">
            <v>MULTI,[AQ-F215-PH0AABA-CDA/ARCTEQ],80~250VAC/DC,HIGH VOLTAGE,DIGITAL OUTPUT MODULE &amp; ARC PROTECTION MODULE,OR EQUIVALENT,KC CERTIFICATE</v>
          </cell>
          <cell r="H21" t="str">
            <v>2</v>
          </cell>
          <cell r="I21" t="str">
            <v>EA</v>
          </cell>
          <cell r="J21" t="str">
            <v>L</v>
          </cell>
          <cell r="K21" t="str">
            <v>강진경</v>
          </cell>
          <cell r="N21" t="str">
            <v>https://www.arcteq.fi/wp-content/uploads/2023/03/AQ-F215-Feeder-protection-device-instruction-manual-v2.09-English.pdf</v>
          </cell>
          <cell r="Q21" t="str">
            <v>Used Goods</v>
          </cell>
          <cell r="S21" t="str">
            <v>Green Purchase</v>
          </cell>
          <cell r="T21" t="str">
            <v>NONE</v>
          </cell>
          <cell r="U21" t="str">
            <v>Safety Management</v>
          </cell>
          <cell r="W21" t="str">
            <v>Posco Patent</v>
          </cell>
          <cell r="Y21" t="str">
            <v>Or Equivalent</v>
          </cell>
          <cell r="Z21" t="str">
            <v>OR EQUIVALENT</v>
          </cell>
          <cell r="AA21" t="str">
            <v>Operation Voltage Type</v>
          </cell>
          <cell r="AB21" t="str">
            <v>HIGH VOLTAGE</v>
          </cell>
          <cell r="AC21" t="str">
            <v>Application</v>
          </cell>
          <cell r="AD21" t="str">
            <v>MULTI</v>
          </cell>
          <cell r="AE21" t="str">
            <v>Model-1</v>
          </cell>
          <cell r="AF21" t="str">
            <v>AQ-F215-PH0AABA-CDA</v>
          </cell>
          <cell r="AG21" t="str">
            <v>Maker Name-1</v>
          </cell>
          <cell r="AH21" t="str">
            <v>ARCTEQ</v>
          </cell>
          <cell r="AI21" t="str">
            <v>Option-1</v>
          </cell>
          <cell r="AK21" t="str">
            <v>Model-2</v>
          </cell>
          <cell r="AM21" t="str">
            <v>Maker Name-2</v>
          </cell>
          <cell r="AN21" t="str">
            <v>NONE</v>
          </cell>
          <cell r="AO21" t="str">
            <v>Option-2</v>
          </cell>
          <cell r="AQ21" t="str">
            <v>Model-3</v>
          </cell>
          <cell r="AS21" t="str">
            <v>Maker Name-3</v>
          </cell>
          <cell r="AU21" t="str">
            <v>Option-3</v>
          </cell>
          <cell r="AW21" t="str">
            <v>Coil Voltage</v>
          </cell>
          <cell r="AX21" t="str">
            <v>80~250VAC/DC</v>
          </cell>
          <cell r="AY21" t="str">
            <v>Setting Tap Range</v>
          </cell>
          <cell r="BA21" t="str">
            <v>Setting Time Range</v>
          </cell>
          <cell r="BC21" t="str">
            <v>Setting Lever</v>
          </cell>
          <cell r="BE21" t="str">
            <v>Option &amp; Others</v>
          </cell>
          <cell r="BF21" t="str">
            <v>DIGITAL OUTPUT MODULE &amp; ARC PROTECTION MODULE</v>
          </cell>
          <cell r="BG21" t="str">
            <v>Compliance Item</v>
          </cell>
          <cell r="BH21" t="str">
            <v>KC CERTIFICATE</v>
          </cell>
        </row>
        <row r="22">
          <cell r="A22" t="str">
            <v>Q4602365</v>
          </cell>
          <cell r="B22" t="str">
            <v>ACTIVE</v>
          </cell>
          <cell r="C22" t="str">
            <v>특정사양품(단수)</v>
          </cell>
          <cell r="D22" t="str">
            <v>Protection Relay</v>
          </cell>
          <cell r="E22" t="str">
            <v>포스코</v>
          </cell>
          <cell r="F22" t="str">
            <v>Q4602365</v>
          </cell>
          <cell r="G22" t="str">
            <v>MULTI,[AQ-F210-PH8AABA-DAAA/ARCTEQ],80~250VAC/DC,HIGH VOLTAGE,ARC PROTECTION MODULE,OR EQUIVALENT,KC CERTIFICATE</v>
          </cell>
          <cell r="H22" t="str">
            <v>2</v>
          </cell>
          <cell r="I22" t="str">
            <v>EA</v>
          </cell>
          <cell r="J22" t="str">
            <v>L</v>
          </cell>
          <cell r="K22" t="str">
            <v>강진경</v>
          </cell>
          <cell r="N22" t="str">
            <v>https://www.arcteq.fi/wp-content/uploads/2023/03/AQ-F210-Feeder-protection-device-instruction-manual-v2.09-English.pdf</v>
          </cell>
          <cell r="Q22" t="str">
            <v>Used Goods</v>
          </cell>
          <cell r="S22" t="str">
            <v>Green Purchase</v>
          </cell>
          <cell r="T22" t="str">
            <v>NONE</v>
          </cell>
          <cell r="U22" t="str">
            <v>Safety Management</v>
          </cell>
          <cell r="W22" t="str">
            <v>Posco Patent</v>
          </cell>
          <cell r="Y22" t="str">
            <v>Or Equivalent</v>
          </cell>
          <cell r="Z22" t="str">
            <v>OR EQUIVALENT</v>
          </cell>
          <cell r="AA22" t="str">
            <v>Operation Voltage Type</v>
          </cell>
          <cell r="AB22" t="str">
            <v>HIGH VOLTAGE</v>
          </cell>
          <cell r="AC22" t="str">
            <v>Application</v>
          </cell>
          <cell r="AD22" t="str">
            <v>MULTI</v>
          </cell>
          <cell r="AE22" t="str">
            <v>Model-1</v>
          </cell>
          <cell r="AF22" t="str">
            <v>AQ-F210-PH8AABA-DAAA</v>
          </cell>
          <cell r="AG22" t="str">
            <v>Maker Name-1</v>
          </cell>
          <cell r="AH22" t="str">
            <v>ARCTEQ</v>
          </cell>
          <cell r="AI22" t="str">
            <v>Option-1</v>
          </cell>
          <cell r="AK22" t="str">
            <v>Model-2</v>
          </cell>
          <cell r="AM22" t="str">
            <v>Maker Name-2</v>
          </cell>
          <cell r="AN22" t="str">
            <v>NONE</v>
          </cell>
          <cell r="AO22" t="str">
            <v>Option-2</v>
          </cell>
          <cell r="AQ22" t="str">
            <v>Model-3</v>
          </cell>
          <cell r="AS22" t="str">
            <v>Maker Name-3</v>
          </cell>
          <cell r="AU22" t="str">
            <v>Option-3</v>
          </cell>
          <cell r="AW22" t="str">
            <v>Coil Voltage</v>
          </cell>
          <cell r="AX22" t="str">
            <v>80~250VAC/DC</v>
          </cell>
          <cell r="AY22" t="str">
            <v>Setting Tap Range</v>
          </cell>
          <cell r="BA22" t="str">
            <v>Setting Time Range</v>
          </cell>
          <cell r="BC22" t="str">
            <v>Setting Lever</v>
          </cell>
          <cell r="BE22" t="str">
            <v>Option &amp; Others</v>
          </cell>
          <cell r="BF22" t="str">
            <v>ARC PROTECTION MODULE</v>
          </cell>
          <cell r="BG22" t="str">
            <v>Compliance Item</v>
          </cell>
          <cell r="BH22" t="str">
            <v>KC CERTIFICATE</v>
          </cell>
        </row>
        <row r="23">
          <cell r="A23" t="str">
            <v>Q4190369</v>
          </cell>
          <cell r="B23" t="str">
            <v>ACTIVE</v>
          </cell>
          <cell r="C23" t="str">
            <v>특정사양품(단수)</v>
          </cell>
          <cell r="D23" t="str">
            <v>Protection Relay</v>
          </cell>
          <cell r="E23" t="str">
            <v>포스코</v>
          </cell>
          <cell r="F23" t="str">
            <v>Q4190369</v>
          </cell>
          <cell r="G23" t="str">
            <v>[DGF-D11P/DEESYS],AC110-220V,0.1~10A,0.1~3S,LOW VOLTAGE,WITH ZCT RATING 200MA/100MV (DZR-100)</v>
          </cell>
          <cell r="H23" t="str">
            <v>4</v>
          </cell>
          <cell r="I23" t="str">
            <v>EA</v>
          </cell>
          <cell r="K23" t="str">
            <v>권용성</v>
          </cell>
          <cell r="N23" t="str">
            <v>http://www.deesys.com/project/dgf-d11f/#1626422788801-725d82df-8910</v>
          </cell>
          <cell r="Q23" t="str">
            <v>Used Goods</v>
          </cell>
          <cell r="S23" t="str">
            <v>Green Purchase</v>
          </cell>
          <cell r="T23" t="str">
            <v>NONE</v>
          </cell>
          <cell r="U23" t="str">
            <v>Safety Management</v>
          </cell>
          <cell r="W23" t="str">
            <v>Posco Patent</v>
          </cell>
          <cell r="Y23" t="str">
            <v>Or Equivalent</v>
          </cell>
          <cell r="AA23" t="str">
            <v>Operation Voltage Type</v>
          </cell>
          <cell r="AB23" t="str">
            <v>LOW VOLTAGE</v>
          </cell>
          <cell r="AC23" t="str">
            <v>Application</v>
          </cell>
          <cell r="AD23" t="str">
            <v>OTHERS</v>
          </cell>
          <cell r="AE23" t="str">
            <v>Model-1</v>
          </cell>
          <cell r="AF23" t="str">
            <v>DGF-D11P</v>
          </cell>
          <cell r="AG23" t="str">
            <v>Maker Name-1</v>
          </cell>
          <cell r="AH23" t="str">
            <v>DEESYS</v>
          </cell>
          <cell r="AI23" t="str">
            <v>Option-1</v>
          </cell>
          <cell r="AK23" t="str">
            <v>Model-2</v>
          </cell>
          <cell r="AM23" t="str">
            <v>Maker Name-2</v>
          </cell>
          <cell r="AN23" t="str">
            <v>NONE</v>
          </cell>
          <cell r="AO23" t="str">
            <v>Option-2</v>
          </cell>
          <cell r="AQ23" t="str">
            <v>Model-3</v>
          </cell>
          <cell r="AS23" t="str">
            <v>Maker Name-3</v>
          </cell>
          <cell r="AU23" t="str">
            <v>Option-3</v>
          </cell>
          <cell r="AW23" t="str">
            <v>Coil Voltage</v>
          </cell>
          <cell r="AX23" t="str">
            <v>AC110-220V</v>
          </cell>
          <cell r="AY23" t="str">
            <v>Setting Tap Range</v>
          </cell>
          <cell r="AZ23" t="str">
            <v>0.1~10A</v>
          </cell>
          <cell r="BA23" t="str">
            <v>Setting Time Range</v>
          </cell>
          <cell r="BB23" t="str">
            <v>0.1~3S</v>
          </cell>
          <cell r="BC23" t="str">
            <v>Setting Lever</v>
          </cell>
          <cell r="BE23" t="str">
            <v>Option &amp; Others</v>
          </cell>
          <cell r="BF23" t="str">
            <v>WITH ZCT RATING 200MA/100MV (DZR-100)</v>
          </cell>
          <cell r="BG23" t="str">
            <v>Compliance Item</v>
          </cell>
        </row>
        <row r="24">
          <cell r="A24" t="str">
            <v>Q4625596</v>
          </cell>
          <cell r="B24" t="str">
            <v>ACTIVE</v>
          </cell>
          <cell r="C24" t="str">
            <v>특정사양품(단수)</v>
          </cell>
          <cell r="D24" t="str">
            <v>Protection Relay</v>
          </cell>
          <cell r="E24" t="str">
            <v>포스코</v>
          </cell>
          <cell r="F24" t="str">
            <v>Q4625596</v>
          </cell>
          <cell r="G24" t="str">
            <v>EOCR,[DSP-CCM-E-100Z7-F/SAMWHA DSP],100-240VAC,LOW VOLTAGE,OR EQUIVALENT</v>
          </cell>
          <cell r="H24" t="str">
            <v>1</v>
          </cell>
          <cell r="I24" t="str">
            <v>EA</v>
          </cell>
          <cell r="J24" t="str">
            <v>L</v>
          </cell>
          <cell r="K24" t="str">
            <v>박재훈</v>
          </cell>
          <cell r="N24" t="str">
            <v>https://www.samwhadsp.com/products/detail/D93RP00176?page=2&amp;returnCate=127&amp;cate=127&amp;</v>
          </cell>
          <cell r="Q24" t="str">
            <v>Used Goods</v>
          </cell>
          <cell r="S24" t="str">
            <v>Green Purchase</v>
          </cell>
          <cell r="T24" t="str">
            <v>NONE</v>
          </cell>
          <cell r="U24" t="str">
            <v>Safety Management</v>
          </cell>
          <cell r="W24" t="str">
            <v>Posco Patent</v>
          </cell>
          <cell r="Y24" t="str">
            <v>Or Equivalent</v>
          </cell>
          <cell r="Z24" t="str">
            <v>OR EQUIVALENT</v>
          </cell>
          <cell r="AA24" t="str">
            <v>Operation Voltage Type</v>
          </cell>
          <cell r="AB24" t="str">
            <v>LOW VOLTAGE</v>
          </cell>
          <cell r="AC24" t="str">
            <v>Application</v>
          </cell>
          <cell r="AD24" t="str">
            <v>EOCR</v>
          </cell>
          <cell r="AE24" t="str">
            <v>Model-1</v>
          </cell>
          <cell r="AF24" t="str">
            <v>DSP-CCM-E-100Z7-F</v>
          </cell>
          <cell r="AG24" t="str">
            <v>Maker Name-1</v>
          </cell>
          <cell r="AH24" t="str">
            <v>SAMWHA DSP</v>
          </cell>
          <cell r="AI24" t="str">
            <v>Option-1</v>
          </cell>
          <cell r="AK24" t="str">
            <v>Model-2</v>
          </cell>
          <cell r="AM24" t="str">
            <v>Maker Name-2</v>
          </cell>
          <cell r="AN24" t="str">
            <v>NONE</v>
          </cell>
          <cell r="AO24" t="str">
            <v>Option-2</v>
          </cell>
          <cell r="AQ24" t="str">
            <v>Model-3</v>
          </cell>
          <cell r="AS24" t="str">
            <v>Maker Name-3</v>
          </cell>
          <cell r="AU24" t="str">
            <v>Option-3</v>
          </cell>
          <cell r="AW24" t="str">
            <v>Coil Voltage</v>
          </cell>
          <cell r="AX24" t="str">
            <v>100-240VAC</v>
          </cell>
          <cell r="AY24" t="str">
            <v>Setting Tap Range</v>
          </cell>
          <cell r="BA24" t="str">
            <v>Setting Time Range</v>
          </cell>
          <cell r="BC24" t="str">
            <v>Setting Lever</v>
          </cell>
          <cell r="BE24" t="str">
            <v>Option &amp; Others</v>
          </cell>
          <cell r="BG24" t="str">
            <v>Compliance Item</v>
          </cell>
        </row>
        <row r="25">
          <cell r="A25" t="str">
            <v>Q4622406</v>
          </cell>
          <cell r="B25" t="str">
            <v>ACTIVE</v>
          </cell>
          <cell r="C25" t="str">
            <v>특정사양품(단수)</v>
          </cell>
          <cell r="D25" t="str">
            <v>Protection Relay</v>
          </cell>
          <cell r="E25" t="str">
            <v>포스코</v>
          </cell>
          <cell r="F25" t="str">
            <v>Q4622406</v>
          </cell>
          <cell r="G25" t="str">
            <v>EOCR,[IFBZ-WRAUHZ/SCHNEIDER],80~250VAC/DC,0.5-80A,LOW VOLTAGE,WITH CT(3CT-H1-100-Z)+CABLE(RJ45-003),100~240VAC/DC,OR EQUIVALENT,KC CERTIFICATE</v>
          </cell>
          <cell r="H25" t="str">
            <v>3</v>
          </cell>
          <cell r="I25" t="str">
            <v>EA</v>
          </cell>
          <cell r="K25" t="str">
            <v>박희선</v>
          </cell>
          <cell r="N25" t="str">
            <v>https://www.se.com/kr/ko/search/?q=IFBZ-WRAUHZ&amp;submit=Search</v>
          </cell>
          <cell r="Q25" t="str">
            <v>Used Goods</v>
          </cell>
          <cell r="S25" t="str">
            <v>Green Purchase</v>
          </cell>
          <cell r="T25" t="str">
            <v>NONE</v>
          </cell>
          <cell r="U25" t="str">
            <v>Safety Management</v>
          </cell>
          <cell r="W25" t="str">
            <v>Posco Patent</v>
          </cell>
          <cell r="Y25" t="str">
            <v>Or Equivalent</v>
          </cell>
          <cell r="Z25" t="str">
            <v>OR EQUIVALENT</v>
          </cell>
          <cell r="AA25" t="str">
            <v>Operation Voltage Type</v>
          </cell>
          <cell r="AB25" t="str">
            <v>LOW VOLTAGE</v>
          </cell>
          <cell r="AC25" t="str">
            <v>Application</v>
          </cell>
          <cell r="AD25" t="str">
            <v>EOCR</v>
          </cell>
          <cell r="AE25" t="str">
            <v>Model-1</v>
          </cell>
          <cell r="AF25" t="str">
            <v>IFBZ-WRAUHZ</v>
          </cell>
          <cell r="AG25" t="str">
            <v>Maker Name-1</v>
          </cell>
          <cell r="AH25" t="str">
            <v>SCHNEIDER</v>
          </cell>
          <cell r="AI25" t="str">
            <v>Option-1</v>
          </cell>
          <cell r="AK25" t="str">
            <v>Model-2</v>
          </cell>
          <cell r="AM25" t="str">
            <v>Maker Name-2</v>
          </cell>
          <cell r="AN25" t="str">
            <v>NONE</v>
          </cell>
          <cell r="AO25" t="str">
            <v>Option-2</v>
          </cell>
          <cell r="AQ25" t="str">
            <v>Model-3</v>
          </cell>
          <cell r="AS25" t="str">
            <v>Maker Name-3</v>
          </cell>
          <cell r="AU25" t="str">
            <v>Option-3</v>
          </cell>
          <cell r="AW25" t="str">
            <v>Coil Voltage</v>
          </cell>
          <cell r="AX25" t="str">
            <v>80~250VAC/DC</v>
          </cell>
          <cell r="AY25" t="str">
            <v>Setting Tap Range</v>
          </cell>
          <cell r="AZ25" t="str">
            <v>0.5-80A</v>
          </cell>
          <cell r="BA25" t="str">
            <v>Setting Time Range</v>
          </cell>
          <cell r="BC25" t="str">
            <v>Setting Lever</v>
          </cell>
          <cell r="BE25" t="str">
            <v>Option &amp; Others</v>
          </cell>
          <cell r="BF25" t="str">
            <v>WITH CT(3CT-H1-100-Z)+CABLE(RJ45-003),100~240VAC/DC</v>
          </cell>
          <cell r="BG25" t="str">
            <v>Compliance Item</v>
          </cell>
          <cell r="BH25" t="str">
            <v>KC CERTIFICATE</v>
          </cell>
        </row>
        <row r="26">
          <cell r="A26" t="str">
            <v>Q4631078</v>
          </cell>
          <cell r="B26" t="str">
            <v>ACTIVE</v>
          </cell>
          <cell r="C26" t="str">
            <v>특정사양품(단수)</v>
          </cell>
          <cell r="D26" t="str">
            <v>Protection Relay</v>
          </cell>
          <cell r="E26" t="str">
            <v>포스코퓨처엠</v>
          </cell>
          <cell r="F26" t="str">
            <v>Q4631078</v>
          </cell>
          <cell r="G26" t="str">
            <v>EOCR,[DMP06I-T/LS],100-260VAC,LOW VOLTAGE</v>
          </cell>
          <cell r="H26" t="str">
            <v>1</v>
          </cell>
          <cell r="I26" t="str">
            <v>EA</v>
          </cell>
          <cell r="J26" t="str">
            <v>L</v>
          </cell>
          <cell r="K26" t="str">
            <v>김주환</v>
          </cell>
          <cell r="N26" t="str">
            <v>https://www.ls-electric.com/ko/product/view/P01054</v>
          </cell>
          <cell r="Q26" t="str">
            <v>Used Goods</v>
          </cell>
          <cell r="S26" t="str">
            <v>Green Purchase</v>
          </cell>
          <cell r="T26" t="str">
            <v>NONE</v>
          </cell>
          <cell r="U26" t="str">
            <v>Safety Management</v>
          </cell>
          <cell r="W26" t="str">
            <v>Posco Patent</v>
          </cell>
          <cell r="Y26" t="str">
            <v>Or Equivalent</v>
          </cell>
          <cell r="AA26" t="str">
            <v>Operation Voltage Type</v>
          </cell>
          <cell r="AB26" t="str">
            <v>LOW VOLTAGE</v>
          </cell>
          <cell r="AC26" t="str">
            <v>Application</v>
          </cell>
          <cell r="AD26" t="str">
            <v>EOCR</v>
          </cell>
          <cell r="AE26" t="str">
            <v>Model-1</v>
          </cell>
          <cell r="AF26" t="str">
            <v>DMP06I-T</v>
          </cell>
          <cell r="AG26" t="str">
            <v>Maker Name-1</v>
          </cell>
          <cell r="AH26" t="str">
            <v>LS</v>
          </cell>
          <cell r="AI26" t="str">
            <v>Option-1</v>
          </cell>
          <cell r="AK26" t="str">
            <v>Model-2</v>
          </cell>
          <cell r="AM26" t="str">
            <v>Maker Name-2</v>
          </cell>
          <cell r="AN26" t="str">
            <v>NONE</v>
          </cell>
          <cell r="AO26" t="str">
            <v>Option-2</v>
          </cell>
          <cell r="AQ26" t="str">
            <v>Model-3</v>
          </cell>
          <cell r="AS26" t="str">
            <v>Maker Name-3</v>
          </cell>
          <cell r="AU26" t="str">
            <v>Option-3</v>
          </cell>
          <cell r="AW26" t="str">
            <v>Coil Voltage</v>
          </cell>
          <cell r="AX26" t="str">
            <v>100-260VAC</v>
          </cell>
          <cell r="AY26" t="str">
            <v>Setting Tap Range</v>
          </cell>
          <cell r="BA26" t="str">
            <v>Setting Time Range</v>
          </cell>
          <cell r="BC26" t="str">
            <v>Setting Lever</v>
          </cell>
          <cell r="BE26" t="str">
            <v>Option &amp; Others</v>
          </cell>
          <cell r="BG26" t="str">
            <v>Compliance Item</v>
          </cell>
        </row>
        <row r="27">
          <cell r="A27" t="str">
            <v>Q3207245</v>
          </cell>
          <cell r="B27" t="str">
            <v>ACTIVE</v>
          </cell>
          <cell r="C27" t="str">
            <v>특정사양품(단수)</v>
          </cell>
          <cell r="D27" t="str">
            <v>Protection Relay</v>
          </cell>
          <cell r="E27" t="str">
            <v>포스코</v>
          </cell>
          <cell r="F27" t="str">
            <v>Q3207245</v>
          </cell>
          <cell r="G27" t="str">
            <v>THERMAL,[MT32/2H3.3/2.5~4.0A/LS],LOW VOLTAGE,THERMAL OVERLOAD RELAY</v>
          </cell>
          <cell r="H27" t="str">
            <v>5</v>
          </cell>
          <cell r="I27" t="str">
            <v>EA</v>
          </cell>
          <cell r="K27" t="str">
            <v>조중열</v>
          </cell>
          <cell r="N27" t="str">
            <v>https://kr.misumi-ec.com/vona2/detail/222005578539/?HissuCode=MT-32-2H-3.3A&amp;list=Compare</v>
          </cell>
          <cell r="Q27" t="str">
            <v>Used Goods</v>
          </cell>
          <cell r="S27" t="str">
            <v>Green Purchase</v>
          </cell>
          <cell r="T27" t="str">
            <v>NONE</v>
          </cell>
          <cell r="U27" t="str">
            <v>Safety Management</v>
          </cell>
          <cell r="W27" t="str">
            <v>Posco Patent</v>
          </cell>
          <cell r="Y27" t="str">
            <v>Or Equivalent</v>
          </cell>
          <cell r="AA27" t="str">
            <v>Operation Voltage Type</v>
          </cell>
          <cell r="AB27" t="str">
            <v>OTHERS</v>
          </cell>
          <cell r="AC27" t="str">
            <v>Application</v>
          </cell>
          <cell r="AD27" t="str">
            <v>Thermal</v>
          </cell>
          <cell r="AE27" t="str">
            <v>Model-1</v>
          </cell>
          <cell r="AF27" t="str">
            <v>MT32/2H3.3/2.5~4.0A</v>
          </cell>
          <cell r="AG27" t="str">
            <v>Maker Name-1</v>
          </cell>
          <cell r="AH27" t="str">
            <v>LS</v>
          </cell>
          <cell r="AI27" t="str">
            <v>Option-1</v>
          </cell>
          <cell r="AK27" t="str">
            <v>Model-2</v>
          </cell>
          <cell r="AM27" t="str">
            <v>Maker Name-2</v>
          </cell>
          <cell r="AN27" t="str">
            <v>NONE</v>
          </cell>
          <cell r="AO27" t="str">
            <v>Option-2</v>
          </cell>
          <cell r="AQ27" t="str">
            <v>Model-3</v>
          </cell>
          <cell r="AS27" t="str">
            <v>Maker Name-3</v>
          </cell>
          <cell r="AU27" t="str">
            <v>Option-3</v>
          </cell>
          <cell r="AW27" t="str">
            <v>Coil Voltage</v>
          </cell>
          <cell r="AX27" t="str">
            <v>OTHERS</v>
          </cell>
          <cell r="AY27" t="str">
            <v>Setting Tap Range</v>
          </cell>
          <cell r="BA27" t="str">
            <v>Setting Time Range</v>
          </cell>
          <cell r="BC27" t="str">
            <v>Setting Lever</v>
          </cell>
          <cell r="BE27" t="str">
            <v>Option &amp; Others</v>
          </cell>
          <cell r="BF27" t="str">
            <v>LOW VOLTAGE,THERMAL OVERLOAD RELAY</v>
          </cell>
          <cell r="BG27" t="str">
            <v>Compliance Item</v>
          </cell>
        </row>
        <row r="28">
          <cell r="A28" t="str">
            <v>Q4641086</v>
          </cell>
          <cell r="B28" t="str">
            <v>ACTIVE</v>
          </cell>
          <cell r="C28" t="str">
            <v>특정사양품(단수)</v>
          </cell>
          <cell r="D28" t="str">
            <v>Protection Relay</v>
          </cell>
          <cell r="E28" t="str">
            <v>포스코퓨처엠</v>
          </cell>
          <cell r="F28" t="str">
            <v>Q4641086</v>
          </cell>
          <cell r="G28" t="str">
            <v>SGR,[GD12-L05A/KYONGBO],AC110-220V,60HZ</v>
          </cell>
          <cell r="H28" t="str">
            <v>1</v>
          </cell>
          <cell r="I28" t="str">
            <v>EA</v>
          </cell>
          <cell r="J28" t="str">
            <v>L</v>
          </cell>
          <cell r="K28" t="str">
            <v>김광민</v>
          </cell>
          <cell r="N28" t="str">
            <v>https://www.kyongbo.co.kr/product/product_view.jsp?flg1=A05&amp;flg2=A0501&amp;flg3=A050102</v>
          </cell>
          <cell r="Q28" t="str">
            <v>Used Goods</v>
          </cell>
          <cell r="S28" t="str">
            <v>Green Purchase</v>
          </cell>
          <cell r="T28" t="str">
            <v>NONE</v>
          </cell>
          <cell r="U28" t="str">
            <v>Safety Management</v>
          </cell>
          <cell r="W28" t="str">
            <v>Posco Patent</v>
          </cell>
          <cell r="Y28" t="str">
            <v>Or Equivalent</v>
          </cell>
          <cell r="AA28" t="str">
            <v>Operation Voltage Type</v>
          </cell>
          <cell r="AB28" t="str">
            <v>OTHERS</v>
          </cell>
          <cell r="AC28" t="str">
            <v>Application</v>
          </cell>
          <cell r="AD28" t="str">
            <v>SGR</v>
          </cell>
          <cell r="AE28" t="str">
            <v>Model-1</v>
          </cell>
          <cell r="AF28" t="str">
            <v>GD12-L05A</v>
          </cell>
          <cell r="AG28" t="str">
            <v>Maker Name-1</v>
          </cell>
          <cell r="AH28" t="str">
            <v>KYONGBO</v>
          </cell>
          <cell r="AI28" t="str">
            <v>Option-1</v>
          </cell>
          <cell r="AK28" t="str">
            <v>Model-2</v>
          </cell>
          <cell r="AM28" t="str">
            <v>Maker Name-2</v>
          </cell>
          <cell r="AN28" t="str">
            <v>NONE</v>
          </cell>
          <cell r="AO28" t="str">
            <v>Option-2</v>
          </cell>
          <cell r="AQ28" t="str">
            <v>Model-3</v>
          </cell>
          <cell r="AS28" t="str">
            <v>Maker Name-3</v>
          </cell>
          <cell r="AU28" t="str">
            <v>Option-3</v>
          </cell>
          <cell r="AW28" t="str">
            <v>Coil Voltage</v>
          </cell>
          <cell r="AX28" t="str">
            <v>AC110-220V</v>
          </cell>
          <cell r="AY28" t="str">
            <v>Setting Tap Range</v>
          </cell>
          <cell r="BA28" t="str">
            <v>Setting Time Range</v>
          </cell>
          <cell r="BC28" t="str">
            <v>Setting Lever</v>
          </cell>
          <cell r="BE28" t="str">
            <v>Option &amp; Others</v>
          </cell>
          <cell r="BF28" t="str">
            <v>60HZ</v>
          </cell>
          <cell r="BG28" t="str">
            <v>Compliance Item</v>
          </cell>
        </row>
        <row r="29">
          <cell r="A29" t="str">
            <v>Q2147670</v>
          </cell>
          <cell r="B29" t="str">
            <v>ACTIVE</v>
          </cell>
          <cell r="C29" t="str">
            <v>특정사양품(단수)</v>
          </cell>
          <cell r="D29" t="str">
            <v>Protection Relay</v>
          </cell>
          <cell r="E29" t="str">
            <v>포스코</v>
          </cell>
          <cell r="F29" t="str">
            <v>Q2147670</v>
          </cell>
          <cell r="G29" t="str">
            <v>EOCR,[EOCR-3MZ2-WRCUWZ/SCHNIDER ELECTRIC],100-240VAC,0.5~80A,LOW VOLTAGE,KC CERTIFICATE</v>
          </cell>
          <cell r="H29" t="str">
            <v>6</v>
          </cell>
          <cell r="I29" t="str">
            <v>EA</v>
          </cell>
          <cell r="K29" t="str">
            <v>배재천</v>
          </cell>
          <cell r="N29" t="str">
            <v>https://download.schneider-electric.com/files?p_enDocType=Catalog&amp;p_File_Name=Innovated-nEOCR_Catalog_0219.pdf&amp;p_Doc_Ref=Innovated-nEOCR_Catalog_0219</v>
          </cell>
          <cell r="Q29" t="str">
            <v>Used Goods</v>
          </cell>
          <cell r="S29" t="str">
            <v>Green Purchase</v>
          </cell>
          <cell r="T29" t="str">
            <v>NONE</v>
          </cell>
          <cell r="U29" t="str">
            <v>Safety Management</v>
          </cell>
          <cell r="W29" t="str">
            <v>Posco Patent</v>
          </cell>
          <cell r="Y29" t="str">
            <v>Or Equivalent</v>
          </cell>
          <cell r="AA29" t="str">
            <v>Operation Voltage Type</v>
          </cell>
          <cell r="AB29" t="str">
            <v>LOW VOLTAGE</v>
          </cell>
          <cell r="AC29" t="str">
            <v>Application</v>
          </cell>
          <cell r="AD29" t="str">
            <v>EOCR</v>
          </cell>
          <cell r="AE29" t="str">
            <v>Model-1</v>
          </cell>
          <cell r="AF29" t="str">
            <v>EOCR-3MZ2-WRCUWZ</v>
          </cell>
          <cell r="AG29" t="str">
            <v>Maker Name-1</v>
          </cell>
          <cell r="AH29" t="str">
            <v>SCHNIDER ELECTRIC</v>
          </cell>
          <cell r="AI29" t="str">
            <v>Option-1</v>
          </cell>
          <cell r="AK29" t="str">
            <v>Model-2</v>
          </cell>
          <cell r="AM29" t="str">
            <v>Maker Name-2</v>
          </cell>
          <cell r="AN29" t="str">
            <v>NONE</v>
          </cell>
          <cell r="AO29" t="str">
            <v>Option-2</v>
          </cell>
          <cell r="AQ29" t="str">
            <v>Model-3</v>
          </cell>
          <cell r="AS29" t="str">
            <v>Maker Name-3</v>
          </cell>
          <cell r="AU29" t="str">
            <v>Option-3</v>
          </cell>
          <cell r="AW29" t="str">
            <v>Coil Voltage</v>
          </cell>
          <cell r="AX29" t="str">
            <v>100-240VAC</v>
          </cell>
          <cell r="AY29" t="str">
            <v>Setting Tap Range</v>
          </cell>
          <cell r="AZ29" t="str">
            <v>0.5~80A</v>
          </cell>
          <cell r="BA29" t="str">
            <v>Setting Time Range</v>
          </cell>
          <cell r="BC29" t="str">
            <v>Setting Lever</v>
          </cell>
          <cell r="BE29" t="str">
            <v>Option &amp; Others</v>
          </cell>
          <cell r="BG29" t="str">
            <v>Compliance Item</v>
          </cell>
          <cell r="BH29" t="str">
            <v>KC CERTIFICATE</v>
          </cell>
        </row>
        <row r="30">
          <cell r="A30" t="str">
            <v>Q4657312</v>
          </cell>
          <cell r="B30" t="str">
            <v>ACTIVE</v>
          </cell>
          <cell r="C30" t="str">
            <v>특정사양품(단수)</v>
          </cell>
          <cell r="D30" t="str">
            <v>Protection Relay</v>
          </cell>
          <cell r="E30" t="str">
            <v>포스코</v>
          </cell>
          <cell r="F30" t="str">
            <v>Q4657312</v>
          </cell>
          <cell r="G30" t="str">
            <v>[DMP65I-TZ/LS],80~250VAC/DC,OR EQUIVALENT</v>
          </cell>
          <cell r="H30" t="str">
            <v>1</v>
          </cell>
          <cell r="I30" t="str">
            <v>EA</v>
          </cell>
          <cell r="J30" t="str">
            <v>L</v>
          </cell>
          <cell r="K30" t="str">
            <v>이태호</v>
          </cell>
          <cell r="N30" t="str">
            <v>https://www.ls-electric.com/ko/product/view/P01054</v>
          </cell>
          <cell r="Q30" t="str">
            <v>Used Goods</v>
          </cell>
          <cell r="S30" t="str">
            <v>Green Purchase</v>
          </cell>
          <cell r="T30" t="str">
            <v>NONE</v>
          </cell>
          <cell r="U30" t="str">
            <v>Safety Management</v>
          </cell>
          <cell r="W30" t="str">
            <v>Posco Patent</v>
          </cell>
          <cell r="Y30" t="str">
            <v>Or Equivalent</v>
          </cell>
          <cell r="Z30" t="str">
            <v>OR EQUIVALENT</v>
          </cell>
          <cell r="AA30" t="str">
            <v>Operation Voltage Type</v>
          </cell>
          <cell r="AB30" t="str">
            <v>OTHERS</v>
          </cell>
          <cell r="AC30" t="str">
            <v>Application</v>
          </cell>
          <cell r="AD30" t="str">
            <v>OTHERS</v>
          </cell>
          <cell r="AE30" t="str">
            <v>Model-1</v>
          </cell>
          <cell r="AF30" t="str">
            <v>DMP65I-TZ</v>
          </cell>
          <cell r="AG30" t="str">
            <v>Maker Name-1</v>
          </cell>
          <cell r="AH30" t="str">
            <v>LS</v>
          </cell>
          <cell r="AI30" t="str">
            <v>Option-1</v>
          </cell>
          <cell r="AK30" t="str">
            <v>Model-2</v>
          </cell>
          <cell r="AM30" t="str">
            <v>Maker Name-2</v>
          </cell>
          <cell r="AN30" t="str">
            <v>NONE</v>
          </cell>
          <cell r="AO30" t="str">
            <v>Option-2</v>
          </cell>
          <cell r="AQ30" t="str">
            <v>Model-3</v>
          </cell>
          <cell r="AS30" t="str">
            <v>Maker Name-3</v>
          </cell>
          <cell r="AU30" t="str">
            <v>Option-3</v>
          </cell>
          <cell r="AW30" t="str">
            <v>Coil Voltage</v>
          </cell>
          <cell r="AX30" t="str">
            <v>80~250VAC/DC</v>
          </cell>
          <cell r="AY30" t="str">
            <v>Setting Tap Range</v>
          </cell>
          <cell r="BA30" t="str">
            <v>Setting Time Range</v>
          </cell>
          <cell r="BC30" t="str">
            <v>Setting Lever</v>
          </cell>
          <cell r="BE30" t="str">
            <v>Option &amp; Others</v>
          </cell>
          <cell r="BG30" t="str">
            <v>Compliance Item</v>
          </cell>
        </row>
        <row r="31">
          <cell r="A31" t="str">
            <v>Q4666232</v>
          </cell>
          <cell r="B31" t="str">
            <v>ACTIVE</v>
          </cell>
          <cell r="C31" t="str">
            <v>특정사양품(단수)</v>
          </cell>
          <cell r="D31" t="str">
            <v>Protection Relay</v>
          </cell>
          <cell r="E31" t="str">
            <v>포스코</v>
          </cell>
          <cell r="F31" t="str">
            <v>Q4666232</v>
          </cell>
          <cell r="G31" t="str">
            <v>EOCR,[DSP-AOM-02Z7-ZCT-F/SAMWHADSP],100-240VAC,LOW VOLTAGE,OR EQUIVALENT</v>
          </cell>
          <cell r="H31" t="str">
            <v>1</v>
          </cell>
          <cell r="I31" t="str">
            <v>EA</v>
          </cell>
          <cell r="J31" t="str">
            <v>L</v>
          </cell>
          <cell r="K31" t="str">
            <v>이용우</v>
          </cell>
          <cell r="N31" t="str">
            <v>www.samwhadsp.com/products/detail/D93RP00168?page=1&amp;returnCate=127&amp;cate=127&amp;keyword=AOM&amp;</v>
          </cell>
          <cell r="Q31" t="str">
            <v>Used Goods</v>
          </cell>
          <cell r="S31" t="str">
            <v>Green Purchase</v>
          </cell>
          <cell r="T31" t="str">
            <v>NONE</v>
          </cell>
          <cell r="U31" t="str">
            <v>Safety Management</v>
          </cell>
          <cell r="W31" t="str">
            <v>Posco Patent</v>
          </cell>
          <cell r="Y31" t="str">
            <v>Or Equivalent</v>
          </cell>
          <cell r="Z31" t="str">
            <v>OR EQUIVALENT</v>
          </cell>
          <cell r="AA31" t="str">
            <v>Operation Voltage Type</v>
          </cell>
          <cell r="AB31" t="str">
            <v>LOW VOLTAGE</v>
          </cell>
          <cell r="AC31" t="str">
            <v>Application</v>
          </cell>
          <cell r="AD31" t="str">
            <v>EOCR</v>
          </cell>
          <cell r="AE31" t="str">
            <v>Model-1</v>
          </cell>
          <cell r="AF31" t="str">
            <v>DSP-AOM-02Z7-ZCT-F</v>
          </cell>
          <cell r="AG31" t="str">
            <v>Maker Name-1</v>
          </cell>
          <cell r="AH31" t="str">
            <v>SAMWHADSP</v>
          </cell>
          <cell r="AI31" t="str">
            <v>Option-1</v>
          </cell>
          <cell r="AK31" t="str">
            <v>Model-2</v>
          </cell>
          <cell r="AM31" t="str">
            <v>Maker Name-2</v>
          </cell>
          <cell r="AN31" t="str">
            <v>NONE</v>
          </cell>
          <cell r="AO31" t="str">
            <v>Option-2</v>
          </cell>
          <cell r="AQ31" t="str">
            <v>Model-3</v>
          </cell>
          <cell r="AS31" t="str">
            <v>Maker Name-3</v>
          </cell>
          <cell r="AU31" t="str">
            <v>Option-3</v>
          </cell>
          <cell r="AW31" t="str">
            <v>Coil Voltage</v>
          </cell>
          <cell r="AX31" t="str">
            <v>100-240VAC</v>
          </cell>
          <cell r="AY31" t="str">
            <v>Setting Tap Range</v>
          </cell>
          <cell r="BA31" t="str">
            <v>Setting Time Range</v>
          </cell>
          <cell r="BC31" t="str">
            <v>Setting Lever</v>
          </cell>
          <cell r="BE31" t="str">
            <v>Option &amp; Others</v>
          </cell>
          <cell r="BG31" t="str">
            <v>Compliance Item</v>
          </cell>
        </row>
        <row r="32">
          <cell r="A32" t="str">
            <v>Q4666236</v>
          </cell>
          <cell r="B32" t="str">
            <v>ACTIVE</v>
          </cell>
          <cell r="C32" t="str">
            <v>특정사양품(단수)</v>
          </cell>
          <cell r="D32" t="str">
            <v>Protection Relay</v>
          </cell>
          <cell r="E32" t="str">
            <v>포스코</v>
          </cell>
          <cell r="F32" t="str">
            <v>Q4666236</v>
          </cell>
          <cell r="G32" t="str">
            <v>EOCR,[DSP-AOM-10Z7-ZCT-F/SAMWHADSP],100-240VAC,LOW VOLTAGE,OR EQUIVALENT</v>
          </cell>
          <cell r="H32" t="str">
            <v>1</v>
          </cell>
          <cell r="I32" t="str">
            <v>EA</v>
          </cell>
          <cell r="J32" t="str">
            <v>L</v>
          </cell>
          <cell r="K32" t="str">
            <v>이용우</v>
          </cell>
          <cell r="N32" t="str">
            <v>www.samwhadsp.com/products/detail/D93RP00168?page=1&amp;returnCate=127&amp;cate=127&amp;keyword=AOM&amp;</v>
          </cell>
          <cell r="Q32" t="str">
            <v>Used Goods</v>
          </cell>
          <cell r="S32" t="str">
            <v>Green Purchase</v>
          </cell>
          <cell r="T32" t="str">
            <v>NONE</v>
          </cell>
          <cell r="U32" t="str">
            <v>Safety Management</v>
          </cell>
          <cell r="W32" t="str">
            <v>Posco Patent</v>
          </cell>
          <cell r="Y32" t="str">
            <v>Or Equivalent</v>
          </cell>
          <cell r="Z32" t="str">
            <v>OR EQUIVALENT</v>
          </cell>
          <cell r="AA32" t="str">
            <v>Operation Voltage Type</v>
          </cell>
          <cell r="AB32" t="str">
            <v>LOW VOLTAGE</v>
          </cell>
          <cell r="AC32" t="str">
            <v>Application</v>
          </cell>
          <cell r="AD32" t="str">
            <v>EOCR</v>
          </cell>
          <cell r="AE32" t="str">
            <v>Model-1</v>
          </cell>
          <cell r="AF32" t="str">
            <v>DSP-AOM-10Z7-ZCT-F</v>
          </cell>
          <cell r="AG32" t="str">
            <v>Maker Name-1</v>
          </cell>
          <cell r="AH32" t="str">
            <v>SAMWHADSP</v>
          </cell>
          <cell r="AI32" t="str">
            <v>Option-1</v>
          </cell>
          <cell r="AK32" t="str">
            <v>Model-2</v>
          </cell>
          <cell r="AM32" t="str">
            <v>Maker Name-2</v>
          </cell>
          <cell r="AN32" t="str">
            <v>NONE</v>
          </cell>
          <cell r="AO32" t="str">
            <v>Option-2</v>
          </cell>
          <cell r="AQ32" t="str">
            <v>Model-3</v>
          </cell>
          <cell r="AS32" t="str">
            <v>Maker Name-3</v>
          </cell>
          <cell r="AU32" t="str">
            <v>Option-3</v>
          </cell>
          <cell r="AW32" t="str">
            <v>Coil Voltage</v>
          </cell>
          <cell r="AX32" t="str">
            <v>100-240VAC</v>
          </cell>
          <cell r="AY32" t="str">
            <v>Setting Tap Range</v>
          </cell>
          <cell r="BA32" t="str">
            <v>Setting Time Range</v>
          </cell>
          <cell r="BC32" t="str">
            <v>Setting Lever</v>
          </cell>
          <cell r="BE32" t="str">
            <v>Option &amp; Others</v>
          </cell>
          <cell r="BG32" t="str">
            <v>Compliance Item</v>
          </cell>
        </row>
        <row r="33">
          <cell r="A33" t="str">
            <v>Q4666301</v>
          </cell>
          <cell r="B33" t="str">
            <v>ACTIVE</v>
          </cell>
          <cell r="C33" t="str">
            <v>특정사양품(단수)</v>
          </cell>
          <cell r="D33" t="str">
            <v>Protection Relay</v>
          </cell>
          <cell r="E33" t="str">
            <v>포스코</v>
          </cell>
          <cell r="F33" t="str">
            <v>Q4666301</v>
          </cell>
          <cell r="G33" t="str">
            <v>EOCR,[DSP-AOM-70Z7-ZCT-F/SAMWHADSP],100-240VAC,LOW VOLTAGE,OR EQUIVALENT</v>
          </cell>
          <cell r="H33" t="str">
            <v>1</v>
          </cell>
          <cell r="I33" t="str">
            <v>EA</v>
          </cell>
          <cell r="J33" t="str">
            <v>L</v>
          </cell>
          <cell r="K33" t="str">
            <v>이용우</v>
          </cell>
          <cell r="N33" t="str">
            <v>www.samwhadsp.com/products/detail/D93RP00168?page=1&amp;returnCate=127&amp;cate=127&amp;keyword=AOM&amp;</v>
          </cell>
          <cell r="Q33" t="str">
            <v>Used Goods</v>
          </cell>
          <cell r="S33" t="str">
            <v>Green Purchase</v>
          </cell>
          <cell r="T33" t="str">
            <v>NONE</v>
          </cell>
          <cell r="U33" t="str">
            <v>Safety Management</v>
          </cell>
          <cell r="W33" t="str">
            <v>Posco Patent</v>
          </cell>
          <cell r="Y33" t="str">
            <v>Or Equivalent</v>
          </cell>
          <cell r="Z33" t="str">
            <v>OR EQUIVALENT</v>
          </cell>
          <cell r="AA33" t="str">
            <v>Operation Voltage Type</v>
          </cell>
          <cell r="AB33" t="str">
            <v>LOW VOLTAGE</v>
          </cell>
          <cell r="AC33" t="str">
            <v>Application</v>
          </cell>
          <cell r="AD33" t="str">
            <v>EOCR</v>
          </cell>
          <cell r="AE33" t="str">
            <v>Model-1</v>
          </cell>
          <cell r="AF33" t="str">
            <v>DSP-AOM-70Z7-ZCT-F</v>
          </cell>
          <cell r="AG33" t="str">
            <v>Maker Name-1</v>
          </cell>
          <cell r="AH33" t="str">
            <v>SAMWHADSP</v>
          </cell>
          <cell r="AI33" t="str">
            <v>Option-1</v>
          </cell>
          <cell r="AK33" t="str">
            <v>Model-2</v>
          </cell>
          <cell r="AM33" t="str">
            <v>Maker Name-2</v>
          </cell>
          <cell r="AN33" t="str">
            <v>NONE</v>
          </cell>
          <cell r="AO33" t="str">
            <v>Option-2</v>
          </cell>
          <cell r="AQ33" t="str">
            <v>Model-3</v>
          </cell>
          <cell r="AS33" t="str">
            <v>Maker Name-3</v>
          </cell>
          <cell r="AU33" t="str">
            <v>Option-3</v>
          </cell>
          <cell r="AW33" t="str">
            <v>Coil Voltage</v>
          </cell>
          <cell r="AX33" t="str">
            <v>100-240VAC</v>
          </cell>
          <cell r="AY33" t="str">
            <v>Setting Tap Range</v>
          </cell>
          <cell r="BA33" t="str">
            <v>Setting Time Range</v>
          </cell>
          <cell r="BC33" t="str">
            <v>Setting Lever</v>
          </cell>
          <cell r="BE33" t="str">
            <v>Option &amp; Others</v>
          </cell>
          <cell r="BG33" t="str">
            <v>Compliance Item</v>
          </cell>
        </row>
        <row r="34">
          <cell r="A34" t="str">
            <v>Q4670965</v>
          </cell>
          <cell r="B34" t="str">
            <v>ACTIVE</v>
          </cell>
          <cell r="C34" t="str">
            <v>특정사양품(단수)</v>
          </cell>
          <cell r="D34" t="str">
            <v>Protection Relay</v>
          </cell>
          <cell r="E34" t="str">
            <v>포스코퓨처엠</v>
          </cell>
          <cell r="F34" t="str">
            <v>Q4670965</v>
          </cell>
          <cell r="G34" t="str">
            <v>[WYGF-D11T/WOONYOUNG],AC110-220V,HIGH VOLTAGE</v>
          </cell>
          <cell r="H34" t="str">
            <v>1</v>
          </cell>
          <cell r="I34" t="str">
            <v>EA</v>
          </cell>
          <cell r="J34" t="str">
            <v>L</v>
          </cell>
          <cell r="K34" t="str">
            <v>정종민</v>
          </cell>
          <cell r="N34" t="str">
            <v>https://woonyoung.com/page/s0201_mid.php?gcatecode=1337921322&amp;gcname=%EC%A7%80%EB%9D%BD%EA%B2%80%EC%B6%9C%EA%B3%84%EC%A0%84%EA%B8%B0&amp;gn_sub=GFR</v>
          </cell>
          <cell r="Q34" t="str">
            <v>Used Goods</v>
          </cell>
          <cell r="S34" t="str">
            <v>Green Purchase</v>
          </cell>
          <cell r="T34" t="str">
            <v>NONE</v>
          </cell>
          <cell r="U34" t="str">
            <v>Safety Management</v>
          </cell>
          <cell r="W34" t="str">
            <v>Posco Patent</v>
          </cell>
          <cell r="Y34" t="str">
            <v>Or Equivalent</v>
          </cell>
          <cell r="AA34" t="str">
            <v>Operation Voltage Type</v>
          </cell>
          <cell r="AB34" t="str">
            <v>HIGH VOLTAGE</v>
          </cell>
          <cell r="AC34" t="str">
            <v>Application</v>
          </cell>
          <cell r="AD34" t="str">
            <v>OTHERS</v>
          </cell>
          <cell r="AE34" t="str">
            <v>Model-1</v>
          </cell>
          <cell r="AF34" t="str">
            <v>WYGF-D11T</v>
          </cell>
          <cell r="AG34" t="str">
            <v>Maker Name-1</v>
          </cell>
          <cell r="AH34" t="str">
            <v>WOONYOUNG</v>
          </cell>
          <cell r="AI34" t="str">
            <v>Option-1</v>
          </cell>
          <cell r="AK34" t="str">
            <v>Model-2</v>
          </cell>
          <cell r="AM34" t="str">
            <v>Maker Name-2</v>
          </cell>
          <cell r="AN34" t="str">
            <v>NONE</v>
          </cell>
          <cell r="AO34" t="str">
            <v>Option-2</v>
          </cell>
          <cell r="AQ34" t="str">
            <v>Model-3</v>
          </cell>
          <cell r="AS34" t="str">
            <v>Maker Name-3</v>
          </cell>
          <cell r="AU34" t="str">
            <v>Option-3</v>
          </cell>
          <cell r="AW34" t="str">
            <v>Coil Voltage</v>
          </cell>
          <cell r="AX34" t="str">
            <v>AC110-220V</v>
          </cell>
          <cell r="AY34" t="str">
            <v>Setting Tap Range</v>
          </cell>
          <cell r="BA34" t="str">
            <v>Setting Time Range</v>
          </cell>
          <cell r="BC34" t="str">
            <v>Setting Lever</v>
          </cell>
          <cell r="BE34" t="str">
            <v>Option &amp; Others</v>
          </cell>
          <cell r="BG34" t="str">
            <v>Compliance Item</v>
          </cell>
        </row>
        <row r="35">
          <cell r="A35" t="str">
            <v>Q4671428</v>
          </cell>
          <cell r="B35" t="str">
            <v>ACTIVE</v>
          </cell>
          <cell r="C35" t="str">
            <v>특정사양품(단수)</v>
          </cell>
          <cell r="D35" t="str">
            <v>Protection Relay</v>
          </cell>
          <cell r="E35" t="str">
            <v>포스코인터</v>
          </cell>
          <cell r="F35" t="str">
            <v>Q4671428</v>
          </cell>
          <cell r="G35" t="str">
            <v>THERMAL,[MT-32/3H6.5/LS],AC 220V,5~8A,LOW VOLTAGE</v>
          </cell>
          <cell r="H35" t="str">
            <v>1</v>
          </cell>
          <cell r="I35" t="str">
            <v>EA</v>
          </cell>
          <cell r="J35" t="str">
            <v>L</v>
          </cell>
          <cell r="K35" t="str">
            <v>이성진</v>
          </cell>
          <cell r="N35" t="str">
            <v>https://tbs.ls-electric.com/tbsdata/FileRepository/CTLG/%5BMetasol_MS%5D_EN_C04002-32-202304.pdf</v>
          </cell>
          <cell r="Q35" t="str">
            <v>Used Goods</v>
          </cell>
          <cell r="S35" t="str">
            <v>Green Purchase</v>
          </cell>
          <cell r="T35" t="str">
            <v>NONE</v>
          </cell>
          <cell r="U35" t="str">
            <v>Safety Management</v>
          </cell>
          <cell r="W35" t="str">
            <v>Posco Patent</v>
          </cell>
          <cell r="Y35" t="str">
            <v>Or Equivalent</v>
          </cell>
          <cell r="AA35" t="str">
            <v>Operation Voltage Type</v>
          </cell>
          <cell r="AB35" t="str">
            <v>LOW VOLTAGE</v>
          </cell>
          <cell r="AC35" t="str">
            <v>Application</v>
          </cell>
          <cell r="AD35" t="str">
            <v>THERMAL</v>
          </cell>
          <cell r="AE35" t="str">
            <v>Model-1</v>
          </cell>
          <cell r="AF35" t="str">
            <v>MT-32/3H6.5</v>
          </cell>
          <cell r="AG35" t="str">
            <v>Maker Name-1</v>
          </cell>
          <cell r="AH35" t="str">
            <v>LS</v>
          </cell>
          <cell r="AI35" t="str">
            <v>Option-1</v>
          </cell>
          <cell r="AK35" t="str">
            <v>Model-2</v>
          </cell>
          <cell r="AM35" t="str">
            <v>Maker Name-2</v>
          </cell>
          <cell r="AN35" t="str">
            <v>NONE</v>
          </cell>
          <cell r="AO35" t="str">
            <v>Option-2</v>
          </cell>
          <cell r="AQ35" t="str">
            <v>Model-3</v>
          </cell>
          <cell r="AS35" t="str">
            <v>Maker Name-3</v>
          </cell>
          <cell r="AU35" t="str">
            <v>Option-3</v>
          </cell>
          <cell r="AW35" t="str">
            <v>Coil Voltage</v>
          </cell>
          <cell r="AX35" t="str">
            <v>AC 220V</v>
          </cell>
          <cell r="AY35" t="str">
            <v>Setting Tap Range</v>
          </cell>
          <cell r="AZ35" t="str">
            <v>5~8A</v>
          </cell>
          <cell r="BA35" t="str">
            <v>Setting Time Range</v>
          </cell>
          <cell r="BC35" t="str">
            <v>Setting Lever</v>
          </cell>
          <cell r="BE35" t="str">
            <v>Option &amp; Others</v>
          </cell>
          <cell r="BG35" t="str">
            <v>Compliance Item</v>
          </cell>
        </row>
        <row r="36">
          <cell r="A36" t="str">
            <v>Q4671429</v>
          </cell>
          <cell r="B36" t="str">
            <v>ACTIVE</v>
          </cell>
          <cell r="C36" t="str">
            <v>특정사양품(단수)</v>
          </cell>
          <cell r="D36" t="str">
            <v>Protection Relay</v>
          </cell>
          <cell r="E36" t="str">
            <v>포스코인터</v>
          </cell>
          <cell r="F36" t="str">
            <v>Q4671429</v>
          </cell>
          <cell r="G36" t="str">
            <v>THERMAL,[MT-32/3H5/LS],AC 220V,4~6A,LOW VOLTAGE</v>
          </cell>
          <cell r="H36" t="str">
            <v>1</v>
          </cell>
          <cell r="I36" t="str">
            <v>EA</v>
          </cell>
          <cell r="J36" t="str">
            <v>L</v>
          </cell>
          <cell r="K36" t="str">
            <v>이성진</v>
          </cell>
          <cell r="N36" t="str">
            <v>https://tbs.ls-electric.com/tbsdata/FileRepository/CTLG/%5BMetasol_MS%5D_EN_C04002-32-202304.pdf</v>
          </cell>
          <cell r="Q36" t="str">
            <v>Used Goods</v>
          </cell>
          <cell r="S36" t="str">
            <v>Green Purchase</v>
          </cell>
          <cell r="T36" t="str">
            <v>NONE</v>
          </cell>
          <cell r="U36" t="str">
            <v>Safety Management</v>
          </cell>
          <cell r="W36" t="str">
            <v>Posco Patent</v>
          </cell>
          <cell r="Y36" t="str">
            <v>Or Equivalent</v>
          </cell>
          <cell r="AA36" t="str">
            <v>Operation Voltage Type</v>
          </cell>
          <cell r="AB36" t="str">
            <v>LOW VOLTAGE</v>
          </cell>
          <cell r="AC36" t="str">
            <v>Application</v>
          </cell>
          <cell r="AD36" t="str">
            <v>THERMAL</v>
          </cell>
          <cell r="AE36" t="str">
            <v>Model-1</v>
          </cell>
          <cell r="AF36" t="str">
            <v>MT-32/3H5</v>
          </cell>
          <cell r="AG36" t="str">
            <v>Maker Name-1</v>
          </cell>
          <cell r="AH36" t="str">
            <v>LS</v>
          </cell>
          <cell r="AI36" t="str">
            <v>Option-1</v>
          </cell>
          <cell r="AK36" t="str">
            <v>Model-2</v>
          </cell>
          <cell r="AM36" t="str">
            <v>Maker Name-2</v>
          </cell>
          <cell r="AN36" t="str">
            <v>NONE</v>
          </cell>
          <cell r="AO36" t="str">
            <v>Option-2</v>
          </cell>
          <cell r="AQ36" t="str">
            <v>Model-3</v>
          </cell>
          <cell r="AS36" t="str">
            <v>Maker Name-3</v>
          </cell>
          <cell r="AU36" t="str">
            <v>Option-3</v>
          </cell>
          <cell r="AW36" t="str">
            <v>Coil Voltage</v>
          </cell>
          <cell r="AX36" t="str">
            <v>AC 220V</v>
          </cell>
          <cell r="AY36" t="str">
            <v>Setting Tap Range</v>
          </cell>
          <cell r="AZ36" t="str">
            <v>4~6A</v>
          </cell>
          <cell r="BA36" t="str">
            <v>Setting Time Range</v>
          </cell>
          <cell r="BC36" t="str">
            <v>Setting Lever</v>
          </cell>
          <cell r="BE36" t="str">
            <v>Option &amp; Others</v>
          </cell>
          <cell r="BG36" t="str">
            <v>Compliance Item</v>
          </cell>
        </row>
        <row r="37">
          <cell r="A37" t="str">
            <v>Q4671430</v>
          </cell>
          <cell r="B37" t="str">
            <v>ACTIVE</v>
          </cell>
          <cell r="C37" t="str">
            <v>특정사양품(단수)</v>
          </cell>
          <cell r="D37" t="str">
            <v>Protection Relay</v>
          </cell>
          <cell r="E37" t="str">
            <v>포스코인터</v>
          </cell>
          <cell r="F37" t="str">
            <v>Q4671430</v>
          </cell>
          <cell r="G37" t="str">
            <v>THERMAL,[MT-32/3H3.3/LS],AC 220V,2.5~4A,LOW VOLTAGE</v>
          </cell>
          <cell r="H37" t="str">
            <v>1</v>
          </cell>
          <cell r="I37" t="str">
            <v>EA</v>
          </cell>
          <cell r="J37" t="str">
            <v>L</v>
          </cell>
          <cell r="K37" t="str">
            <v>이성진</v>
          </cell>
          <cell r="N37" t="str">
            <v>https://tbs.ls-electric.com/tbsdata/FileRepository/CTLG/%5BMetasol_MS%5D_EN_C04002-32-202304.pdf</v>
          </cell>
          <cell r="Q37" t="str">
            <v>Used Goods</v>
          </cell>
          <cell r="S37" t="str">
            <v>Green Purchase</v>
          </cell>
          <cell r="T37" t="str">
            <v>NONE</v>
          </cell>
          <cell r="U37" t="str">
            <v>Safety Management</v>
          </cell>
          <cell r="W37" t="str">
            <v>Posco Patent</v>
          </cell>
          <cell r="Y37" t="str">
            <v>Or Equivalent</v>
          </cell>
          <cell r="AA37" t="str">
            <v>Operation Voltage Type</v>
          </cell>
          <cell r="AB37" t="str">
            <v>LOW VOLTAGE</v>
          </cell>
          <cell r="AC37" t="str">
            <v>Application</v>
          </cell>
          <cell r="AD37" t="str">
            <v>THERMAL</v>
          </cell>
          <cell r="AE37" t="str">
            <v>Model-1</v>
          </cell>
          <cell r="AF37" t="str">
            <v>MT-32/3H3.3</v>
          </cell>
          <cell r="AG37" t="str">
            <v>Maker Name-1</v>
          </cell>
          <cell r="AH37" t="str">
            <v>LS</v>
          </cell>
          <cell r="AI37" t="str">
            <v>Option-1</v>
          </cell>
          <cell r="AK37" t="str">
            <v>Model-2</v>
          </cell>
          <cell r="AM37" t="str">
            <v>Maker Name-2</v>
          </cell>
          <cell r="AN37" t="str">
            <v>NONE</v>
          </cell>
          <cell r="AO37" t="str">
            <v>Option-2</v>
          </cell>
          <cell r="AQ37" t="str">
            <v>Model-3</v>
          </cell>
          <cell r="AS37" t="str">
            <v>Maker Name-3</v>
          </cell>
          <cell r="AU37" t="str">
            <v>Option-3</v>
          </cell>
          <cell r="AW37" t="str">
            <v>Coil Voltage</v>
          </cell>
          <cell r="AX37" t="str">
            <v>AC 220V</v>
          </cell>
          <cell r="AY37" t="str">
            <v>Setting Tap Range</v>
          </cell>
          <cell r="AZ37" t="str">
            <v>2.5~4A</v>
          </cell>
          <cell r="BA37" t="str">
            <v>Setting Time Range</v>
          </cell>
          <cell r="BC37" t="str">
            <v>Setting Lever</v>
          </cell>
          <cell r="BE37" t="str">
            <v>Option &amp; Others</v>
          </cell>
          <cell r="BG37" t="str">
            <v>Compliance Item</v>
          </cell>
        </row>
        <row r="38">
          <cell r="A38" t="str">
            <v>Q4671431</v>
          </cell>
          <cell r="B38" t="str">
            <v>ACTIVE</v>
          </cell>
          <cell r="C38" t="str">
            <v>특정사양품(단수)</v>
          </cell>
          <cell r="D38" t="str">
            <v>Protection Relay</v>
          </cell>
          <cell r="E38" t="str">
            <v>포스코인터</v>
          </cell>
          <cell r="F38" t="str">
            <v>Q4671431</v>
          </cell>
          <cell r="G38" t="str">
            <v>THERMAL,[MT-32/3H2.1/LS],AC 220V,1.6~2.5A,LOW VOLTAGE</v>
          </cell>
          <cell r="H38" t="str">
            <v>1</v>
          </cell>
          <cell r="I38" t="str">
            <v>EA</v>
          </cell>
          <cell r="J38" t="str">
            <v>L</v>
          </cell>
          <cell r="K38" t="str">
            <v>이성진</v>
          </cell>
          <cell r="N38" t="str">
            <v>https://tbs.ls-electric.com/tbsdata/FileRepository/CTLG/%5BMetasol_MS%5D_EN_C04002-32-202304.pdf</v>
          </cell>
          <cell r="Q38" t="str">
            <v>Used Goods</v>
          </cell>
          <cell r="S38" t="str">
            <v>Green Purchase</v>
          </cell>
          <cell r="T38" t="str">
            <v>NONE</v>
          </cell>
          <cell r="U38" t="str">
            <v>Safety Management</v>
          </cell>
          <cell r="W38" t="str">
            <v>Posco Patent</v>
          </cell>
          <cell r="Y38" t="str">
            <v>Or Equivalent</v>
          </cell>
          <cell r="AA38" t="str">
            <v>Operation Voltage Type</v>
          </cell>
          <cell r="AB38" t="str">
            <v>LOW VOLTAGE</v>
          </cell>
          <cell r="AC38" t="str">
            <v>Application</v>
          </cell>
          <cell r="AD38" t="str">
            <v>THERMAL</v>
          </cell>
          <cell r="AE38" t="str">
            <v>Model-1</v>
          </cell>
          <cell r="AF38" t="str">
            <v>MT-32/3H2.1</v>
          </cell>
          <cell r="AG38" t="str">
            <v>Maker Name-1</v>
          </cell>
          <cell r="AH38" t="str">
            <v>LS</v>
          </cell>
          <cell r="AI38" t="str">
            <v>Option-1</v>
          </cell>
          <cell r="AK38" t="str">
            <v>Model-2</v>
          </cell>
          <cell r="AM38" t="str">
            <v>Maker Name-2</v>
          </cell>
          <cell r="AN38" t="str">
            <v>NONE</v>
          </cell>
          <cell r="AO38" t="str">
            <v>Option-2</v>
          </cell>
          <cell r="AQ38" t="str">
            <v>Model-3</v>
          </cell>
          <cell r="AS38" t="str">
            <v>Maker Name-3</v>
          </cell>
          <cell r="AU38" t="str">
            <v>Option-3</v>
          </cell>
          <cell r="AW38" t="str">
            <v>Coil Voltage</v>
          </cell>
          <cell r="AX38" t="str">
            <v>AC 220V</v>
          </cell>
          <cell r="AY38" t="str">
            <v>Setting Tap Range</v>
          </cell>
          <cell r="AZ38" t="str">
            <v>1.6~2.5A</v>
          </cell>
          <cell r="BA38" t="str">
            <v>Setting Time Range</v>
          </cell>
          <cell r="BC38" t="str">
            <v>Setting Lever</v>
          </cell>
          <cell r="BE38" t="str">
            <v>Option &amp; Others</v>
          </cell>
          <cell r="BG38" t="str">
            <v>Compliance Item</v>
          </cell>
        </row>
        <row r="39">
          <cell r="A39" t="str">
            <v>Q4671316</v>
          </cell>
          <cell r="B39" t="str">
            <v>ACTIVE</v>
          </cell>
          <cell r="C39" t="str">
            <v>특정사양품(단수)</v>
          </cell>
          <cell r="D39" t="str">
            <v>Protection Relay</v>
          </cell>
          <cell r="E39" t="str">
            <v>포스코인터</v>
          </cell>
          <cell r="F39" t="str">
            <v>Q4671316</v>
          </cell>
          <cell r="G39" t="str">
            <v>THERMAL,[MT-32/3H0.52/LS],AC 220V,0.4~0.63A,LOW VOLTAGE</v>
          </cell>
          <cell r="H39" t="str">
            <v>1</v>
          </cell>
          <cell r="I39" t="str">
            <v>EA</v>
          </cell>
          <cell r="J39" t="str">
            <v>L</v>
          </cell>
          <cell r="K39" t="str">
            <v>이성진</v>
          </cell>
          <cell r="N39" t="str">
            <v>https://tbs.ls-electric.com/tbsdata/FileRepository/CTLG/%5BMetasol_MS%5D_EN_C04002-32-202304.pdf</v>
          </cell>
          <cell r="Q39" t="str">
            <v>Used Goods</v>
          </cell>
          <cell r="S39" t="str">
            <v>Green Purchase</v>
          </cell>
          <cell r="T39" t="str">
            <v>NONE</v>
          </cell>
          <cell r="U39" t="str">
            <v>Safety Management</v>
          </cell>
          <cell r="W39" t="str">
            <v>Posco Patent</v>
          </cell>
          <cell r="Y39" t="str">
            <v>Or Equivalent</v>
          </cell>
          <cell r="AA39" t="str">
            <v>Operation Voltage Type</v>
          </cell>
          <cell r="AB39" t="str">
            <v>LOW VOLTAGE</v>
          </cell>
          <cell r="AC39" t="str">
            <v>Application</v>
          </cell>
          <cell r="AD39" t="str">
            <v>THERMAL</v>
          </cell>
          <cell r="AE39" t="str">
            <v>Model-1</v>
          </cell>
          <cell r="AF39" t="str">
            <v>MT-32/3H0.52</v>
          </cell>
          <cell r="AG39" t="str">
            <v>Maker Name-1</v>
          </cell>
          <cell r="AH39" t="str">
            <v>LS</v>
          </cell>
          <cell r="AI39" t="str">
            <v>Option-1</v>
          </cell>
          <cell r="AK39" t="str">
            <v>Model-2</v>
          </cell>
          <cell r="AM39" t="str">
            <v>Maker Name-2</v>
          </cell>
          <cell r="AN39" t="str">
            <v>NONE</v>
          </cell>
          <cell r="AO39" t="str">
            <v>Option-2</v>
          </cell>
          <cell r="AQ39" t="str">
            <v>Model-3</v>
          </cell>
          <cell r="AS39" t="str">
            <v>Maker Name-3</v>
          </cell>
          <cell r="AU39" t="str">
            <v>Option-3</v>
          </cell>
          <cell r="AW39" t="str">
            <v>Coil Voltage</v>
          </cell>
          <cell r="AX39" t="str">
            <v>AC 220V</v>
          </cell>
          <cell r="AY39" t="str">
            <v>Setting Tap Range</v>
          </cell>
          <cell r="AZ39" t="str">
            <v>0.4~0.63A</v>
          </cell>
          <cell r="BA39" t="str">
            <v>Setting Time Range</v>
          </cell>
          <cell r="BC39" t="str">
            <v>Setting Lever</v>
          </cell>
          <cell r="BE39" t="str">
            <v>Option &amp; Others</v>
          </cell>
          <cell r="BG39" t="str">
            <v>Compliance Item</v>
          </cell>
        </row>
        <row r="40">
          <cell r="A40" t="str">
            <v>Q2056158</v>
          </cell>
          <cell r="B40" t="str">
            <v>ACTIVE</v>
          </cell>
          <cell r="C40" t="str">
            <v>특정사양품(단수)</v>
          </cell>
          <cell r="D40" t="str">
            <v>Protection Relay</v>
          </cell>
          <cell r="E40" t="str">
            <v>포스코</v>
          </cell>
          <cell r="F40" t="str">
            <v>Q2056158</v>
          </cell>
          <cell r="G40" t="str">
            <v>SGR,[3RP2505-1BW30/SIEMENS],DC 24V,1.5~30,LOW VOLTAGE,KC CERTIFICATE</v>
          </cell>
          <cell r="H40" t="str">
            <v>4</v>
          </cell>
          <cell r="I40" t="str">
            <v>EA</v>
          </cell>
          <cell r="K40" t="str">
            <v>김현만</v>
          </cell>
          <cell r="N40" t="str">
            <v>https://mall.industry.siemens.com/mall/en/WW/Catalog/Product/3RP1505-1BP30</v>
          </cell>
          <cell r="Q40" t="str">
            <v>Used Goods</v>
          </cell>
          <cell r="S40" t="str">
            <v>Green Purchase</v>
          </cell>
          <cell r="T40" t="str">
            <v>NONE</v>
          </cell>
          <cell r="U40" t="str">
            <v>Safety Management</v>
          </cell>
          <cell r="W40" t="str">
            <v>Posco Patent</v>
          </cell>
          <cell r="Y40" t="str">
            <v>Or Equivalent</v>
          </cell>
          <cell r="AA40" t="str">
            <v>Operation Voltage Type</v>
          </cell>
          <cell r="AB40" t="str">
            <v>LOW VOLTAGE</v>
          </cell>
          <cell r="AC40" t="str">
            <v>Application</v>
          </cell>
          <cell r="AD40" t="str">
            <v>SGR</v>
          </cell>
          <cell r="AE40" t="str">
            <v>Model-1</v>
          </cell>
          <cell r="AF40" t="str">
            <v>3RP2505-1BW30</v>
          </cell>
          <cell r="AG40" t="str">
            <v>Maker Name-1</v>
          </cell>
          <cell r="AH40" t="str">
            <v>SIEMENS</v>
          </cell>
          <cell r="AI40" t="str">
            <v>Option-1</v>
          </cell>
          <cell r="AK40" t="str">
            <v>Model-2</v>
          </cell>
          <cell r="AM40" t="str">
            <v>Maker Name-2</v>
          </cell>
          <cell r="AN40" t="str">
            <v>NONE</v>
          </cell>
          <cell r="AO40" t="str">
            <v>Option-2</v>
          </cell>
          <cell r="AQ40" t="str">
            <v>Model-3</v>
          </cell>
          <cell r="AS40" t="str">
            <v>Maker Name-3</v>
          </cell>
          <cell r="AU40" t="str">
            <v>Option-3</v>
          </cell>
          <cell r="AW40" t="str">
            <v>Coil Voltage</v>
          </cell>
          <cell r="AX40" t="str">
            <v>DC 24V</v>
          </cell>
          <cell r="AY40" t="str">
            <v>Setting Tap Range</v>
          </cell>
          <cell r="AZ40" t="str">
            <v>1.5~30</v>
          </cell>
          <cell r="BA40" t="str">
            <v>Setting Time Range</v>
          </cell>
          <cell r="BC40" t="str">
            <v>Setting Lever</v>
          </cell>
          <cell r="BE40" t="str">
            <v>Option &amp; Others</v>
          </cell>
          <cell r="BG40" t="str">
            <v>Compliance Item</v>
          </cell>
          <cell r="BH40" t="str">
            <v>KC CERTIFICATE</v>
          </cell>
        </row>
        <row r="41">
          <cell r="A41" t="str">
            <v>Q4677461</v>
          </cell>
          <cell r="B41" t="str">
            <v>ACTIVE</v>
          </cell>
          <cell r="C41" t="str">
            <v>특정사양품(단수)</v>
          </cell>
          <cell r="D41" t="str">
            <v>Protection Relay</v>
          </cell>
          <cell r="E41" t="str">
            <v>포스코퓨처엠</v>
          </cell>
          <cell r="F41" t="str">
            <v>Q4677461</v>
          </cell>
          <cell r="G41" t="str">
            <v>EOCR,[DSP-AOL-02Z7-F/SAMWHADSP],100-240VAC,HIGH VOLTAGE</v>
          </cell>
          <cell r="H41" t="str">
            <v>1</v>
          </cell>
          <cell r="I41" t="str">
            <v>EA</v>
          </cell>
          <cell r="J41" t="str">
            <v>L</v>
          </cell>
          <cell r="K41" t="str">
            <v>정종민</v>
          </cell>
          <cell r="N41" t="str">
            <v>https://www.samwhadsp.com/products/detail/D93RP00169?page=1&amp;returnCate=127&amp;cate=127&amp;</v>
          </cell>
          <cell r="Q41" t="str">
            <v>Used Goods</v>
          </cell>
          <cell r="S41" t="str">
            <v>Green Purchase</v>
          </cell>
          <cell r="T41" t="str">
            <v>NONE</v>
          </cell>
          <cell r="U41" t="str">
            <v>Safety Management</v>
          </cell>
          <cell r="W41" t="str">
            <v>Posco Patent</v>
          </cell>
          <cell r="Y41" t="str">
            <v>Or Equivalent</v>
          </cell>
          <cell r="AA41" t="str">
            <v>Operation Voltage Type</v>
          </cell>
          <cell r="AB41" t="str">
            <v>HIGH VOLTAGE</v>
          </cell>
          <cell r="AC41" t="str">
            <v>Application</v>
          </cell>
          <cell r="AD41" t="str">
            <v>EOCR</v>
          </cell>
          <cell r="AE41" t="str">
            <v>Model-1</v>
          </cell>
          <cell r="AF41" t="str">
            <v>DSP-AOL-02Z7-F</v>
          </cell>
          <cell r="AG41" t="str">
            <v>Maker Name-1</v>
          </cell>
          <cell r="AH41" t="str">
            <v>SAMWHADSP</v>
          </cell>
          <cell r="AI41" t="str">
            <v>Option-1</v>
          </cell>
          <cell r="AK41" t="str">
            <v>Model-2</v>
          </cell>
          <cell r="AM41" t="str">
            <v>Maker Name-2</v>
          </cell>
          <cell r="AN41" t="str">
            <v>NONE</v>
          </cell>
          <cell r="AO41" t="str">
            <v>Option-2</v>
          </cell>
          <cell r="AQ41" t="str">
            <v>Model-3</v>
          </cell>
          <cell r="AS41" t="str">
            <v>Maker Name-3</v>
          </cell>
          <cell r="AU41" t="str">
            <v>Option-3</v>
          </cell>
          <cell r="AW41" t="str">
            <v>Coil Voltage</v>
          </cell>
          <cell r="AX41" t="str">
            <v>100-240VAC</v>
          </cell>
          <cell r="AY41" t="str">
            <v>Setting Tap Range</v>
          </cell>
          <cell r="BA41" t="str">
            <v>Setting Time Range</v>
          </cell>
          <cell r="BC41" t="str">
            <v>Setting Lever</v>
          </cell>
          <cell r="BE41" t="str">
            <v>Option &amp; Others</v>
          </cell>
          <cell r="BG41" t="str">
            <v>Compliance Item</v>
          </cell>
        </row>
        <row r="42">
          <cell r="A42" t="str">
            <v>Q4677466</v>
          </cell>
          <cell r="B42" t="str">
            <v>ACTIVE</v>
          </cell>
          <cell r="C42" t="str">
            <v>특정사양품(단수)</v>
          </cell>
          <cell r="D42" t="str">
            <v>Protection Relay</v>
          </cell>
          <cell r="E42" t="str">
            <v>포스코퓨처엠</v>
          </cell>
          <cell r="F42" t="str">
            <v>Q4677466</v>
          </cell>
          <cell r="G42" t="str">
            <v>[DMP65I-T/LS],100-260VAC,HIGH VOLTAGE</v>
          </cell>
          <cell r="H42" t="str">
            <v>1</v>
          </cell>
          <cell r="I42" t="str">
            <v>EA</v>
          </cell>
          <cell r="J42" t="str">
            <v>L</v>
          </cell>
          <cell r="K42" t="str">
            <v>정종민</v>
          </cell>
          <cell r="N42" t="str">
            <v>https://www.ls-electric.com/ko/product/view/P01054</v>
          </cell>
          <cell r="Q42" t="str">
            <v>Used Goods</v>
          </cell>
          <cell r="S42" t="str">
            <v>Green Purchase</v>
          </cell>
          <cell r="T42" t="str">
            <v>NONE</v>
          </cell>
          <cell r="U42" t="str">
            <v>Safety Management</v>
          </cell>
          <cell r="W42" t="str">
            <v>Posco Patent</v>
          </cell>
          <cell r="Y42" t="str">
            <v>Or Equivalent</v>
          </cell>
          <cell r="AA42" t="str">
            <v>Operation Voltage Type</v>
          </cell>
          <cell r="AB42" t="str">
            <v>HIGH VOLTAGE</v>
          </cell>
          <cell r="AC42" t="str">
            <v>Application</v>
          </cell>
          <cell r="AD42" t="str">
            <v>OTHERS</v>
          </cell>
          <cell r="AE42" t="str">
            <v>Model-1</v>
          </cell>
          <cell r="AF42" t="str">
            <v>DMP65I-T</v>
          </cell>
          <cell r="AG42" t="str">
            <v>Maker Name-1</v>
          </cell>
          <cell r="AH42" t="str">
            <v>LS</v>
          </cell>
          <cell r="AI42" t="str">
            <v>Option-1</v>
          </cell>
          <cell r="AK42" t="str">
            <v>Model-2</v>
          </cell>
          <cell r="AM42" t="str">
            <v>Maker Name-2</v>
          </cell>
          <cell r="AN42" t="str">
            <v>NONE</v>
          </cell>
          <cell r="AO42" t="str">
            <v>Option-2</v>
          </cell>
          <cell r="AQ42" t="str">
            <v>Model-3</v>
          </cell>
          <cell r="AS42" t="str">
            <v>Maker Name-3</v>
          </cell>
          <cell r="AU42" t="str">
            <v>Option-3</v>
          </cell>
          <cell r="AW42" t="str">
            <v>Coil Voltage</v>
          </cell>
          <cell r="AX42" t="str">
            <v>100-260VAC</v>
          </cell>
          <cell r="AY42" t="str">
            <v>Setting Tap Range</v>
          </cell>
          <cell r="BA42" t="str">
            <v>Setting Time Range</v>
          </cell>
          <cell r="BC42" t="str">
            <v>Setting Lever</v>
          </cell>
          <cell r="BE42" t="str">
            <v>Option &amp; Others</v>
          </cell>
          <cell r="BG42" t="str">
            <v>Compliance Item</v>
          </cell>
        </row>
        <row r="43">
          <cell r="A43" t="str">
            <v>Q4677978</v>
          </cell>
          <cell r="B43" t="str">
            <v>ACTIVE</v>
          </cell>
          <cell r="C43" t="str">
            <v>특정사양품(단수)</v>
          </cell>
          <cell r="D43" t="str">
            <v>Protection Relay</v>
          </cell>
          <cell r="E43" t="str">
            <v>포스코</v>
          </cell>
          <cell r="F43" t="str">
            <v>Q4677978</v>
          </cell>
          <cell r="G43" t="str">
            <v>[DSP-IR-Z7-C-F/SAM WHA DSP]+PANEL MOUNTING TYPE,DC 24V,LOW VOLTAGE,OR EQUIVALENT</v>
          </cell>
          <cell r="H43" t="str">
            <v>1</v>
          </cell>
          <cell r="I43" t="str">
            <v>EA</v>
          </cell>
          <cell r="J43" t="str">
            <v>L</v>
          </cell>
          <cell r="K43" t="str">
            <v>이용우</v>
          </cell>
          <cell r="N43" t="str">
            <v>https://samwhadsp.com/</v>
          </cell>
          <cell r="Q43" t="str">
            <v>Used Goods</v>
          </cell>
          <cell r="S43" t="str">
            <v>Green Purchase</v>
          </cell>
          <cell r="T43" t="str">
            <v>NONE</v>
          </cell>
          <cell r="U43" t="str">
            <v>Safety Management</v>
          </cell>
          <cell r="W43" t="str">
            <v>Posco Patent</v>
          </cell>
          <cell r="Y43" t="str">
            <v>Or Equivalent</v>
          </cell>
          <cell r="Z43" t="str">
            <v>OR EQUIVALENT</v>
          </cell>
          <cell r="AA43" t="str">
            <v>Operation Voltage Type</v>
          </cell>
          <cell r="AB43" t="str">
            <v>LOW VOLTAGE</v>
          </cell>
          <cell r="AC43" t="str">
            <v>Application</v>
          </cell>
          <cell r="AD43" t="str">
            <v>OTHERS</v>
          </cell>
          <cell r="AE43" t="str">
            <v>Model-1</v>
          </cell>
          <cell r="AF43" t="str">
            <v>DSP-IR-Z7-C-F</v>
          </cell>
          <cell r="AG43" t="str">
            <v>Maker Name-1</v>
          </cell>
          <cell r="AH43" t="str">
            <v>SAM WHA DSP</v>
          </cell>
          <cell r="AI43" t="str">
            <v>Option-1</v>
          </cell>
          <cell r="AJ43" t="str">
            <v>PANEL MOUNTING TYPE</v>
          </cell>
          <cell r="AK43" t="str">
            <v>Model-2</v>
          </cell>
          <cell r="AM43" t="str">
            <v>Maker Name-2</v>
          </cell>
          <cell r="AN43" t="str">
            <v>NONE</v>
          </cell>
          <cell r="AO43" t="str">
            <v>Option-2</v>
          </cell>
          <cell r="AQ43" t="str">
            <v>Model-3</v>
          </cell>
          <cell r="AS43" t="str">
            <v>Maker Name-3</v>
          </cell>
          <cell r="AU43" t="str">
            <v>Option-3</v>
          </cell>
          <cell r="AW43" t="str">
            <v>Coil Voltage</v>
          </cell>
          <cell r="AX43" t="str">
            <v>DC 24V</v>
          </cell>
          <cell r="AY43" t="str">
            <v>Setting Tap Range</v>
          </cell>
          <cell r="BA43" t="str">
            <v>Setting Time Range</v>
          </cell>
          <cell r="BC43" t="str">
            <v>Setting Lever</v>
          </cell>
          <cell r="BE43" t="str">
            <v>Option &amp; Others</v>
          </cell>
          <cell r="BG43" t="str">
            <v>Compliance Item</v>
          </cell>
        </row>
        <row r="44">
          <cell r="A44" t="str">
            <v>Q4677979</v>
          </cell>
          <cell r="B44" t="str">
            <v>ACTIVE</v>
          </cell>
          <cell r="C44" t="str">
            <v>특정사양품(단수)</v>
          </cell>
          <cell r="D44" t="str">
            <v>Protection Relay</v>
          </cell>
          <cell r="E44" t="str">
            <v>포스코</v>
          </cell>
          <cell r="F44" t="str">
            <v>Q4677979</v>
          </cell>
          <cell r="G44" t="str">
            <v>[DSP-IRM-Z7-C-F/SAM WHA DSP]+PANEL FLUSH MOUNTING TYPE,DC 24V,LOW VOLTAGE,OR EQUIVALENT</v>
          </cell>
          <cell r="H44" t="str">
            <v>1</v>
          </cell>
          <cell r="I44" t="str">
            <v>EA</v>
          </cell>
          <cell r="J44" t="str">
            <v>L</v>
          </cell>
          <cell r="K44" t="str">
            <v>이용우</v>
          </cell>
          <cell r="N44" t="str">
            <v>https://samwhadsp.com/</v>
          </cell>
          <cell r="Q44" t="str">
            <v>Used Goods</v>
          </cell>
          <cell r="S44" t="str">
            <v>Green Purchase</v>
          </cell>
          <cell r="T44" t="str">
            <v>NONE</v>
          </cell>
          <cell r="U44" t="str">
            <v>Safety Management</v>
          </cell>
          <cell r="W44" t="str">
            <v>Posco Patent</v>
          </cell>
          <cell r="Y44" t="str">
            <v>Or Equivalent</v>
          </cell>
          <cell r="Z44" t="str">
            <v>OR EQUIVALENT</v>
          </cell>
          <cell r="AA44" t="str">
            <v>Operation Voltage Type</v>
          </cell>
          <cell r="AB44" t="str">
            <v>LOW VOLTAGE</v>
          </cell>
          <cell r="AC44" t="str">
            <v>Application</v>
          </cell>
          <cell r="AD44" t="str">
            <v>OTHERS</v>
          </cell>
          <cell r="AE44" t="str">
            <v>Model-1</v>
          </cell>
          <cell r="AF44" t="str">
            <v>DSP-IRM-Z7-C-F</v>
          </cell>
          <cell r="AG44" t="str">
            <v>Maker Name-1</v>
          </cell>
          <cell r="AH44" t="str">
            <v>SAM WHA DSP</v>
          </cell>
          <cell r="AI44" t="str">
            <v>Option-1</v>
          </cell>
          <cell r="AJ44" t="str">
            <v>PANEL FLUSH MOUNTING TYPE</v>
          </cell>
          <cell r="AK44" t="str">
            <v>Model-2</v>
          </cell>
          <cell r="AM44" t="str">
            <v>Maker Name-2</v>
          </cell>
          <cell r="AN44" t="str">
            <v>NONE</v>
          </cell>
          <cell r="AO44" t="str">
            <v>Option-2</v>
          </cell>
          <cell r="AQ44" t="str">
            <v>Model-3</v>
          </cell>
          <cell r="AS44" t="str">
            <v>Maker Name-3</v>
          </cell>
          <cell r="AU44" t="str">
            <v>Option-3</v>
          </cell>
          <cell r="AW44" t="str">
            <v>Coil Voltage</v>
          </cell>
          <cell r="AX44" t="str">
            <v>DC 24V</v>
          </cell>
          <cell r="AY44" t="str">
            <v>Setting Tap Range</v>
          </cell>
          <cell r="BA44" t="str">
            <v>Setting Time Range</v>
          </cell>
          <cell r="BC44" t="str">
            <v>Setting Lever</v>
          </cell>
          <cell r="BE44" t="str">
            <v>Option &amp; Others</v>
          </cell>
          <cell r="BG44" t="str">
            <v>Compliance Item</v>
          </cell>
        </row>
        <row r="45">
          <cell r="A45" t="str">
            <v>Q4684055</v>
          </cell>
          <cell r="B45" t="str">
            <v>ACTIVE</v>
          </cell>
          <cell r="C45" t="str">
            <v>특정사양품(단수)</v>
          </cell>
          <cell r="D45" t="str">
            <v>Protection Relay</v>
          </cell>
          <cell r="E45" t="str">
            <v>포스코퓨처엠</v>
          </cell>
          <cell r="F45" t="str">
            <v>Q4684055</v>
          </cell>
          <cell r="G45" t="str">
            <v>[WYGF-D12NC/WOONYOUNG],0.1 ~ 10S,LOW VOLTAGE,AC/DC110~220V</v>
          </cell>
          <cell r="H45" t="str">
            <v>1</v>
          </cell>
          <cell r="I45" t="str">
            <v>EA</v>
          </cell>
          <cell r="J45" t="str">
            <v>L</v>
          </cell>
          <cell r="K45" t="str">
            <v>이서용</v>
          </cell>
          <cell r="N45" t="str">
            <v>https://woonyoung.com/bbs/board.php?bo_table=manual&amp;wr_id=18</v>
          </cell>
          <cell r="Q45" t="str">
            <v>Used Goods</v>
          </cell>
          <cell r="S45" t="str">
            <v>Green Purchase</v>
          </cell>
          <cell r="T45" t="str">
            <v>NONE</v>
          </cell>
          <cell r="U45" t="str">
            <v>Safety Management</v>
          </cell>
          <cell r="W45" t="str">
            <v>Posco Patent</v>
          </cell>
          <cell r="Y45" t="str">
            <v>Or Equivalent</v>
          </cell>
          <cell r="AA45" t="str">
            <v>Operation Voltage Type</v>
          </cell>
          <cell r="AB45" t="str">
            <v>LOW VOLTAGE</v>
          </cell>
          <cell r="AC45" t="str">
            <v>Application</v>
          </cell>
          <cell r="AD45" t="str">
            <v>OTHERS</v>
          </cell>
          <cell r="AE45" t="str">
            <v>Model-1</v>
          </cell>
          <cell r="AF45" t="str">
            <v>WYGF-D12NC</v>
          </cell>
          <cell r="AG45" t="str">
            <v>Maker Name-1</v>
          </cell>
          <cell r="AH45" t="str">
            <v>WOONYOUNG</v>
          </cell>
          <cell r="AI45" t="str">
            <v>Option-1</v>
          </cell>
          <cell r="AK45" t="str">
            <v>Model-2</v>
          </cell>
          <cell r="AM45" t="str">
            <v>Maker Name-2</v>
          </cell>
          <cell r="AN45" t="str">
            <v>NONE</v>
          </cell>
          <cell r="AO45" t="str">
            <v>Option-2</v>
          </cell>
          <cell r="AQ45" t="str">
            <v>Model-3</v>
          </cell>
          <cell r="AS45" t="str">
            <v>Maker Name-3</v>
          </cell>
          <cell r="AU45" t="str">
            <v>Option-3</v>
          </cell>
          <cell r="AW45" t="str">
            <v>Coil Voltage</v>
          </cell>
          <cell r="AX45" t="str">
            <v>OTHERS</v>
          </cell>
          <cell r="AY45" t="str">
            <v>Setting Tap Range</v>
          </cell>
          <cell r="BA45" t="str">
            <v>Setting Time Range</v>
          </cell>
          <cell r="BB45" t="str">
            <v>0.1 ~ 10S</v>
          </cell>
          <cell r="BC45" t="str">
            <v>Setting Lever</v>
          </cell>
          <cell r="BE45" t="str">
            <v>Option &amp; Others</v>
          </cell>
          <cell r="BF45" t="str">
            <v xml:space="preserve"> AC/DC110~220V</v>
          </cell>
          <cell r="BG45" t="str">
            <v>Compliance Item</v>
          </cell>
        </row>
        <row r="46">
          <cell r="A46" t="str">
            <v>Q1064373</v>
          </cell>
          <cell r="B46" t="str">
            <v>ACTIVE</v>
          </cell>
          <cell r="C46" t="str">
            <v>특정사양품(단수)</v>
          </cell>
          <cell r="D46" t="str">
            <v>Protection Relay</v>
          </cell>
          <cell r="E46" t="str">
            <v>포스코</v>
          </cell>
          <cell r="F46" t="str">
            <v>Q1064373</v>
          </cell>
          <cell r="G46" t="str">
            <v>[RS4N-DE/FUJI],DC 24V,LOW VOLTAGE</v>
          </cell>
          <cell r="H46" t="str">
            <v>2</v>
          </cell>
          <cell r="I46" t="str">
            <v>EA</v>
          </cell>
          <cell r="K46" t="str">
            <v>강진경</v>
          </cell>
          <cell r="N46" t="str">
            <v>https://www.fujielectric.com/products/control_relay/terminal_relay_rs.html</v>
          </cell>
          <cell r="Q46" t="str">
            <v>Used Goods</v>
          </cell>
          <cell r="S46" t="str">
            <v>Green Purchase</v>
          </cell>
          <cell r="T46" t="str">
            <v>NONE</v>
          </cell>
          <cell r="U46" t="str">
            <v>Safety Management</v>
          </cell>
          <cell r="W46" t="str">
            <v>Posco Patent</v>
          </cell>
          <cell r="Y46" t="str">
            <v>Or Equivalent</v>
          </cell>
          <cell r="AA46" t="str">
            <v>Operation Voltage Type</v>
          </cell>
          <cell r="AB46" t="str">
            <v>LOW VOLTAGE</v>
          </cell>
          <cell r="AC46" t="str">
            <v>Application</v>
          </cell>
          <cell r="AD46" t="str">
            <v>OTHERS</v>
          </cell>
          <cell r="AE46" t="str">
            <v>Model-1</v>
          </cell>
          <cell r="AF46" t="str">
            <v>RS4N-DE</v>
          </cell>
          <cell r="AG46" t="str">
            <v>Maker Name-1</v>
          </cell>
          <cell r="AH46" t="str">
            <v>FUJI</v>
          </cell>
          <cell r="AI46" t="str">
            <v>Option-1</v>
          </cell>
          <cell r="AK46" t="str">
            <v>Model-2</v>
          </cell>
          <cell r="AM46" t="str">
            <v>Maker Name-2</v>
          </cell>
          <cell r="AN46" t="str">
            <v>NONE</v>
          </cell>
          <cell r="AO46" t="str">
            <v>Option-2</v>
          </cell>
          <cell r="AQ46" t="str">
            <v>Model-3</v>
          </cell>
          <cell r="AS46" t="str">
            <v>Maker Name-3</v>
          </cell>
          <cell r="AU46" t="str">
            <v>Option-3</v>
          </cell>
          <cell r="AW46" t="str">
            <v>Coil Voltage</v>
          </cell>
          <cell r="AX46" t="str">
            <v>DC 24V</v>
          </cell>
          <cell r="AY46" t="str">
            <v>Setting Tap Range</v>
          </cell>
          <cell r="BA46" t="str">
            <v>Setting Time Range</v>
          </cell>
          <cell r="BC46" t="str">
            <v>Setting Lever</v>
          </cell>
          <cell r="BE46" t="str">
            <v>Option &amp; Others</v>
          </cell>
          <cell r="BG46" t="str">
            <v>Compliance Item</v>
          </cell>
        </row>
        <row r="47">
          <cell r="A47" t="str">
            <v>Q3902293</v>
          </cell>
          <cell r="B47" t="str">
            <v>ACTIVE</v>
          </cell>
          <cell r="C47" t="str">
            <v>특정사양품(단수)</v>
          </cell>
          <cell r="D47" t="str">
            <v>Protection Relay</v>
          </cell>
          <cell r="E47" t="str">
            <v>포스코</v>
          </cell>
          <cell r="F47" t="str">
            <v>Q3902293</v>
          </cell>
          <cell r="G47" t="str">
            <v>EOCR,[EOCRSS-05S/SCHNEIDER ELECTRIC],AC 220V,LOW VOLTAGE,0.2~30SEC,0.5~6A,OR EQUIVALENT</v>
          </cell>
          <cell r="H47" t="str">
            <v>2</v>
          </cell>
          <cell r="I47" t="str">
            <v>EA</v>
          </cell>
          <cell r="J47" t="str">
            <v>L</v>
          </cell>
          <cell r="K47" t="str">
            <v>이영민</v>
          </cell>
          <cell r="N47" t="str">
            <v>https://www.se.com/kr/ko/product/EOCRSS-05S/%EC%A0%84%EC%9E%90-%EA%B3%BC%EC%A0%84%EB%A5%98-%EA%B3%84%EC%A0%84%EA%B8%B0-0-5-6-a-220v-ac/</v>
          </cell>
          <cell r="Q47" t="str">
            <v>Used Goods</v>
          </cell>
          <cell r="S47" t="str">
            <v>Green Purchase</v>
          </cell>
          <cell r="T47" t="str">
            <v>NONE</v>
          </cell>
          <cell r="U47" t="str">
            <v>Safety Management</v>
          </cell>
          <cell r="W47" t="str">
            <v>Posco Patent</v>
          </cell>
          <cell r="Y47" t="str">
            <v>Or Equivalent</v>
          </cell>
          <cell r="Z47" t="str">
            <v>OR EQUIVALENT</v>
          </cell>
          <cell r="AA47" t="str">
            <v>Operation Voltage Type</v>
          </cell>
          <cell r="AB47" t="str">
            <v>LOW VOLTAGE</v>
          </cell>
          <cell r="AC47" t="str">
            <v>Application</v>
          </cell>
          <cell r="AD47" t="str">
            <v>EOCR</v>
          </cell>
          <cell r="AE47" t="str">
            <v>Model-1</v>
          </cell>
          <cell r="AF47" t="str">
            <v>EOCRSS-05S</v>
          </cell>
          <cell r="AG47" t="str">
            <v>Maker Name-1</v>
          </cell>
          <cell r="AH47" t="str">
            <v>SCHNEIDER ELECTRIC</v>
          </cell>
          <cell r="AI47" t="str">
            <v>Option-1</v>
          </cell>
          <cell r="AK47" t="str">
            <v>Model-2</v>
          </cell>
          <cell r="AL47" t="str">
            <v>UNKNOWN</v>
          </cell>
          <cell r="AM47" t="str">
            <v>Maker Name-2</v>
          </cell>
          <cell r="AN47" t="str">
            <v>NONE</v>
          </cell>
          <cell r="AO47" t="str">
            <v>Option-2</v>
          </cell>
          <cell r="AQ47" t="str">
            <v>Model-3</v>
          </cell>
          <cell r="AR47" t="str">
            <v>UNKNOWN</v>
          </cell>
          <cell r="AS47" t="str">
            <v>Maker Name-3</v>
          </cell>
          <cell r="AT47" t="str">
            <v>NONE</v>
          </cell>
          <cell r="AU47" t="str">
            <v>Option-3</v>
          </cell>
          <cell r="AW47" t="str">
            <v>Coil Voltage</v>
          </cell>
          <cell r="AX47" t="str">
            <v>AC 220V</v>
          </cell>
          <cell r="AY47" t="str">
            <v>Setting Tap Range</v>
          </cell>
          <cell r="BA47" t="str">
            <v>Setting Time Range</v>
          </cell>
          <cell r="BC47" t="str">
            <v>Setting Lever</v>
          </cell>
          <cell r="BE47" t="str">
            <v>Option &amp; Others</v>
          </cell>
          <cell r="BF47" t="str">
            <v>0.2~30SEC,0.5~6A</v>
          </cell>
          <cell r="BG47" t="str">
            <v>Compliance Item</v>
          </cell>
          <cell r="BH47" t="str">
            <v>NONE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B70A8-4A1A-42B1-A214-860E73C67C82}">
  <dimension ref="A1:K53"/>
  <sheetViews>
    <sheetView topLeftCell="A4" zoomScale="85" zoomScaleNormal="85" workbookViewId="0">
      <selection activeCell="E9" sqref="E9"/>
    </sheetView>
  </sheetViews>
  <sheetFormatPr defaultRowHeight="17.399999999999999" x14ac:dyDescent="0.4"/>
  <cols>
    <col min="1" max="1" width="9.796875" bestFit="1" customWidth="1"/>
    <col min="3" max="3" width="17.296875" customWidth="1"/>
    <col min="4" max="4" width="52.5" customWidth="1"/>
    <col min="5" max="5" width="20.19921875" customWidth="1"/>
    <col min="6" max="6" width="15.09765625" customWidth="1"/>
    <col min="7" max="7" width="21.3984375" customWidth="1"/>
    <col min="8" max="8" width="22" customWidth="1"/>
    <col min="9" max="9" width="18.796875" customWidth="1"/>
    <col min="10" max="10" width="13.296875" customWidth="1"/>
    <col min="11" max="11" width="10.19921875" bestFit="1" customWidth="1"/>
    <col min="12" max="12" width="13" bestFit="1" customWidth="1"/>
    <col min="13" max="13" width="22" bestFit="1" customWidth="1"/>
  </cols>
  <sheetData>
    <row r="1" spans="1:11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8" t="s">
        <v>132</v>
      </c>
    </row>
    <row r="2" spans="1:11" x14ac:dyDescent="0.4">
      <c r="A2" s="2" t="s">
        <v>10</v>
      </c>
      <c r="B2" s="2" t="s">
        <v>11</v>
      </c>
      <c r="C2" s="2" t="s">
        <v>12</v>
      </c>
      <c r="D2" t="str">
        <f>VLOOKUP(A2,'[1]실린더 상세사양값. 80'!$A$1:$AP$81,40,0)</f>
        <v>CDJ2F16-25Z-A93L-B</v>
      </c>
      <c r="E2" t="str">
        <f>VLOOKUP(A2,'[1]실린더 상세사양값. 80'!$A$1:$BT$81,42,0)</f>
        <v>SMC</v>
      </c>
      <c r="F2" t="str">
        <f>VLOOKUP(A2,'[1]실린더 상세사양값. 80'!$A$1:$CG$81,32,0)</f>
        <v>16</v>
      </c>
      <c r="G2" t="str">
        <f>VLOOKUP(A2,'[1]실린더 상세사양값. 80'!$A$1:$CG$81,34,0)</f>
        <v>16</v>
      </c>
      <c r="H2" t="str">
        <f>VLOOKUP(A2,'[1]실린더 상세사양값. 80'!$A$1:$CG$81,36,0)</f>
        <v>25</v>
      </c>
      <c r="I2" s="3" t="str">
        <f>VLOOKUP(A2,'[1]실린더 상세사양값. 80'!$A$1:$CG$81,38,0)</f>
        <v>7</v>
      </c>
      <c r="J2" t="s">
        <v>13</v>
      </c>
      <c r="K2" s="2" t="s">
        <v>133</v>
      </c>
    </row>
    <row r="3" spans="1:11" x14ac:dyDescent="0.4">
      <c r="A3" s="2" t="s">
        <v>14</v>
      </c>
      <c r="B3" s="2" t="s">
        <v>11</v>
      </c>
      <c r="C3" s="2" t="s">
        <v>12</v>
      </c>
      <c r="D3" t="str">
        <f>VLOOKUP(A3,'[1]실린더 상세사양값. 80'!$A$1:$AP$81,40,0)</f>
        <v>CDM2B25-25Z-A93L</v>
      </c>
      <c r="E3" t="str">
        <f>VLOOKUP(A3,'[1]실린더 상세사양값. 80'!$A$1:$BT$81,42,0)</f>
        <v>SMC</v>
      </c>
      <c r="F3" t="str">
        <f>VLOOKUP(A3,'[1]실린더 상세사양값. 80'!$A$1:$CG$81,32,0)</f>
        <v>25</v>
      </c>
      <c r="G3" t="str">
        <f>VLOOKUP(A3,'[1]실린더 상세사양값. 80'!$A$1:$CG$81,36,0)</f>
        <v>25</v>
      </c>
      <c r="H3" t="str">
        <f>VLOOKUP(A3,'[1]실린더 상세사양값. 80'!$A$1:$CG$81,36,0)</f>
        <v>25</v>
      </c>
      <c r="I3" s="3" t="str">
        <f>VLOOKUP(A3,'[1]실린더 상세사양값. 80'!$A$1:$CG$81,38,0)</f>
        <v>10</v>
      </c>
      <c r="J3" t="s">
        <v>13</v>
      </c>
      <c r="K3" s="2" t="s">
        <v>133</v>
      </c>
    </row>
    <row r="4" spans="1:11" x14ac:dyDescent="0.4">
      <c r="A4" s="2" t="s">
        <v>15</v>
      </c>
      <c r="B4" s="2" t="s">
        <v>11</v>
      </c>
      <c r="C4" s="2" t="s">
        <v>12</v>
      </c>
      <c r="D4" t="str">
        <f>VLOOKUP(A4,'[1]실린더 상세사양값. 80'!$A$1:$AP$81,40,0)</f>
        <v>CDQSD16-25DM-A93L</v>
      </c>
      <c r="E4" t="str">
        <f>VLOOKUP(A4,'[1]실린더 상세사양값. 80'!$A$1:$BT$81,42,0)</f>
        <v>SMC</v>
      </c>
      <c r="F4" t="str">
        <f>VLOOKUP(A4,'[1]실린더 상세사양값. 80'!$A$1:$CG$81,32,0)</f>
        <v>16</v>
      </c>
      <c r="G4" t="str">
        <f>VLOOKUP(A4,'[1]실린더 상세사양값. 80'!$A$1:$CG$81,36,0)</f>
        <v>25</v>
      </c>
      <c r="H4" t="str">
        <f>VLOOKUP(A4,'[1]실린더 상세사양값. 80'!$A$1:$CG$81,36,0)</f>
        <v>25</v>
      </c>
      <c r="I4" s="3" t="str">
        <f>VLOOKUP(A4,'[1]실린더 상세사양값. 80'!$A$1:$CG$81,38,0)</f>
        <v>10</v>
      </c>
      <c r="J4" t="s">
        <v>13</v>
      </c>
      <c r="K4" s="2" t="s">
        <v>133</v>
      </c>
    </row>
    <row r="5" spans="1:11" x14ac:dyDescent="0.4">
      <c r="A5" s="2" t="s">
        <v>16</v>
      </c>
      <c r="B5" s="2" t="s">
        <v>11</v>
      </c>
      <c r="C5" s="2" t="s">
        <v>12</v>
      </c>
      <c r="D5" t="str">
        <f>VLOOKUP(A5,'[1]실린더 상세사양값. 80'!$A$1:$AP$81,40,0)</f>
        <v>CDUK25-30D-A93L</v>
      </c>
      <c r="E5" t="str">
        <f>VLOOKUP(A5,'[1]실린더 상세사양값. 80'!$A$1:$BT$81,42,0)</f>
        <v>SMC</v>
      </c>
      <c r="F5" t="str">
        <f>VLOOKUP(A5,'[1]실린더 상세사양값. 80'!$A$1:$CG$81,32,0)</f>
        <v>25</v>
      </c>
      <c r="G5" t="str">
        <f>VLOOKUP(A5,'[1]실린더 상세사양값. 80'!$A$1:$CG$81,36,0)</f>
        <v>30</v>
      </c>
      <c r="H5" t="str">
        <f>VLOOKUP(A5,'[1]실린더 상세사양값. 80'!$A$1:$CG$81,36,0)</f>
        <v>30</v>
      </c>
      <c r="I5" s="3" t="str">
        <f>VLOOKUP(A5,'[1]실린더 상세사양값. 80'!$A$1:$CG$81,38,0)</f>
        <v>7</v>
      </c>
      <c r="J5" t="s">
        <v>13</v>
      </c>
      <c r="K5" s="2" t="s">
        <v>133</v>
      </c>
    </row>
    <row r="6" spans="1:11" x14ac:dyDescent="0.4">
      <c r="A6" s="2" t="s">
        <v>17</v>
      </c>
      <c r="B6" s="2" t="s">
        <v>11</v>
      </c>
      <c r="C6" s="2" t="s">
        <v>12</v>
      </c>
      <c r="D6" t="str">
        <f>VLOOKUP(A6,'[1]실린더 상세사양값. 80'!$A$1:$AP$81,40,0)</f>
        <v>CA2B100-300Z</v>
      </c>
      <c r="E6" t="str">
        <f>VLOOKUP(A6,'[1]실린더 상세사양값. 80'!$A$1:$BT$81,42,0)</f>
        <v>SMC</v>
      </c>
      <c r="F6" t="str">
        <f>VLOOKUP(A6,'[1]실린더 상세사양값. 80'!$A$1:$CG$81,32,0)</f>
        <v>100</v>
      </c>
      <c r="G6" t="str">
        <f>VLOOKUP(A6,'[1]실린더 상세사양값. 80'!$A$1:$CG$81,36,0)</f>
        <v>300</v>
      </c>
      <c r="H6" t="str">
        <f>VLOOKUP(A6,'[1]실린더 상세사양값. 80'!$A$1:$CG$81,36,0)</f>
        <v>300</v>
      </c>
      <c r="I6" s="3" t="str">
        <f>VLOOKUP(A6,'[1]실린더 상세사양값. 80'!$A$1:$CG$81,38,0)</f>
        <v>10</v>
      </c>
      <c r="J6" t="s">
        <v>13</v>
      </c>
      <c r="K6" s="2" t="s">
        <v>134</v>
      </c>
    </row>
    <row r="7" spans="1:11" x14ac:dyDescent="0.4">
      <c r="A7" s="2" t="s">
        <v>18</v>
      </c>
      <c r="B7" s="2" t="s">
        <v>11</v>
      </c>
      <c r="C7" s="2" t="s">
        <v>12</v>
      </c>
      <c r="D7" t="str">
        <f>VLOOKUP(A7,'[1]실린더 상세사양값. 80'!$A$1:$AP$81,40,0)</f>
        <v>CS1CN160-100-CJAD0046</v>
      </c>
      <c r="E7" t="str">
        <f>VLOOKUP(A7,'[1]실린더 상세사양값. 80'!$A$1:$BT$81,42,0)</f>
        <v>SMC</v>
      </c>
      <c r="F7" t="str">
        <f>VLOOKUP(A7,'[1]실린더 상세사양값. 80'!$A$1:$CG$81,32,0)</f>
        <v>160</v>
      </c>
      <c r="G7" t="str">
        <f>VLOOKUP(A7,'[1]실린더 상세사양값. 80'!$A$1:$CG$81,36,0)</f>
        <v>100</v>
      </c>
      <c r="H7" t="str">
        <f>VLOOKUP(A7,'[1]실린더 상세사양값. 80'!$A$1:$CG$81,36,0)</f>
        <v>100</v>
      </c>
      <c r="I7" s="3">
        <f>VLOOKUP(A7,'[1]실린더 상세사양값. 80'!$A$1:$CG$81,38,0)</f>
        <v>0</v>
      </c>
      <c r="J7" t="s">
        <v>13</v>
      </c>
      <c r="K7" s="2" t="s">
        <v>135</v>
      </c>
    </row>
    <row r="8" spans="1:11" x14ac:dyDescent="0.4">
      <c r="A8" s="2" t="s">
        <v>19</v>
      </c>
      <c r="B8" s="2" t="s">
        <v>11</v>
      </c>
      <c r="C8" s="2" t="s">
        <v>12</v>
      </c>
      <c r="D8" t="str">
        <f>VLOOKUP(A8,'[1]실린더 상세사양값. 80'!$A$1:$AP$81,40,0)</f>
        <v>ACM-N-FA50-S425</v>
      </c>
      <c r="E8" t="str">
        <f>VLOOKUP(A8,'[1]실린더 상세사양값. 80'!$A$1:$BT$81,42,0)</f>
        <v>KCC</v>
      </c>
      <c r="F8" t="str">
        <f>VLOOKUP(A8,'[1]실린더 상세사양값. 80'!$A$1:$CG$81,32,0)</f>
        <v>50</v>
      </c>
      <c r="G8" t="str">
        <f>VLOOKUP(A8,'[1]실린더 상세사양값. 80'!$A$1:$CG$81,36,0)</f>
        <v>425</v>
      </c>
      <c r="H8" t="str">
        <f>VLOOKUP(A8,'[1]실린더 상세사양값. 80'!$A$1:$CG$81,36,0)</f>
        <v>425</v>
      </c>
      <c r="I8" s="3" t="str">
        <f>VLOOKUP(A8,'[1]실린더 상세사양값. 80'!$A$1:$CG$81,38,0)</f>
        <v>10</v>
      </c>
      <c r="J8" t="s">
        <v>13</v>
      </c>
      <c r="K8" s="2" t="s">
        <v>136</v>
      </c>
    </row>
    <row r="9" spans="1:11" x14ac:dyDescent="0.4">
      <c r="A9" s="2" t="s">
        <v>20</v>
      </c>
      <c r="B9" s="2" t="s">
        <v>11</v>
      </c>
      <c r="C9" s="2" t="s">
        <v>12</v>
      </c>
      <c r="D9" t="str">
        <f>VLOOKUP(A9,'[1]실린더 상세사양값. 80'!$A$1:$AP$81,40,0)</f>
        <v>ACM-N-TC80-S125-J</v>
      </c>
      <c r="E9" t="str">
        <f>VLOOKUP(A9,'[1]실린더 상세사양값. 80'!$A$1:$BT$81,42,0)</f>
        <v>KCC</v>
      </c>
      <c r="F9" t="str">
        <f>VLOOKUP(A9,'[1]실린더 상세사양값. 80'!$A$1:$CG$81,32,0)</f>
        <v>80</v>
      </c>
      <c r="G9" t="str">
        <f>VLOOKUP(A9,'[1]실린더 상세사양값. 80'!$A$1:$CG$81,36,0)</f>
        <v>125</v>
      </c>
      <c r="H9" t="str">
        <f>VLOOKUP(A9,'[1]실린더 상세사양값. 80'!$A$1:$CG$81,36,0)</f>
        <v>125</v>
      </c>
      <c r="I9" s="3" t="str">
        <f>VLOOKUP(A9,'[1]실린더 상세사양값. 80'!$A$1:$CG$81,38,0)</f>
        <v>10</v>
      </c>
      <c r="J9" t="s">
        <v>13</v>
      </c>
      <c r="K9" s="2" t="s">
        <v>136</v>
      </c>
    </row>
    <row r="10" spans="1:11" x14ac:dyDescent="0.4">
      <c r="A10" s="2" t="s">
        <v>21</v>
      </c>
      <c r="B10" s="2" t="s">
        <v>11</v>
      </c>
      <c r="C10" s="2" t="s">
        <v>12</v>
      </c>
      <c r="D10" t="str">
        <f>VLOOKUP(A10,'[1]실린더 상세사양값. 80'!$A$1:$AP$81,40,0)</f>
        <v>CDA2T80-KRT09KO-200Z-A54L3</v>
      </c>
      <c r="E10" t="str">
        <f>VLOOKUP(A10,'[1]실린더 상세사양값. 80'!$A$1:$BT$81,42,0)</f>
        <v>SMC</v>
      </c>
      <c r="F10" t="str">
        <f>VLOOKUP(A10,'[1]실린더 상세사양값. 80'!$A$1:$CG$81,32,0)</f>
        <v>80</v>
      </c>
      <c r="G10" t="str">
        <f>VLOOKUP(A10,'[1]실린더 상세사양값. 80'!$A$1:$CG$81,36,0)</f>
        <v>200</v>
      </c>
      <c r="H10" t="str">
        <f>VLOOKUP(A10,'[1]실린더 상세사양값. 80'!$A$1:$CG$81,36,0)</f>
        <v>200</v>
      </c>
      <c r="I10" s="3" t="str">
        <f>VLOOKUP(A10,'[1]실린더 상세사양값. 80'!$A$1:$CG$81,38,0)</f>
        <v>10</v>
      </c>
      <c r="J10" t="s">
        <v>13</v>
      </c>
      <c r="K10" s="2" t="s">
        <v>137</v>
      </c>
    </row>
    <row r="11" spans="1:11" x14ac:dyDescent="0.4">
      <c r="A11" s="2" t="s">
        <v>22</v>
      </c>
      <c r="B11" s="2" t="s">
        <v>11</v>
      </c>
      <c r="C11" s="2" t="s">
        <v>12</v>
      </c>
      <c r="D11" t="str">
        <f>VLOOKUP(A11,'[1]실린더 상세사양값. 80'!$A$1:$AP$81,40,0)</f>
        <v>CA2YT80-150Z-W</v>
      </c>
      <c r="E11" t="str">
        <f>VLOOKUP(A11,'[1]실린더 상세사양값. 80'!$A$1:$BT$81,42,0)</f>
        <v>SMC</v>
      </c>
      <c r="F11" t="str">
        <f>VLOOKUP(A11,'[1]실린더 상세사양값. 80'!$A$1:$CG$81,32,0)</f>
        <v>80</v>
      </c>
      <c r="G11" t="str">
        <f>VLOOKUP(A11,'[1]실린더 상세사양값. 80'!$A$1:$CG$81,36,0)</f>
        <v>150</v>
      </c>
      <c r="H11" t="str">
        <f>VLOOKUP(A11,'[1]실린더 상세사양값. 80'!$A$1:$CG$81,36,0)</f>
        <v>150</v>
      </c>
      <c r="I11" s="3">
        <f>VLOOKUP(A11,'[1]실린더 상세사양값. 80'!$A$1:$CG$81,38,0)</f>
        <v>0</v>
      </c>
      <c r="J11" t="s">
        <v>13</v>
      </c>
      <c r="K11" s="2"/>
    </row>
    <row r="12" spans="1:11" x14ac:dyDescent="0.4">
      <c r="A12" s="2" t="s">
        <v>23</v>
      </c>
      <c r="B12" s="2" t="s">
        <v>11</v>
      </c>
      <c r="C12" s="2" t="s">
        <v>12</v>
      </c>
      <c r="D12" t="str">
        <f>VLOOKUP(A12,'[1]실린더 상세사양값. 80'!$A$1:$AP$81,40,0)</f>
        <v>CDS1CN125-KRD0368-350-A54L</v>
      </c>
      <c r="E12" t="str">
        <f>VLOOKUP(A12,'[1]실린더 상세사양값. 80'!$A$1:$BT$81,42,0)</f>
        <v>SMC</v>
      </c>
      <c r="F12" t="str">
        <f>VLOOKUP(A12,'[1]실린더 상세사양값. 80'!$A$1:$CG$81,32,0)</f>
        <v>125</v>
      </c>
      <c r="G12" t="str">
        <f>VLOOKUP(A12,'[1]실린더 상세사양값. 80'!$A$1:$CG$81,36,0)</f>
        <v>350</v>
      </c>
      <c r="H12" t="str">
        <f>VLOOKUP(A12,'[1]실린더 상세사양값. 80'!$A$1:$CG$81,36,0)</f>
        <v>350</v>
      </c>
      <c r="I12" s="3" t="str">
        <f>VLOOKUP(A12,'[1]실린더 상세사양값. 80'!$A$1:$CG$81,38,0)</f>
        <v>15</v>
      </c>
      <c r="J12" t="s">
        <v>13</v>
      </c>
      <c r="K12" s="2" t="s">
        <v>138</v>
      </c>
    </row>
    <row r="13" spans="1:11" x14ac:dyDescent="0.4">
      <c r="A13" s="2" t="s">
        <v>24</v>
      </c>
      <c r="B13" s="2" t="s">
        <v>11</v>
      </c>
      <c r="C13" s="2" t="s">
        <v>12</v>
      </c>
      <c r="D13" t="str">
        <f>VLOOKUP(A13,'[1]실린더 상세사양값. 80'!$A$1:$AP$81,40,0)</f>
        <v>CDS1TN125-KRD0368-500-Z73L</v>
      </c>
      <c r="E13" t="str">
        <f>VLOOKUP(A13,'[1]실린더 상세사양값. 80'!$A$1:$BT$81,42,0)</f>
        <v>SMC</v>
      </c>
      <c r="F13" t="str">
        <f>VLOOKUP(A13,'[1]실린더 상세사양값. 80'!$A$1:$CG$81,32,0)</f>
        <v>125</v>
      </c>
      <c r="G13" t="str">
        <f>VLOOKUP(A13,'[1]실린더 상세사양값. 80'!$A$1:$CG$81,36,0)</f>
        <v>500</v>
      </c>
      <c r="H13" t="str">
        <f>VLOOKUP(A13,'[1]실린더 상세사양값. 80'!$A$1:$CG$81,36,0)</f>
        <v>500</v>
      </c>
      <c r="I13" s="3" t="str">
        <f>VLOOKUP(A13,'[1]실린더 상세사양값. 80'!$A$1:$CG$81,38,0)</f>
        <v>9.7</v>
      </c>
      <c r="J13" t="s">
        <v>13</v>
      </c>
      <c r="K13" s="2"/>
    </row>
    <row r="14" spans="1:11" x14ac:dyDescent="0.4">
      <c r="A14" s="2" t="s">
        <v>25</v>
      </c>
      <c r="B14" s="2" t="s">
        <v>11</v>
      </c>
      <c r="C14" s="2" t="s">
        <v>12</v>
      </c>
      <c r="D14" t="str">
        <f>VLOOKUP(A14,'[1]실린더 상세사양값. 80'!$A$1:$AP$81,40,0)</f>
        <v>CDS2T200-200-CJCD0039</v>
      </c>
      <c r="E14" t="str">
        <f>VLOOKUP(A14,'[1]실린더 상세사양값. 80'!$A$1:$BT$81,42,0)</f>
        <v>SMC</v>
      </c>
      <c r="F14" t="str">
        <f>VLOOKUP(A14,'[1]실린더 상세사양값. 80'!$A$1:$CG$81,32,0)</f>
        <v>200</v>
      </c>
      <c r="G14" t="str">
        <f>VLOOKUP(A14,'[1]실린더 상세사양값. 80'!$A$1:$CG$81,36,0)</f>
        <v>220</v>
      </c>
      <c r="H14" t="str">
        <f>VLOOKUP(A14,'[1]실린더 상세사양값. 80'!$A$1:$CG$81,36,0)</f>
        <v>220</v>
      </c>
      <c r="I14" s="3" t="str">
        <f>VLOOKUP(A14,'[1]실린더 상세사양값. 80'!$A$1:$CG$81,38,0)</f>
        <v>16</v>
      </c>
      <c r="J14" t="s">
        <v>13</v>
      </c>
      <c r="K14" s="2"/>
    </row>
    <row r="15" spans="1:11" x14ac:dyDescent="0.4">
      <c r="A15" s="2" t="s">
        <v>26</v>
      </c>
      <c r="B15" s="2" t="s">
        <v>11</v>
      </c>
      <c r="C15" s="2" t="s">
        <v>12</v>
      </c>
      <c r="D15" t="str">
        <f>VLOOKUP(A15,'[1]실린더 상세사양값. 80'!$A$1:$AP$81,40,0)</f>
        <v>CDS2T320-250-CJCD0239</v>
      </c>
      <c r="E15" t="str">
        <f>VLOOKUP(A15,'[1]실린더 상세사양값. 80'!$A$1:$BT$81,42,0)</f>
        <v>SMC</v>
      </c>
      <c r="F15" t="str">
        <f>VLOOKUP(A15,'[1]실린더 상세사양값. 80'!$A$1:$CG$81,32,0)</f>
        <v>320</v>
      </c>
      <c r="G15" t="str">
        <f>VLOOKUP(A15,'[1]실린더 상세사양값. 80'!$A$1:$CG$81,36,0)</f>
        <v>250</v>
      </c>
      <c r="H15" t="str">
        <f>VLOOKUP(A15,'[1]실린더 상세사양값. 80'!$A$1:$CG$81,36,0)</f>
        <v>250</v>
      </c>
      <c r="I15" s="3">
        <f>VLOOKUP(A15,'[1]실린더 상세사양값. 80'!$A$1:$CG$81,38,0)</f>
        <v>0</v>
      </c>
      <c r="J15" t="s">
        <v>13</v>
      </c>
      <c r="K15" s="2"/>
    </row>
    <row r="16" spans="1:11" x14ac:dyDescent="0.4">
      <c r="A16" s="2" t="s">
        <v>27</v>
      </c>
      <c r="B16" s="2" t="s">
        <v>11</v>
      </c>
      <c r="C16" s="2" t="s">
        <v>12</v>
      </c>
      <c r="D16" t="str">
        <f>VLOOKUP(A16,'[1]실린더 상세사양값. 80'!$A$1:$AP$81,40,0)</f>
        <v>CG1DN63-64-CJD00567</v>
      </c>
      <c r="E16" t="str">
        <f>VLOOKUP(A16,'[1]실린더 상세사양값. 80'!$A$1:$BT$81,42,0)</f>
        <v>SMC</v>
      </c>
      <c r="F16" t="str">
        <f>VLOOKUP(A16,'[1]실린더 상세사양값. 80'!$A$1:$CG$81,32,0)</f>
        <v>63</v>
      </c>
      <c r="G16" t="str">
        <f>VLOOKUP(A16,'[1]실린더 상세사양값. 80'!$A$1:$CG$81,36,0)</f>
        <v>64</v>
      </c>
      <c r="H16" t="str">
        <f>VLOOKUP(A16,'[1]실린더 상세사양값. 80'!$A$1:$CG$81,36,0)</f>
        <v>64</v>
      </c>
      <c r="I16" s="3" t="str">
        <f>VLOOKUP(A16,'[1]실린더 상세사양값. 80'!$A$1:$CG$81,38,0)</f>
        <v>10</v>
      </c>
      <c r="J16" t="s">
        <v>13</v>
      </c>
      <c r="K16" s="2" t="s">
        <v>139</v>
      </c>
    </row>
    <row r="17" spans="1:11" x14ac:dyDescent="0.4">
      <c r="A17" s="2" t="s">
        <v>28</v>
      </c>
      <c r="B17" s="2" t="s">
        <v>11</v>
      </c>
      <c r="C17" s="2" t="s">
        <v>12</v>
      </c>
      <c r="D17" t="str">
        <f>VLOOKUP(A17,'[1]실린더 상세사양값. 80'!$A$1:$AP$81,40,0)</f>
        <v>CDS1TN200-246K-A54</v>
      </c>
      <c r="E17" t="str">
        <f>VLOOKUP(A17,'[1]실린더 상세사양값. 80'!$A$1:$BT$81,42,0)</f>
        <v>SMC</v>
      </c>
      <c r="F17" t="str">
        <f>VLOOKUP(A17,'[1]실린더 상세사양값. 80'!$A$1:$CG$81,32,0)</f>
        <v>200</v>
      </c>
      <c r="G17" t="str">
        <f>VLOOKUP(A17,'[1]실린더 상세사양값. 80'!$A$1:$CG$81,36,0)</f>
        <v>246</v>
      </c>
      <c r="H17" t="str">
        <f>VLOOKUP(A17,'[1]실린더 상세사양값. 80'!$A$1:$CG$81,36,0)</f>
        <v>246</v>
      </c>
      <c r="I17" s="3" t="str">
        <f>VLOOKUP(A17,'[1]실린더 상세사양값. 80'!$A$1:$CG$81,38,0)</f>
        <v>9999</v>
      </c>
      <c r="J17" t="s">
        <v>13</v>
      </c>
      <c r="K17" s="2"/>
    </row>
    <row r="18" spans="1:11" x14ac:dyDescent="0.4">
      <c r="A18" s="2" t="s">
        <v>29</v>
      </c>
      <c r="B18" s="2" t="s">
        <v>11</v>
      </c>
      <c r="C18" s="2" t="s">
        <v>12</v>
      </c>
      <c r="D18" t="str">
        <f>VLOOKUP(A18,'[1]실린더 상세사양값. 80'!$A$1:$AP$81,40,0)</f>
        <v>CDQ2B50-55Z-DCN446GN</v>
      </c>
      <c r="E18" t="str">
        <f>VLOOKUP(A18,'[1]실린더 상세사양값. 80'!$A$1:$BT$81,42,0)</f>
        <v>SMC</v>
      </c>
      <c r="F18" t="str">
        <f>VLOOKUP(A18,'[1]실린더 상세사양값. 80'!$A$1:$CG$81,32,0)</f>
        <v>50</v>
      </c>
      <c r="G18" t="str">
        <f>VLOOKUP(A18,'[1]실린더 상세사양값. 80'!$A$1:$CG$81,36,0)</f>
        <v>9999</v>
      </c>
      <c r="H18" t="str">
        <f>VLOOKUP(A18,'[1]실린더 상세사양값. 80'!$A$1:$CG$81,36,0)</f>
        <v>9999</v>
      </c>
      <c r="I18" s="3" t="str">
        <f>VLOOKUP(A18,'[1]실린더 상세사양값. 80'!$A$1:$CG$81,38,0)</f>
        <v>10</v>
      </c>
      <c r="J18" t="s">
        <v>13</v>
      </c>
      <c r="K18" s="9" t="s">
        <v>140</v>
      </c>
    </row>
    <row r="19" spans="1:11" x14ac:dyDescent="0.4">
      <c r="A19" s="2" t="s">
        <v>30</v>
      </c>
      <c r="B19" s="2" t="s">
        <v>11</v>
      </c>
      <c r="C19" s="2" t="s">
        <v>12</v>
      </c>
      <c r="D19" t="str">
        <f>VLOOKUP(A19,'[1]실린더 상세사양값. 80'!$A$1:$AP$81,40,0)</f>
        <v>CDS1TN140-KRT04KO-710-XC14 +D-A54Z(2EA)+BT-12(2EA)</v>
      </c>
      <c r="E19" t="str">
        <f>VLOOKUP(A19,'[1]실린더 상세사양값. 80'!$A$1:$BT$81,42,0)</f>
        <v>SMC</v>
      </c>
      <c r="F19" t="str">
        <f>VLOOKUP(A19,'[1]실린더 상세사양값. 80'!$A$1:$CG$81,32,0)</f>
        <v>140</v>
      </c>
      <c r="G19" t="str">
        <f>VLOOKUP(A19,'[1]실린더 상세사양값. 80'!$A$1:$CG$81,36,0)</f>
        <v>710</v>
      </c>
      <c r="H19" t="str">
        <f>VLOOKUP(A19,'[1]실린더 상세사양값. 80'!$A$1:$CG$81,36,0)</f>
        <v>710</v>
      </c>
      <c r="I19" s="3" t="str">
        <f>VLOOKUP(A19,'[1]실린더 상세사양값. 80'!$A$1:$CG$81,38,0)</f>
        <v>10</v>
      </c>
      <c r="J19" t="s">
        <v>13</v>
      </c>
      <c r="K19" s="9" t="s">
        <v>141</v>
      </c>
    </row>
    <row r="20" spans="1:11" x14ac:dyDescent="0.4">
      <c r="A20" s="2" t="s">
        <v>31</v>
      </c>
      <c r="B20" s="2" t="s">
        <v>11</v>
      </c>
      <c r="C20" s="2" t="s">
        <v>12</v>
      </c>
      <c r="D20" t="str">
        <f>VLOOKUP(A20,'[1]실린더 상세사양값. 80'!$A$1:$AP$81,40,0)</f>
        <v>C96SD100-320C</v>
      </c>
      <c r="E20" t="str">
        <f>VLOOKUP(A20,'[1]실린더 상세사양값. 80'!$A$1:$BT$81,42,0)</f>
        <v>SMC</v>
      </c>
      <c r="F20" t="str">
        <f>VLOOKUP(A20,'[1]실린더 상세사양값. 80'!$A$1:$CG$81,32,0)</f>
        <v>100</v>
      </c>
      <c r="G20" t="str">
        <f>VLOOKUP(A20,'[1]실린더 상세사양값. 80'!$A$1:$CG$81,36,0)</f>
        <v>320</v>
      </c>
      <c r="H20" t="str">
        <f>VLOOKUP(A20,'[1]실린더 상세사양값. 80'!$A$1:$CG$81,36,0)</f>
        <v>320</v>
      </c>
      <c r="I20" s="3" t="str">
        <f>VLOOKUP(A20,'[1]실린더 상세사양값. 80'!$A$1:$CG$81,38,0)</f>
        <v>10</v>
      </c>
      <c r="J20" t="s">
        <v>13</v>
      </c>
      <c r="K20" s="9" t="s">
        <v>142</v>
      </c>
    </row>
    <row r="21" spans="1:11" x14ac:dyDescent="0.4">
      <c r="A21" s="2" t="s">
        <v>32</v>
      </c>
      <c r="B21" s="2" t="s">
        <v>11</v>
      </c>
      <c r="C21" s="2" t="s">
        <v>12</v>
      </c>
      <c r="D21" t="str">
        <f>VLOOKUP(A21,'[1]실린더 상세사양값. 80'!$A$1:$AP$81,40,0)</f>
        <v>CDA2T100-KRT09KO-125Z-W-A96L</v>
      </c>
      <c r="E21" t="str">
        <f>VLOOKUP(A21,'[1]실린더 상세사양값. 80'!$A$1:$BT$81,42,0)</f>
        <v>SMC</v>
      </c>
      <c r="F21" t="str">
        <f>VLOOKUP(A21,'[1]실린더 상세사양값. 80'!$A$1:$CG$81,32,0)</f>
        <v>100</v>
      </c>
      <c r="G21" t="str">
        <f>VLOOKUP(A21,'[1]실린더 상세사양값. 80'!$A$1:$CG$81,36,0)</f>
        <v>125</v>
      </c>
      <c r="H21" t="str">
        <f>VLOOKUP(A21,'[1]실린더 상세사양값. 80'!$A$1:$CG$81,36,0)</f>
        <v>125</v>
      </c>
      <c r="I21" s="3">
        <f>VLOOKUP(A21,'[1]실린더 상세사양값. 80'!$A$1:$CG$81,38,0)</f>
        <v>0</v>
      </c>
      <c r="J21" t="s">
        <v>13</v>
      </c>
      <c r="K21" s="10" t="s">
        <v>143</v>
      </c>
    </row>
    <row r="22" spans="1:11" x14ac:dyDescent="0.4">
      <c r="A22" s="2" t="s">
        <v>33</v>
      </c>
      <c r="B22" s="2" t="s">
        <v>11</v>
      </c>
      <c r="C22" s="2" t="s">
        <v>12</v>
      </c>
      <c r="D22" t="str">
        <f>VLOOKUP(A22,'[1]실린더 상세사양값. 80'!$A$1:$AP$81,40,0)</f>
        <v>CDG1UN50TF-170-CJZH0846</v>
      </c>
      <c r="E22" t="str">
        <f>VLOOKUP(A22,'[1]실린더 상세사양값. 80'!$A$1:$BT$81,42,0)</f>
        <v>SMC</v>
      </c>
      <c r="F22" t="str">
        <f>VLOOKUP(A22,'[1]실린더 상세사양값. 80'!$A$1:$CG$81,32,0)</f>
        <v>50</v>
      </c>
      <c r="G22" t="str">
        <f>VLOOKUP(A22,'[1]실린더 상세사양값. 80'!$A$1:$CG$81,36,0)</f>
        <v>170</v>
      </c>
      <c r="H22" t="str">
        <f>VLOOKUP(A22,'[1]실린더 상세사양값. 80'!$A$1:$CG$81,36,0)</f>
        <v>170</v>
      </c>
      <c r="I22" s="3" t="str">
        <f>VLOOKUP(A22,'[1]실린더 상세사양값. 80'!$A$1:$CG$81,38,0)</f>
        <v>10</v>
      </c>
      <c r="J22" t="s">
        <v>13</v>
      </c>
      <c r="K22" s="9" t="s">
        <v>144</v>
      </c>
    </row>
    <row r="23" spans="1:11" x14ac:dyDescent="0.4">
      <c r="A23" s="2" t="s">
        <v>34</v>
      </c>
      <c r="B23" s="2" t="s">
        <v>11</v>
      </c>
      <c r="C23" s="2" t="s">
        <v>12</v>
      </c>
      <c r="D23" t="str">
        <f>VLOOKUP(A23,'[1]실린더 상세사양값. 80'!$A$1:$AP$81,40,0)</f>
        <v>CDM2E32-200Z-NW-A93L</v>
      </c>
      <c r="E23" t="str">
        <f>VLOOKUP(A23,'[1]실린더 상세사양값. 80'!$A$1:$BT$81,42,0)</f>
        <v>SMC</v>
      </c>
      <c r="F23" t="str">
        <f>VLOOKUP(A23,'[1]실린더 상세사양값. 80'!$A$1:$CG$81,32,0)</f>
        <v>9999</v>
      </c>
      <c r="G23" t="str">
        <f>VLOOKUP(A23,'[1]실린더 상세사양값. 80'!$A$1:$CG$81,36,0)</f>
        <v>9999</v>
      </c>
      <c r="H23" t="str">
        <f>VLOOKUP(A23,'[1]실린더 상세사양값. 80'!$A$1:$CG$81,36,0)</f>
        <v>9999</v>
      </c>
      <c r="I23" s="3">
        <f>VLOOKUP(A23,'[1]실린더 상세사양값. 80'!$A$1:$CG$81,38,0)</f>
        <v>0</v>
      </c>
      <c r="J23" t="s">
        <v>13</v>
      </c>
      <c r="K23" s="9" t="s">
        <v>145</v>
      </c>
    </row>
    <row r="24" spans="1:11" x14ac:dyDescent="0.4">
      <c r="A24" s="2" t="s">
        <v>35</v>
      </c>
      <c r="B24" s="2" t="s">
        <v>11</v>
      </c>
      <c r="C24" s="2" t="s">
        <v>12</v>
      </c>
      <c r="D24" t="str">
        <f>VLOOKUP(A24,'[1]실린더 상세사양값. 80'!$A$1:$AP$81,40,0)</f>
        <v>CDM2E40TF-160Z-XC6</v>
      </c>
      <c r="E24" t="str">
        <f>VLOOKUP(A24,'[1]실린더 상세사양값. 80'!$A$1:$BT$81,42,0)</f>
        <v>SMC</v>
      </c>
      <c r="F24" t="str">
        <f>VLOOKUP(A24,'[1]실린더 상세사양값. 80'!$A$1:$CG$81,32,0)</f>
        <v>40</v>
      </c>
      <c r="G24" t="str">
        <f>VLOOKUP(A24,'[1]실린더 상세사양값. 80'!$A$1:$CG$81,36,0)</f>
        <v>160</v>
      </c>
      <c r="H24" t="str">
        <f>VLOOKUP(A24,'[1]실린더 상세사양값. 80'!$A$1:$CG$81,36,0)</f>
        <v>160</v>
      </c>
      <c r="I24" s="3" t="str">
        <f>VLOOKUP(A24,'[1]실린더 상세사양값. 80'!$A$1:$CG$81,38,0)</f>
        <v>10</v>
      </c>
      <c r="J24" t="s">
        <v>13</v>
      </c>
      <c r="K24" s="9" t="s">
        <v>145</v>
      </c>
    </row>
    <row r="25" spans="1:11" x14ac:dyDescent="0.4">
      <c r="A25" s="2" t="s">
        <v>36</v>
      </c>
      <c r="B25" s="2" t="s">
        <v>11</v>
      </c>
      <c r="C25" s="2" t="s">
        <v>12</v>
      </c>
      <c r="D25" t="str">
        <f>VLOOKUP(A25,'[1]실린더 상세사양값. 80'!$A$1:$AP$81,40,0)</f>
        <v>CDQMB50-10-A72</v>
      </c>
      <c r="E25" t="str">
        <f>VLOOKUP(A25,'[1]실린더 상세사양값. 80'!$A$1:$BT$81,42,0)</f>
        <v>SMC</v>
      </c>
      <c r="F25" t="str">
        <f>VLOOKUP(A25,'[1]실린더 상세사양값. 80'!$A$1:$CG$81,32,0)</f>
        <v>50</v>
      </c>
      <c r="G25" t="str">
        <f>VLOOKUP(A25,'[1]실린더 상세사양값. 80'!$A$1:$CG$81,36,0)</f>
        <v>10</v>
      </c>
      <c r="H25" t="str">
        <f>VLOOKUP(A25,'[1]실린더 상세사양값. 80'!$A$1:$CG$81,36,0)</f>
        <v>10</v>
      </c>
      <c r="I25" s="3" t="str">
        <f>VLOOKUP(A25,'[1]실린더 상세사양값. 80'!$A$1:$CG$81,38,0)</f>
        <v>10</v>
      </c>
      <c r="J25" t="s">
        <v>13</v>
      </c>
      <c r="K25" s="9" t="s">
        <v>146</v>
      </c>
    </row>
    <row r="26" spans="1:11" x14ac:dyDescent="0.4">
      <c r="A26" s="4" t="s">
        <v>37</v>
      </c>
      <c r="B26" s="2" t="s">
        <v>11</v>
      </c>
      <c r="C26" s="2" t="s">
        <v>12</v>
      </c>
      <c r="D26" t="s">
        <v>38</v>
      </c>
      <c r="E26" t="s">
        <v>39</v>
      </c>
      <c r="F26" s="3" t="s">
        <v>40</v>
      </c>
      <c r="G26" s="3" t="s">
        <v>41</v>
      </c>
      <c r="H26" s="3" t="s">
        <v>41</v>
      </c>
      <c r="I26" s="3" t="s">
        <v>41</v>
      </c>
      <c r="J26" s="5" t="s">
        <v>42</v>
      </c>
      <c r="K26" s="2" t="s">
        <v>137</v>
      </c>
    </row>
    <row r="27" spans="1:11" x14ac:dyDescent="0.4">
      <c r="A27" s="6" t="s">
        <v>43</v>
      </c>
      <c r="B27" s="2" t="s">
        <v>11</v>
      </c>
      <c r="C27" s="2" t="s">
        <v>12</v>
      </c>
      <c r="D27" t="s">
        <v>44</v>
      </c>
      <c r="E27" t="s">
        <v>39</v>
      </c>
      <c r="F27" s="3">
        <v>51</v>
      </c>
      <c r="G27" s="3">
        <v>11</v>
      </c>
      <c r="H27" s="3">
        <v>12</v>
      </c>
      <c r="I27" s="3">
        <v>19</v>
      </c>
      <c r="J27" s="7" t="s">
        <v>42</v>
      </c>
      <c r="K27" s="2" t="s">
        <v>137</v>
      </c>
    </row>
    <row r="28" spans="1:11" x14ac:dyDescent="0.4">
      <c r="A28" s="6" t="s">
        <v>45</v>
      </c>
      <c r="B28" s="2" t="s">
        <v>11</v>
      </c>
      <c r="C28" s="2" t="s">
        <v>12</v>
      </c>
      <c r="D28" t="s">
        <v>46</v>
      </c>
      <c r="E28" t="s">
        <v>39</v>
      </c>
      <c r="F28" s="3" t="s">
        <v>40</v>
      </c>
      <c r="G28" s="3">
        <v>32</v>
      </c>
      <c r="H28" s="3" t="s">
        <v>41</v>
      </c>
      <c r="I28" s="3">
        <v>11</v>
      </c>
      <c r="J28" s="7" t="s">
        <v>42</v>
      </c>
      <c r="K28" s="2" t="s">
        <v>137</v>
      </c>
    </row>
    <row r="29" spans="1:11" x14ac:dyDescent="0.4">
      <c r="A29" s="6" t="s">
        <v>47</v>
      </c>
      <c r="B29" s="2" t="s">
        <v>11</v>
      </c>
      <c r="C29" s="2" t="s">
        <v>12</v>
      </c>
      <c r="D29" t="s">
        <v>48</v>
      </c>
      <c r="E29" t="s">
        <v>39</v>
      </c>
      <c r="F29" s="3">
        <v>51</v>
      </c>
      <c r="G29" s="3">
        <v>35</v>
      </c>
      <c r="H29" s="3">
        <v>7</v>
      </c>
      <c r="I29" s="3">
        <v>12</v>
      </c>
      <c r="J29" s="7" t="s">
        <v>42</v>
      </c>
      <c r="K29" s="2" t="s">
        <v>137</v>
      </c>
    </row>
    <row r="30" spans="1:11" x14ac:dyDescent="0.4">
      <c r="A30" s="6" t="s">
        <v>49</v>
      </c>
      <c r="B30" s="2" t="s">
        <v>11</v>
      </c>
      <c r="C30" s="2" t="s">
        <v>12</v>
      </c>
      <c r="D30" t="s">
        <v>50</v>
      </c>
      <c r="E30" t="s">
        <v>39</v>
      </c>
      <c r="F30" s="3" t="s">
        <v>40</v>
      </c>
      <c r="G30" s="3" t="s">
        <v>41</v>
      </c>
      <c r="H30" s="3" t="s">
        <v>41</v>
      </c>
      <c r="I30" s="3">
        <v>14</v>
      </c>
      <c r="J30" s="7" t="s">
        <v>42</v>
      </c>
      <c r="K30" s="2" t="s">
        <v>137</v>
      </c>
    </row>
    <row r="31" spans="1:11" x14ac:dyDescent="0.4">
      <c r="A31" s="6" t="s">
        <v>51</v>
      </c>
      <c r="B31" s="2" t="s">
        <v>11</v>
      </c>
      <c r="C31" s="2" t="s">
        <v>12</v>
      </c>
      <c r="D31" t="s">
        <v>52</v>
      </c>
      <c r="E31" t="s">
        <v>39</v>
      </c>
      <c r="F31" s="3">
        <v>51</v>
      </c>
      <c r="G31" s="3">
        <v>11</v>
      </c>
      <c r="H31" s="3">
        <v>42</v>
      </c>
      <c r="I31" s="3">
        <v>15</v>
      </c>
      <c r="J31" s="7" t="s">
        <v>42</v>
      </c>
      <c r="K31" s="2" t="s">
        <v>137</v>
      </c>
    </row>
    <row r="32" spans="1:11" x14ac:dyDescent="0.4">
      <c r="A32" s="6" t="s">
        <v>53</v>
      </c>
      <c r="B32" s="2" t="s">
        <v>11</v>
      </c>
      <c r="C32" s="2" t="s">
        <v>12</v>
      </c>
      <c r="D32" t="s">
        <v>54</v>
      </c>
      <c r="E32" t="s">
        <v>39</v>
      </c>
      <c r="F32" s="3" t="s">
        <v>40</v>
      </c>
      <c r="G32" s="3">
        <v>11</v>
      </c>
      <c r="H32" s="3" t="s">
        <v>41</v>
      </c>
      <c r="I32" s="3">
        <v>123</v>
      </c>
      <c r="J32" s="7" t="s">
        <v>42</v>
      </c>
      <c r="K32" s="2" t="s">
        <v>137</v>
      </c>
    </row>
    <row r="33" spans="1:9" x14ac:dyDescent="0.4">
      <c r="A33" s="2"/>
      <c r="B33" s="2"/>
      <c r="C33" s="2"/>
      <c r="I33" s="3"/>
    </row>
    <row r="34" spans="1:9" x14ac:dyDescent="0.4">
      <c r="A34" s="2"/>
      <c r="B34" s="2"/>
      <c r="C34" s="2"/>
      <c r="I34" s="3"/>
    </row>
    <row r="53" spans="1:3" x14ac:dyDescent="0.4">
      <c r="A53" s="2"/>
      <c r="B53" s="2"/>
      <c r="C53" s="2"/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98BA1-B1F9-46D1-87BB-021CC1D74ADE}">
  <dimension ref="A1:O18"/>
  <sheetViews>
    <sheetView topLeftCell="C1" workbookViewId="0">
      <selection activeCell="E11" sqref="E11:E12"/>
    </sheetView>
  </sheetViews>
  <sheetFormatPr defaultRowHeight="17.399999999999999" x14ac:dyDescent="0.4"/>
  <cols>
    <col min="2" max="2" width="8.59765625" bestFit="1" customWidth="1"/>
    <col min="3" max="3" width="16.3984375" bestFit="1" customWidth="1"/>
    <col min="4" max="4" width="17.3984375" bestFit="1" customWidth="1"/>
    <col min="5" max="5" width="31.19921875" bestFit="1" customWidth="1"/>
    <col min="6" max="6" width="15.09765625" bestFit="1" customWidth="1"/>
    <col min="7" max="7" width="7.8984375" bestFit="1" customWidth="1"/>
    <col min="8" max="8" width="16.3984375" bestFit="1" customWidth="1"/>
    <col min="9" max="9" width="8.69921875" bestFit="1" customWidth="1"/>
    <col min="10" max="10" width="8.09765625" bestFit="1" customWidth="1"/>
    <col min="11" max="11" width="10.19921875" bestFit="1" customWidth="1"/>
    <col min="12" max="12" width="13" bestFit="1" customWidth="1"/>
    <col min="13" max="13" width="22" bestFit="1" customWidth="1"/>
    <col min="14" max="14" width="8.59765625" bestFit="1" customWidth="1"/>
  </cols>
  <sheetData>
    <row r="1" spans="1:15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9</v>
      </c>
      <c r="O1" s="8" t="s">
        <v>132</v>
      </c>
    </row>
    <row r="2" spans="1:15" x14ac:dyDescent="0.4">
      <c r="A2" s="2" t="s">
        <v>63</v>
      </c>
      <c r="B2" s="2" t="s">
        <v>11</v>
      </c>
      <c r="C2" s="2" t="s">
        <v>64</v>
      </c>
      <c r="D2" t="str">
        <f>VLOOKUP(A2,'[1]모터 상세사양값'!$A$1:$CG$27,28,0)</f>
        <v>DHHM8-9175-43</v>
      </c>
      <c r="E2" t="s">
        <v>157</v>
      </c>
      <c r="F2" t="str">
        <f>VLOOKUP(A2,'[1]모터 상세사양값'!$A$1:$CG$27,52,0)</f>
        <v>F</v>
      </c>
      <c r="G2">
        <f>VLOOKUP(A2,'[1]모터 상세사양값'!$A$1:$CG$27,54,0)</f>
        <v>0</v>
      </c>
      <c r="H2" t="str">
        <f>VLOOKUP(A2,'[1]모터 상세사양값'!$A$1:$CG$27,56,0)</f>
        <v>4</v>
      </c>
      <c r="I2" t="str">
        <f>VLOOKUP(A2,'[1]모터 상세사양값'!$A$1:$CG$27,58,0)</f>
        <v>5.5</v>
      </c>
      <c r="J2" t="str">
        <f>VLOOKUP(A2,'[1]모터 상세사양값'!$A$1:$CG$27,60,0)</f>
        <v>440</v>
      </c>
      <c r="K2" t="str">
        <f>VLOOKUP(A2,'[1]모터 상세사양값'!$A$1:$CG$27,62,0)</f>
        <v>60</v>
      </c>
      <c r="L2" t="str">
        <f>VLOOKUP(A2,'[1]모터 상세사양값'!$A$1:$CG$27,64,0)</f>
        <v>1780</v>
      </c>
      <c r="M2" t="str">
        <f>VLOOKUP(A2,'[1]모터 상세사양값'!$A$1:$CG$27,66,0)</f>
        <v>1/43</v>
      </c>
      <c r="N2" t="s">
        <v>13</v>
      </c>
      <c r="O2" s="2"/>
    </row>
    <row r="3" spans="1:15" x14ac:dyDescent="0.4">
      <c r="A3" s="2" t="s">
        <v>65</v>
      </c>
      <c r="B3" s="2" t="s">
        <v>11</v>
      </c>
      <c r="C3" s="2" t="s">
        <v>64</v>
      </c>
      <c r="D3" t="str">
        <f>VLOOKUP(A3,'[1]모터 상세사양값'!$A$1:$CG$27,28,0)</f>
        <v>R47 DRN100L4</v>
      </c>
      <c r="E3" t="s">
        <v>158</v>
      </c>
      <c r="F3" t="str">
        <f>VLOOKUP(A3,'[1]모터 상세사양값'!$A$1:$CG$27,52,0)</f>
        <v>155F</v>
      </c>
      <c r="G3" t="str">
        <f>VLOOKUP(A3,'[1]모터 상세사양값'!$A$1:$CG$27,54,0)</f>
        <v>IP54</v>
      </c>
      <c r="H3" t="str">
        <f>VLOOKUP(A3,'[1]모터 상세사양값'!$A$1:$CG$27,56,0)</f>
        <v>4</v>
      </c>
      <c r="I3" t="str">
        <f>VLOOKUP(A3,'[1]모터 상세사양값'!$A$1:$CG$27,58,0)</f>
        <v>2.2</v>
      </c>
      <c r="J3" t="str">
        <f>VLOOKUP(A3,'[1]모터 상세사양값'!$A$1:$CG$27,60,0)</f>
        <v>254/440</v>
      </c>
      <c r="K3" t="str">
        <f>VLOOKUP(A3,'[1]모터 상세사양값'!$A$1:$CG$27,62,0)</f>
        <v>60</v>
      </c>
      <c r="L3" t="str">
        <f>VLOOKUP(A3,'[1]모터 상세사양값'!$A$1:$CG$27,64,0)</f>
        <v>1765/174</v>
      </c>
      <c r="M3" t="str">
        <f>VLOOKUP(A3,'[1]모터 상세사양값'!$A$1:$CG$27,66,0)</f>
        <v>1/10.15</v>
      </c>
      <c r="N3" t="s">
        <v>13</v>
      </c>
      <c r="O3" s="2" t="s">
        <v>147</v>
      </c>
    </row>
    <row r="4" spans="1:15" x14ac:dyDescent="0.4">
      <c r="A4" s="2" t="s">
        <v>66</v>
      </c>
      <c r="B4" s="2" t="s">
        <v>11</v>
      </c>
      <c r="C4" s="2" t="s">
        <v>64</v>
      </c>
      <c r="D4" t="str">
        <f>VLOOKUP(A4,'[1]모터 상세사양값'!$A$1:$CG$27,28,0)</f>
        <v>RPH</v>
      </c>
      <c r="E4" t="s">
        <v>159</v>
      </c>
      <c r="F4" t="str">
        <f>VLOOKUP(A4,'[1]모터 상세사양값'!$A$1:$CG$27,52,0)</f>
        <v xml:space="preserve"> F</v>
      </c>
      <c r="G4" t="str">
        <f>VLOOKUP(A4,'[1]모터 상세사양값'!$A$1:$CG$27,54,0)</f>
        <v xml:space="preserve"> IP55</v>
      </c>
      <c r="H4" t="str">
        <f>VLOOKUP(A4,'[1]모터 상세사양값'!$A$1:$CG$27,56,0)</f>
        <v>4</v>
      </c>
      <c r="I4" t="str">
        <f>VLOOKUP(A4,'[1]모터 상세사양값'!$A$1:$CG$27,58,0)</f>
        <v>0.75</v>
      </c>
      <c r="J4" t="str">
        <f>VLOOKUP(A4,'[1]모터 상세사양값'!$A$1:$CG$27,60,0)</f>
        <v>440</v>
      </c>
      <c r="K4" t="str">
        <f>VLOOKUP(A4,'[1]모터 상세사양값'!$A$1:$CG$27,62,0)</f>
        <v>60</v>
      </c>
      <c r="L4" t="str">
        <f>VLOOKUP(A4,'[1]모터 상세사양값'!$A$1:$CG$27,64,0)</f>
        <v>1735/35</v>
      </c>
      <c r="M4" t="str">
        <f>VLOOKUP(A4,'[1]모터 상세사양값'!$A$1:$CG$27,66,0)</f>
        <v>1/50</v>
      </c>
      <c r="N4" t="s">
        <v>13</v>
      </c>
      <c r="O4" s="2" t="s">
        <v>148</v>
      </c>
    </row>
    <row r="5" spans="1:15" x14ac:dyDescent="0.4">
      <c r="A5" s="2" t="s">
        <v>67</v>
      </c>
      <c r="B5" s="2" t="s">
        <v>11</v>
      </c>
      <c r="C5" s="2" t="s">
        <v>64</v>
      </c>
      <c r="D5" t="str">
        <f>VLOOKUP(A5,'[1]모터 상세사양값'!$A$1:$CG$27,28,0)</f>
        <v>RPH</v>
      </c>
      <c r="E5" t="s">
        <v>159</v>
      </c>
      <c r="F5" t="str">
        <f>VLOOKUP(A5,'[1]모터 상세사양값'!$A$1:$CG$27,52,0)</f>
        <v xml:space="preserve"> F</v>
      </c>
      <c r="G5" t="str">
        <f>VLOOKUP(A5,'[1]모터 상세사양값'!$A$1:$CG$27,54,0)</f>
        <v xml:space="preserve"> IP55</v>
      </c>
      <c r="H5" t="str">
        <f>VLOOKUP(A5,'[1]모터 상세사양값'!$A$1:$CG$27,56,0)</f>
        <v>4</v>
      </c>
      <c r="I5" t="str">
        <f>VLOOKUP(A5,'[1]모터 상세사양값'!$A$1:$CG$27,58,0)</f>
        <v>1.5</v>
      </c>
      <c r="J5" t="str">
        <f>VLOOKUP(A5,'[1]모터 상세사양값'!$A$1:$CG$27,60,0)</f>
        <v>440</v>
      </c>
      <c r="K5" t="str">
        <f>VLOOKUP(A5,'[1]모터 상세사양값'!$A$1:$CG$27,62,0)</f>
        <v>60</v>
      </c>
      <c r="L5" t="str">
        <f>VLOOKUP(A5,'[1]모터 상세사양값'!$A$1:$CG$27,64,0)</f>
        <v>1750/29.2</v>
      </c>
      <c r="M5" t="str">
        <f>VLOOKUP(A5,'[1]모터 상세사양값'!$A$1:$CG$27,66,0)</f>
        <v>60</v>
      </c>
      <c r="N5" t="s">
        <v>13</v>
      </c>
      <c r="O5" s="2" t="s">
        <v>148</v>
      </c>
    </row>
    <row r="6" spans="1:15" x14ac:dyDescent="0.4">
      <c r="A6" s="2" t="s">
        <v>68</v>
      </c>
      <c r="B6" s="2" t="s">
        <v>11</v>
      </c>
      <c r="C6" s="2" t="s">
        <v>64</v>
      </c>
      <c r="D6" t="str">
        <f>VLOOKUP(A6,'[1]모터 상세사양값'!$A$1:$CG$27,28,0)</f>
        <v>HLA020101057587</v>
      </c>
      <c r="E6" t="s">
        <v>159</v>
      </c>
      <c r="F6" t="str">
        <f>VLOOKUP(A6,'[1]모터 상세사양값'!$A$1:$CG$27,52,0)</f>
        <v>F</v>
      </c>
      <c r="G6" t="str">
        <f>VLOOKUP(A6,'[1]모터 상세사양값'!$A$1:$CG$27,54,0)</f>
        <v>TE</v>
      </c>
      <c r="H6" t="str">
        <f>VLOOKUP(A6,'[1]모터 상세사양값'!$A$1:$CG$27,56,0)</f>
        <v>4</v>
      </c>
      <c r="I6" t="str">
        <f>VLOOKUP(A6,'[1]모터 상세사양값'!$A$1:$CG$27,58,0)</f>
        <v>1.5</v>
      </c>
      <c r="J6" t="str">
        <f>VLOOKUP(A6,'[1]모터 상세사양값'!$A$1:$CG$27,60,0)</f>
        <v>440</v>
      </c>
      <c r="K6" t="str">
        <f>VLOOKUP(A6,'[1]모터 상세사양값'!$A$1:$CG$27,62,0)</f>
        <v>60</v>
      </c>
      <c r="L6" t="str">
        <f>VLOOKUP(A6,'[1]모터 상세사양값'!$A$1:$CG$27,64,0)</f>
        <v>1750</v>
      </c>
      <c r="M6" t="str">
        <f>VLOOKUP(A6,'[1]모터 상세사양값'!$A$1:$CG$27,66,0)</f>
        <v>1/15</v>
      </c>
      <c r="N6" t="s">
        <v>13</v>
      </c>
      <c r="O6" s="2"/>
    </row>
    <row r="7" spans="1:15" x14ac:dyDescent="0.4">
      <c r="A7" s="2" t="s">
        <v>69</v>
      </c>
      <c r="B7" s="2" t="s">
        <v>11</v>
      </c>
      <c r="C7" s="2" t="s">
        <v>64</v>
      </c>
      <c r="D7" t="str">
        <f>VLOOKUP(A7,'[1]모터 상세사양값'!$A$1:$CG$27,28,0)</f>
        <v>HMA01080000560</v>
      </c>
      <c r="E7" t="s">
        <v>159</v>
      </c>
      <c r="F7" t="str">
        <f>VLOOKUP(A7,'[1]모터 상세사양값'!$A$1:$CG$27,52,0)</f>
        <v>F</v>
      </c>
      <c r="G7" t="str">
        <f>VLOOKUP(A7,'[1]모터 상세사양값'!$A$1:$CG$27,54,0)</f>
        <v>TE</v>
      </c>
      <c r="H7" t="str">
        <f>VLOOKUP(A7,'[1]모터 상세사양값'!$A$1:$CG$27,56,0)</f>
        <v>4</v>
      </c>
      <c r="I7" t="str">
        <f>VLOOKUP(A7,'[1]모터 상세사양값'!$A$1:$CG$27,58,0)</f>
        <v>3.7</v>
      </c>
      <c r="J7" t="str">
        <f>VLOOKUP(A7,'[1]모터 상세사양값'!$A$1:$CG$27,60,0)</f>
        <v>440</v>
      </c>
      <c r="K7" t="str">
        <f>VLOOKUP(A7,'[1]모터 상세사양값'!$A$1:$CG$27,62,0)</f>
        <v>60</v>
      </c>
      <c r="L7" t="str">
        <f>VLOOKUP(A7,'[1]모터 상세사양값'!$A$1:$CG$27,64,0)</f>
        <v>1755</v>
      </c>
      <c r="M7" t="str">
        <f>VLOOKUP(A7,'[1]모터 상세사양값'!$A$1:$CG$27,66,0)</f>
        <v>1/120</v>
      </c>
      <c r="N7" t="s">
        <v>13</v>
      </c>
      <c r="O7" s="2"/>
    </row>
    <row r="8" spans="1:15" x14ac:dyDescent="0.4">
      <c r="A8" s="2" t="s">
        <v>70</v>
      </c>
      <c r="B8" s="2" t="s">
        <v>11</v>
      </c>
      <c r="C8" s="2" t="s">
        <v>64</v>
      </c>
      <c r="D8" t="str">
        <f>VLOOKUP(A8,'[1]모터 상세사양값'!$A$1:$CG$27,28,0)</f>
        <v>HLA020101057590</v>
      </c>
      <c r="E8" t="s">
        <v>159</v>
      </c>
      <c r="F8" t="str">
        <f>VLOOKUP(A8,'[1]모터 상세사양값'!$A$1:$CG$27,52,0)</f>
        <v>F</v>
      </c>
      <c r="G8" t="str">
        <f>VLOOKUP(A8,'[1]모터 상세사양값'!$A$1:$CG$27,54,0)</f>
        <v>TE</v>
      </c>
      <c r="H8" t="str">
        <f>VLOOKUP(A8,'[1]모터 상세사양값'!$A$1:$CG$27,56,0)</f>
        <v>4</v>
      </c>
      <c r="I8" t="str">
        <f>VLOOKUP(A8,'[1]모터 상세사양값'!$A$1:$CG$27,58,0)</f>
        <v>5.5</v>
      </c>
      <c r="J8" t="str">
        <f>VLOOKUP(A8,'[1]모터 상세사양값'!$A$1:$CG$27,60,0)</f>
        <v>440</v>
      </c>
      <c r="K8" t="str">
        <f>VLOOKUP(A8,'[1]모터 상세사양값'!$A$1:$CG$27,62,0)</f>
        <v>60</v>
      </c>
      <c r="L8" t="str">
        <f>VLOOKUP(A8,'[1]모터 상세사양값'!$A$1:$CG$27,64,0)</f>
        <v>1775</v>
      </c>
      <c r="M8" t="str">
        <f>VLOOKUP(A8,'[1]모터 상세사양값'!$A$1:$CG$27,66,0)</f>
        <v>1/100</v>
      </c>
      <c r="N8" t="s">
        <v>13</v>
      </c>
      <c r="O8" s="2"/>
    </row>
    <row r="9" spans="1:15" x14ac:dyDescent="0.4">
      <c r="A9" s="2" t="s">
        <v>71</v>
      </c>
      <c r="B9" s="2" t="s">
        <v>11</v>
      </c>
      <c r="C9" s="2" t="s">
        <v>64</v>
      </c>
      <c r="D9" t="str">
        <f>VLOOKUP(A9,'[1]모터 상세사양값'!$A$1:$CG$27,28,0)</f>
        <v>HLA020101057591</v>
      </c>
      <c r="E9" t="s">
        <v>159</v>
      </c>
      <c r="F9" t="str">
        <f>VLOOKUP(A9,'[1]모터 상세사양값'!$A$1:$CG$27,52,0)</f>
        <v>F</v>
      </c>
      <c r="G9" t="str">
        <f>VLOOKUP(A9,'[1]모터 상세사양값'!$A$1:$CG$27,54,0)</f>
        <v>TE</v>
      </c>
      <c r="H9" t="str">
        <f>VLOOKUP(A9,'[1]모터 상세사양값'!$A$1:$CG$27,56,0)</f>
        <v>4</v>
      </c>
      <c r="I9" t="str">
        <f>VLOOKUP(A9,'[1]모터 상세사양값'!$A$1:$CG$27,58,0)</f>
        <v>7.5</v>
      </c>
      <c r="J9" t="str">
        <f>VLOOKUP(A9,'[1]모터 상세사양값'!$A$1:$CG$27,60,0)</f>
        <v>440</v>
      </c>
      <c r="K9" t="str">
        <f>VLOOKUP(A9,'[1]모터 상세사양값'!$A$1:$CG$27,62,0)</f>
        <v>60</v>
      </c>
      <c r="L9" t="str">
        <f>VLOOKUP(A9,'[1]모터 상세사양값'!$A$1:$CG$27,64,0)</f>
        <v>1770</v>
      </c>
      <c r="M9" t="str">
        <f>VLOOKUP(A9,'[1]모터 상세사양값'!$A$1:$CG$27,66,0)</f>
        <v>1/60</v>
      </c>
      <c r="N9" t="s">
        <v>13</v>
      </c>
      <c r="O9" s="2"/>
    </row>
    <row r="10" spans="1:15" x14ac:dyDescent="0.4">
      <c r="A10" s="2" t="s">
        <v>72</v>
      </c>
      <c r="B10" s="2" t="s">
        <v>11</v>
      </c>
      <c r="C10" s="2" t="s">
        <v>64</v>
      </c>
      <c r="D10" t="str">
        <f>VLOOKUP(A10,'[1]모터 상세사양값'!$A$1:$CG$27,28,0)</f>
        <v>HLA020101057588</v>
      </c>
      <c r="E10" t="s">
        <v>159</v>
      </c>
      <c r="F10" t="str">
        <f>VLOOKUP(A10,'[1]모터 상세사양값'!$A$1:$CG$27,52,0)</f>
        <v>F</v>
      </c>
      <c r="G10" t="str">
        <f>VLOOKUP(A10,'[1]모터 상세사양값'!$A$1:$CG$27,54,0)</f>
        <v>TE</v>
      </c>
      <c r="H10" t="str">
        <f>VLOOKUP(A10,'[1]모터 상세사양값'!$A$1:$CG$27,56,0)</f>
        <v>4</v>
      </c>
      <c r="I10" t="str">
        <f>VLOOKUP(A10,'[1]모터 상세사양값'!$A$1:$CG$27,58,0)</f>
        <v>2.2</v>
      </c>
      <c r="J10" t="str">
        <f>VLOOKUP(A10,'[1]모터 상세사양값'!$A$1:$CG$27,60,0)</f>
        <v>440</v>
      </c>
      <c r="K10" t="str">
        <f>VLOOKUP(A10,'[1]모터 상세사양값'!$A$1:$CG$27,62,0)</f>
        <v>60</v>
      </c>
      <c r="L10" t="str">
        <f>VLOOKUP(A10,'[1]모터 상세사양값'!$A$1:$CG$27,64,0)</f>
        <v>1765</v>
      </c>
      <c r="M10" t="str">
        <f>VLOOKUP(A10,'[1]모터 상세사양값'!$A$1:$CG$27,66,0)</f>
        <v>1/30</v>
      </c>
      <c r="N10" t="s">
        <v>13</v>
      </c>
      <c r="O10" s="2"/>
    </row>
    <row r="11" spans="1:15" x14ac:dyDescent="0.4">
      <c r="A11" s="2" t="s">
        <v>73</v>
      </c>
      <c r="B11" s="2" t="s">
        <v>11</v>
      </c>
      <c r="C11" s="2" t="s">
        <v>64</v>
      </c>
      <c r="D11" t="str">
        <f>VLOOKUP(A11,'[1]모터 상세사양값'!$A$1:$CG$27,28,0)</f>
        <v>HMA01080000560</v>
      </c>
      <c r="E11" t="s">
        <v>159</v>
      </c>
      <c r="F11" t="str">
        <f>VLOOKUP(A11,'[1]모터 상세사양값'!$A$1:$CG$27,52,0)</f>
        <v>F</v>
      </c>
      <c r="G11" t="str">
        <f>VLOOKUP(A11,'[1]모터 상세사양값'!$A$1:$CG$27,54,0)</f>
        <v>IP55</v>
      </c>
      <c r="H11" t="str">
        <f>VLOOKUP(A11,'[1]모터 상세사양값'!$A$1:$CG$27,56,0)</f>
        <v>4</v>
      </c>
      <c r="I11" t="str">
        <f>VLOOKUP(A11,'[1]모터 상세사양값'!$A$1:$CG$27,58,0)</f>
        <v>3.7</v>
      </c>
      <c r="J11" t="str">
        <f>VLOOKUP(A11,'[1]모터 상세사양값'!$A$1:$CG$27,60,0)</f>
        <v>440</v>
      </c>
      <c r="K11" t="str">
        <f>VLOOKUP(A11,'[1]모터 상세사양값'!$A$1:$CG$27,62,0)</f>
        <v>60</v>
      </c>
      <c r="L11" t="str">
        <f>VLOOKUP(A11,'[1]모터 상세사양값'!$A$1:$CG$27,64,0)</f>
        <v>1755</v>
      </c>
      <c r="M11" t="str">
        <f>VLOOKUP(A11,'[1]모터 상세사양값'!$A$1:$CG$27,66,0)</f>
        <v>1/90</v>
      </c>
      <c r="N11" t="s">
        <v>13</v>
      </c>
      <c r="O11" s="2"/>
    </row>
    <row r="12" spans="1:15" x14ac:dyDescent="0.4">
      <c r="A12" s="2" t="s">
        <v>74</v>
      </c>
      <c r="B12" s="2" t="s">
        <v>11</v>
      </c>
      <c r="C12" s="2" t="s">
        <v>64</v>
      </c>
      <c r="D12" t="str">
        <f>VLOOKUP(A12,'[1]모터 상세사양값'!$A$1:$CG$27,28,0)</f>
        <v>JK-BT2200</v>
      </c>
      <c r="E12" t="s">
        <v>77</v>
      </c>
      <c r="F12" t="str">
        <f>VLOOKUP(A12,'[1]모터 상세사양값'!$A$1:$CG$27,52,0)</f>
        <v>F</v>
      </c>
      <c r="G12" t="str">
        <f>VLOOKUP(A12,'[1]모터 상세사양값'!$A$1:$CG$27,54,0)</f>
        <v>IP55</v>
      </c>
      <c r="H12" t="str">
        <f>VLOOKUP(A12,'[1]모터 상세사양값'!$A$1:$CG$27,56,0)</f>
        <v>6</v>
      </c>
      <c r="I12" t="str">
        <f>VLOOKUP(A12,'[1]모터 상세사양값'!$A$1:$CG$27,58,0)</f>
        <v>30</v>
      </c>
      <c r="J12" t="str">
        <f>VLOOKUP(A12,'[1]모터 상세사양값'!$A$1:$CG$27,60,0)</f>
        <v>440</v>
      </c>
      <c r="K12" t="str">
        <f>VLOOKUP(A12,'[1]모터 상세사양값'!$A$1:$CG$27,62,0)</f>
        <v>60</v>
      </c>
      <c r="L12" t="str">
        <f>VLOOKUP(A12,'[1]모터 상세사양값'!$A$1:$CG$27,64,0)</f>
        <v>1200</v>
      </c>
      <c r="M12" t="str">
        <f>VLOOKUP(A12,'[1]모터 상세사양값'!$A$1:$CG$27,66,0)</f>
        <v>1/15</v>
      </c>
      <c r="N12" t="s">
        <v>13</v>
      </c>
      <c r="O12" s="2" t="s">
        <v>149</v>
      </c>
    </row>
    <row r="13" spans="1:15" x14ac:dyDescent="0.4">
      <c r="A13" s="6" t="s">
        <v>75</v>
      </c>
      <c r="B13" s="2" t="s">
        <v>11</v>
      </c>
      <c r="C13" s="2" t="s">
        <v>64</v>
      </c>
      <c r="D13" t="s">
        <v>76</v>
      </c>
      <c r="E13" t="s">
        <v>77</v>
      </c>
      <c r="F13" t="s">
        <v>78</v>
      </c>
      <c r="G13" t="s">
        <v>79</v>
      </c>
      <c r="H13">
        <v>8</v>
      </c>
      <c r="I13">
        <v>20</v>
      </c>
      <c r="J13">
        <v>440</v>
      </c>
      <c r="K13">
        <v>60</v>
      </c>
      <c r="L13">
        <v>1750</v>
      </c>
      <c r="M13" t="s">
        <v>80</v>
      </c>
      <c r="N13" s="7" t="s">
        <v>42</v>
      </c>
    </row>
    <row r="14" spans="1:15" x14ac:dyDescent="0.4">
      <c r="A14" s="6" t="s">
        <v>81</v>
      </c>
      <c r="B14" s="2" t="s">
        <v>11</v>
      </c>
      <c r="C14" s="2" t="s">
        <v>64</v>
      </c>
      <c r="D14" t="s">
        <v>82</v>
      </c>
      <c r="E14" t="s">
        <v>77</v>
      </c>
      <c r="F14" t="s">
        <v>78</v>
      </c>
      <c r="G14" t="s">
        <v>79</v>
      </c>
      <c r="H14">
        <v>8</v>
      </c>
      <c r="I14">
        <v>30</v>
      </c>
      <c r="J14">
        <v>440</v>
      </c>
      <c r="K14">
        <v>60</v>
      </c>
      <c r="L14">
        <v>1750</v>
      </c>
      <c r="M14" t="s">
        <v>80</v>
      </c>
      <c r="N14" s="7" t="s">
        <v>42</v>
      </c>
    </row>
    <row r="15" spans="1:15" x14ac:dyDescent="0.4">
      <c r="A15" s="6" t="s">
        <v>83</v>
      </c>
      <c r="B15" s="2" t="s">
        <v>11</v>
      </c>
      <c r="C15" s="2" t="s">
        <v>64</v>
      </c>
      <c r="D15" t="s">
        <v>76</v>
      </c>
      <c r="E15" t="s">
        <v>77</v>
      </c>
      <c r="F15" t="s">
        <v>78</v>
      </c>
      <c r="G15" t="s">
        <v>79</v>
      </c>
      <c r="H15">
        <v>8</v>
      </c>
      <c r="I15">
        <v>40</v>
      </c>
      <c r="J15">
        <v>440</v>
      </c>
      <c r="K15">
        <v>60</v>
      </c>
      <c r="L15">
        <v>1750</v>
      </c>
      <c r="M15" t="s">
        <v>80</v>
      </c>
      <c r="N15" s="7" t="s">
        <v>42</v>
      </c>
    </row>
    <row r="16" spans="1:15" x14ac:dyDescent="0.4">
      <c r="A16" s="6" t="s">
        <v>84</v>
      </c>
      <c r="B16" s="2" t="s">
        <v>11</v>
      </c>
      <c r="C16" s="2" t="s">
        <v>64</v>
      </c>
      <c r="D16" t="s">
        <v>85</v>
      </c>
      <c r="E16" t="s">
        <v>77</v>
      </c>
      <c r="F16" t="s">
        <v>78</v>
      </c>
      <c r="G16" t="s">
        <v>79</v>
      </c>
      <c r="H16">
        <v>8</v>
      </c>
      <c r="I16">
        <v>50</v>
      </c>
      <c r="J16">
        <v>440</v>
      </c>
      <c r="K16">
        <v>60</v>
      </c>
      <c r="L16">
        <v>1750</v>
      </c>
      <c r="M16" t="s">
        <v>80</v>
      </c>
      <c r="N16" s="7" t="s">
        <v>42</v>
      </c>
    </row>
    <row r="17" spans="1:14" x14ac:dyDescent="0.4">
      <c r="A17" s="6" t="s">
        <v>86</v>
      </c>
      <c r="B17" s="2" t="s">
        <v>11</v>
      </c>
      <c r="C17" s="2" t="s">
        <v>64</v>
      </c>
      <c r="D17" t="s">
        <v>76</v>
      </c>
      <c r="E17" t="s">
        <v>77</v>
      </c>
      <c r="F17" t="s">
        <v>78</v>
      </c>
      <c r="G17" t="s">
        <v>79</v>
      </c>
      <c r="H17">
        <v>8</v>
      </c>
      <c r="I17">
        <v>60</v>
      </c>
      <c r="J17">
        <v>440</v>
      </c>
      <c r="K17">
        <v>60</v>
      </c>
      <c r="L17">
        <v>1750</v>
      </c>
      <c r="M17" t="s">
        <v>80</v>
      </c>
      <c r="N17" s="7" t="s">
        <v>42</v>
      </c>
    </row>
    <row r="18" spans="1:14" x14ac:dyDescent="0.4">
      <c r="A18" s="6" t="s">
        <v>87</v>
      </c>
      <c r="B18" s="2" t="s">
        <v>11</v>
      </c>
      <c r="C18" s="2" t="s">
        <v>64</v>
      </c>
      <c r="D18" t="s">
        <v>88</v>
      </c>
      <c r="E18" t="s">
        <v>77</v>
      </c>
      <c r="F18" t="s">
        <v>78</v>
      </c>
      <c r="G18" t="s">
        <v>79</v>
      </c>
      <c r="H18">
        <v>8</v>
      </c>
      <c r="I18">
        <v>70</v>
      </c>
      <c r="J18">
        <v>440</v>
      </c>
      <c r="K18">
        <v>60</v>
      </c>
      <c r="L18">
        <v>1750</v>
      </c>
      <c r="M18" t="s">
        <v>80</v>
      </c>
      <c r="N18" s="7" t="s">
        <v>42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A69C5-3BFB-461E-A36C-AB6052E6C0E9}">
  <dimension ref="A1:K25"/>
  <sheetViews>
    <sheetView tabSelected="1" topLeftCell="A10" workbookViewId="0">
      <selection activeCell="E26" sqref="E26"/>
    </sheetView>
  </sheetViews>
  <sheetFormatPr defaultRowHeight="17.399999999999999" x14ac:dyDescent="0.4"/>
  <cols>
    <col min="1" max="1" width="9.796875" bestFit="1" customWidth="1"/>
    <col min="2" max="3" width="15" bestFit="1" customWidth="1"/>
    <col min="4" max="4" width="21.69921875" bestFit="1" customWidth="1"/>
    <col min="5" max="6" width="14.59765625" bestFit="1" customWidth="1"/>
    <col min="7" max="7" width="17.796875" bestFit="1" customWidth="1"/>
    <col min="8" max="8" width="19" bestFit="1" customWidth="1"/>
    <col min="9" max="9" width="29.3984375" bestFit="1" customWidth="1"/>
    <col min="11" max="11" width="223.3984375" bestFit="1" customWidth="1"/>
  </cols>
  <sheetData>
    <row r="1" spans="1:11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89</v>
      </c>
      <c r="G1" s="1" t="s">
        <v>90</v>
      </c>
      <c r="H1" s="1" t="s">
        <v>91</v>
      </c>
      <c r="I1" s="1" t="s">
        <v>92</v>
      </c>
      <c r="J1" s="1" t="s">
        <v>9</v>
      </c>
      <c r="K1" s="8" t="s">
        <v>132</v>
      </c>
    </row>
    <row r="2" spans="1:11" x14ac:dyDescent="0.4">
      <c r="A2" s="2" t="s">
        <v>93</v>
      </c>
      <c r="B2" s="2" t="s">
        <v>94</v>
      </c>
      <c r="C2" s="2" t="s">
        <v>95</v>
      </c>
      <c r="D2" t="str">
        <f>VLOOKUP(A2,'[1]protection Relay 상세사양'!$A$1:$CG$47,32,0)</f>
        <v>DMP06I-T</v>
      </c>
      <c r="E2" t="s">
        <v>160</v>
      </c>
      <c r="F2" t="str">
        <f>VLOOKUP(A2,'[1]protection Relay 상세사양'!$A$1:$CG$47,50,0)</f>
        <v>100-260VAC</v>
      </c>
      <c r="G2">
        <f>VLOOKUP(A2,'[1]protection Relay 상세사양'!$A$1:$CG$47,52,0)</f>
        <v>0</v>
      </c>
      <c r="H2">
        <f>VLOOKUP(A2,'[1]protection Relay 상세사양'!$A$1:$CG$47,54,0)</f>
        <v>0</v>
      </c>
      <c r="I2">
        <f>VLOOKUP(A2,'[1]protection Relay 상세사양'!$A$1:$CG$47,58,0)</f>
        <v>0</v>
      </c>
      <c r="J2" t="s">
        <v>13</v>
      </c>
      <c r="K2" s="2" t="s">
        <v>150</v>
      </c>
    </row>
    <row r="3" spans="1:11" x14ac:dyDescent="0.4">
      <c r="A3" s="2" t="s">
        <v>96</v>
      </c>
      <c r="B3" s="2" t="s">
        <v>11</v>
      </c>
      <c r="C3" s="2" t="s">
        <v>95</v>
      </c>
      <c r="D3" t="str">
        <f>VLOOKUP(A3,'[1]protection Relay 상세사양'!$A$1:$CG$47,32,0)</f>
        <v>DMP65I-TZ</v>
      </c>
      <c r="E3" t="s">
        <v>160</v>
      </c>
      <c r="F3" t="str">
        <f>VLOOKUP(A3,'[1]protection Relay 상세사양'!$A$1:$CG$47,50,0)</f>
        <v>80~250VAC/DC</v>
      </c>
      <c r="G3">
        <f>VLOOKUP(A3,'[1]protection Relay 상세사양'!$A$1:$CG$47,52,0)</f>
        <v>0</v>
      </c>
      <c r="H3">
        <f>VLOOKUP(A3,'[1]protection Relay 상세사양'!$A$1:$CG$47,54,0)</f>
        <v>0</v>
      </c>
      <c r="I3">
        <f>VLOOKUP(A3,'[1]protection Relay 상세사양'!$A$1:$CG$47,58,0)</f>
        <v>0</v>
      </c>
      <c r="J3" t="s">
        <v>13</v>
      </c>
      <c r="K3" s="2" t="s">
        <v>150</v>
      </c>
    </row>
    <row r="4" spans="1:11" x14ac:dyDescent="0.4">
      <c r="A4" s="2" t="s">
        <v>97</v>
      </c>
      <c r="B4" s="2" t="s">
        <v>94</v>
      </c>
      <c r="C4" s="2" t="s">
        <v>95</v>
      </c>
      <c r="D4" t="str">
        <f>VLOOKUP(A4,'[1]protection Relay 상세사양'!$A$1:$CG$47,32,0)</f>
        <v>DMP65I-T</v>
      </c>
      <c r="E4" t="s">
        <v>160</v>
      </c>
      <c r="F4" t="str">
        <f>VLOOKUP(A4,'[1]protection Relay 상세사양'!$A$1:$CG$47,50,0)</f>
        <v>100-260VAC</v>
      </c>
      <c r="G4">
        <f>VLOOKUP(A4,'[1]protection Relay 상세사양'!$A$1:$CG$47,52,0)</f>
        <v>0</v>
      </c>
      <c r="H4">
        <f>VLOOKUP(A4,'[1]protection Relay 상세사양'!$A$1:$CG$47,54,0)</f>
        <v>0</v>
      </c>
      <c r="I4">
        <f>VLOOKUP(A4,'[1]protection Relay 상세사양'!$A$1:$CG$47,58,0)</f>
        <v>0</v>
      </c>
      <c r="J4" t="s">
        <v>13</v>
      </c>
      <c r="K4" s="2" t="s">
        <v>150</v>
      </c>
    </row>
    <row r="5" spans="1:11" x14ac:dyDescent="0.4">
      <c r="A5" s="2" t="s">
        <v>98</v>
      </c>
      <c r="B5" s="2" t="s">
        <v>94</v>
      </c>
      <c r="C5" s="2" t="s">
        <v>95</v>
      </c>
      <c r="D5" t="str">
        <f>VLOOKUP(A5,'[1]protection Relay 상세사양'!$A$1:$CG$47,32,0)</f>
        <v>WYGF-D12NC</v>
      </c>
      <c r="E5" t="s">
        <v>113</v>
      </c>
      <c r="F5" t="str">
        <f>VLOOKUP(A5,'[1]protection Relay 상세사양'!$A$1:$CG$47,50,0)</f>
        <v>OTHERS</v>
      </c>
      <c r="G5">
        <f>VLOOKUP(A5,'[1]protection Relay 상세사양'!$A$1:$CG$47,52,0)</f>
        <v>0</v>
      </c>
      <c r="H5" t="str">
        <f>VLOOKUP(A5,'[1]protection Relay 상세사양'!$A$1:$CG$47,54,0)</f>
        <v>0.1 ~ 10S</v>
      </c>
      <c r="I5" t="str">
        <f>VLOOKUP(A5,'[1]protection Relay 상세사양'!$A$1:$CG$47,58,0)</f>
        <v xml:space="preserve"> AC/DC110~220V</v>
      </c>
      <c r="J5" t="s">
        <v>13</v>
      </c>
      <c r="K5" s="2" t="s">
        <v>151</v>
      </c>
    </row>
    <row r="6" spans="1:11" x14ac:dyDescent="0.4">
      <c r="A6" s="2" t="s">
        <v>99</v>
      </c>
      <c r="B6" s="2" t="s">
        <v>100</v>
      </c>
      <c r="C6" s="2" t="s">
        <v>95</v>
      </c>
      <c r="D6" t="str">
        <f>VLOOKUP(A6,'[1]protection Relay 상세사양'!$A$1:$CG$47,32,0)</f>
        <v>3RU2146-4KB0</v>
      </c>
      <c r="E6" t="s">
        <v>161</v>
      </c>
      <c r="F6" t="str">
        <f>VLOOKUP(A6,'[1]protection Relay 상세사양'!$A$1:$CG$47,50,0)</f>
        <v>AC 440V</v>
      </c>
      <c r="G6" t="str">
        <f>VLOOKUP(A6,'[1]protection Relay 상세사양'!$A$1:$CG$47,52,0)</f>
        <v>57~75A</v>
      </c>
      <c r="H6">
        <f>VLOOKUP(A6,'[1]protection Relay 상세사양'!$A$1:$CG$47,54,0)</f>
        <v>0</v>
      </c>
      <c r="I6">
        <f>VLOOKUP(A6,'[1]protection Relay 상세사양'!$A$1:$CG$47,58,0)</f>
        <v>0</v>
      </c>
      <c r="J6" t="s">
        <v>13</v>
      </c>
      <c r="K6" s="2">
        <v>0</v>
      </c>
    </row>
    <row r="7" spans="1:11" x14ac:dyDescent="0.4">
      <c r="A7" s="2" t="s">
        <v>101</v>
      </c>
      <c r="B7" s="2" t="s">
        <v>100</v>
      </c>
      <c r="C7" s="2" t="s">
        <v>95</v>
      </c>
      <c r="D7" t="str">
        <f>VLOOKUP(A7,'[1]protection Relay 상세사양'!$A$1:$CG$47,32,0)</f>
        <v>3RU5146-4KB0</v>
      </c>
      <c r="E7" t="s">
        <v>161</v>
      </c>
      <c r="F7" t="str">
        <f>VLOOKUP(A7,'[1]protection Relay 상세사양'!$A$1:$CG$47,50,0)</f>
        <v>AC 440V</v>
      </c>
      <c r="G7" t="str">
        <f>VLOOKUP(A7,'[1]protection Relay 상세사양'!$A$1:$CG$47,52,0)</f>
        <v>57~75A</v>
      </c>
      <c r="H7">
        <f>VLOOKUP(A7,'[1]protection Relay 상세사양'!$A$1:$CG$47,54,0)</f>
        <v>0</v>
      </c>
      <c r="I7">
        <f>VLOOKUP(A7,'[1]protection Relay 상세사양'!$A$1:$CG$47,58,0)</f>
        <v>0</v>
      </c>
      <c r="J7" t="s">
        <v>13</v>
      </c>
      <c r="K7" s="2">
        <v>0</v>
      </c>
    </row>
    <row r="8" spans="1:11" x14ac:dyDescent="0.4">
      <c r="A8" s="2" t="s">
        <v>102</v>
      </c>
      <c r="B8" s="2" t="s">
        <v>11</v>
      </c>
      <c r="C8" s="2" t="s">
        <v>95</v>
      </c>
      <c r="D8" t="str">
        <f>VLOOKUP(A8,'[1]protection Relay 상세사양'!$A$1:$CG$47,32,0)</f>
        <v>DSP-AOM-02Z7-ZCT-F</v>
      </c>
      <c r="E8" t="s">
        <v>162</v>
      </c>
      <c r="F8" t="str">
        <f>VLOOKUP(A8,'[1]protection Relay 상세사양'!$A$1:$CG$47,50,0)</f>
        <v>100-240VAC</v>
      </c>
      <c r="G8">
        <f>VLOOKUP(A8,'[1]protection Relay 상세사양'!$A$1:$CG$47,52,0)</f>
        <v>0</v>
      </c>
      <c r="H8">
        <f>VLOOKUP(A8,'[1]protection Relay 상세사양'!$A$1:$CG$47,54,0)</f>
        <v>0</v>
      </c>
      <c r="I8">
        <f>VLOOKUP(A8,'[1]protection Relay 상세사양'!$A$1:$CG$47,58,0)</f>
        <v>0</v>
      </c>
      <c r="J8" t="s">
        <v>13</v>
      </c>
      <c r="K8" s="2" t="s">
        <v>152</v>
      </c>
    </row>
    <row r="9" spans="1:11" x14ac:dyDescent="0.4">
      <c r="A9" s="2" t="s">
        <v>103</v>
      </c>
      <c r="B9" s="2" t="s">
        <v>11</v>
      </c>
      <c r="C9" s="2" t="s">
        <v>95</v>
      </c>
      <c r="D9" t="str">
        <f>VLOOKUP(A9,'[1]protection Relay 상세사양'!$A$1:$CG$47,32,0)</f>
        <v>DSP-AOM-10Z7-ZCT-F</v>
      </c>
      <c r="E9" t="s">
        <v>162</v>
      </c>
      <c r="F9" t="str">
        <f>VLOOKUP(A9,'[1]protection Relay 상세사양'!$A$1:$CG$47,50,0)</f>
        <v>100-240VAC</v>
      </c>
      <c r="G9">
        <f>VLOOKUP(A9,'[1]protection Relay 상세사양'!$A$1:$CG$47,52,0)</f>
        <v>0</v>
      </c>
      <c r="H9">
        <f>VLOOKUP(A9,'[1]protection Relay 상세사양'!$A$1:$CG$47,54,0)</f>
        <v>0</v>
      </c>
      <c r="I9">
        <f>VLOOKUP(A9,'[1]protection Relay 상세사양'!$A$1:$CG$47,58,0)</f>
        <v>0</v>
      </c>
      <c r="J9" t="s">
        <v>13</v>
      </c>
      <c r="K9" s="2" t="s">
        <v>152</v>
      </c>
    </row>
    <row r="10" spans="1:11" x14ac:dyDescent="0.4">
      <c r="A10" s="2" t="s">
        <v>104</v>
      </c>
      <c r="B10" s="2" t="s">
        <v>11</v>
      </c>
      <c r="C10" s="2" t="s">
        <v>95</v>
      </c>
      <c r="D10" t="str">
        <f>VLOOKUP(A10,'[1]protection Relay 상세사양'!$A$1:$CG$47,32,0)</f>
        <v>DSP-AOM-70Z7-ZCT-F</v>
      </c>
      <c r="E10" t="s">
        <v>162</v>
      </c>
      <c r="F10" t="str">
        <f>VLOOKUP(A10,'[1]protection Relay 상세사양'!$A$1:$CG$47,50,0)</f>
        <v>100-240VAC</v>
      </c>
      <c r="G10">
        <f>VLOOKUP(A10,'[1]protection Relay 상세사양'!$A$1:$CG$47,52,0)</f>
        <v>0</v>
      </c>
      <c r="H10">
        <f>VLOOKUP(A10,'[1]protection Relay 상세사양'!$A$1:$CG$47,54,0)</f>
        <v>0</v>
      </c>
      <c r="I10">
        <f>VLOOKUP(A10,'[1]protection Relay 상세사양'!$A$1:$CG$47,58,0)</f>
        <v>0</v>
      </c>
      <c r="J10" t="s">
        <v>13</v>
      </c>
      <c r="K10" s="2" t="s">
        <v>152</v>
      </c>
    </row>
    <row r="11" spans="1:11" x14ac:dyDescent="0.4">
      <c r="A11" s="2" t="s">
        <v>105</v>
      </c>
      <c r="B11" s="2" t="s">
        <v>94</v>
      </c>
      <c r="C11" s="2" t="s">
        <v>95</v>
      </c>
      <c r="D11" t="str">
        <f>VLOOKUP(A11,'[1]protection Relay 상세사양'!$A$1:$CG$47,32,0)</f>
        <v>DSP-AOL-02Z7-F</v>
      </c>
      <c r="E11" t="s">
        <v>162</v>
      </c>
      <c r="F11" t="str">
        <f>VLOOKUP(A11,'[1]protection Relay 상세사양'!$A$1:$CG$47,50,0)</f>
        <v>100-240VAC</v>
      </c>
      <c r="G11">
        <f>VLOOKUP(A11,'[1]protection Relay 상세사양'!$A$1:$CG$47,52,0)</f>
        <v>0</v>
      </c>
      <c r="H11">
        <f>VLOOKUP(A11,'[1]protection Relay 상세사양'!$A$1:$CG$47,54,0)</f>
        <v>0</v>
      </c>
      <c r="I11">
        <f>VLOOKUP(A11,'[1]protection Relay 상세사양'!$A$1:$CG$47,58,0)</f>
        <v>0</v>
      </c>
      <c r="J11" t="s">
        <v>13</v>
      </c>
      <c r="K11" s="2" t="s">
        <v>153</v>
      </c>
    </row>
    <row r="12" spans="1:11" x14ac:dyDescent="0.4">
      <c r="A12" s="2" t="s">
        <v>106</v>
      </c>
      <c r="B12" s="2" t="s">
        <v>11</v>
      </c>
      <c r="C12" s="2" t="s">
        <v>95</v>
      </c>
      <c r="D12" t="str">
        <f>VLOOKUP(A12,'[1]protection Relay 상세사양'!$A$1:$CG$47,32,0)</f>
        <v>DSP-IR-Z7-C-F</v>
      </c>
      <c r="E12" t="s">
        <v>163</v>
      </c>
      <c r="F12" t="str">
        <f>VLOOKUP(A12,'[1]protection Relay 상세사양'!$A$1:$CG$47,50,0)</f>
        <v>DC 24V</v>
      </c>
      <c r="G12">
        <f>VLOOKUP(A12,'[1]protection Relay 상세사양'!$A$1:$CG$47,52,0)</f>
        <v>0</v>
      </c>
      <c r="H12">
        <f>VLOOKUP(A12,'[1]protection Relay 상세사양'!$A$1:$CG$47,54,0)</f>
        <v>0</v>
      </c>
      <c r="I12">
        <f>VLOOKUP(A12,'[1]protection Relay 상세사양'!$A$1:$CG$47,58,0)</f>
        <v>0</v>
      </c>
      <c r="J12" t="s">
        <v>13</v>
      </c>
      <c r="K12" s="2" t="s">
        <v>154</v>
      </c>
    </row>
    <row r="13" spans="1:11" x14ac:dyDescent="0.4">
      <c r="A13" s="2" t="s">
        <v>107</v>
      </c>
      <c r="B13" s="2" t="s">
        <v>11</v>
      </c>
      <c r="C13" s="2" t="s">
        <v>95</v>
      </c>
      <c r="D13" t="str">
        <f>VLOOKUP(A13,'[1]protection Relay 상세사양'!$A$1:$CG$47,32,0)</f>
        <v>DSP-IRM-Z7-C-F</v>
      </c>
      <c r="E13" t="s">
        <v>163</v>
      </c>
      <c r="F13" t="str">
        <f>VLOOKUP(A13,'[1]protection Relay 상세사양'!$A$1:$CG$47,50,0)</f>
        <v>DC 24V</v>
      </c>
      <c r="G13">
        <f>VLOOKUP(A13,'[1]protection Relay 상세사양'!$A$1:$CG$47,52,0)</f>
        <v>0</v>
      </c>
      <c r="H13">
        <f>VLOOKUP(A13,'[1]protection Relay 상세사양'!$A$1:$CG$47,54,0)</f>
        <v>0</v>
      </c>
      <c r="I13">
        <f>VLOOKUP(A13,'[1]protection Relay 상세사양'!$A$1:$CG$47,58,0)</f>
        <v>0</v>
      </c>
      <c r="J13" t="s">
        <v>13</v>
      </c>
      <c r="K13" s="2" t="s">
        <v>154</v>
      </c>
    </row>
    <row r="14" spans="1:11" x14ac:dyDescent="0.4">
      <c r="A14" s="2" t="s">
        <v>108</v>
      </c>
      <c r="B14" s="2" t="s">
        <v>94</v>
      </c>
      <c r="C14" s="2" t="s">
        <v>95</v>
      </c>
      <c r="D14" t="str">
        <f>VLOOKUP(A14,'[1]protection Relay 상세사양'!$A$1:$CG$47,32,0)</f>
        <v>WYER-D16NC</v>
      </c>
      <c r="E14" t="s">
        <v>113</v>
      </c>
      <c r="F14" t="str">
        <f>VLOOKUP(A14,'[1]protection Relay 상세사양'!$A$1:$CG$47,50,0)</f>
        <v>DC 24V</v>
      </c>
      <c r="G14">
        <f>VLOOKUP(A14,'[1]protection Relay 상세사양'!$A$1:$CG$47,52,0)</f>
        <v>0</v>
      </c>
      <c r="H14">
        <f>VLOOKUP(A14,'[1]protection Relay 상세사양'!$A$1:$CG$47,54,0)</f>
        <v>0</v>
      </c>
      <c r="I14" t="str">
        <f>VLOOKUP(A14,'[1]protection Relay 상세사양'!$A$1:$CG$47,58,0)</f>
        <v>ELD,EARTH LEAKAGE DETECTOR</v>
      </c>
      <c r="J14" t="s">
        <v>13</v>
      </c>
      <c r="K14" s="2" t="s">
        <v>155</v>
      </c>
    </row>
    <row r="15" spans="1:11" x14ac:dyDescent="0.4">
      <c r="A15" s="2" t="s">
        <v>109</v>
      </c>
      <c r="B15" s="2" t="s">
        <v>94</v>
      </c>
      <c r="C15" s="2" t="s">
        <v>95</v>
      </c>
      <c r="D15" t="str">
        <f>VLOOKUP(A15,'[1]protection Relay 상세사양'!$A$1:$CG$47,32,0)</f>
        <v>WYGF-D11T</v>
      </c>
      <c r="E15" t="s">
        <v>113</v>
      </c>
      <c r="F15" t="str">
        <f>VLOOKUP(A15,'[1]protection Relay 상세사양'!$A$1:$CG$47,50,0)</f>
        <v>AC110-220V</v>
      </c>
      <c r="G15">
        <f>VLOOKUP(A15,'[1]protection Relay 상세사양'!$A$1:$CG$47,52,0)</f>
        <v>0</v>
      </c>
      <c r="H15">
        <f>VLOOKUP(A15,'[1]protection Relay 상세사양'!$A$1:$CG$47,54,0)</f>
        <v>0</v>
      </c>
      <c r="I15">
        <f>VLOOKUP(A15,'[1]protection Relay 상세사양'!$A$1:$CG$47,58,0)</f>
        <v>0</v>
      </c>
      <c r="J15" t="s">
        <v>13</v>
      </c>
      <c r="K15" s="2" t="s">
        <v>156</v>
      </c>
    </row>
    <row r="16" spans="1:11" x14ac:dyDescent="0.4">
      <c r="A16" s="2" t="s">
        <v>110</v>
      </c>
      <c r="B16" s="2" t="s">
        <v>94</v>
      </c>
      <c r="C16" s="2" t="s">
        <v>95</v>
      </c>
      <c r="D16" t="str">
        <f>VLOOKUP(A16,'[1]protection Relay 상세사양'!$A$1:$CG$47,32,0)</f>
        <v>GD12-L05A</v>
      </c>
      <c r="E16" t="s">
        <v>164</v>
      </c>
      <c r="F16" t="str">
        <f>VLOOKUP(A16,'[1]protection Relay 상세사양'!$A$1:$CG$47,50,0)</f>
        <v>AC110-220V</v>
      </c>
      <c r="G16">
        <f>VLOOKUP(A16,'[1]protection Relay 상세사양'!$A$1:$CG$47,52,0)</f>
        <v>0</v>
      </c>
      <c r="H16">
        <f>VLOOKUP(A16,'[1]protection Relay 상세사양'!$A$1:$CG$47,54,0)</f>
        <v>0</v>
      </c>
      <c r="I16" t="str">
        <f>VLOOKUP(A16,'[1]protection Relay 상세사양'!$A$1:$CG$47,58,0)</f>
        <v>60HZ</v>
      </c>
      <c r="J16" s="7" t="s">
        <v>42</v>
      </c>
      <c r="K16" s="2"/>
    </row>
    <row r="17" spans="1:10" x14ac:dyDescent="0.4">
      <c r="A17" s="6" t="s">
        <v>111</v>
      </c>
      <c r="B17" s="2" t="s">
        <v>94</v>
      </c>
      <c r="C17" s="2" t="s">
        <v>95</v>
      </c>
      <c r="D17" t="s">
        <v>112</v>
      </c>
      <c r="E17" t="s">
        <v>113</v>
      </c>
      <c r="F17" t="s">
        <v>114</v>
      </c>
      <c r="G17">
        <v>0</v>
      </c>
      <c r="H17">
        <v>0</v>
      </c>
      <c r="I17" t="s">
        <v>115</v>
      </c>
      <c r="J17" s="7" t="s">
        <v>42</v>
      </c>
    </row>
    <row r="18" spans="1:10" x14ac:dyDescent="0.4">
      <c r="A18" s="6" t="s">
        <v>116</v>
      </c>
      <c r="B18" s="2" t="s">
        <v>94</v>
      </c>
      <c r="C18" s="2" t="s">
        <v>95</v>
      </c>
      <c r="D18" t="s">
        <v>117</v>
      </c>
      <c r="E18" t="s">
        <v>113</v>
      </c>
      <c r="F18" t="s">
        <v>114</v>
      </c>
      <c r="G18">
        <v>0</v>
      </c>
      <c r="H18">
        <v>0</v>
      </c>
      <c r="I18" t="s">
        <v>115</v>
      </c>
      <c r="J18" s="7" t="s">
        <v>42</v>
      </c>
    </row>
    <row r="19" spans="1:10" x14ac:dyDescent="0.4">
      <c r="A19" s="6" t="s">
        <v>118</v>
      </c>
      <c r="B19" s="2" t="s">
        <v>94</v>
      </c>
      <c r="C19" s="2" t="s">
        <v>95</v>
      </c>
      <c r="D19" t="s">
        <v>119</v>
      </c>
      <c r="E19" t="s">
        <v>113</v>
      </c>
      <c r="F19" t="s">
        <v>114</v>
      </c>
      <c r="G19">
        <v>0</v>
      </c>
      <c r="H19">
        <v>0</v>
      </c>
      <c r="I19" t="s">
        <v>115</v>
      </c>
      <c r="J19" s="7" t="s">
        <v>42</v>
      </c>
    </row>
    <row r="20" spans="1:10" x14ac:dyDescent="0.4">
      <c r="A20" s="6" t="s">
        <v>120</v>
      </c>
      <c r="B20" s="2" t="s">
        <v>94</v>
      </c>
      <c r="C20" s="2" t="s">
        <v>95</v>
      </c>
      <c r="D20" t="s">
        <v>121</v>
      </c>
      <c r="E20" t="s">
        <v>113</v>
      </c>
      <c r="F20" t="s">
        <v>114</v>
      </c>
      <c r="G20">
        <v>0</v>
      </c>
      <c r="H20">
        <v>0</v>
      </c>
      <c r="I20" t="s">
        <v>115</v>
      </c>
      <c r="J20" s="7" t="s">
        <v>42</v>
      </c>
    </row>
    <row r="21" spans="1:10" x14ac:dyDescent="0.4">
      <c r="A21" s="6" t="s">
        <v>122</v>
      </c>
      <c r="B21" s="2" t="s">
        <v>94</v>
      </c>
      <c r="C21" s="2" t="s">
        <v>95</v>
      </c>
      <c r="D21" t="s">
        <v>123</v>
      </c>
      <c r="E21" t="s">
        <v>113</v>
      </c>
      <c r="F21" t="s">
        <v>114</v>
      </c>
      <c r="G21">
        <v>0</v>
      </c>
      <c r="H21">
        <v>0</v>
      </c>
      <c r="I21" t="s">
        <v>115</v>
      </c>
      <c r="J21" s="7" t="s">
        <v>42</v>
      </c>
    </row>
    <row r="22" spans="1:10" x14ac:dyDescent="0.4">
      <c r="A22" s="6" t="s">
        <v>124</v>
      </c>
      <c r="B22" s="2" t="s">
        <v>94</v>
      </c>
      <c r="C22" s="2" t="s">
        <v>95</v>
      </c>
      <c r="D22" t="s">
        <v>125</v>
      </c>
      <c r="E22" t="s">
        <v>113</v>
      </c>
      <c r="F22" t="s">
        <v>114</v>
      </c>
      <c r="G22">
        <v>0</v>
      </c>
      <c r="H22">
        <v>0</v>
      </c>
      <c r="I22" t="s">
        <v>115</v>
      </c>
      <c r="J22" s="7" t="s">
        <v>42</v>
      </c>
    </row>
    <row r="23" spans="1:10" x14ac:dyDescent="0.4">
      <c r="A23" s="6" t="s">
        <v>126</v>
      </c>
      <c r="B23" s="2" t="s">
        <v>94</v>
      </c>
      <c r="C23" s="2" t="s">
        <v>95</v>
      </c>
      <c r="D23" t="s">
        <v>127</v>
      </c>
      <c r="E23" t="s">
        <v>113</v>
      </c>
      <c r="F23" t="s">
        <v>114</v>
      </c>
      <c r="G23">
        <v>0</v>
      </c>
      <c r="H23">
        <v>0</v>
      </c>
      <c r="I23" t="s">
        <v>115</v>
      </c>
      <c r="J23" s="7" t="s">
        <v>42</v>
      </c>
    </row>
    <row r="24" spans="1:10" x14ac:dyDescent="0.4">
      <c r="A24" s="6" t="s">
        <v>128</v>
      </c>
      <c r="B24" s="2" t="s">
        <v>94</v>
      </c>
      <c r="C24" s="2" t="s">
        <v>95</v>
      </c>
      <c r="D24" t="s">
        <v>129</v>
      </c>
      <c r="E24" t="s">
        <v>113</v>
      </c>
      <c r="F24" t="s">
        <v>114</v>
      </c>
      <c r="G24">
        <v>0</v>
      </c>
      <c r="H24">
        <v>0</v>
      </c>
      <c r="I24" t="s">
        <v>115</v>
      </c>
      <c r="J24" s="7" t="s">
        <v>42</v>
      </c>
    </row>
    <row r="25" spans="1:10" x14ac:dyDescent="0.4">
      <c r="A25" s="6" t="s">
        <v>130</v>
      </c>
      <c r="B25" s="2" t="s">
        <v>94</v>
      </c>
      <c r="C25" s="2" t="s">
        <v>95</v>
      </c>
      <c r="D25" t="s">
        <v>131</v>
      </c>
      <c r="E25" t="s">
        <v>113</v>
      </c>
      <c r="F25" t="s">
        <v>114</v>
      </c>
      <c r="G25">
        <v>0</v>
      </c>
      <c r="H25">
        <v>0</v>
      </c>
      <c r="I25" t="s">
        <v>115</v>
      </c>
      <c r="J25" s="7" t="s">
        <v>42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Pneumatic Cylinder</vt:lpstr>
      <vt:lpstr>AC Geared Motor</vt:lpstr>
      <vt:lpstr>Protection Relay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2026-03-27T06:48:43Z</dcterms:created>
  <dcterms:modified xsi:type="dcterms:W3CDTF">2026-04-03T06:18:35Z</dcterms:modified>
</cp:coreProperties>
</file>